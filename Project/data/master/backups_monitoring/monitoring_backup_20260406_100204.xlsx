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17C5D1CF-C7E7-42F0-B6CC-C3D49FA3811D}" xr6:coauthVersionLast="47" xr6:coauthVersionMax="47" xr10:uidLastSave="{00000000-0000-0000-0000-000000000000}"/>
  <bookViews>
    <workbookView xWindow="2775" yWindow="1065" windowWidth="21180" windowHeight="13710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1" i="19"/>
  <c r="C41" i="19" s="1"/>
  <c r="E41" i="19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B14" i="19" s="1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AC14" i="19" l="1"/>
  <c r="AB15" i="19"/>
  <c r="AC15" i="19" s="1"/>
  <c r="B42" i="19"/>
  <c r="C42" i="19" s="1"/>
  <c r="B43" i="19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 s="1"/>
  <c r="F79" i="20"/>
  <c r="D80" i="20"/>
  <c r="E80" i="20" s="1"/>
  <c r="F80" i="20"/>
  <c r="D81" i="20"/>
  <c r="E81" i="20" s="1"/>
  <c r="F81" i="20"/>
  <c r="D82" i="20"/>
  <c r="E82" i="20" s="1"/>
  <c r="F82" i="20"/>
  <c r="D83" i="20"/>
  <c r="E83" i="20" s="1"/>
  <c r="F83" i="20"/>
  <c r="D84" i="20"/>
  <c r="E84" i="20" s="1"/>
  <c r="F84" i="20"/>
  <c r="D85" i="20"/>
  <c r="E85" i="20" s="1"/>
  <c r="F85" i="20"/>
  <c r="D86" i="20"/>
  <c r="E86" i="20" s="1"/>
  <c r="F86" i="20"/>
  <c r="D87" i="20"/>
  <c r="E87" i="20" s="1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 s="1"/>
  <c r="F95" i="20"/>
  <c r="D96" i="20"/>
  <c r="E96" i="20" s="1"/>
  <c r="F96" i="20"/>
  <c r="D97" i="20"/>
  <c r="E97" i="20" s="1"/>
  <c r="F97" i="20"/>
  <c r="D98" i="20"/>
  <c r="E98" i="20" s="1"/>
  <c r="F98" i="20"/>
  <c r="D99" i="20"/>
  <c r="E99" i="20" s="1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 s="1"/>
  <c r="F109" i="20"/>
  <c r="D110" i="20"/>
  <c r="E110" i="20" s="1"/>
  <c r="F110" i="20"/>
  <c r="D111" i="20"/>
  <c r="E111" i="20" s="1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 s="1"/>
  <c r="F54" i="20"/>
  <c r="D55" i="20"/>
  <c r="E55" i="20" s="1"/>
  <c r="F55" i="20"/>
  <c r="D56" i="20"/>
  <c r="E56" i="20" s="1"/>
  <c r="F56" i="20"/>
  <c r="D57" i="20"/>
  <c r="E57" i="20" s="1"/>
  <c r="F57" i="20"/>
  <c r="D58" i="20"/>
  <c r="E58" i="20" s="1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 s="1"/>
  <c r="F70" i="20"/>
  <c r="D71" i="20"/>
  <c r="E71" i="20" s="1"/>
  <c r="F71" i="20"/>
  <c r="D72" i="20"/>
  <c r="E72" i="20" s="1"/>
  <c r="F72" i="20"/>
  <c r="D73" i="20"/>
  <c r="E73" i="20"/>
  <c r="F73" i="20"/>
  <c r="D74" i="20"/>
  <c r="E74" i="20" s="1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 s="1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 s="1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 s="1"/>
  <c r="A91" i="14"/>
  <c r="A19" i="14"/>
  <c r="A21" i="14" s="1"/>
  <c r="A20" i="14"/>
  <c r="A23" i="14"/>
  <c r="A27" i="14"/>
  <c r="A29" i="14" s="1"/>
  <c r="A31" i="14"/>
  <c r="A33" i="14" s="1"/>
  <c r="A35" i="14"/>
  <c r="A36" i="14" s="1"/>
  <c r="A39" i="14"/>
  <c r="A40" i="14" s="1"/>
  <c r="A43" i="14"/>
  <c r="A44" i="14" s="1"/>
  <c r="A47" i="14"/>
  <c r="A48" i="14" s="1"/>
  <c r="A51" i="14"/>
  <c r="A53" i="14" s="1"/>
  <c r="A52" i="14"/>
  <c r="A55" i="14"/>
  <c r="A56" i="14" s="1"/>
  <c r="A59" i="14"/>
  <c r="A61" i="14" s="1"/>
  <c r="A63" i="14"/>
  <c r="A67" i="14"/>
  <c r="A68" i="14" s="1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A89" i="14" l="1"/>
  <c r="A57" i="14"/>
  <c r="A37" i="14"/>
  <c r="A69" i="14"/>
  <c r="A28" i="14"/>
  <c r="A49" i="14"/>
  <c r="C46" i="19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20" i="14" s="1"/>
  <c r="G24" i="14" s="1"/>
  <c r="G28" i="14" s="1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B60" i="19" l="1"/>
  <c r="C59" i="19"/>
  <c r="B28" i="19"/>
  <c r="C27" i="19"/>
  <c r="P13" i="14"/>
  <c r="C60" i="19" l="1"/>
  <c r="B61" i="19"/>
  <c r="C61" i="19" s="1"/>
  <c r="C28" i="19"/>
  <c r="B29" i="19"/>
  <c r="Q13" i="14"/>
  <c r="C29" i="19" l="1"/>
  <c r="B30" i="19"/>
  <c r="R13" i="14"/>
  <c r="C30" i="19" l="1"/>
  <c r="B31" i="19"/>
  <c r="S13" i="14"/>
  <c r="B32" i="19" l="1"/>
  <c r="C32" i="19" s="1"/>
  <c r="C31" i="19"/>
  <c r="T13" i="14"/>
  <c r="U13" i="14" l="1"/>
  <c r="V13" i="14" l="1"/>
  <c r="W13" i="14" l="1"/>
  <c r="X13" i="14" l="1"/>
  <c r="Y13" i="14" l="1"/>
  <c r="Z13" i="14" l="1"/>
  <c r="AA13" i="14" l="1"/>
  <c r="AB13" i="14" l="1"/>
  <c r="AC13" i="14" l="1"/>
  <c r="AD13" i="14" l="1"/>
  <c r="AE13" i="14" l="1"/>
  <c r="AF13" i="14" l="1"/>
  <c r="AG13" i="14" l="1"/>
  <c r="AH13" i="14" l="1"/>
  <c r="AI13" i="14" l="1"/>
  <c r="AJ13" i="14" l="1"/>
  <c r="AK13" i="14" l="1"/>
  <c r="AL13" i="14" l="1"/>
  <c r="AM13" i="14" l="1"/>
  <c r="AN13" i="14" l="1"/>
  <c r="AO13" i="14" l="1"/>
  <c r="AP13" i="14" l="1"/>
  <c r="AQ13" i="14" l="1"/>
  <c r="AR13" i="14" l="1"/>
  <c r="AS13" i="14" l="1"/>
  <c r="AT13" i="14" l="1"/>
  <c r="AU13" i="14" l="1"/>
  <c r="AV13" i="14" l="1"/>
  <c r="AW13" i="14" l="1"/>
  <c r="AX13" i="14" l="1"/>
  <c r="AY13" i="14" l="1"/>
  <c r="AZ13" i="14" l="1"/>
  <c r="BA13" i="14" l="1"/>
  <c r="BB13" i="14" l="1"/>
  <c r="BC13" i="14" l="1"/>
  <c r="BD13" i="14" l="1"/>
  <c r="BE13" i="14" l="1"/>
  <c r="BF13" i="14" l="1"/>
  <c r="BG13" i="14" l="1"/>
  <c r="BH13" i="1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9" i="14" s="1"/>
  <c r="G23" i="14" s="1"/>
  <c r="G27" i="14" s="1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14" i="14"/>
  <c r="G18" i="14" s="1"/>
  <c r="G22" i="14" s="1"/>
  <c r="G26" i="14" s="1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G21" i="14" s="1"/>
  <c r="G25" i="14" s="1"/>
  <c r="G29" i="14" s="1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K14" i="13"/>
  <c r="I14" i="13"/>
  <c r="J14" i="13"/>
  <c r="J17" i="14"/>
  <c r="H17" i="14"/>
  <c r="I17" i="14"/>
  <c r="H14" i="14"/>
  <c r="J14" i="14"/>
  <c r="I14" i="14"/>
  <c r="G22" i="13"/>
  <c r="I22" i="13"/>
  <c r="J22" i="13"/>
  <c r="H22" i="13"/>
  <c r="K22" i="13"/>
  <c r="J18" i="13"/>
  <c r="H18" i="13"/>
  <c r="I18" i="13"/>
  <c r="K18" i="13"/>
  <c r="G18" i="13"/>
  <c r="K14" i="14"/>
  <c r="L19" i="14"/>
  <c r="J19" i="14"/>
  <c r="H15" i="14"/>
  <c r="I15" i="14"/>
  <c r="K16" i="13"/>
  <c r="H16" i="13"/>
  <c r="J16" i="13"/>
  <c r="K21" i="14"/>
  <c r="L21" i="14"/>
  <c r="J21" i="14"/>
  <c r="H21" i="14"/>
  <c r="I21" i="14"/>
  <c r="L18" i="14"/>
  <c r="J18" i="14"/>
  <c r="K18" i="14"/>
  <c r="H24" i="13"/>
  <c r="G24" i="13"/>
  <c r="J24" i="13"/>
  <c r="K24" i="13"/>
  <c r="I24" i="13"/>
  <c r="G20" i="13"/>
  <c r="H20" i="13"/>
  <c r="K20" i="13"/>
  <c r="I20" i="13"/>
  <c r="J20" i="13"/>
  <c r="L14" i="14"/>
  <c r="L17" i="14"/>
  <c r="L15" i="14"/>
  <c r="V6" i="19"/>
  <c r="I16" i="13"/>
  <c r="I15" i="13"/>
  <c r="H15" i="13"/>
  <c r="G17" i="13"/>
  <c r="K15" i="13"/>
  <c r="J15" i="13"/>
  <c r="J23" i="13"/>
  <c r="I23" i="13"/>
  <c r="H23" i="13"/>
  <c r="G23" i="13"/>
  <c r="K23" i="13"/>
  <c r="G19" i="13"/>
  <c r="K19" i="13"/>
  <c r="J19" i="13"/>
  <c r="I19" i="13"/>
  <c r="H19" i="13"/>
  <c r="L16" i="14"/>
  <c r="M4" i="14"/>
  <c r="M21" i="14" s="1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L14" i="13" l="1"/>
  <c r="L22" i="13"/>
  <c r="L16" i="13"/>
  <c r="L20" i="13"/>
  <c r="L18" i="13"/>
  <c r="L7" i="13" s="1"/>
  <c r="L24" i="13"/>
  <c r="L9" i="13" s="1"/>
  <c r="L15" i="13"/>
  <c r="L19" i="13"/>
  <c r="L23" i="13"/>
  <c r="K19" i="14"/>
  <c r="K20" i="14"/>
  <c r="M19" i="14"/>
  <c r="H20" i="14"/>
  <c r="H19" i="14"/>
  <c r="H18" i="14"/>
  <c r="M18" i="14"/>
  <c r="M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V9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E16" i="14"/>
  <c r="F16" i="14" s="1"/>
  <c r="I10" i="13"/>
  <c r="I9" i="13"/>
  <c r="J9" i="13"/>
  <c r="K9" i="13"/>
  <c r="E14" i="14"/>
  <c r="F14" i="14" s="1"/>
  <c r="E18" i="14"/>
  <c r="F18" i="14" s="1"/>
  <c r="M14" i="14"/>
  <c r="M15" i="14"/>
  <c r="M17" i="14"/>
  <c r="M16" i="14"/>
  <c r="L17" i="13"/>
  <c r="L25" i="13"/>
  <c r="J8" i="13"/>
  <c r="J10" i="13"/>
  <c r="I8" i="13"/>
  <c r="K8" i="13"/>
  <c r="K10" i="13"/>
  <c r="N13" i="14"/>
  <c r="N4" i="14"/>
  <c r="N21" i="14" s="1"/>
  <c r="K7" i="13"/>
  <c r="M4" i="13"/>
  <c r="L8" i="13" l="1"/>
  <c r="N4" i="13"/>
  <c r="M14" i="13"/>
  <c r="M25" i="13"/>
  <c r="M21" i="13"/>
  <c r="M16" i="13"/>
  <c r="M20" i="13"/>
  <c r="M15" i="13"/>
  <c r="M22" i="13"/>
  <c r="M17" i="13"/>
  <c r="M18" i="13"/>
  <c r="M24" i="13"/>
  <c r="M23" i="13"/>
  <c r="M19" i="13"/>
  <c r="N18" i="14"/>
  <c r="N19" i="14"/>
  <c r="N20" i="14"/>
  <c r="D7" i="13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H22" i="14"/>
  <c r="I22" i="14"/>
  <c r="L22" i="14"/>
  <c r="M22" i="14"/>
  <c r="K22" i="14"/>
  <c r="J22" i="14"/>
  <c r="N22" i="14"/>
  <c r="O22" i="14"/>
  <c r="C24" i="14"/>
  <c r="B23" i="14"/>
  <c r="L10" i="13"/>
  <c r="O4" i="14"/>
  <c r="N14" i="14"/>
  <c r="N16" i="14"/>
  <c r="N15" i="14"/>
  <c r="N17" i="14"/>
  <c r="V10" i="19"/>
  <c r="M8" i="13" l="1"/>
  <c r="M9" i="13"/>
  <c r="O21" i="14"/>
  <c r="O20" i="14"/>
  <c r="O19" i="14"/>
  <c r="O18" i="14"/>
  <c r="M7" i="13"/>
  <c r="M10" i="13"/>
  <c r="O4" i="13"/>
  <c r="N14" i="13"/>
  <c r="N25" i="13"/>
  <c r="N18" i="13"/>
  <c r="N21" i="13"/>
  <c r="N16" i="13"/>
  <c r="N20" i="13"/>
  <c r="N22" i="13"/>
  <c r="N23" i="13"/>
  <c r="N24" i="13"/>
  <c r="N15" i="13"/>
  <c r="N19" i="13"/>
  <c r="N17" i="13"/>
  <c r="K9" i="19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C25" i="14"/>
  <c r="B25" i="14" s="1"/>
  <c r="B24" i="14"/>
  <c r="O26" i="14"/>
  <c r="H26" i="14"/>
  <c r="M26" i="14"/>
  <c r="L26" i="14"/>
  <c r="K26" i="14"/>
  <c r="J26" i="14"/>
  <c r="I26" i="14"/>
  <c r="N26" i="14"/>
  <c r="C28" i="14"/>
  <c r="B27" i="14"/>
  <c r="N23" i="14"/>
  <c r="J23" i="14"/>
  <c r="O23" i="14"/>
  <c r="H23" i="14"/>
  <c r="L23" i="14"/>
  <c r="K23" i="14"/>
  <c r="I23" i="14"/>
  <c r="M23" i="14"/>
  <c r="P4" i="14"/>
  <c r="O14" i="14"/>
  <c r="O16" i="14"/>
  <c r="O15" i="14"/>
  <c r="O17" i="14"/>
  <c r="N10" i="13" l="1"/>
  <c r="Y2" i="19"/>
  <c r="P4" i="13"/>
  <c r="O16" i="13"/>
  <c r="O24" i="13"/>
  <c r="O25" i="13"/>
  <c r="O21" i="13"/>
  <c r="O14" i="13"/>
  <c r="O17" i="13"/>
  <c r="O18" i="13"/>
  <c r="O20" i="13"/>
  <c r="O22" i="13"/>
  <c r="O15" i="13"/>
  <c r="O19" i="13"/>
  <c r="O23" i="13"/>
  <c r="N9" i="13"/>
  <c r="P21" i="14"/>
  <c r="P19" i="14"/>
  <c r="P18" i="14"/>
  <c r="P20" i="14"/>
  <c r="P22" i="14"/>
  <c r="P23" i="14"/>
  <c r="P26" i="14"/>
  <c r="N8" i="13"/>
  <c r="N7" i="13"/>
  <c r="K10" i="19"/>
  <c r="L9" i="19"/>
  <c r="M9" i="19" s="1"/>
  <c r="O27" i="14"/>
  <c r="N27" i="14"/>
  <c r="L27" i="14"/>
  <c r="P27" i="14"/>
  <c r="K27" i="14"/>
  <c r="H27" i="14"/>
  <c r="J27" i="14"/>
  <c r="M27" i="14"/>
  <c r="I27" i="14"/>
  <c r="M24" i="14"/>
  <c r="O24" i="14"/>
  <c r="L24" i="14"/>
  <c r="J24" i="14"/>
  <c r="H24" i="14"/>
  <c r="K24" i="14"/>
  <c r="P24" i="14"/>
  <c r="I24" i="14"/>
  <c r="E23" i="14" s="1"/>
  <c r="F23" i="14" s="1"/>
  <c r="N24" i="14"/>
  <c r="K25" i="14"/>
  <c r="M25" i="14"/>
  <c r="H25" i="14"/>
  <c r="P25" i="14"/>
  <c r="J25" i="14"/>
  <c r="N25" i="14"/>
  <c r="I25" i="14"/>
  <c r="O25" i="14"/>
  <c r="L25" i="14"/>
  <c r="C29" i="14"/>
  <c r="B29" i="14" s="1"/>
  <c r="B28" i="14"/>
  <c r="E22" i="14"/>
  <c r="F22" i="14" s="1"/>
  <c r="Q4" i="14"/>
  <c r="Q25" i="14" s="1"/>
  <c r="P14" i="14"/>
  <c r="P16" i="14"/>
  <c r="P15" i="14"/>
  <c r="P17" i="14"/>
  <c r="O10" i="13" l="1"/>
  <c r="O9" i="13"/>
  <c r="O7" i="13"/>
  <c r="O8" i="13"/>
  <c r="Q19" i="14"/>
  <c r="Q21" i="14"/>
  <c r="Q18" i="14"/>
  <c r="Q20" i="14"/>
  <c r="Q22" i="14"/>
  <c r="Q23" i="14"/>
  <c r="Q26" i="14"/>
  <c r="Q24" i="14"/>
  <c r="Q27" i="14"/>
  <c r="Q4" i="13"/>
  <c r="P20" i="13"/>
  <c r="P18" i="13"/>
  <c r="P23" i="13"/>
  <c r="P14" i="13"/>
  <c r="P17" i="13"/>
  <c r="P22" i="13"/>
  <c r="P16" i="13"/>
  <c r="P24" i="13"/>
  <c r="P21" i="13"/>
  <c r="P25" i="13"/>
  <c r="P15" i="13"/>
  <c r="P19" i="13"/>
  <c r="K11" i="19"/>
  <c r="L10" i="19"/>
  <c r="M10" i="19" s="1"/>
  <c r="E26" i="14"/>
  <c r="F26" i="14" s="1"/>
  <c r="P28" i="14"/>
  <c r="K28" i="14"/>
  <c r="H28" i="14"/>
  <c r="I28" i="14"/>
  <c r="L28" i="14"/>
  <c r="J28" i="14"/>
  <c r="N28" i="14"/>
  <c r="O28" i="14"/>
  <c r="M28" i="14"/>
  <c r="Q28" i="14"/>
  <c r="L29" i="14"/>
  <c r="M29" i="14"/>
  <c r="O29" i="14"/>
  <c r="K29" i="14"/>
  <c r="J29" i="14"/>
  <c r="I29" i="14"/>
  <c r="Q29" i="14"/>
  <c r="H29" i="14"/>
  <c r="P29" i="14"/>
  <c r="N29" i="14"/>
  <c r="E24" i="14"/>
  <c r="F24" i="14" s="1"/>
  <c r="R4" i="14"/>
  <c r="R29" i="14" s="1"/>
  <c r="Q14" i="14"/>
  <c r="Q17" i="14"/>
  <c r="Q15" i="14"/>
  <c r="Q16" i="14"/>
  <c r="P7" i="13" l="1"/>
  <c r="R4" i="13"/>
  <c r="Q14" i="13"/>
  <c r="Q22" i="13"/>
  <c r="Q25" i="13"/>
  <c r="Q18" i="13"/>
  <c r="Q21" i="13"/>
  <c r="Q15" i="13"/>
  <c r="Q24" i="13"/>
  <c r="Q20" i="13"/>
  <c r="Q17" i="13"/>
  <c r="Q16" i="13"/>
  <c r="Q19" i="13"/>
  <c r="Q23" i="13"/>
  <c r="P8" i="13"/>
  <c r="R20" i="14"/>
  <c r="R21" i="14"/>
  <c r="R18" i="14"/>
  <c r="R19" i="14"/>
  <c r="R22" i="14"/>
  <c r="R26" i="14"/>
  <c r="R23" i="14"/>
  <c r="R27" i="14"/>
  <c r="R24" i="14"/>
  <c r="R25" i="14"/>
  <c r="P9" i="13"/>
  <c r="R28" i="14"/>
  <c r="P10" i="13"/>
  <c r="K12" i="19"/>
  <c r="L11" i="19"/>
  <c r="M11" i="19" s="1"/>
  <c r="E28" i="14"/>
  <c r="F28" i="14" s="1"/>
  <c r="E27" i="14"/>
  <c r="F27" i="14" s="1"/>
  <c r="S4" i="14"/>
  <c r="R14" i="14"/>
  <c r="R15" i="14"/>
  <c r="R17" i="14"/>
  <c r="R16" i="14"/>
  <c r="Q8" i="13" l="1"/>
  <c r="S20" i="14"/>
  <c r="S19" i="14"/>
  <c r="S21" i="14"/>
  <c r="S18" i="14"/>
  <c r="S22" i="14"/>
  <c r="S26" i="14"/>
  <c r="S23" i="14"/>
  <c r="S27" i="14"/>
  <c r="S25" i="14"/>
  <c r="S24" i="14"/>
  <c r="S29" i="14"/>
  <c r="S28" i="14"/>
  <c r="Q9" i="13"/>
  <c r="Q10" i="13"/>
  <c r="Q7" i="13"/>
  <c r="S4" i="13"/>
  <c r="R20" i="13"/>
  <c r="R24" i="13"/>
  <c r="R22" i="13"/>
  <c r="R25" i="13"/>
  <c r="R18" i="13"/>
  <c r="R21" i="13"/>
  <c r="R16" i="13"/>
  <c r="R14" i="13"/>
  <c r="R17" i="13"/>
  <c r="R19" i="13"/>
  <c r="R15" i="13"/>
  <c r="R23" i="13"/>
  <c r="K13" i="19"/>
  <c r="L12" i="19"/>
  <c r="M12" i="19" s="1"/>
  <c r="T4" i="14"/>
  <c r="S14" i="14"/>
  <c r="S16" i="14"/>
  <c r="S17" i="14"/>
  <c r="S15" i="14"/>
  <c r="R8" i="13" l="1"/>
  <c r="R10" i="13"/>
  <c r="R7" i="13"/>
  <c r="T4" i="13"/>
  <c r="S17" i="13"/>
  <c r="S16" i="13"/>
  <c r="S24" i="13"/>
  <c r="S14" i="13"/>
  <c r="S20" i="13"/>
  <c r="S18" i="13"/>
  <c r="S25" i="13"/>
  <c r="S21" i="13"/>
  <c r="S22" i="13"/>
  <c r="S23" i="13"/>
  <c r="S19" i="13"/>
  <c r="S15" i="13"/>
  <c r="T19" i="14"/>
  <c r="T18" i="14"/>
  <c r="T21" i="14"/>
  <c r="T20" i="14"/>
  <c r="T22" i="14"/>
  <c r="T26" i="14"/>
  <c r="T23" i="14"/>
  <c r="T27" i="14"/>
  <c r="T25" i="14"/>
  <c r="T24" i="14"/>
  <c r="T29" i="14"/>
  <c r="T28" i="14"/>
  <c r="R9" i="13"/>
  <c r="K14" i="19"/>
  <c r="L13" i="19"/>
  <c r="M13" i="19" s="1"/>
  <c r="U4" i="14"/>
  <c r="T14" i="14"/>
  <c r="T15" i="14"/>
  <c r="T17" i="14"/>
  <c r="T16" i="14"/>
  <c r="S7" i="13" l="1"/>
  <c r="S8" i="13"/>
  <c r="U20" i="14"/>
  <c r="U21" i="14"/>
  <c r="U19" i="14"/>
  <c r="U18" i="14"/>
  <c r="U22" i="14"/>
  <c r="U26" i="14"/>
  <c r="U23" i="14"/>
  <c r="U25" i="14"/>
  <c r="U27" i="14"/>
  <c r="U24" i="14"/>
  <c r="U29" i="14"/>
  <c r="U28" i="14"/>
  <c r="S9" i="13"/>
  <c r="S10" i="13"/>
  <c r="U4" i="13"/>
  <c r="T14" i="13"/>
  <c r="T17" i="13"/>
  <c r="T22" i="13"/>
  <c r="T25" i="13"/>
  <c r="T21" i="13"/>
  <c r="T24" i="13"/>
  <c r="T15" i="13"/>
  <c r="T19" i="13"/>
  <c r="T16" i="13"/>
  <c r="T18" i="13"/>
  <c r="T23" i="13"/>
  <c r="T20" i="13"/>
  <c r="K15" i="19"/>
  <c r="L14" i="19"/>
  <c r="M14" i="19" s="1"/>
  <c r="V4" i="14"/>
  <c r="U14" i="14"/>
  <c r="U17" i="14"/>
  <c r="U15" i="14"/>
  <c r="U16" i="14"/>
  <c r="T7" i="13" l="1"/>
  <c r="T9" i="13"/>
  <c r="T8" i="13"/>
  <c r="V4" i="13"/>
  <c r="U25" i="13"/>
  <c r="U21" i="13"/>
  <c r="U18" i="13"/>
  <c r="U16" i="13"/>
  <c r="U9" i="13" s="1"/>
  <c r="U17" i="13"/>
  <c r="U22" i="13"/>
  <c r="U24" i="13"/>
  <c r="U20" i="13"/>
  <c r="U14" i="13"/>
  <c r="U15" i="13"/>
  <c r="U23" i="13"/>
  <c r="U19" i="13"/>
  <c r="V18" i="14"/>
  <c r="V21" i="14"/>
  <c r="V20" i="14"/>
  <c r="V19" i="14"/>
  <c r="V22" i="14"/>
  <c r="V23" i="14"/>
  <c r="V26" i="14"/>
  <c r="V27" i="14"/>
  <c r="V24" i="14"/>
  <c r="V25" i="14"/>
  <c r="V29" i="14"/>
  <c r="V28" i="14"/>
  <c r="T10" i="13"/>
  <c r="K16" i="19"/>
  <c r="L15" i="19"/>
  <c r="M15" i="19" s="1"/>
  <c r="W4" i="14"/>
  <c r="V14" i="14"/>
  <c r="V16" i="14"/>
  <c r="V15" i="14"/>
  <c r="V17" i="14"/>
  <c r="U10" i="13" l="1"/>
  <c r="W19" i="14"/>
  <c r="W18" i="14"/>
  <c r="W21" i="14"/>
  <c r="W20" i="14"/>
  <c r="W22" i="14"/>
  <c r="W23" i="14"/>
  <c r="W26" i="14"/>
  <c r="W27" i="14"/>
  <c r="W25" i="14"/>
  <c r="W24" i="14"/>
  <c r="W28" i="14"/>
  <c r="W29" i="14"/>
  <c r="U7" i="13"/>
  <c r="W4" i="13"/>
  <c r="V14" i="13"/>
  <c r="V15" i="13"/>
  <c r="V25" i="13"/>
  <c r="V21" i="13"/>
  <c r="V18" i="13"/>
  <c r="V16" i="13"/>
  <c r="V24" i="13"/>
  <c r="V22" i="13"/>
  <c r="V20" i="13"/>
  <c r="V19" i="13"/>
  <c r="V23" i="13"/>
  <c r="V17" i="13"/>
  <c r="U8" i="13"/>
  <c r="K17" i="19"/>
  <c r="L16" i="19"/>
  <c r="M16" i="19" s="1"/>
  <c r="X4" i="14"/>
  <c r="W14" i="14"/>
  <c r="W16" i="14"/>
  <c r="W17" i="14"/>
  <c r="W15" i="14"/>
  <c r="V7" i="13" l="1"/>
  <c r="V10" i="13"/>
  <c r="V8" i="13"/>
  <c r="X19" i="14"/>
  <c r="X20" i="14"/>
  <c r="X21" i="14"/>
  <c r="X18" i="14"/>
  <c r="X22" i="14"/>
  <c r="X26" i="14"/>
  <c r="X23" i="14"/>
  <c r="X27" i="14"/>
  <c r="X25" i="14"/>
  <c r="X24" i="14"/>
  <c r="X29" i="14"/>
  <c r="X28" i="14"/>
  <c r="X4" i="13"/>
  <c r="W25" i="13"/>
  <c r="W18" i="13"/>
  <c r="W21" i="13"/>
  <c r="W16" i="13"/>
  <c r="W15" i="13"/>
  <c r="W17" i="13"/>
  <c r="W24" i="13"/>
  <c r="W14" i="13"/>
  <c r="W22" i="13"/>
  <c r="W20" i="13"/>
  <c r="W23" i="13"/>
  <c r="W19" i="13"/>
  <c r="V9" i="13"/>
  <c r="K18" i="19"/>
  <c r="L17" i="19"/>
  <c r="M17" i="19" s="1"/>
  <c r="Y4" i="14"/>
  <c r="X14" i="14"/>
  <c r="X16" i="14"/>
  <c r="X15" i="14"/>
  <c r="X17" i="14"/>
  <c r="W8" i="13" l="1"/>
  <c r="Y21" i="14"/>
  <c r="Y19" i="14"/>
  <c r="Y18" i="14"/>
  <c r="Y20" i="14"/>
  <c r="Y22" i="14"/>
  <c r="Y26" i="14"/>
  <c r="Y23" i="14"/>
  <c r="Y24" i="14"/>
  <c r="Y27" i="14"/>
  <c r="Y25" i="14"/>
  <c r="Y29" i="14"/>
  <c r="Y28" i="14"/>
  <c r="Y4" i="13"/>
  <c r="X22" i="13"/>
  <c r="X24" i="13"/>
  <c r="X20" i="13"/>
  <c r="X15" i="13"/>
  <c r="X18" i="13"/>
  <c r="X17" i="13"/>
  <c r="X14" i="13"/>
  <c r="X16" i="13"/>
  <c r="X23" i="13"/>
  <c r="X19" i="13"/>
  <c r="X25" i="13"/>
  <c r="X21" i="13"/>
  <c r="W7" i="13"/>
  <c r="W10" i="13"/>
  <c r="W9" i="13"/>
  <c r="K19" i="19"/>
  <c r="L18" i="19"/>
  <c r="M18" i="19" s="1"/>
  <c r="Z4" i="14"/>
  <c r="Y14" i="14"/>
  <c r="Y16" i="14"/>
  <c r="Y17" i="14"/>
  <c r="Y15" i="14"/>
  <c r="X7" i="13" l="1"/>
  <c r="X9" i="13"/>
  <c r="Z4" i="13"/>
  <c r="Y16" i="13"/>
  <c r="Y24" i="13"/>
  <c r="Y25" i="13"/>
  <c r="Y21" i="13"/>
  <c r="Y14" i="13"/>
  <c r="Y17" i="13"/>
  <c r="Y22" i="13"/>
  <c r="Y20" i="13"/>
  <c r="Y23" i="13"/>
  <c r="Y15" i="13"/>
  <c r="Y18" i="13"/>
  <c r="Y19" i="13"/>
  <c r="Z18" i="14"/>
  <c r="Z21" i="14"/>
  <c r="Z20" i="14"/>
  <c r="Z19" i="14"/>
  <c r="Z22" i="14"/>
  <c r="Z26" i="14"/>
  <c r="Z23" i="14"/>
  <c r="Z25" i="14"/>
  <c r="Z27" i="14"/>
  <c r="Z24" i="14"/>
  <c r="Z29" i="14"/>
  <c r="Z28" i="14"/>
  <c r="X10" i="13"/>
  <c r="X8" i="13"/>
  <c r="K20" i="19"/>
  <c r="L19" i="19"/>
  <c r="M19" i="19" s="1"/>
  <c r="AA4" i="14"/>
  <c r="Z14" i="14"/>
  <c r="Z17" i="14"/>
  <c r="Z16" i="14"/>
  <c r="Z15" i="14"/>
  <c r="Y7" i="13" l="1"/>
  <c r="Y8" i="13"/>
  <c r="Y10" i="13"/>
  <c r="Y9" i="13"/>
  <c r="AA19" i="14"/>
  <c r="AA18" i="14"/>
  <c r="AA21" i="14"/>
  <c r="AA20" i="14"/>
  <c r="AA22" i="14"/>
  <c r="AA26" i="14"/>
  <c r="AA23" i="14"/>
  <c r="AA25" i="14"/>
  <c r="AA24" i="14"/>
  <c r="AA27" i="14"/>
  <c r="AA29" i="14"/>
  <c r="AA28" i="14"/>
  <c r="AA4" i="13"/>
  <c r="Z16" i="13"/>
  <c r="Z20" i="13"/>
  <c r="Z14" i="13"/>
  <c r="Z24" i="13"/>
  <c r="Z22" i="13"/>
  <c r="Z18" i="13"/>
  <c r="Z25" i="13"/>
  <c r="Z21" i="13"/>
  <c r="Z17" i="13"/>
  <c r="Z23" i="13"/>
  <c r="Z15" i="13"/>
  <c r="Z19" i="13"/>
  <c r="K21" i="19"/>
  <c r="L20" i="19"/>
  <c r="M20" i="19" s="1"/>
  <c r="AB4" i="14"/>
  <c r="AA14" i="14"/>
  <c r="AA15" i="14"/>
  <c r="AA17" i="14"/>
  <c r="AA16" i="14"/>
  <c r="Z10" i="13" l="1"/>
  <c r="AB19" i="14"/>
  <c r="AB20" i="14"/>
  <c r="AB18" i="14"/>
  <c r="AB21" i="14"/>
  <c r="AB22" i="14"/>
  <c r="AB23" i="14"/>
  <c r="AB26" i="14"/>
  <c r="AB25" i="14"/>
  <c r="AB24" i="14"/>
  <c r="AB27" i="14"/>
  <c r="AB28" i="14"/>
  <c r="AB29" i="14"/>
  <c r="Z9" i="13"/>
  <c r="AB4" i="13"/>
  <c r="AA14" i="13"/>
  <c r="AA17" i="13"/>
  <c r="AA18" i="13"/>
  <c r="AA16" i="13"/>
  <c r="AA20" i="13"/>
  <c r="AA15" i="13"/>
  <c r="AA25" i="13"/>
  <c r="AA21" i="13"/>
  <c r="AA19" i="13"/>
  <c r="AA23" i="13"/>
  <c r="AA22" i="13"/>
  <c r="AA24" i="13"/>
  <c r="Z8" i="13"/>
  <c r="Z7" i="13"/>
  <c r="K22" i="19"/>
  <c r="L21" i="19"/>
  <c r="M21" i="19" s="1"/>
  <c r="AC4" i="14"/>
  <c r="AB14" i="14"/>
  <c r="AB15" i="14"/>
  <c r="AB17" i="14"/>
  <c r="AB16" i="14"/>
  <c r="AA7" i="13" l="1"/>
  <c r="AA10" i="13"/>
  <c r="AA9" i="13"/>
  <c r="AC19" i="14"/>
  <c r="AC21" i="14"/>
  <c r="AC20" i="14"/>
  <c r="AC18" i="14"/>
  <c r="AC22" i="14"/>
  <c r="AC26" i="14"/>
  <c r="AC23" i="14"/>
  <c r="AC25" i="14"/>
  <c r="AC24" i="14"/>
  <c r="AC27" i="14"/>
  <c r="AC28" i="14"/>
  <c r="AC29" i="14"/>
  <c r="AC4" i="13"/>
  <c r="AB17" i="13"/>
  <c r="AB18" i="13"/>
  <c r="AB16" i="13"/>
  <c r="AB15" i="13"/>
  <c r="AB24" i="13"/>
  <c r="AB14" i="13"/>
  <c r="AB25" i="13"/>
  <c r="AB21" i="13"/>
  <c r="AB20" i="13"/>
  <c r="AB22" i="13"/>
  <c r="AB23" i="13"/>
  <c r="AB19" i="13"/>
  <c r="AA8" i="13"/>
  <c r="K23" i="19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AB10" i="13" l="1"/>
  <c r="AD4" i="13"/>
  <c r="AC25" i="13"/>
  <c r="AC21" i="13"/>
  <c r="AC14" i="13"/>
  <c r="AC18" i="13"/>
  <c r="AC17" i="13"/>
  <c r="AC16" i="13"/>
  <c r="AC24" i="13"/>
  <c r="AC15" i="13"/>
  <c r="AC20" i="13"/>
  <c r="AC22" i="13"/>
  <c r="AC23" i="13"/>
  <c r="AC19" i="13"/>
  <c r="AB7" i="13"/>
  <c r="AD20" i="14"/>
  <c r="AD18" i="14"/>
  <c r="AD21" i="14"/>
  <c r="AD19" i="14"/>
  <c r="AD22" i="14"/>
  <c r="AD23" i="14"/>
  <c r="AD26" i="14"/>
  <c r="AD24" i="14"/>
  <c r="AD27" i="14"/>
  <c r="AD25" i="14"/>
  <c r="AD28" i="14"/>
  <c r="AD29" i="14"/>
  <c r="AB8" i="13"/>
  <c r="AB9" i="13"/>
  <c r="C59" i="14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AC10" i="13" l="1"/>
  <c r="AC7" i="13"/>
  <c r="AC9" i="13"/>
  <c r="AE19" i="14"/>
  <c r="AE18" i="14"/>
  <c r="AE20" i="14"/>
  <c r="AE21" i="14"/>
  <c r="AE22" i="14"/>
  <c r="AE26" i="14"/>
  <c r="AE23" i="14"/>
  <c r="AE24" i="14"/>
  <c r="AE25" i="14"/>
  <c r="AE27" i="14"/>
  <c r="AE28" i="14"/>
  <c r="AE29" i="14"/>
  <c r="AC8" i="13"/>
  <c r="AE4" i="13"/>
  <c r="AD22" i="13"/>
  <c r="AD25" i="13"/>
  <c r="AD21" i="13"/>
  <c r="AD14" i="13"/>
  <c r="AD20" i="13"/>
  <c r="AD18" i="13"/>
  <c r="AD24" i="13"/>
  <c r="AD15" i="13"/>
  <c r="AD17" i="13"/>
  <c r="AD23" i="13"/>
  <c r="AD19" i="13"/>
  <c r="AD16" i="13"/>
  <c r="C83" i="14"/>
  <c r="B82" i="14"/>
  <c r="C75" i="14"/>
  <c r="B74" i="14"/>
  <c r="C80" i="14"/>
  <c r="B79" i="14"/>
  <c r="C92" i="14"/>
  <c r="B91" i="14"/>
  <c r="C87" i="14"/>
  <c r="B86" i="14"/>
  <c r="H78" i="14"/>
  <c r="AB78" i="14"/>
  <c r="V78" i="14"/>
  <c r="U78" i="14"/>
  <c r="O78" i="14"/>
  <c r="K78" i="14"/>
  <c r="I78" i="14"/>
  <c r="Q78" i="14"/>
  <c r="J78" i="14"/>
  <c r="AC78" i="14"/>
  <c r="T78" i="14"/>
  <c r="Y78" i="14"/>
  <c r="N78" i="14"/>
  <c r="X78" i="14"/>
  <c r="W78" i="14"/>
  <c r="P78" i="14"/>
  <c r="S78" i="14"/>
  <c r="L78" i="14"/>
  <c r="AE78" i="14"/>
  <c r="M78" i="14"/>
  <c r="AD78" i="14"/>
  <c r="Z78" i="14"/>
  <c r="R78" i="14"/>
  <c r="AA78" i="14"/>
  <c r="M58" i="14"/>
  <c r="AA58" i="14"/>
  <c r="S58" i="14"/>
  <c r="H58" i="14"/>
  <c r="W58" i="14"/>
  <c r="AD58" i="14"/>
  <c r="J58" i="14"/>
  <c r="U58" i="14"/>
  <c r="Z58" i="14"/>
  <c r="N58" i="14"/>
  <c r="AC58" i="14"/>
  <c r="L58" i="14"/>
  <c r="Q58" i="14"/>
  <c r="O58" i="14"/>
  <c r="Y58" i="14"/>
  <c r="AB58" i="14"/>
  <c r="I58" i="14"/>
  <c r="P58" i="14"/>
  <c r="X58" i="14"/>
  <c r="R58" i="14"/>
  <c r="K58" i="14"/>
  <c r="V58" i="14"/>
  <c r="T58" i="14"/>
  <c r="AE58" i="14"/>
  <c r="R90" i="14"/>
  <c r="Y90" i="14"/>
  <c r="AE90" i="14"/>
  <c r="N90" i="14"/>
  <c r="L90" i="14"/>
  <c r="M90" i="14"/>
  <c r="U90" i="14"/>
  <c r="S90" i="14"/>
  <c r="AB90" i="14"/>
  <c r="Z90" i="14"/>
  <c r="K90" i="14"/>
  <c r="J90" i="14"/>
  <c r="H90" i="14"/>
  <c r="T90" i="14"/>
  <c r="Q90" i="14"/>
  <c r="AC90" i="14"/>
  <c r="O90" i="14"/>
  <c r="P90" i="14"/>
  <c r="AA90" i="14"/>
  <c r="X90" i="14"/>
  <c r="I90" i="14"/>
  <c r="W90" i="14"/>
  <c r="AD90" i="14"/>
  <c r="V90" i="14"/>
  <c r="C98" i="14"/>
  <c r="C30" i="14"/>
  <c r="C38" i="14"/>
  <c r="C42" i="14"/>
  <c r="C34" i="14"/>
  <c r="C54" i="14"/>
  <c r="C46" i="14"/>
  <c r="C50" i="14"/>
  <c r="C70" i="14"/>
  <c r="C62" i="14"/>
  <c r="W66" i="14"/>
  <c r="K66" i="14"/>
  <c r="I66" i="14"/>
  <c r="AD66" i="14"/>
  <c r="T66" i="14"/>
  <c r="AB66" i="14"/>
  <c r="R66" i="14"/>
  <c r="H66" i="14"/>
  <c r="U66" i="14"/>
  <c r="O66" i="14"/>
  <c r="Y66" i="14"/>
  <c r="Z66" i="14"/>
  <c r="V66" i="14"/>
  <c r="N66" i="14"/>
  <c r="AC66" i="14"/>
  <c r="AE66" i="14"/>
  <c r="Q66" i="14"/>
  <c r="S66" i="14"/>
  <c r="M66" i="14"/>
  <c r="P66" i="14"/>
  <c r="L66" i="14"/>
  <c r="J66" i="14"/>
  <c r="AA66" i="14"/>
  <c r="X66" i="14"/>
  <c r="C60" i="14"/>
  <c r="B59" i="14"/>
  <c r="Q94" i="14"/>
  <c r="W94" i="14"/>
  <c r="X94" i="14"/>
  <c r="V94" i="14"/>
  <c r="L94" i="14"/>
  <c r="K94" i="14"/>
  <c r="Z94" i="14"/>
  <c r="O94" i="14"/>
  <c r="I94" i="14"/>
  <c r="AB94" i="14"/>
  <c r="AE94" i="14"/>
  <c r="P94" i="14"/>
  <c r="AA94" i="14"/>
  <c r="T94" i="14"/>
  <c r="M94" i="14"/>
  <c r="N94" i="14"/>
  <c r="AD94" i="14"/>
  <c r="R94" i="14"/>
  <c r="S94" i="14"/>
  <c r="AC94" i="14"/>
  <c r="U94" i="14"/>
  <c r="H94" i="14"/>
  <c r="Y94" i="14"/>
  <c r="J94" i="14"/>
  <c r="C96" i="14"/>
  <c r="B95" i="14"/>
  <c r="C68" i="14"/>
  <c r="B67" i="14"/>
  <c r="AF4" i="14"/>
  <c r="AE14" i="14"/>
  <c r="AE15" i="14"/>
  <c r="AE16" i="14"/>
  <c r="AE17" i="14"/>
  <c r="AD10" i="13" l="1"/>
  <c r="AD8" i="13"/>
  <c r="AF21" i="14"/>
  <c r="AF18" i="14"/>
  <c r="AF19" i="14"/>
  <c r="AF20" i="14"/>
  <c r="AF22" i="14"/>
  <c r="AF26" i="14"/>
  <c r="AF23" i="14"/>
  <c r="AF27" i="14"/>
  <c r="AF25" i="14"/>
  <c r="AF24" i="14"/>
  <c r="AF28" i="14"/>
  <c r="AF29" i="14"/>
  <c r="AF94" i="14"/>
  <c r="AF90" i="14"/>
  <c r="AF66" i="14"/>
  <c r="AF58" i="14"/>
  <c r="AD9" i="13"/>
  <c r="AD7" i="13"/>
  <c r="AF4" i="13"/>
  <c r="AE20" i="13"/>
  <c r="AE24" i="13"/>
  <c r="AE25" i="13"/>
  <c r="AE21" i="13"/>
  <c r="AE17" i="13"/>
  <c r="AE22" i="13"/>
  <c r="AE18" i="13"/>
  <c r="AE14" i="13"/>
  <c r="AE23" i="13"/>
  <c r="AE16" i="13"/>
  <c r="AE19" i="13"/>
  <c r="AE15" i="13"/>
  <c r="AF78" i="14"/>
  <c r="C69" i="14"/>
  <c r="B69" i="14" s="1"/>
  <c r="B68" i="14"/>
  <c r="C55" i="14"/>
  <c r="B54" i="14"/>
  <c r="AF67" i="14"/>
  <c r="AG67" i="14"/>
  <c r="AE67" i="14"/>
  <c r="I67" i="14"/>
  <c r="Z67" i="14"/>
  <c r="K67" i="14"/>
  <c r="V67" i="14"/>
  <c r="H67" i="14"/>
  <c r="T67" i="14"/>
  <c r="P67" i="14"/>
  <c r="X67" i="14"/>
  <c r="L67" i="14"/>
  <c r="R67" i="14"/>
  <c r="M67" i="14"/>
  <c r="AC67" i="14"/>
  <c r="AB67" i="14"/>
  <c r="U67" i="14"/>
  <c r="S67" i="14"/>
  <c r="O67" i="14"/>
  <c r="N67" i="14"/>
  <c r="W67" i="14"/>
  <c r="Y67" i="14"/>
  <c r="AA67" i="14"/>
  <c r="AD67" i="14"/>
  <c r="J67" i="14"/>
  <c r="Q67" i="14"/>
  <c r="AE95" i="14"/>
  <c r="J95" i="14"/>
  <c r="P95" i="14"/>
  <c r="O95" i="14"/>
  <c r="U95" i="14"/>
  <c r="W95" i="14"/>
  <c r="R95" i="14"/>
  <c r="S95" i="14"/>
  <c r="N95" i="14"/>
  <c r="Z95" i="14"/>
  <c r="L95" i="14"/>
  <c r="Q95" i="14"/>
  <c r="AD95" i="14"/>
  <c r="X95" i="14"/>
  <c r="I95" i="14"/>
  <c r="T95" i="14"/>
  <c r="AF95" i="14"/>
  <c r="Y95" i="14"/>
  <c r="V95" i="14"/>
  <c r="H95" i="14"/>
  <c r="AB95" i="14"/>
  <c r="AC95" i="14"/>
  <c r="K95" i="14"/>
  <c r="M95" i="14"/>
  <c r="AA95" i="14"/>
  <c r="C35" i="14"/>
  <c r="B34" i="14"/>
  <c r="AD79" i="14"/>
  <c r="Y79" i="14"/>
  <c r="AG79" i="14"/>
  <c r="T79" i="14"/>
  <c r="K79" i="14"/>
  <c r="L79" i="14"/>
  <c r="H79" i="14"/>
  <c r="S79" i="14"/>
  <c r="AB79" i="14"/>
  <c r="Q79" i="14"/>
  <c r="P79" i="14"/>
  <c r="M79" i="14"/>
  <c r="U79" i="14"/>
  <c r="R79" i="14"/>
  <c r="N79" i="14"/>
  <c r="AC79" i="14"/>
  <c r="O79" i="14"/>
  <c r="J79" i="14"/>
  <c r="X79" i="14"/>
  <c r="Z79" i="14"/>
  <c r="AF79" i="14"/>
  <c r="AA79" i="14"/>
  <c r="W79" i="14"/>
  <c r="V79" i="14"/>
  <c r="AE79" i="14"/>
  <c r="I79" i="14"/>
  <c r="C97" i="14"/>
  <c r="B97" i="14" s="1"/>
  <c r="B96" i="14"/>
  <c r="C43" i="14"/>
  <c r="B42" i="14"/>
  <c r="C81" i="14"/>
  <c r="B81" i="14" s="1"/>
  <c r="B80" i="14"/>
  <c r="Y59" i="14"/>
  <c r="P59" i="14"/>
  <c r="I59" i="14"/>
  <c r="T59" i="14"/>
  <c r="M59" i="14"/>
  <c r="U59" i="14"/>
  <c r="AB59" i="14"/>
  <c r="Q59" i="14"/>
  <c r="H59" i="14"/>
  <c r="V59" i="14"/>
  <c r="AE59" i="14"/>
  <c r="AD59" i="14"/>
  <c r="Z59" i="14"/>
  <c r="K59" i="14"/>
  <c r="O59" i="14"/>
  <c r="X59" i="14"/>
  <c r="AC59" i="14"/>
  <c r="AF59" i="14"/>
  <c r="N59" i="14"/>
  <c r="AA59" i="14"/>
  <c r="S59" i="14"/>
  <c r="L59" i="14"/>
  <c r="W59" i="14"/>
  <c r="R59" i="14"/>
  <c r="J59" i="14"/>
  <c r="C39" i="14"/>
  <c r="B38" i="14"/>
  <c r="AD74" i="14"/>
  <c r="AC74" i="14"/>
  <c r="Q74" i="14"/>
  <c r="V74" i="14"/>
  <c r="O74" i="14"/>
  <c r="S74" i="14"/>
  <c r="J74" i="14"/>
  <c r="I74" i="14"/>
  <c r="K74" i="14"/>
  <c r="AF74" i="14"/>
  <c r="R74" i="14"/>
  <c r="AA74" i="14"/>
  <c r="H74" i="14"/>
  <c r="Y74" i="14"/>
  <c r="U74" i="14"/>
  <c r="AE74" i="14"/>
  <c r="W74" i="14"/>
  <c r="N74" i="14"/>
  <c r="L74" i="14"/>
  <c r="T74" i="14"/>
  <c r="P74" i="14"/>
  <c r="AB74" i="14"/>
  <c r="X74" i="14"/>
  <c r="Z74" i="14"/>
  <c r="M74" i="14"/>
  <c r="C61" i="14"/>
  <c r="B61" i="14" s="1"/>
  <c r="B60" i="14"/>
  <c r="C63" i="14"/>
  <c r="B62" i="14"/>
  <c r="C31" i="14"/>
  <c r="B30" i="14"/>
  <c r="R86" i="14"/>
  <c r="M86" i="14"/>
  <c r="V86" i="14"/>
  <c r="AA86" i="14"/>
  <c r="Q86" i="14"/>
  <c r="W86" i="14"/>
  <c r="O86" i="14"/>
  <c r="J86" i="14"/>
  <c r="L86" i="14"/>
  <c r="AB86" i="14"/>
  <c r="AE86" i="14"/>
  <c r="S86" i="14"/>
  <c r="X86" i="14"/>
  <c r="Z86" i="14"/>
  <c r="AD86" i="14"/>
  <c r="N86" i="14"/>
  <c r="I86" i="14"/>
  <c r="H86" i="14"/>
  <c r="AC86" i="14"/>
  <c r="U86" i="14"/>
  <c r="Y86" i="14"/>
  <c r="AF86" i="14"/>
  <c r="T86" i="14"/>
  <c r="K86" i="14"/>
  <c r="P86" i="14"/>
  <c r="C76" i="14"/>
  <c r="B75" i="14"/>
  <c r="C71" i="14"/>
  <c r="B70" i="14"/>
  <c r="C99" i="14"/>
  <c r="B98" i="14"/>
  <c r="C88" i="14"/>
  <c r="B87" i="14"/>
  <c r="C51" i="14"/>
  <c r="B50" i="14"/>
  <c r="AB91" i="14"/>
  <c r="O91" i="14"/>
  <c r="I91" i="14"/>
  <c r="L91" i="14"/>
  <c r="X91" i="14"/>
  <c r="AF91" i="14"/>
  <c r="Y91" i="14"/>
  <c r="P91" i="14"/>
  <c r="N91" i="14"/>
  <c r="Q91" i="14"/>
  <c r="AE91" i="14"/>
  <c r="R91" i="14"/>
  <c r="J91" i="14"/>
  <c r="AA91" i="14"/>
  <c r="T91" i="14"/>
  <c r="V91" i="14"/>
  <c r="S91" i="14"/>
  <c r="M91" i="14"/>
  <c r="W91" i="14"/>
  <c r="Z91" i="14"/>
  <c r="H91" i="14"/>
  <c r="U91" i="14"/>
  <c r="AD91" i="14"/>
  <c r="K91" i="14"/>
  <c r="AC91" i="14"/>
  <c r="K82" i="14"/>
  <c r="Q82" i="14"/>
  <c r="J82" i="14"/>
  <c r="L82" i="14"/>
  <c r="R82" i="14"/>
  <c r="AF82" i="14"/>
  <c r="V82" i="14"/>
  <c r="P82" i="14"/>
  <c r="AA82" i="14"/>
  <c r="AC82" i="14"/>
  <c r="O82" i="14"/>
  <c r="N82" i="14"/>
  <c r="M82" i="14"/>
  <c r="Z82" i="14"/>
  <c r="U82" i="14"/>
  <c r="H82" i="14"/>
  <c r="T82" i="14"/>
  <c r="AG82" i="14"/>
  <c r="X82" i="14"/>
  <c r="W82" i="14"/>
  <c r="AE82" i="14"/>
  <c r="Y82" i="14"/>
  <c r="I82" i="14"/>
  <c r="S82" i="14"/>
  <c r="AB82" i="14"/>
  <c r="AD82" i="14"/>
  <c r="C47" i="14"/>
  <c r="B46" i="14"/>
  <c r="C93" i="14"/>
  <c r="B93" i="14" s="1"/>
  <c r="B92" i="14"/>
  <c r="C84" i="14"/>
  <c r="B83" i="14"/>
  <c r="AG4" i="14"/>
  <c r="AG74" i="14" s="1"/>
  <c r="AF14" i="14"/>
  <c r="AF17" i="14"/>
  <c r="AF15" i="14"/>
  <c r="AF16" i="14"/>
  <c r="AE7" i="13" l="1"/>
  <c r="AG95" i="14"/>
  <c r="AE8" i="13"/>
  <c r="AE10" i="13"/>
  <c r="AG21" i="14"/>
  <c r="AG20" i="14"/>
  <c r="AG19" i="14"/>
  <c r="AG18" i="14"/>
  <c r="AG22" i="14"/>
  <c r="AG26" i="14"/>
  <c r="AG23" i="14"/>
  <c r="AG24" i="14"/>
  <c r="AG25" i="14"/>
  <c r="AG27" i="14"/>
  <c r="AG28" i="14"/>
  <c r="AG29" i="14"/>
  <c r="AG78" i="14"/>
  <c r="AG58" i="14"/>
  <c r="AG90" i="14"/>
  <c r="AG66" i="14"/>
  <c r="AG94" i="14"/>
  <c r="AG86" i="14"/>
  <c r="AE9" i="13"/>
  <c r="AG91" i="14"/>
  <c r="AG4" i="13"/>
  <c r="AF14" i="13"/>
  <c r="AF15" i="13"/>
  <c r="AF17" i="13"/>
  <c r="AF16" i="13"/>
  <c r="AF24" i="13"/>
  <c r="AF22" i="13"/>
  <c r="AF18" i="13"/>
  <c r="AF25" i="13"/>
  <c r="AF21" i="13"/>
  <c r="AF20" i="13"/>
  <c r="AF19" i="13"/>
  <c r="AF23" i="13"/>
  <c r="AG59" i="14"/>
  <c r="AA83" i="14"/>
  <c r="V83" i="14"/>
  <c r="AD83" i="14"/>
  <c r="AC83" i="14"/>
  <c r="Y83" i="14"/>
  <c r="K83" i="14"/>
  <c r="AG83" i="14"/>
  <c r="N83" i="14"/>
  <c r="AE83" i="14"/>
  <c r="Z83" i="14"/>
  <c r="X83" i="14"/>
  <c r="R83" i="14"/>
  <c r="U83" i="14"/>
  <c r="L83" i="14"/>
  <c r="W83" i="14"/>
  <c r="Q83" i="14"/>
  <c r="M83" i="14"/>
  <c r="S83" i="14"/>
  <c r="T83" i="14"/>
  <c r="AB83" i="14"/>
  <c r="P83" i="14"/>
  <c r="J83" i="14"/>
  <c r="H83" i="14"/>
  <c r="AF83" i="14"/>
  <c r="O83" i="14"/>
  <c r="I83" i="14"/>
  <c r="K98" i="14"/>
  <c r="AB98" i="14"/>
  <c r="J98" i="14"/>
  <c r="P98" i="14"/>
  <c r="Z98" i="14"/>
  <c r="W98" i="14"/>
  <c r="U98" i="14"/>
  <c r="S98" i="14"/>
  <c r="I98" i="14"/>
  <c r="T98" i="14"/>
  <c r="AD98" i="14"/>
  <c r="X98" i="14"/>
  <c r="AG98" i="14"/>
  <c r="R98" i="14"/>
  <c r="Q98" i="14"/>
  <c r="AA98" i="14"/>
  <c r="Y98" i="14"/>
  <c r="O98" i="14"/>
  <c r="H98" i="14"/>
  <c r="N98" i="14"/>
  <c r="AF98" i="14"/>
  <c r="M98" i="14"/>
  <c r="L98" i="14"/>
  <c r="AE98" i="14"/>
  <c r="V98" i="14"/>
  <c r="AC98" i="14"/>
  <c r="AF62" i="14"/>
  <c r="Q62" i="14"/>
  <c r="I62" i="14"/>
  <c r="R62" i="14"/>
  <c r="J62" i="14"/>
  <c r="S62" i="14"/>
  <c r="W62" i="14"/>
  <c r="L62" i="14"/>
  <c r="AB62" i="14"/>
  <c r="AD62" i="14"/>
  <c r="O62" i="14"/>
  <c r="AG62" i="14"/>
  <c r="V62" i="14"/>
  <c r="P62" i="14"/>
  <c r="M62" i="14"/>
  <c r="AE62" i="14"/>
  <c r="Y62" i="14"/>
  <c r="X62" i="14"/>
  <c r="AC62" i="14"/>
  <c r="U62" i="14"/>
  <c r="Z62" i="14"/>
  <c r="N62" i="14"/>
  <c r="AA62" i="14"/>
  <c r="K62" i="14"/>
  <c r="T62" i="14"/>
  <c r="H62" i="14"/>
  <c r="J81" i="14"/>
  <c r="AF81" i="14"/>
  <c r="O81" i="14"/>
  <c r="N81" i="14"/>
  <c r="AB81" i="14"/>
  <c r="M81" i="14"/>
  <c r="AG81" i="14"/>
  <c r="W81" i="14"/>
  <c r="AD81" i="14"/>
  <c r="AC81" i="14"/>
  <c r="I81" i="14"/>
  <c r="H81" i="14"/>
  <c r="AA81" i="14"/>
  <c r="Y81" i="14"/>
  <c r="Q81" i="14"/>
  <c r="P81" i="14"/>
  <c r="L81" i="14"/>
  <c r="K81" i="14"/>
  <c r="T81" i="14"/>
  <c r="U81" i="14"/>
  <c r="R81" i="14"/>
  <c r="AE81" i="14"/>
  <c r="Z81" i="14"/>
  <c r="S81" i="14"/>
  <c r="X81" i="14"/>
  <c r="V81" i="14"/>
  <c r="E66" i="14"/>
  <c r="F66" i="14" s="1"/>
  <c r="C100" i="14"/>
  <c r="B99" i="14"/>
  <c r="J92" i="14"/>
  <c r="V92" i="14"/>
  <c r="H92" i="14"/>
  <c r="Y92" i="14"/>
  <c r="M92" i="14"/>
  <c r="Q92" i="14"/>
  <c r="L92" i="14"/>
  <c r="X92" i="14"/>
  <c r="I92" i="14"/>
  <c r="E91" i="14" s="1"/>
  <c r="F91" i="14" s="1"/>
  <c r="AC92" i="14"/>
  <c r="AD92" i="14"/>
  <c r="S92" i="14"/>
  <c r="AF92" i="14"/>
  <c r="Z92" i="14"/>
  <c r="AA92" i="14"/>
  <c r="R92" i="14"/>
  <c r="W92" i="14"/>
  <c r="AB92" i="14"/>
  <c r="P92" i="14"/>
  <c r="K92" i="14"/>
  <c r="AG92" i="14"/>
  <c r="U92" i="14"/>
  <c r="N92" i="14"/>
  <c r="O92" i="14"/>
  <c r="AE92" i="14"/>
  <c r="T92" i="14"/>
  <c r="E90" i="14"/>
  <c r="F90" i="14" s="1"/>
  <c r="Y70" i="14"/>
  <c r="R70" i="14"/>
  <c r="J70" i="14"/>
  <c r="AG70" i="14"/>
  <c r="H70" i="14"/>
  <c r="K70" i="14"/>
  <c r="N70" i="14"/>
  <c r="AE70" i="14"/>
  <c r="O70" i="14"/>
  <c r="AC70" i="14"/>
  <c r="T70" i="14"/>
  <c r="L70" i="14"/>
  <c r="I70" i="14"/>
  <c r="M70" i="14"/>
  <c r="S70" i="14"/>
  <c r="P70" i="14"/>
  <c r="X70" i="14"/>
  <c r="Z70" i="14"/>
  <c r="AD70" i="14"/>
  <c r="V70" i="14"/>
  <c r="AB70" i="14"/>
  <c r="Q70" i="14"/>
  <c r="W70" i="14"/>
  <c r="AA70" i="14"/>
  <c r="U70" i="14"/>
  <c r="AF70" i="14"/>
  <c r="AD60" i="14"/>
  <c r="S60" i="14"/>
  <c r="I60" i="14"/>
  <c r="E59" i="14" s="1"/>
  <c r="F59" i="14" s="1"/>
  <c r="O60" i="14"/>
  <c r="L60" i="14"/>
  <c r="P60" i="14"/>
  <c r="AE60" i="14"/>
  <c r="R60" i="14"/>
  <c r="T60" i="14"/>
  <c r="U60" i="14"/>
  <c r="AB60" i="14"/>
  <c r="AC60" i="14"/>
  <c r="AA60" i="14"/>
  <c r="J60" i="14"/>
  <c r="V60" i="14"/>
  <c r="AG60" i="14"/>
  <c r="X60" i="14"/>
  <c r="AF60" i="14"/>
  <c r="Z60" i="14"/>
  <c r="N60" i="14"/>
  <c r="K60" i="14"/>
  <c r="M60" i="14"/>
  <c r="H60" i="14"/>
  <c r="Q60" i="14"/>
  <c r="W60" i="14"/>
  <c r="Y60" i="14"/>
  <c r="C44" i="14"/>
  <c r="B43" i="14"/>
  <c r="AF42" i="14"/>
  <c r="AG42" i="14"/>
  <c r="J42" i="14"/>
  <c r="N42" i="14"/>
  <c r="V42" i="14"/>
  <c r="W42" i="14"/>
  <c r="Y42" i="14"/>
  <c r="L42" i="14"/>
  <c r="H42" i="14"/>
  <c r="R42" i="14"/>
  <c r="O42" i="14"/>
  <c r="AD42" i="14"/>
  <c r="I42" i="14"/>
  <c r="AE42" i="14"/>
  <c r="M42" i="14"/>
  <c r="P42" i="14"/>
  <c r="AC42" i="14"/>
  <c r="Q42" i="14"/>
  <c r="Z42" i="14"/>
  <c r="T42" i="14"/>
  <c r="AB42" i="14"/>
  <c r="K42" i="14"/>
  <c r="S42" i="14"/>
  <c r="AA42" i="14"/>
  <c r="U42" i="14"/>
  <c r="X42" i="14"/>
  <c r="AD93" i="14"/>
  <c r="N93" i="14"/>
  <c r="P93" i="14"/>
  <c r="U93" i="14"/>
  <c r="O93" i="14"/>
  <c r="AA93" i="14"/>
  <c r="W93" i="14"/>
  <c r="J93" i="14"/>
  <c r="AE93" i="14"/>
  <c r="V93" i="14"/>
  <c r="I93" i="14"/>
  <c r="S93" i="14"/>
  <c r="Y93" i="14"/>
  <c r="T93" i="14"/>
  <c r="AF93" i="14"/>
  <c r="K93" i="14"/>
  <c r="AC93" i="14"/>
  <c r="AG93" i="14"/>
  <c r="R93" i="14"/>
  <c r="AB93" i="14"/>
  <c r="X93" i="14"/>
  <c r="Q93" i="14"/>
  <c r="M93" i="14"/>
  <c r="L93" i="14"/>
  <c r="Z93" i="14"/>
  <c r="H93" i="14"/>
  <c r="C72" i="14"/>
  <c r="B71" i="14"/>
  <c r="U61" i="14"/>
  <c r="X61" i="14"/>
  <c r="AB61" i="14"/>
  <c r="AC61" i="14"/>
  <c r="T61" i="14"/>
  <c r="L61" i="14"/>
  <c r="O61" i="14"/>
  <c r="W61" i="14"/>
  <c r="Q61" i="14"/>
  <c r="V61" i="14"/>
  <c r="N61" i="14"/>
  <c r="H61" i="14"/>
  <c r="S61" i="14"/>
  <c r="Y61" i="14"/>
  <c r="AG61" i="14"/>
  <c r="K61" i="14"/>
  <c r="I61" i="14"/>
  <c r="Z61" i="14"/>
  <c r="J61" i="14"/>
  <c r="AD61" i="14"/>
  <c r="AA61" i="14"/>
  <c r="AF61" i="14"/>
  <c r="P61" i="14"/>
  <c r="AE61" i="14"/>
  <c r="M61" i="14"/>
  <c r="R61" i="14"/>
  <c r="M96" i="14"/>
  <c r="T96" i="14"/>
  <c r="U96" i="14"/>
  <c r="AF96" i="14"/>
  <c r="O96" i="14"/>
  <c r="AB96" i="14"/>
  <c r="L96" i="14"/>
  <c r="AG96" i="14"/>
  <c r="S96" i="14"/>
  <c r="P96" i="14"/>
  <c r="W96" i="14"/>
  <c r="V96" i="14"/>
  <c r="J96" i="14"/>
  <c r="Y96" i="14"/>
  <c r="AC96" i="14"/>
  <c r="AD96" i="14"/>
  <c r="Z96" i="14"/>
  <c r="Q96" i="14"/>
  <c r="H96" i="14"/>
  <c r="I96" i="14"/>
  <c r="E95" i="14" s="1"/>
  <c r="F95" i="14" s="1"/>
  <c r="AE96" i="14"/>
  <c r="AA96" i="14"/>
  <c r="N96" i="14"/>
  <c r="R96" i="14"/>
  <c r="K96" i="14"/>
  <c r="X96" i="14"/>
  <c r="C85" i="14"/>
  <c r="B85" i="14" s="1"/>
  <c r="B84" i="14"/>
  <c r="J46" i="14"/>
  <c r="I46" i="14"/>
  <c r="AD46" i="14"/>
  <c r="S46" i="14"/>
  <c r="M46" i="14"/>
  <c r="AB46" i="14"/>
  <c r="R46" i="14"/>
  <c r="Z46" i="14"/>
  <c r="AG46" i="14"/>
  <c r="AA46" i="14"/>
  <c r="AC46" i="14"/>
  <c r="O46" i="14"/>
  <c r="P46" i="14"/>
  <c r="AF46" i="14"/>
  <c r="Y46" i="14"/>
  <c r="T46" i="14"/>
  <c r="Q46" i="14"/>
  <c r="U46" i="14"/>
  <c r="N46" i="14"/>
  <c r="X46" i="14"/>
  <c r="K46" i="14"/>
  <c r="V46" i="14"/>
  <c r="W46" i="14"/>
  <c r="H46" i="14"/>
  <c r="AE46" i="14"/>
  <c r="L46" i="14"/>
  <c r="Y50" i="14"/>
  <c r="U50" i="14"/>
  <c r="R50" i="14"/>
  <c r="O50" i="14"/>
  <c r="H50" i="14"/>
  <c r="L50" i="14"/>
  <c r="Z50" i="14"/>
  <c r="AG50" i="14"/>
  <c r="P50" i="14"/>
  <c r="AC50" i="14"/>
  <c r="T50" i="14"/>
  <c r="I50" i="14"/>
  <c r="N50" i="14"/>
  <c r="W50" i="14"/>
  <c r="K50" i="14"/>
  <c r="AA50" i="14"/>
  <c r="AF50" i="14"/>
  <c r="AE50" i="14"/>
  <c r="AB50" i="14"/>
  <c r="Q50" i="14"/>
  <c r="V50" i="14"/>
  <c r="J50" i="14"/>
  <c r="AD50" i="14"/>
  <c r="X50" i="14"/>
  <c r="M50" i="14"/>
  <c r="S50" i="14"/>
  <c r="AA97" i="14"/>
  <c r="P97" i="14"/>
  <c r="AF97" i="14"/>
  <c r="K97" i="14"/>
  <c r="J97" i="14"/>
  <c r="O97" i="14"/>
  <c r="H97" i="14"/>
  <c r="AC97" i="14"/>
  <c r="X97" i="14"/>
  <c r="AG97" i="14"/>
  <c r="Q97" i="14"/>
  <c r="AE97" i="14"/>
  <c r="T97" i="14"/>
  <c r="R97" i="14"/>
  <c r="AD97" i="14"/>
  <c r="V97" i="14"/>
  <c r="W97" i="14"/>
  <c r="Y97" i="14"/>
  <c r="S97" i="14"/>
  <c r="I97" i="14"/>
  <c r="AB97" i="14"/>
  <c r="Z97" i="14"/>
  <c r="U97" i="14"/>
  <c r="L97" i="14"/>
  <c r="N97" i="14"/>
  <c r="M97" i="14"/>
  <c r="S34" i="14"/>
  <c r="AF34" i="14"/>
  <c r="H34" i="14"/>
  <c r="R34" i="14"/>
  <c r="AD34" i="14"/>
  <c r="X34" i="14"/>
  <c r="I34" i="14"/>
  <c r="T34" i="14"/>
  <c r="AG34" i="14"/>
  <c r="K34" i="14"/>
  <c r="J34" i="14"/>
  <c r="AE34" i="14"/>
  <c r="AA34" i="14"/>
  <c r="AB34" i="14"/>
  <c r="Y34" i="14"/>
  <c r="U34" i="14"/>
  <c r="M34" i="14"/>
  <c r="W34" i="14"/>
  <c r="O34" i="14"/>
  <c r="L34" i="14"/>
  <c r="Q34" i="14"/>
  <c r="Z34" i="14"/>
  <c r="P34" i="14"/>
  <c r="N34" i="14"/>
  <c r="AC34" i="14"/>
  <c r="V34" i="14"/>
  <c r="E94" i="14"/>
  <c r="F94" i="14" s="1"/>
  <c r="X54" i="14"/>
  <c r="I54" i="14"/>
  <c r="AC54" i="14"/>
  <c r="H54" i="14"/>
  <c r="AF54" i="14"/>
  <c r="P54" i="14"/>
  <c r="V54" i="14"/>
  <c r="W54" i="14"/>
  <c r="J54" i="14"/>
  <c r="K54" i="14"/>
  <c r="N54" i="14"/>
  <c r="M54" i="14"/>
  <c r="Z54" i="14"/>
  <c r="Q54" i="14"/>
  <c r="U54" i="14"/>
  <c r="S54" i="14"/>
  <c r="Y54" i="14"/>
  <c r="O54" i="14"/>
  <c r="AE54" i="14"/>
  <c r="AA54" i="14"/>
  <c r="AD54" i="14"/>
  <c r="R54" i="14"/>
  <c r="AG54" i="14"/>
  <c r="L54" i="14"/>
  <c r="AB54" i="14"/>
  <c r="T54" i="14"/>
  <c r="C48" i="14"/>
  <c r="B47" i="14"/>
  <c r="C52" i="14"/>
  <c r="B51" i="14"/>
  <c r="R75" i="14"/>
  <c r="I75" i="14"/>
  <c r="V75" i="14"/>
  <c r="AB75" i="14"/>
  <c r="Q75" i="14"/>
  <c r="AF75" i="14"/>
  <c r="P75" i="14"/>
  <c r="K75" i="14"/>
  <c r="L75" i="14"/>
  <c r="T75" i="14"/>
  <c r="AD75" i="14"/>
  <c r="AC75" i="14"/>
  <c r="S75" i="14"/>
  <c r="Y75" i="14"/>
  <c r="Z75" i="14"/>
  <c r="AE75" i="14"/>
  <c r="AA75" i="14"/>
  <c r="W75" i="14"/>
  <c r="O75" i="14"/>
  <c r="M75" i="14"/>
  <c r="X75" i="14"/>
  <c r="H75" i="14"/>
  <c r="AH75" i="14"/>
  <c r="U75" i="14"/>
  <c r="N75" i="14"/>
  <c r="J75" i="14"/>
  <c r="AG75" i="14"/>
  <c r="L38" i="14"/>
  <c r="S38" i="14"/>
  <c r="T38" i="14"/>
  <c r="J38" i="14"/>
  <c r="W38" i="14"/>
  <c r="AA38" i="14"/>
  <c r="AG38" i="14"/>
  <c r="Y38" i="14"/>
  <c r="V38" i="14"/>
  <c r="M38" i="14"/>
  <c r="Q38" i="14"/>
  <c r="N38" i="14"/>
  <c r="AB38" i="14"/>
  <c r="P38" i="14"/>
  <c r="R38" i="14"/>
  <c r="H38" i="14"/>
  <c r="AF38" i="14"/>
  <c r="Z38" i="14"/>
  <c r="AC38" i="14"/>
  <c r="K38" i="14"/>
  <c r="U38" i="14"/>
  <c r="AE38" i="14"/>
  <c r="I38" i="14"/>
  <c r="O38" i="14"/>
  <c r="X38" i="14"/>
  <c r="AD38" i="14"/>
  <c r="E58" i="14"/>
  <c r="F58" i="14" s="1"/>
  <c r="E78" i="14"/>
  <c r="F78" i="14" s="1"/>
  <c r="C36" i="14"/>
  <c r="B35" i="14"/>
  <c r="C56" i="14"/>
  <c r="B55" i="14"/>
  <c r="R87" i="14"/>
  <c r="AG87" i="14"/>
  <c r="W87" i="14"/>
  <c r="N87" i="14"/>
  <c r="J87" i="14"/>
  <c r="AB87" i="14"/>
  <c r="I87" i="14"/>
  <c r="S87" i="14"/>
  <c r="AD87" i="14"/>
  <c r="L87" i="14"/>
  <c r="AF87" i="14"/>
  <c r="V87" i="14"/>
  <c r="Z87" i="14"/>
  <c r="P87" i="14"/>
  <c r="Y87" i="14"/>
  <c r="Q87" i="14"/>
  <c r="U87" i="14"/>
  <c r="H87" i="14"/>
  <c r="M87" i="14"/>
  <c r="T87" i="14"/>
  <c r="K87" i="14"/>
  <c r="AE87" i="14"/>
  <c r="O87" i="14"/>
  <c r="AA87" i="14"/>
  <c r="AC87" i="14"/>
  <c r="X87" i="14"/>
  <c r="C77" i="14"/>
  <c r="B77" i="14" s="1"/>
  <c r="B76" i="14"/>
  <c r="O30" i="14"/>
  <c r="L30" i="14"/>
  <c r="X30" i="14"/>
  <c r="K30" i="14"/>
  <c r="W30" i="14"/>
  <c r="AE30" i="14"/>
  <c r="J30" i="14"/>
  <c r="AC30" i="14"/>
  <c r="I30" i="14"/>
  <c r="U30" i="14"/>
  <c r="AA30" i="14"/>
  <c r="V30" i="14"/>
  <c r="R30" i="14"/>
  <c r="S30" i="14"/>
  <c r="H30" i="14"/>
  <c r="P30" i="14"/>
  <c r="AF30" i="14"/>
  <c r="T30" i="14"/>
  <c r="N30" i="14"/>
  <c r="Q30" i="14"/>
  <c r="AG30" i="14"/>
  <c r="AB30" i="14"/>
  <c r="M30" i="14"/>
  <c r="Z30" i="14"/>
  <c r="Y30" i="14"/>
  <c r="AD30" i="14"/>
  <c r="C40" i="14"/>
  <c r="B39" i="14"/>
  <c r="H68" i="14"/>
  <c r="AG68" i="14"/>
  <c r="W68" i="14"/>
  <c r="L68" i="14"/>
  <c r="X68" i="14"/>
  <c r="Y68" i="14"/>
  <c r="N68" i="14"/>
  <c r="K68" i="14"/>
  <c r="I68" i="14"/>
  <c r="E67" i="14" s="1"/>
  <c r="F67" i="14" s="1"/>
  <c r="P68" i="14"/>
  <c r="AE68" i="14"/>
  <c r="Z68" i="14"/>
  <c r="M68" i="14"/>
  <c r="Q68" i="14"/>
  <c r="S68" i="14"/>
  <c r="AD68" i="14"/>
  <c r="U68" i="14"/>
  <c r="AC68" i="14"/>
  <c r="J68" i="14"/>
  <c r="T68" i="14"/>
  <c r="AB68" i="14"/>
  <c r="R68" i="14"/>
  <c r="O68" i="14"/>
  <c r="AF68" i="14"/>
  <c r="V68" i="14"/>
  <c r="AA68" i="14"/>
  <c r="C64" i="14"/>
  <c r="B63" i="14"/>
  <c r="C89" i="14"/>
  <c r="B89" i="14" s="1"/>
  <c r="B88" i="14"/>
  <c r="C32" i="14"/>
  <c r="B31" i="14"/>
  <c r="U80" i="14"/>
  <c r="AF80" i="14"/>
  <c r="Q80" i="14"/>
  <c r="O80" i="14"/>
  <c r="AA80" i="14"/>
  <c r="X80" i="14"/>
  <c r="AG80" i="14"/>
  <c r="H80" i="14"/>
  <c r="AD80" i="14"/>
  <c r="T80" i="14"/>
  <c r="N80" i="14"/>
  <c r="P80" i="14"/>
  <c r="AB80" i="14"/>
  <c r="K80" i="14"/>
  <c r="M80" i="14"/>
  <c r="Z80" i="14"/>
  <c r="L80" i="14"/>
  <c r="S80" i="14"/>
  <c r="V80" i="14"/>
  <c r="Y80" i="14"/>
  <c r="J80" i="14"/>
  <c r="W80" i="14"/>
  <c r="AE80" i="14"/>
  <c r="I80" i="14"/>
  <c r="AC80" i="14"/>
  <c r="R80" i="14"/>
  <c r="R69" i="14"/>
  <c r="T69" i="14"/>
  <c r="AB69" i="14"/>
  <c r="J69" i="14"/>
  <c r="I69" i="14"/>
  <c r="O69" i="14"/>
  <c r="Z69" i="14"/>
  <c r="P69" i="14"/>
  <c r="AF69" i="14"/>
  <c r="AG69" i="14"/>
  <c r="N69" i="14"/>
  <c r="X69" i="14"/>
  <c r="S69" i="14"/>
  <c r="Q69" i="14"/>
  <c r="AC69" i="14"/>
  <c r="V69" i="14"/>
  <c r="K69" i="14"/>
  <c r="L69" i="14"/>
  <c r="H69" i="14"/>
  <c r="M69" i="14"/>
  <c r="AE69" i="14"/>
  <c r="AA69" i="14"/>
  <c r="Y69" i="14"/>
  <c r="AH69" i="14"/>
  <c r="U69" i="14"/>
  <c r="W69" i="14"/>
  <c r="AD69" i="14"/>
  <c r="AH4" i="14"/>
  <c r="AH83" i="14" s="1"/>
  <c r="AG14" i="14"/>
  <c r="AG15" i="14"/>
  <c r="AG17" i="14"/>
  <c r="AG16" i="14"/>
  <c r="AH54" i="14" l="1"/>
  <c r="AH61" i="14"/>
  <c r="AH30" i="14"/>
  <c r="AH96" i="14"/>
  <c r="AH70" i="14"/>
  <c r="AH81" i="14"/>
  <c r="AH34" i="14"/>
  <c r="AH62" i="14"/>
  <c r="AF10" i="13"/>
  <c r="AH92" i="14"/>
  <c r="AH97" i="14"/>
  <c r="AH38" i="14"/>
  <c r="AF7" i="13"/>
  <c r="AF8" i="13"/>
  <c r="AH60" i="14"/>
  <c r="AH87" i="14"/>
  <c r="AH50" i="14"/>
  <c r="AH19" i="14"/>
  <c r="AH21" i="14"/>
  <c r="AH20" i="14"/>
  <c r="AH18" i="14"/>
  <c r="AH22" i="14"/>
  <c r="AH23" i="14"/>
  <c r="AH26" i="14"/>
  <c r="AH25" i="14"/>
  <c r="AH24" i="14"/>
  <c r="AH27" i="14"/>
  <c r="AH28" i="14"/>
  <c r="AH29" i="14"/>
  <c r="AH78" i="14"/>
  <c r="AH58" i="14"/>
  <c r="AH66" i="14"/>
  <c r="AH94" i="14"/>
  <c r="AH90" i="14"/>
  <c r="AH67" i="14"/>
  <c r="AH79" i="14"/>
  <c r="AH74" i="14"/>
  <c r="AH95" i="14"/>
  <c r="AH86" i="14"/>
  <c r="AH91" i="14"/>
  <c r="AH59" i="14"/>
  <c r="AH82" i="14"/>
  <c r="AH68" i="14"/>
  <c r="AH46" i="14"/>
  <c r="AH93" i="14"/>
  <c r="AH42" i="14"/>
  <c r="AH4" i="13"/>
  <c r="AG16" i="13"/>
  <c r="AG18" i="13"/>
  <c r="AG15" i="13"/>
  <c r="AG22" i="13"/>
  <c r="AG25" i="13"/>
  <c r="AG21" i="13"/>
  <c r="AG23" i="13"/>
  <c r="AG14" i="13"/>
  <c r="AG17" i="13"/>
  <c r="AG20" i="13"/>
  <c r="AG24" i="13"/>
  <c r="AG19" i="13"/>
  <c r="AH80" i="14"/>
  <c r="AH98" i="14"/>
  <c r="AF9" i="13"/>
  <c r="AA7" i="14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F89" i="14"/>
  <c r="AH89" i="14"/>
  <c r="O89" i="14"/>
  <c r="Q89" i="14"/>
  <c r="AB89" i="14"/>
  <c r="AG89" i="14"/>
  <c r="AI89" i="14"/>
  <c r="AC89" i="14"/>
  <c r="S89" i="14"/>
  <c r="J89" i="14"/>
  <c r="W89" i="14"/>
  <c r="M89" i="14"/>
  <c r="Y89" i="14"/>
  <c r="R89" i="14"/>
  <c r="V89" i="14"/>
  <c r="L89" i="14"/>
  <c r="X89" i="14"/>
  <c r="H89" i="14"/>
  <c r="K89" i="14"/>
  <c r="T89" i="14"/>
  <c r="AA89" i="14"/>
  <c r="Z89" i="14"/>
  <c r="AE89" i="14"/>
  <c r="AD89" i="14"/>
  <c r="I89" i="14"/>
  <c r="P89" i="14"/>
  <c r="U89" i="14"/>
  <c r="N89" i="14"/>
  <c r="C37" i="14"/>
  <c r="B37" i="14" s="1"/>
  <c r="B36" i="14"/>
  <c r="C45" i="14"/>
  <c r="B45" i="14" s="1"/>
  <c r="B44" i="14"/>
  <c r="Q99" i="14"/>
  <c r="AG99" i="14"/>
  <c r="U99" i="14"/>
  <c r="S99" i="14"/>
  <c r="I99" i="14"/>
  <c r="Y99" i="14"/>
  <c r="M99" i="14"/>
  <c r="V99" i="14"/>
  <c r="W99" i="14"/>
  <c r="T99" i="14"/>
  <c r="H99" i="14"/>
  <c r="P99" i="14"/>
  <c r="N99" i="14"/>
  <c r="O99" i="14"/>
  <c r="AD99" i="14"/>
  <c r="Z99" i="14"/>
  <c r="L99" i="14"/>
  <c r="AF99" i="14"/>
  <c r="X99" i="14"/>
  <c r="K99" i="14"/>
  <c r="AA99" i="14"/>
  <c r="R99" i="14"/>
  <c r="AE99" i="14"/>
  <c r="AH99" i="14"/>
  <c r="J99" i="14"/>
  <c r="AB99" i="14"/>
  <c r="AC99" i="14"/>
  <c r="AB63" i="14"/>
  <c r="Z63" i="14"/>
  <c r="K63" i="14"/>
  <c r="AG63" i="14"/>
  <c r="X63" i="14"/>
  <c r="U63" i="14"/>
  <c r="J63" i="14"/>
  <c r="T63" i="14"/>
  <c r="S63" i="14"/>
  <c r="M63" i="14"/>
  <c r="Q63" i="14"/>
  <c r="O63" i="14"/>
  <c r="V63" i="14"/>
  <c r="AE63" i="14"/>
  <c r="AF63" i="14"/>
  <c r="AA63" i="14"/>
  <c r="L63" i="14"/>
  <c r="W63" i="14"/>
  <c r="AC63" i="14"/>
  <c r="Y63" i="14"/>
  <c r="AH63" i="14"/>
  <c r="N63" i="14"/>
  <c r="I63" i="14"/>
  <c r="AD63" i="14"/>
  <c r="R63" i="14"/>
  <c r="P63" i="14"/>
  <c r="H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J39" i="14"/>
  <c r="Y39" i="14"/>
  <c r="U39" i="14"/>
  <c r="X39" i="14"/>
  <c r="AE39" i="14"/>
  <c r="H39" i="14"/>
  <c r="AD39" i="14"/>
  <c r="K39" i="14"/>
  <c r="Z39" i="14"/>
  <c r="S39" i="14"/>
  <c r="N39" i="14"/>
  <c r="AB39" i="14"/>
  <c r="AA39" i="14"/>
  <c r="L39" i="14"/>
  <c r="O39" i="14"/>
  <c r="V39" i="14"/>
  <c r="W39" i="14"/>
  <c r="P39" i="14"/>
  <c r="M39" i="14"/>
  <c r="R39" i="14"/>
  <c r="I39" i="14"/>
  <c r="AG39" i="14"/>
  <c r="AC39" i="14"/>
  <c r="Q39" i="14"/>
  <c r="T39" i="14"/>
  <c r="AF39" i="14"/>
  <c r="AH39" i="14"/>
  <c r="E79" i="14"/>
  <c r="F79" i="14" s="1"/>
  <c r="E60" i="14"/>
  <c r="F60" i="14" s="1"/>
  <c r="C41" i="14"/>
  <c r="B41" i="14" s="1"/>
  <c r="B40" i="14"/>
  <c r="V76" i="14"/>
  <c r="O76" i="14"/>
  <c r="P76" i="14"/>
  <c r="Y76" i="14"/>
  <c r="X76" i="14"/>
  <c r="U76" i="14"/>
  <c r="Z76" i="14"/>
  <c r="Q76" i="14"/>
  <c r="T76" i="14"/>
  <c r="S76" i="14"/>
  <c r="AH76" i="14"/>
  <c r="M76" i="14"/>
  <c r="AE76" i="14"/>
  <c r="AB76" i="14"/>
  <c r="L76" i="14"/>
  <c r="W76" i="14"/>
  <c r="K76" i="14"/>
  <c r="AF76" i="14"/>
  <c r="AD76" i="14"/>
  <c r="R76" i="14"/>
  <c r="AC76" i="14"/>
  <c r="AG76" i="14"/>
  <c r="H76" i="14"/>
  <c r="N76" i="14"/>
  <c r="I76" i="14"/>
  <c r="E75" i="14" s="1"/>
  <c r="F75" i="14" s="1"/>
  <c r="J76" i="14"/>
  <c r="AA76" i="14"/>
  <c r="Y51" i="14"/>
  <c r="AC51" i="14"/>
  <c r="AG51" i="14"/>
  <c r="P51" i="14"/>
  <c r="AH51" i="14"/>
  <c r="X51" i="14"/>
  <c r="Q51" i="14"/>
  <c r="N51" i="14"/>
  <c r="T51" i="14"/>
  <c r="O51" i="14"/>
  <c r="W51" i="14"/>
  <c r="AB51" i="14"/>
  <c r="V51" i="14"/>
  <c r="S51" i="14"/>
  <c r="K51" i="14"/>
  <c r="Z51" i="14"/>
  <c r="AA51" i="14"/>
  <c r="AE51" i="14"/>
  <c r="M51" i="14"/>
  <c r="AF51" i="14"/>
  <c r="I51" i="14"/>
  <c r="AD51" i="14"/>
  <c r="J51" i="14"/>
  <c r="L51" i="14"/>
  <c r="U51" i="14"/>
  <c r="H51" i="14"/>
  <c r="R51" i="14"/>
  <c r="AI51" i="14"/>
  <c r="E92" i="14"/>
  <c r="F92" i="14" s="1"/>
  <c r="M77" i="14"/>
  <c r="W77" i="14"/>
  <c r="S77" i="14"/>
  <c r="Q77" i="14"/>
  <c r="AA77" i="14"/>
  <c r="H77" i="14"/>
  <c r="AF77" i="14"/>
  <c r="T77" i="14"/>
  <c r="R77" i="14"/>
  <c r="X77" i="14"/>
  <c r="P77" i="14"/>
  <c r="J77" i="14"/>
  <c r="Z77" i="14"/>
  <c r="AG77" i="14"/>
  <c r="O77" i="14"/>
  <c r="N77" i="14"/>
  <c r="AC77" i="14"/>
  <c r="K77" i="14"/>
  <c r="Y77" i="14"/>
  <c r="U77" i="14"/>
  <c r="AB77" i="14"/>
  <c r="I77" i="14"/>
  <c r="AE77" i="14"/>
  <c r="AD77" i="14"/>
  <c r="L77" i="14"/>
  <c r="V77" i="14"/>
  <c r="AH77" i="14"/>
  <c r="C53" i="14"/>
  <c r="B53" i="14" s="1"/>
  <c r="B52" i="14"/>
  <c r="R31" i="14"/>
  <c r="AD31" i="14"/>
  <c r="H31" i="14"/>
  <c r="L31" i="14"/>
  <c r="U31" i="14"/>
  <c r="AF31" i="14"/>
  <c r="AB31" i="14"/>
  <c r="V31" i="14"/>
  <c r="X31" i="14"/>
  <c r="S31" i="14"/>
  <c r="O31" i="14"/>
  <c r="K31" i="14"/>
  <c r="AA31" i="14"/>
  <c r="AC31" i="14"/>
  <c r="M31" i="14"/>
  <c r="N31" i="14"/>
  <c r="J31" i="14"/>
  <c r="I31" i="14"/>
  <c r="AG31" i="14"/>
  <c r="T31" i="14"/>
  <c r="Z31" i="14"/>
  <c r="AE31" i="14"/>
  <c r="AH31" i="14"/>
  <c r="Q31" i="14"/>
  <c r="W31" i="14"/>
  <c r="P31" i="14"/>
  <c r="Y31" i="14"/>
  <c r="K55" i="14"/>
  <c r="R55" i="14"/>
  <c r="AB55" i="14"/>
  <c r="I55" i="14"/>
  <c r="AE55" i="14"/>
  <c r="S55" i="14"/>
  <c r="Z55" i="14"/>
  <c r="AD55" i="14"/>
  <c r="V55" i="14"/>
  <c r="AF55" i="14"/>
  <c r="Q55" i="14"/>
  <c r="O55" i="14"/>
  <c r="N55" i="14"/>
  <c r="AH55" i="14"/>
  <c r="X55" i="14"/>
  <c r="Y55" i="14"/>
  <c r="W55" i="14"/>
  <c r="L55" i="14"/>
  <c r="J55" i="14"/>
  <c r="AG55" i="14"/>
  <c r="T55" i="14"/>
  <c r="AA55" i="14"/>
  <c r="U55" i="14"/>
  <c r="P55" i="14"/>
  <c r="M55" i="14"/>
  <c r="AC55" i="14"/>
  <c r="H55" i="14"/>
  <c r="J47" i="14"/>
  <c r="P47" i="14"/>
  <c r="U47" i="14"/>
  <c r="V47" i="14"/>
  <c r="AA47" i="14"/>
  <c r="L47" i="14"/>
  <c r="H47" i="14"/>
  <c r="W47" i="14"/>
  <c r="R47" i="14"/>
  <c r="AC47" i="14"/>
  <c r="AE47" i="14"/>
  <c r="AD47" i="14"/>
  <c r="T47" i="14"/>
  <c r="AB47" i="14"/>
  <c r="Z47" i="14"/>
  <c r="S47" i="14"/>
  <c r="AF47" i="14"/>
  <c r="K47" i="14"/>
  <c r="N47" i="14"/>
  <c r="I47" i="14"/>
  <c r="X47" i="14"/>
  <c r="Q47" i="14"/>
  <c r="AG47" i="14"/>
  <c r="AH47" i="14"/>
  <c r="M47" i="14"/>
  <c r="O47" i="14"/>
  <c r="Y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X84" i="14"/>
  <c r="L84" i="14"/>
  <c r="T84" i="14"/>
  <c r="S84" i="14"/>
  <c r="Y84" i="14"/>
  <c r="V84" i="14"/>
  <c r="M84" i="14"/>
  <c r="K84" i="14"/>
  <c r="U84" i="14"/>
  <c r="Q84" i="14"/>
  <c r="AC84" i="14"/>
  <c r="I84" i="14"/>
  <c r="AH84" i="14"/>
  <c r="AB84" i="14"/>
  <c r="N84" i="14"/>
  <c r="Z84" i="14"/>
  <c r="R84" i="14"/>
  <c r="P84" i="14"/>
  <c r="AG84" i="14"/>
  <c r="AA84" i="14"/>
  <c r="J84" i="14"/>
  <c r="AD84" i="14"/>
  <c r="O84" i="14"/>
  <c r="M71" i="14"/>
  <c r="J71" i="14"/>
  <c r="S71" i="14"/>
  <c r="K71" i="14"/>
  <c r="V71" i="14"/>
  <c r="AF71" i="14"/>
  <c r="I71" i="14"/>
  <c r="AA71" i="14"/>
  <c r="Q71" i="14"/>
  <c r="AC71" i="14"/>
  <c r="W71" i="14"/>
  <c r="R71" i="14"/>
  <c r="N71" i="14"/>
  <c r="AH71" i="14"/>
  <c r="L71" i="14"/>
  <c r="AD71" i="14"/>
  <c r="Z71" i="14"/>
  <c r="AB71" i="14"/>
  <c r="AE71" i="14"/>
  <c r="U71" i="14"/>
  <c r="H71" i="14"/>
  <c r="Y71" i="14"/>
  <c r="T71" i="14"/>
  <c r="O71" i="14"/>
  <c r="X71" i="14"/>
  <c r="P71" i="14"/>
  <c r="AG71" i="14"/>
  <c r="T88" i="14"/>
  <c r="U88" i="14"/>
  <c r="M88" i="14"/>
  <c r="K88" i="14"/>
  <c r="AE88" i="14"/>
  <c r="V88" i="14"/>
  <c r="AC88" i="14"/>
  <c r="AB88" i="14"/>
  <c r="I88" i="14"/>
  <c r="O88" i="14"/>
  <c r="Q88" i="14"/>
  <c r="R88" i="14"/>
  <c r="S88" i="14"/>
  <c r="P88" i="14"/>
  <c r="Y88" i="14"/>
  <c r="J88" i="14"/>
  <c r="W88" i="14"/>
  <c r="AG88" i="14"/>
  <c r="AA88" i="14"/>
  <c r="X88" i="14"/>
  <c r="Z88" i="14"/>
  <c r="AH88" i="14"/>
  <c r="AF88" i="14"/>
  <c r="AD88" i="14"/>
  <c r="H88" i="14"/>
  <c r="L88" i="14"/>
  <c r="N88" i="14"/>
  <c r="AC35" i="14"/>
  <c r="AG35" i="14"/>
  <c r="I35" i="14"/>
  <c r="K35" i="14"/>
  <c r="M35" i="14"/>
  <c r="N35" i="14"/>
  <c r="X35" i="14"/>
  <c r="T35" i="14"/>
  <c r="O35" i="14"/>
  <c r="L35" i="14"/>
  <c r="AH35" i="14"/>
  <c r="P35" i="14"/>
  <c r="U35" i="14"/>
  <c r="S35" i="14"/>
  <c r="J35" i="14"/>
  <c r="R35" i="14"/>
  <c r="Y35" i="14"/>
  <c r="AD35" i="14"/>
  <c r="Q35" i="14"/>
  <c r="V35" i="14"/>
  <c r="W35" i="14"/>
  <c r="AB35" i="14"/>
  <c r="H35" i="14"/>
  <c r="Z35" i="14"/>
  <c r="AF35" i="14"/>
  <c r="AE35" i="14"/>
  <c r="AA35" i="14"/>
  <c r="P85" i="14"/>
  <c r="V85" i="14"/>
  <c r="Q85" i="14"/>
  <c r="I85" i="14"/>
  <c r="H85" i="14"/>
  <c r="U85" i="14"/>
  <c r="Z85" i="14"/>
  <c r="R85" i="14"/>
  <c r="AD85" i="14"/>
  <c r="AE85" i="14"/>
  <c r="AI85" i="14"/>
  <c r="J85" i="14"/>
  <c r="AH85" i="14"/>
  <c r="AC85" i="14"/>
  <c r="T85" i="14"/>
  <c r="N85" i="14"/>
  <c r="AA85" i="14"/>
  <c r="S85" i="14"/>
  <c r="K85" i="14"/>
  <c r="M85" i="14"/>
  <c r="Y85" i="14"/>
  <c r="AG85" i="14"/>
  <c r="AB85" i="14"/>
  <c r="X85" i="14"/>
  <c r="W85" i="14"/>
  <c r="O85" i="14"/>
  <c r="L85" i="14"/>
  <c r="AF85" i="14"/>
  <c r="C73" i="14"/>
  <c r="B73" i="14" s="1"/>
  <c r="B72" i="14"/>
  <c r="AD43" i="14"/>
  <c r="V43" i="14"/>
  <c r="AH43" i="14"/>
  <c r="H43" i="14"/>
  <c r="O43" i="14"/>
  <c r="I43" i="14"/>
  <c r="AG43" i="14"/>
  <c r="U43" i="14"/>
  <c r="T43" i="14"/>
  <c r="Y43" i="14"/>
  <c r="W43" i="14"/>
  <c r="S43" i="14"/>
  <c r="Q43" i="14"/>
  <c r="K43" i="14"/>
  <c r="L43" i="14"/>
  <c r="AC43" i="14"/>
  <c r="X43" i="14"/>
  <c r="AB43" i="14"/>
  <c r="AA43" i="14"/>
  <c r="R43" i="14"/>
  <c r="AE43" i="14"/>
  <c r="AF43" i="14"/>
  <c r="Z43" i="14"/>
  <c r="P43" i="14"/>
  <c r="N43" i="14"/>
  <c r="J43" i="14"/>
  <c r="M43" i="14"/>
  <c r="AI4" i="14"/>
  <c r="AI47" i="14" s="1"/>
  <c r="AH14" i="14"/>
  <c r="AH17" i="14"/>
  <c r="AH15" i="14"/>
  <c r="AH16" i="14"/>
  <c r="AI31" i="14" l="1"/>
  <c r="AI39" i="14"/>
  <c r="AI99" i="14"/>
  <c r="AI35" i="14"/>
  <c r="AI63" i="14"/>
  <c r="AH7" i="14"/>
  <c r="AI71" i="14"/>
  <c r="AI76" i="14"/>
  <c r="AI43" i="14"/>
  <c r="AI88" i="14"/>
  <c r="AG8" i="13"/>
  <c r="AG10" i="13"/>
  <c r="AG9" i="13"/>
  <c r="AG7" i="13"/>
  <c r="AI4" i="13"/>
  <c r="AH16" i="13"/>
  <c r="AH20" i="13"/>
  <c r="AH25" i="13"/>
  <c r="AH21" i="13"/>
  <c r="AH24" i="13"/>
  <c r="AH23" i="13"/>
  <c r="AH22" i="13"/>
  <c r="AH18" i="13"/>
  <c r="AH14" i="13"/>
  <c r="AH17" i="13"/>
  <c r="AH19" i="13"/>
  <c r="AH15" i="13"/>
  <c r="AI20" i="14"/>
  <c r="AI18" i="14"/>
  <c r="AI21" i="14"/>
  <c r="AI19" i="14"/>
  <c r="AI22" i="14"/>
  <c r="AI23" i="14"/>
  <c r="AI26" i="14"/>
  <c r="AI24" i="14"/>
  <c r="AI25" i="14"/>
  <c r="AI27" i="14"/>
  <c r="AI28" i="14"/>
  <c r="AI29" i="14"/>
  <c r="AI94" i="14"/>
  <c r="AI58" i="14"/>
  <c r="AI78" i="14"/>
  <c r="AI90" i="14"/>
  <c r="AI66" i="14"/>
  <c r="AI95" i="14"/>
  <c r="AI59" i="14"/>
  <c r="AI67" i="14"/>
  <c r="AI74" i="14"/>
  <c r="AI86" i="14"/>
  <c r="AI79" i="14"/>
  <c r="AI82" i="14"/>
  <c r="AI91" i="14"/>
  <c r="AI60" i="14"/>
  <c r="AI93" i="14"/>
  <c r="AI96" i="14"/>
  <c r="AI34" i="14"/>
  <c r="AI70" i="14"/>
  <c r="AI50" i="14"/>
  <c r="AI75" i="14"/>
  <c r="AI92" i="14"/>
  <c r="AI42" i="14"/>
  <c r="AI80" i="14"/>
  <c r="AI69" i="14"/>
  <c r="AI30" i="14"/>
  <c r="AI62" i="14"/>
  <c r="AI61" i="14"/>
  <c r="AI46" i="14"/>
  <c r="AI97" i="14"/>
  <c r="AI38" i="14"/>
  <c r="AI83" i="14"/>
  <c r="AI98" i="14"/>
  <c r="AI81" i="14"/>
  <c r="AI87" i="14"/>
  <c r="AI54" i="14"/>
  <c r="AI68" i="14"/>
  <c r="AI84" i="14"/>
  <c r="AI55" i="14"/>
  <c r="AI77" i="14"/>
  <c r="E88" i="14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J32" i="14"/>
  <c r="V32" i="14"/>
  <c r="AI32" i="14"/>
  <c r="X32" i="14"/>
  <c r="Y32" i="14"/>
  <c r="AF32" i="14"/>
  <c r="H32" i="14"/>
  <c r="Q32" i="14"/>
  <c r="W32" i="14"/>
  <c r="AE32" i="14"/>
  <c r="P32" i="14"/>
  <c r="R32" i="14"/>
  <c r="AC32" i="14"/>
  <c r="AA32" i="14"/>
  <c r="S32" i="14"/>
  <c r="AG32" i="14"/>
  <c r="U32" i="14"/>
  <c r="M32" i="14"/>
  <c r="K32" i="14"/>
  <c r="T32" i="14"/>
  <c r="O32" i="14"/>
  <c r="AB32" i="14"/>
  <c r="AH32" i="14"/>
  <c r="AD32" i="14"/>
  <c r="Z32" i="14"/>
  <c r="I32" i="14"/>
  <c r="E31" i="14" s="1"/>
  <c r="F31" i="14" s="1"/>
  <c r="N32" i="14"/>
  <c r="L32" i="14"/>
  <c r="Q8" i="14"/>
  <c r="AC8" i="14"/>
  <c r="H8" i="14"/>
  <c r="AC52" i="14"/>
  <c r="U52" i="14"/>
  <c r="X52" i="14"/>
  <c r="P52" i="14"/>
  <c r="W52" i="14"/>
  <c r="AD52" i="14"/>
  <c r="Q52" i="14"/>
  <c r="O52" i="14"/>
  <c r="H52" i="14"/>
  <c r="AE52" i="14"/>
  <c r="S52" i="14"/>
  <c r="R52" i="14"/>
  <c r="AI52" i="14"/>
  <c r="AB52" i="14"/>
  <c r="N52" i="14"/>
  <c r="Z52" i="14"/>
  <c r="AH52" i="14"/>
  <c r="AF52" i="14"/>
  <c r="AG52" i="14"/>
  <c r="Y52" i="14"/>
  <c r="T52" i="14"/>
  <c r="I52" i="14"/>
  <c r="V52" i="14"/>
  <c r="K52" i="14"/>
  <c r="J52" i="14"/>
  <c r="M52" i="14"/>
  <c r="AA52" i="14"/>
  <c r="L52" i="14"/>
  <c r="Y100" i="14"/>
  <c r="Z100" i="14"/>
  <c r="M100" i="14"/>
  <c r="Q100" i="14"/>
  <c r="T100" i="14"/>
  <c r="X100" i="14"/>
  <c r="AA100" i="14"/>
  <c r="S100" i="14"/>
  <c r="AI100" i="14"/>
  <c r="AG100" i="14"/>
  <c r="I100" i="14"/>
  <c r="E99" i="14" s="1"/>
  <c r="F99" i="14" s="1"/>
  <c r="AH100" i="14"/>
  <c r="U100" i="14"/>
  <c r="P100" i="14"/>
  <c r="N100" i="14"/>
  <c r="W100" i="14"/>
  <c r="AD100" i="14"/>
  <c r="H100" i="14"/>
  <c r="AF100" i="14"/>
  <c r="AC100" i="14"/>
  <c r="R100" i="14"/>
  <c r="AE100" i="14"/>
  <c r="L100" i="14"/>
  <c r="J100" i="14"/>
  <c r="AB100" i="14"/>
  <c r="K100" i="14"/>
  <c r="V100" i="14"/>
  <c r="O100" i="14"/>
  <c r="AH8" i="14"/>
  <c r="E34" i="14"/>
  <c r="F34" i="14" s="1"/>
  <c r="S48" i="14"/>
  <c r="X48" i="14"/>
  <c r="L48" i="14"/>
  <c r="I48" i="14"/>
  <c r="E47" i="14" s="1"/>
  <c r="F47" i="14" s="1"/>
  <c r="AG48" i="14"/>
  <c r="Q48" i="14"/>
  <c r="AB48" i="14"/>
  <c r="U48" i="14"/>
  <c r="Z48" i="14"/>
  <c r="M48" i="14"/>
  <c r="AE48" i="14"/>
  <c r="O48" i="14"/>
  <c r="AA48" i="14"/>
  <c r="H48" i="14"/>
  <c r="Y48" i="14"/>
  <c r="AI48" i="14"/>
  <c r="AC48" i="14"/>
  <c r="W48" i="14"/>
  <c r="J48" i="14"/>
  <c r="AD48" i="14"/>
  <c r="T48" i="14"/>
  <c r="AF48" i="14"/>
  <c r="K48" i="14"/>
  <c r="N48" i="14"/>
  <c r="P48" i="14"/>
  <c r="R48" i="14"/>
  <c r="AH48" i="14"/>
  <c r="V48" i="14"/>
  <c r="U33" i="14"/>
  <c r="AD33" i="14"/>
  <c r="H33" i="14"/>
  <c r="K33" i="14"/>
  <c r="AG33" i="14"/>
  <c r="V33" i="14"/>
  <c r="S33" i="14"/>
  <c r="AA33" i="14"/>
  <c r="Z33" i="14"/>
  <c r="AC33" i="14"/>
  <c r="AF33" i="14"/>
  <c r="R33" i="14"/>
  <c r="AB33" i="14"/>
  <c r="AI33" i="14"/>
  <c r="O33" i="14"/>
  <c r="N33" i="14"/>
  <c r="I33" i="14"/>
  <c r="J33" i="14"/>
  <c r="AE33" i="14"/>
  <c r="T33" i="14"/>
  <c r="AH33" i="14"/>
  <c r="Y33" i="14"/>
  <c r="L33" i="14"/>
  <c r="M33" i="14"/>
  <c r="X33" i="14"/>
  <c r="Q33" i="14"/>
  <c r="P33" i="14"/>
  <c r="W33" i="14"/>
  <c r="Y8" i="14"/>
  <c r="T8" i="14"/>
  <c r="AA8" i="14"/>
  <c r="AF53" i="14"/>
  <c r="K53" i="14"/>
  <c r="O53" i="14"/>
  <c r="P53" i="14"/>
  <c r="H53" i="14"/>
  <c r="T53" i="14"/>
  <c r="AE53" i="14"/>
  <c r="J53" i="14"/>
  <c r="AB53" i="14"/>
  <c r="L53" i="14"/>
  <c r="AD53" i="14"/>
  <c r="AC53" i="14"/>
  <c r="Z53" i="14"/>
  <c r="W53" i="14"/>
  <c r="I53" i="14"/>
  <c r="Y53" i="14"/>
  <c r="M53" i="14"/>
  <c r="R53" i="14"/>
  <c r="V53" i="14"/>
  <c r="N53" i="14"/>
  <c r="U53" i="14"/>
  <c r="Q53" i="14"/>
  <c r="X53" i="14"/>
  <c r="AH53" i="14"/>
  <c r="AG53" i="14"/>
  <c r="AA53" i="14"/>
  <c r="S53" i="14"/>
  <c r="AI53" i="14"/>
  <c r="W40" i="14"/>
  <c r="U40" i="14"/>
  <c r="AB40" i="14"/>
  <c r="K40" i="14"/>
  <c r="R40" i="14"/>
  <c r="AC40" i="14"/>
  <c r="AH40" i="14"/>
  <c r="AE40" i="14"/>
  <c r="I40" i="14"/>
  <c r="AF40" i="14"/>
  <c r="M40" i="14"/>
  <c r="N40" i="14"/>
  <c r="Q40" i="14"/>
  <c r="L40" i="14"/>
  <c r="Z40" i="14"/>
  <c r="P40" i="14"/>
  <c r="AI40" i="14"/>
  <c r="S40" i="14"/>
  <c r="X40" i="14"/>
  <c r="AA40" i="14"/>
  <c r="Y40" i="14"/>
  <c r="V40" i="14"/>
  <c r="O40" i="14"/>
  <c r="J40" i="14"/>
  <c r="AG40" i="14"/>
  <c r="AD40" i="14"/>
  <c r="H40" i="14"/>
  <c r="T40" i="14"/>
  <c r="J101" i="14"/>
  <c r="AF101" i="14"/>
  <c r="K101" i="14"/>
  <c r="P101" i="14"/>
  <c r="N101" i="14"/>
  <c r="R101" i="14"/>
  <c r="AB101" i="14"/>
  <c r="I101" i="14"/>
  <c r="M101" i="14"/>
  <c r="AG101" i="14"/>
  <c r="Y101" i="14"/>
  <c r="Q101" i="14"/>
  <c r="S101" i="14"/>
  <c r="AC101" i="14"/>
  <c r="X101" i="14"/>
  <c r="AI101" i="14"/>
  <c r="AA101" i="14"/>
  <c r="T101" i="14"/>
  <c r="AD101" i="14"/>
  <c r="Z101" i="14"/>
  <c r="U101" i="14"/>
  <c r="W101" i="14"/>
  <c r="O101" i="14"/>
  <c r="L101" i="14"/>
  <c r="V101" i="14"/>
  <c r="AE101" i="14"/>
  <c r="AH101" i="14"/>
  <c r="H101" i="14"/>
  <c r="E98" i="14"/>
  <c r="F98" i="14" s="1"/>
  <c r="J49" i="14"/>
  <c r="Y49" i="14"/>
  <c r="L49" i="14"/>
  <c r="AH49" i="14"/>
  <c r="X49" i="14"/>
  <c r="AG49" i="14"/>
  <c r="N49" i="14"/>
  <c r="AA49" i="14"/>
  <c r="O49" i="14"/>
  <c r="Q49" i="14"/>
  <c r="P49" i="14"/>
  <c r="Z49" i="14"/>
  <c r="H49" i="14"/>
  <c r="AD49" i="14"/>
  <c r="W49" i="14"/>
  <c r="S49" i="14"/>
  <c r="U49" i="14"/>
  <c r="AI49" i="14"/>
  <c r="AE49" i="14"/>
  <c r="M49" i="14"/>
  <c r="T49" i="14"/>
  <c r="I49" i="14"/>
  <c r="AB49" i="14"/>
  <c r="AF49" i="14"/>
  <c r="K49" i="14"/>
  <c r="AC49" i="14"/>
  <c r="V49" i="14"/>
  <c r="R49" i="14"/>
  <c r="S8" i="14"/>
  <c r="AE41" i="14"/>
  <c r="AB41" i="14"/>
  <c r="Y41" i="14"/>
  <c r="W41" i="14"/>
  <c r="AF41" i="14"/>
  <c r="AD41" i="14"/>
  <c r="M41" i="14"/>
  <c r="AA41" i="14"/>
  <c r="P41" i="14"/>
  <c r="T41" i="14"/>
  <c r="AH41" i="14"/>
  <c r="Z41" i="14"/>
  <c r="U41" i="14"/>
  <c r="V41" i="14"/>
  <c r="R41" i="14"/>
  <c r="J41" i="14"/>
  <c r="N41" i="14"/>
  <c r="AI41" i="14"/>
  <c r="X41" i="14"/>
  <c r="I41" i="14"/>
  <c r="K41" i="14"/>
  <c r="AC41" i="14"/>
  <c r="AG41" i="14"/>
  <c r="L41" i="14"/>
  <c r="Q41" i="14"/>
  <c r="S41" i="14"/>
  <c r="O41" i="14"/>
  <c r="H41" i="14"/>
  <c r="U56" i="14"/>
  <c r="I56" i="14"/>
  <c r="E55" i="14" s="1"/>
  <c r="F55" i="14" s="1"/>
  <c r="AC56" i="14"/>
  <c r="O56" i="14"/>
  <c r="X56" i="14"/>
  <c r="AF56" i="14"/>
  <c r="L56" i="14"/>
  <c r="Z56" i="14"/>
  <c r="W56" i="14"/>
  <c r="AG56" i="14"/>
  <c r="AB56" i="14"/>
  <c r="S56" i="14"/>
  <c r="Q56" i="14"/>
  <c r="N56" i="14"/>
  <c r="AE56" i="14"/>
  <c r="T56" i="14"/>
  <c r="H56" i="14"/>
  <c r="AH56" i="14"/>
  <c r="AI56" i="14"/>
  <c r="V56" i="14"/>
  <c r="AD56" i="14"/>
  <c r="P56" i="14"/>
  <c r="Y56" i="14"/>
  <c r="J56" i="14"/>
  <c r="AA56" i="14"/>
  <c r="M56" i="14"/>
  <c r="R56" i="14"/>
  <c r="K56" i="14"/>
  <c r="AF8" i="14"/>
  <c r="AD8" i="14"/>
  <c r="H44" i="14"/>
  <c r="T44" i="14"/>
  <c r="W44" i="14"/>
  <c r="N44" i="14"/>
  <c r="AE44" i="14"/>
  <c r="AA44" i="14"/>
  <c r="X44" i="14"/>
  <c r="J44" i="14"/>
  <c r="AF44" i="14"/>
  <c r="K44" i="14"/>
  <c r="U44" i="14"/>
  <c r="S44" i="14"/>
  <c r="M44" i="14"/>
  <c r="Y44" i="14"/>
  <c r="I44" i="14"/>
  <c r="AB44" i="14"/>
  <c r="L44" i="14"/>
  <c r="R44" i="14"/>
  <c r="V44" i="14"/>
  <c r="Z44" i="14"/>
  <c r="Q44" i="14"/>
  <c r="P44" i="14"/>
  <c r="AD44" i="14"/>
  <c r="AI44" i="14"/>
  <c r="O44" i="14"/>
  <c r="AC44" i="14"/>
  <c r="AG44" i="14"/>
  <c r="AH44" i="14"/>
  <c r="H72" i="14"/>
  <c r="Z72" i="14"/>
  <c r="AG72" i="14"/>
  <c r="Y72" i="14"/>
  <c r="R72" i="14"/>
  <c r="AA72" i="14"/>
  <c r="J72" i="14"/>
  <c r="O72" i="14"/>
  <c r="X72" i="14"/>
  <c r="N72" i="14"/>
  <c r="AF72" i="14"/>
  <c r="L72" i="14"/>
  <c r="M72" i="14"/>
  <c r="V72" i="14"/>
  <c r="AC72" i="14"/>
  <c r="AD72" i="14"/>
  <c r="T72" i="14"/>
  <c r="AE72" i="14"/>
  <c r="P72" i="14"/>
  <c r="AI72" i="14"/>
  <c r="I72" i="14"/>
  <c r="AH72" i="14"/>
  <c r="U72" i="14"/>
  <c r="AB72" i="14"/>
  <c r="S72" i="14"/>
  <c r="W72" i="14"/>
  <c r="Q72" i="14"/>
  <c r="K72" i="14"/>
  <c r="U57" i="14"/>
  <c r="AA57" i="14"/>
  <c r="N57" i="14"/>
  <c r="AF57" i="14"/>
  <c r="AC57" i="14"/>
  <c r="Z57" i="14"/>
  <c r="AI57" i="14"/>
  <c r="Y57" i="14"/>
  <c r="P57" i="14"/>
  <c r="M57" i="14"/>
  <c r="J57" i="14"/>
  <c r="O57" i="14"/>
  <c r="V57" i="14"/>
  <c r="K57" i="14"/>
  <c r="AD57" i="14"/>
  <c r="S57" i="14"/>
  <c r="Q57" i="14"/>
  <c r="W57" i="14"/>
  <c r="AB57" i="14"/>
  <c r="R57" i="14"/>
  <c r="H57" i="14"/>
  <c r="AE57" i="14"/>
  <c r="X57" i="14"/>
  <c r="AG57" i="14"/>
  <c r="I57" i="14"/>
  <c r="T57" i="14"/>
  <c r="AH57" i="14"/>
  <c r="L57" i="14"/>
  <c r="E46" i="14"/>
  <c r="F46" i="14" s="1"/>
  <c r="P8" i="14"/>
  <c r="E30" i="14"/>
  <c r="F30" i="14" s="1"/>
  <c r="I8" i="14"/>
  <c r="K8" i="14"/>
  <c r="X8" i="14"/>
  <c r="R8" i="14"/>
  <c r="AA64" i="14"/>
  <c r="T64" i="14"/>
  <c r="W64" i="14"/>
  <c r="O64" i="14"/>
  <c r="N64" i="14"/>
  <c r="AH64" i="14"/>
  <c r="I64" i="14"/>
  <c r="L64" i="14"/>
  <c r="Y64" i="14"/>
  <c r="Z64" i="14"/>
  <c r="P64" i="14"/>
  <c r="AC64" i="14"/>
  <c r="S64" i="14"/>
  <c r="R64" i="14"/>
  <c r="AF64" i="14"/>
  <c r="V64" i="14"/>
  <c r="AE64" i="14"/>
  <c r="U64" i="14"/>
  <c r="AG64" i="14"/>
  <c r="J64" i="14"/>
  <c r="K64" i="14"/>
  <c r="X64" i="14"/>
  <c r="AI64" i="14"/>
  <c r="AB64" i="14"/>
  <c r="M64" i="14"/>
  <c r="H64" i="14"/>
  <c r="AD64" i="14"/>
  <c r="Q64" i="14"/>
  <c r="U45" i="14"/>
  <c r="M45" i="14"/>
  <c r="T45" i="14"/>
  <c r="AD45" i="14"/>
  <c r="AE45" i="14"/>
  <c r="R45" i="14"/>
  <c r="AI45" i="14"/>
  <c r="AG45" i="14"/>
  <c r="X45" i="14"/>
  <c r="AA45" i="14"/>
  <c r="Z45" i="14"/>
  <c r="V45" i="14"/>
  <c r="W45" i="14"/>
  <c r="I45" i="14"/>
  <c r="AF45" i="14"/>
  <c r="O45" i="14"/>
  <c r="Q45" i="14"/>
  <c r="AH45" i="14"/>
  <c r="L45" i="14"/>
  <c r="K45" i="14"/>
  <c r="AB45" i="14"/>
  <c r="N45" i="14"/>
  <c r="AC45" i="14"/>
  <c r="Y45" i="14"/>
  <c r="J45" i="14"/>
  <c r="P45" i="14"/>
  <c r="H45" i="14"/>
  <c r="S45" i="14"/>
  <c r="L73" i="14"/>
  <c r="AI73" i="14"/>
  <c r="AH73" i="14"/>
  <c r="V73" i="14"/>
  <c r="K73" i="14"/>
  <c r="U73" i="14"/>
  <c r="O73" i="14"/>
  <c r="S73" i="14"/>
  <c r="T73" i="14"/>
  <c r="R73" i="14"/>
  <c r="AF73" i="14"/>
  <c r="W73" i="14"/>
  <c r="Z73" i="14"/>
  <c r="I73" i="14"/>
  <c r="Q73" i="14"/>
  <c r="AC73" i="14"/>
  <c r="AD73" i="14"/>
  <c r="P73" i="14"/>
  <c r="Y73" i="14"/>
  <c r="N73" i="14"/>
  <c r="X73" i="14"/>
  <c r="J73" i="14"/>
  <c r="H73" i="14"/>
  <c r="M73" i="14"/>
  <c r="AA73" i="14"/>
  <c r="AG73" i="14"/>
  <c r="AE73" i="14"/>
  <c r="AB73" i="14"/>
  <c r="E87" i="14"/>
  <c r="F87" i="14" s="1"/>
  <c r="AE8" i="14"/>
  <c r="J8" i="14"/>
  <c r="O8" i="14"/>
  <c r="V8" i="14"/>
  <c r="U8" i="14"/>
  <c r="AC65" i="14"/>
  <c r="AD65" i="14"/>
  <c r="AH65" i="14"/>
  <c r="AB65" i="14"/>
  <c r="V65" i="14"/>
  <c r="AA65" i="14"/>
  <c r="W65" i="14"/>
  <c r="U65" i="14"/>
  <c r="H65" i="14"/>
  <c r="Y65" i="14"/>
  <c r="AE65" i="14"/>
  <c r="AI65" i="14"/>
  <c r="AF65" i="14"/>
  <c r="X65" i="14"/>
  <c r="I65" i="14"/>
  <c r="T65" i="14"/>
  <c r="Z65" i="14"/>
  <c r="AG65" i="14"/>
  <c r="J65" i="14"/>
  <c r="M65" i="14"/>
  <c r="N65" i="14"/>
  <c r="P65" i="14"/>
  <c r="L65" i="14"/>
  <c r="S65" i="14"/>
  <c r="K65" i="14"/>
  <c r="O65" i="14"/>
  <c r="Q65" i="14"/>
  <c r="R65" i="14"/>
  <c r="T36" i="14"/>
  <c r="AF36" i="14"/>
  <c r="Y36" i="14"/>
  <c r="K36" i="14"/>
  <c r="N36" i="14"/>
  <c r="O36" i="14"/>
  <c r="AD36" i="14"/>
  <c r="AB36" i="14"/>
  <c r="W36" i="14"/>
  <c r="R36" i="14"/>
  <c r="H36" i="14"/>
  <c r="X36" i="14"/>
  <c r="AE36" i="14"/>
  <c r="M36" i="14"/>
  <c r="Q36" i="14"/>
  <c r="I36" i="14"/>
  <c r="E35" i="14" s="1"/>
  <c r="F35" i="14" s="1"/>
  <c r="J36" i="14"/>
  <c r="P36" i="14"/>
  <c r="AI36" i="14"/>
  <c r="Z36" i="14"/>
  <c r="AH36" i="14"/>
  <c r="V36" i="14"/>
  <c r="U36" i="14"/>
  <c r="AG36" i="14"/>
  <c r="AA36" i="14"/>
  <c r="S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N37" i="14"/>
  <c r="W37" i="14"/>
  <c r="T37" i="14"/>
  <c r="Q37" i="14"/>
  <c r="J37" i="14"/>
  <c r="AD37" i="14"/>
  <c r="H37" i="14"/>
  <c r="U37" i="14"/>
  <c r="M37" i="14"/>
  <c r="K37" i="14"/>
  <c r="L37" i="14"/>
  <c r="AC37" i="14"/>
  <c r="AE37" i="14"/>
  <c r="V37" i="14"/>
  <c r="AA37" i="14"/>
  <c r="S37" i="14"/>
  <c r="O37" i="14"/>
  <c r="AH37" i="14"/>
  <c r="X37" i="14"/>
  <c r="Z37" i="14"/>
  <c r="AI37" i="14"/>
  <c r="R37" i="14"/>
  <c r="AB37" i="14"/>
  <c r="P37" i="14"/>
  <c r="I37" i="14"/>
  <c r="Y37" i="14"/>
  <c r="AF37" i="14"/>
  <c r="AG37" i="14"/>
  <c r="AJ4" i="14"/>
  <c r="AJ100" i="14" s="1"/>
  <c r="AI14" i="14"/>
  <c r="AI15" i="14"/>
  <c r="AI17" i="14"/>
  <c r="AI16" i="14"/>
  <c r="AH8" i="13" l="1"/>
  <c r="AI8" i="14"/>
  <c r="AJ48" i="14"/>
  <c r="AJ45" i="14"/>
  <c r="AJ44" i="14"/>
  <c r="AJ37" i="14"/>
  <c r="AI7" i="14"/>
  <c r="AJ18" i="14"/>
  <c r="AJ21" i="14"/>
  <c r="AJ20" i="14"/>
  <c r="AJ19" i="14"/>
  <c r="AJ22" i="14"/>
  <c r="AJ23" i="14"/>
  <c r="AJ26" i="14"/>
  <c r="AJ24" i="14"/>
  <c r="AJ25" i="14"/>
  <c r="AJ27" i="14"/>
  <c r="AJ28" i="14"/>
  <c r="AJ29" i="14"/>
  <c r="AJ58" i="14"/>
  <c r="AJ90" i="14"/>
  <c r="AJ78" i="14"/>
  <c r="AJ94" i="14"/>
  <c r="AJ66" i="14"/>
  <c r="AJ67" i="14"/>
  <c r="AJ86" i="14"/>
  <c r="AJ82" i="14"/>
  <c r="AJ79" i="14"/>
  <c r="AJ74" i="14"/>
  <c r="AJ91" i="14"/>
  <c r="AJ95" i="14"/>
  <c r="AJ59" i="14"/>
  <c r="AJ81" i="14"/>
  <c r="AJ54" i="14"/>
  <c r="AJ30" i="14"/>
  <c r="AJ69" i="14"/>
  <c r="AJ68" i="14"/>
  <c r="AJ87" i="14"/>
  <c r="AJ83" i="14"/>
  <c r="AJ42" i="14"/>
  <c r="AJ93" i="14"/>
  <c r="AJ60" i="14"/>
  <c r="AJ50" i="14"/>
  <c r="AJ80" i="14"/>
  <c r="AJ34" i="14"/>
  <c r="AJ92" i="14"/>
  <c r="AJ96" i="14"/>
  <c r="AJ70" i="14"/>
  <c r="AJ61" i="14"/>
  <c r="AJ46" i="14"/>
  <c r="AJ98" i="14"/>
  <c r="AJ62" i="14"/>
  <c r="AJ38" i="14"/>
  <c r="AJ97" i="14"/>
  <c r="AJ75" i="14"/>
  <c r="AJ35" i="14"/>
  <c r="AJ63" i="14"/>
  <c r="AJ89" i="14"/>
  <c r="AJ51" i="14"/>
  <c r="AJ71" i="14"/>
  <c r="AJ31" i="14"/>
  <c r="AJ43" i="14"/>
  <c r="AJ84" i="14"/>
  <c r="AJ88" i="14"/>
  <c r="AJ76" i="14"/>
  <c r="AJ55" i="14"/>
  <c r="AJ85" i="14"/>
  <c r="AJ99" i="14"/>
  <c r="AJ39" i="14"/>
  <c r="AJ77" i="14"/>
  <c r="AJ47" i="14"/>
  <c r="AJ101" i="14"/>
  <c r="AJ52" i="14"/>
  <c r="AJ65" i="14"/>
  <c r="AJ49" i="14"/>
  <c r="AJ53" i="14"/>
  <c r="AJ36" i="14"/>
  <c r="AJ57" i="14"/>
  <c r="AJ56" i="14"/>
  <c r="AJ40" i="14"/>
  <c r="AJ73" i="14"/>
  <c r="AJ64" i="14"/>
  <c r="AH10" i="13"/>
  <c r="AJ33" i="14"/>
  <c r="AH7" i="13"/>
  <c r="AH9" i="13"/>
  <c r="AJ72" i="14"/>
  <c r="AJ41" i="14"/>
  <c r="AJ32" i="14"/>
  <c r="AJ4" i="13"/>
  <c r="AI17" i="13"/>
  <c r="AI14" i="13"/>
  <c r="AI22" i="13"/>
  <c r="AI25" i="13"/>
  <c r="AI18" i="13"/>
  <c r="AI21" i="13"/>
  <c r="AI24" i="13"/>
  <c r="AI20" i="13"/>
  <c r="AI15" i="13"/>
  <c r="AI23" i="13"/>
  <c r="AI16" i="13"/>
  <c r="AI19" i="13"/>
  <c r="AI9" i="14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15" i="14"/>
  <c r="AJ17" i="14"/>
  <c r="AJ16" i="14"/>
  <c r="AJ8" i="14" l="1"/>
  <c r="AJ7" i="14"/>
  <c r="AI9" i="13"/>
  <c r="AI7" i="13"/>
  <c r="AK18" i="14"/>
  <c r="AK20" i="14"/>
  <c r="AK19" i="14"/>
  <c r="AK21" i="14"/>
  <c r="AK22" i="14"/>
  <c r="AK23" i="14"/>
  <c r="AK26" i="14"/>
  <c r="AK24" i="14"/>
  <c r="AK25" i="14"/>
  <c r="AK27" i="14"/>
  <c r="AK28" i="14"/>
  <c r="AK29" i="14"/>
  <c r="AK58" i="14"/>
  <c r="AK78" i="14"/>
  <c r="AK94" i="14"/>
  <c r="AK90" i="14"/>
  <c r="AK66" i="14"/>
  <c r="AK86" i="14"/>
  <c r="AK67" i="14"/>
  <c r="AK59" i="14"/>
  <c r="AK95" i="14"/>
  <c r="AK79" i="14"/>
  <c r="AK91" i="14"/>
  <c r="AK74" i="14"/>
  <c r="AK82" i="14"/>
  <c r="AK83" i="14"/>
  <c r="AK98" i="14"/>
  <c r="AK97" i="14"/>
  <c r="AK34" i="14"/>
  <c r="AK80" i="14"/>
  <c r="AK60" i="14"/>
  <c r="AK50" i="14"/>
  <c r="AK68" i="14"/>
  <c r="AK62" i="14"/>
  <c r="AK54" i="14"/>
  <c r="AK75" i="14"/>
  <c r="AK69" i="14"/>
  <c r="AK30" i="14"/>
  <c r="AK42" i="14"/>
  <c r="AK70" i="14"/>
  <c r="AK96" i="14"/>
  <c r="AK92" i="14"/>
  <c r="AK81" i="14"/>
  <c r="AK61" i="14"/>
  <c r="AK38" i="14"/>
  <c r="AK87" i="14"/>
  <c r="AK93" i="14"/>
  <c r="AK46" i="14"/>
  <c r="AK55" i="14"/>
  <c r="AK47" i="14"/>
  <c r="AK63" i="14"/>
  <c r="AK76" i="14"/>
  <c r="AK88" i="14"/>
  <c r="AK35" i="14"/>
  <c r="AK43" i="14"/>
  <c r="AK77" i="14"/>
  <c r="AK85" i="14"/>
  <c r="AK71" i="14"/>
  <c r="AK31" i="14"/>
  <c r="AK84" i="14"/>
  <c r="AK39" i="14"/>
  <c r="AK89" i="14"/>
  <c r="AK99" i="14"/>
  <c r="AK51" i="14"/>
  <c r="AK52" i="14"/>
  <c r="AK73" i="14"/>
  <c r="AK36" i="14"/>
  <c r="AK65" i="14"/>
  <c r="AK45" i="14"/>
  <c r="AK37" i="14"/>
  <c r="AK48" i="14"/>
  <c r="AK72" i="14"/>
  <c r="AK57" i="14"/>
  <c r="AK40" i="14"/>
  <c r="AK41" i="14"/>
  <c r="AK44" i="14"/>
  <c r="AK53" i="14"/>
  <c r="AK32" i="14"/>
  <c r="AK100" i="14"/>
  <c r="AK49" i="14"/>
  <c r="AK56" i="14"/>
  <c r="AK64" i="14"/>
  <c r="AK101" i="14"/>
  <c r="AK33" i="14"/>
  <c r="AJ9" i="14"/>
  <c r="AI8" i="13"/>
  <c r="AI10" i="13"/>
  <c r="AJ10" i="14"/>
  <c r="AK4" i="13"/>
  <c r="AJ17" i="13"/>
  <c r="AJ22" i="13"/>
  <c r="AJ18" i="13"/>
  <c r="AJ24" i="13"/>
  <c r="AJ15" i="13"/>
  <c r="AJ16" i="13"/>
  <c r="AJ20" i="13"/>
  <c r="AJ25" i="13"/>
  <c r="AJ21" i="13"/>
  <c r="AJ23" i="13"/>
  <c r="AJ19" i="13"/>
  <c r="AJ14" i="13"/>
  <c r="E9" i="14"/>
  <c r="F9" i="14" s="1"/>
  <c r="AL4" i="14"/>
  <c r="AK14" i="14"/>
  <c r="AK17" i="14"/>
  <c r="AK15" i="14"/>
  <c r="AK16" i="14"/>
  <c r="AJ8" i="13" l="1"/>
  <c r="AJ7" i="13"/>
  <c r="AK10" i="14"/>
  <c r="AK9" i="14"/>
  <c r="AK8" i="14"/>
  <c r="AJ10" i="13"/>
  <c r="AL4" i="13"/>
  <c r="AK25" i="13"/>
  <c r="AK21" i="13"/>
  <c r="AK14" i="13"/>
  <c r="AK22" i="13"/>
  <c r="AK17" i="13"/>
  <c r="AK20" i="13"/>
  <c r="AK18" i="13"/>
  <c r="AK24" i="13"/>
  <c r="AK15" i="13"/>
  <c r="AK19" i="13"/>
  <c r="AK16" i="13"/>
  <c r="AK23" i="13"/>
  <c r="AK7" i="14"/>
  <c r="AL21" i="14"/>
  <c r="AL18" i="14"/>
  <c r="AL20" i="14"/>
  <c r="AL19" i="14"/>
  <c r="AL22" i="14"/>
  <c r="AL26" i="14"/>
  <c r="AL23" i="14"/>
  <c r="AL27" i="14"/>
  <c r="AL24" i="14"/>
  <c r="AL25" i="14"/>
  <c r="AL29" i="14"/>
  <c r="AL28" i="14"/>
  <c r="AL94" i="14"/>
  <c r="AL78" i="14"/>
  <c r="AL58" i="14"/>
  <c r="AL90" i="14"/>
  <c r="AL66" i="14"/>
  <c r="AL95" i="14"/>
  <c r="AL79" i="14"/>
  <c r="AL86" i="14"/>
  <c r="AL59" i="14"/>
  <c r="AL74" i="14"/>
  <c r="AL67" i="14"/>
  <c r="AL91" i="14"/>
  <c r="AL82" i="14"/>
  <c r="AL83" i="14"/>
  <c r="AL80" i="14"/>
  <c r="AL81" i="14"/>
  <c r="AL60" i="14"/>
  <c r="AL46" i="14"/>
  <c r="AL50" i="14"/>
  <c r="AL97" i="14"/>
  <c r="AL68" i="14"/>
  <c r="AL98" i="14"/>
  <c r="AL96" i="14"/>
  <c r="AL69" i="14"/>
  <c r="AL93" i="14"/>
  <c r="AL34" i="14"/>
  <c r="AL75" i="14"/>
  <c r="AL62" i="14"/>
  <c r="AL42" i="14"/>
  <c r="AL92" i="14"/>
  <c r="AL70" i="14"/>
  <c r="AL38" i="14"/>
  <c r="AL30" i="14"/>
  <c r="AL54" i="14"/>
  <c r="AL87" i="14"/>
  <c r="AL61" i="14"/>
  <c r="AL43" i="14"/>
  <c r="AL99" i="14"/>
  <c r="AL85" i="14"/>
  <c r="AL35" i="14"/>
  <c r="AL31" i="14"/>
  <c r="AL88" i="14"/>
  <c r="AL55" i="14"/>
  <c r="AL39" i="14"/>
  <c r="AL76" i="14"/>
  <c r="AL89" i="14"/>
  <c r="AL63" i="14"/>
  <c r="AL51" i="14"/>
  <c r="AL47" i="14"/>
  <c r="AL71" i="14"/>
  <c r="AL77" i="14"/>
  <c r="AL84" i="14"/>
  <c r="AL72" i="14"/>
  <c r="AL64" i="14"/>
  <c r="AL32" i="14"/>
  <c r="AL73" i="14"/>
  <c r="AL36" i="14"/>
  <c r="AL101" i="14"/>
  <c r="AL37" i="14"/>
  <c r="AL100" i="14"/>
  <c r="AL33" i="14"/>
  <c r="AL49" i="14"/>
  <c r="AL41" i="14"/>
  <c r="AL56" i="14"/>
  <c r="AL57" i="14"/>
  <c r="AL52" i="14"/>
  <c r="AL48" i="14"/>
  <c r="AL53" i="14"/>
  <c r="AL40" i="14"/>
  <c r="AL44" i="14"/>
  <c r="AL45" i="14"/>
  <c r="AL65" i="14"/>
  <c r="AJ9" i="13"/>
  <c r="AM4" i="14"/>
  <c r="AL14" i="14"/>
  <c r="AL16" i="14"/>
  <c r="AL15" i="14"/>
  <c r="AL17" i="14"/>
  <c r="AK9" i="13" l="1"/>
  <c r="AK7" i="13"/>
  <c r="AM21" i="14"/>
  <c r="AM20" i="14"/>
  <c r="AM19" i="14"/>
  <c r="AM18" i="14"/>
  <c r="AM22" i="14"/>
  <c r="AM23" i="14"/>
  <c r="AM26" i="14"/>
  <c r="AM27" i="14"/>
  <c r="AM24" i="14"/>
  <c r="AM25" i="14"/>
  <c r="AM29" i="14"/>
  <c r="AM28" i="14"/>
  <c r="AM78" i="14"/>
  <c r="AM90" i="14"/>
  <c r="AM94" i="14"/>
  <c r="AM58" i="14"/>
  <c r="AM66" i="14"/>
  <c r="AM59" i="14"/>
  <c r="AM86" i="14"/>
  <c r="AM67" i="14"/>
  <c r="AM79" i="14"/>
  <c r="AM82" i="14"/>
  <c r="AM95" i="14"/>
  <c r="AM74" i="14"/>
  <c r="AM91" i="14"/>
  <c r="AM34" i="14"/>
  <c r="AM87" i="14"/>
  <c r="AM83" i="14"/>
  <c r="AM93" i="14"/>
  <c r="AM54" i="14"/>
  <c r="AM38" i="14"/>
  <c r="AM69" i="14"/>
  <c r="AM42" i="14"/>
  <c r="AM30" i="14"/>
  <c r="AM68" i="14"/>
  <c r="AM97" i="14"/>
  <c r="AM98" i="14"/>
  <c r="AM50" i="14"/>
  <c r="AM80" i="14"/>
  <c r="AM70" i="14"/>
  <c r="AM81" i="14"/>
  <c r="AM92" i="14"/>
  <c r="AM46" i="14"/>
  <c r="AM60" i="14"/>
  <c r="AM75" i="14"/>
  <c r="AM62" i="14"/>
  <c r="AM96" i="14"/>
  <c r="AM61" i="14"/>
  <c r="AM85" i="14"/>
  <c r="AM43" i="14"/>
  <c r="AM89" i="14"/>
  <c r="AM76" i="14"/>
  <c r="AM88" i="14"/>
  <c r="AM71" i="14"/>
  <c r="AM63" i="14"/>
  <c r="AM55" i="14"/>
  <c r="AM84" i="14"/>
  <c r="AM47" i="14"/>
  <c r="AM39" i="14"/>
  <c r="AM51" i="14"/>
  <c r="AM31" i="14"/>
  <c r="AM99" i="14"/>
  <c r="AM35" i="14"/>
  <c r="AM77" i="14"/>
  <c r="AM33" i="14"/>
  <c r="AM65" i="14"/>
  <c r="AM37" i="14"/>
  <c r="AM36" i="14"/>
  <c r="AM40" i="14"/>
  <c r="AM64" i="14"/>
  <c r="AM73" i="14"/>
  <c r="AM48" i="14"/>
  <c r="AM101" i="14"/>
  <c r="AM52" i="14"/>
  <c r="AM100" i="14"/>
  <c r="AM56" i="14"/>
  <c r="AM57" i="14"/>
  <c r="AM45" i="14"/>
  <c r="AM32" i="14"/>
  <c r="AM41" i="14"/>
  <c r="AM44" i="14"/>
  <c r="AM72" i="14"/>
  <c r="AM53" i="14"/>
  <c r="AM49" i="14"/>
  <c r="AM4" i="13"/>
  <c r="AL22" i="13"/>
  <c r="AL14" i="13"/>
  <c r="AL25" i="13"/>
  <c r="AL21" i="13"/>
  <c r="AL16" i="13"/>
  <c r="AL24" i="13"/>
  <c r="AL15" i="13"/>
  <c r="AL20" i="13"/>
  <c r="AL18" i="13"/>
  <c r="AL23" i="13"/>
  <c r="AL19" i="13"/>
  <c r="AL17" i="13"/>
  <c r="AL8" i="14"/>
  <c r="AK8" i="13"/>
  <c r="AL10" i="14"/>
  <c r="AK10" i="13"/>
  <c r="AL9" i="14"/>
  <c r="AL7" i="14"/>
  <c r="AN4" i="14"/>
  <c r="AM14" i="14"/>
  <c r="AM16" i="14"/>
  <c r="AM17" i="14"/>
  <c r="AM15" i="14"/>
  <c r="AL7" i="13" l="1"/>
  <c r="AN19" i="14"/>
  <c r="AN20" i="14"/>
  <c r="AN18" i="14"/>
  <c r="AN21" i="14"/>
  <c r="AN22" i="14"/>
  <c r="AN23" i="14"/>
  <c r="AN26" i="14"/>
  <c r="AN25" i="14"/>
  <c r="AN24" i="14"/>
  <c r="AN27" i="14"/>
  <c r="AN28" i="14"/>
  <c r="AN29" i="14"/>
  <c r="AN78" i="14"/>
  <c r="AN66" i="14"/>
  <c r="AN90" i="14"/>
  <c r="AN58" i="14"/>
  <c r="AN94" i="14"/>
  <c r="AN79" i="14"/>
  <c r="AN59" i="14"/>
  <c r="AN67" i="14"/>
  <c r="AN95" i="14"/>
  <c r="AN74" i="14"/>
  <c r="AN86" i="14"/>
  <c r="AN82" i="14"/>
  <c r="AN91" i="14"/>
  <c r="AN46" i="14"/>
  <c r="AN97" i="14"/>
  <c r="AN68" i="14"/>
  <c r="AN50" i="14"/>
  <c r="AN54" i="14"/>
  <c r="AN62" i="14"/>
  <c r="AN92" i="14"/>
  <c r="AN70" i="14"/>
  <c r="AN93" i="14"/>
  <c r="AN61" i="14"/>
  <c r="AN42" i="14"/>
  <c r="AN96" i="14"/>
  <c r="AN81" i="14"/>
  <c r="AN60" i="14"/>
  <c r="AN69" i="14"/>
  <c r="AN83" i="14"/>
  <c r="AN38" i="14"/>
  <c r="AN30" i="14"/>
  <c r="AN98" i="14"/>
  <c r="AN80" i="14"/>
  <c r="AN75" i="14"/>
  <c r="AN34" i="14"/>
  <c r="AN87" i="14"/>
  <c r="AN99" i="14"/>
  <c r="AN77" i="14"/>
  <c r="AN71" i="14"/>
  <c r="AN89" i="14"/>
  <c r="AN63" i="14"/>
  <c r="AN39" i="14"/>
  <c r="AN55" i="14"/>
  <c r="AN88" i="14"/>
  <c r="AN35" i="14"/>
  <c r="AN85" i="14"/>
  <c r="AN47" i="14"/>
  <c r="AN84" i="14"/>
  <c r="AN43" i="14"/>
  <c r="AN31" i="14"/>
  <c r="AN51" i="14"/>
  <c r="AN76" i="14"/>
  <c r="AN73" i="14"/>
  <c r="AN37" i="14"/>
  <c r="AN36" i="14"/>
  <c r="AN52" i="14"/>
  <c r="AN53" i="14"/>
  <c r="AN72" i="14"/>
  <c r="AN100" i="14"/>
  <c r="AN48" i="14"/>
  <c r="AN41" i="14"/>
  <c r="AN57" i="14"/>
  <c r="AN65" i="14"/>
  <c r="AN40" i="14"/>
  <c r="AN101" i="14"/>
  <c r="AN33" i="14"/>
  <c r="AN56" i="14"/>
  <c r="AN49" i="14"/>
  <c r="AN44" i="14"/>
  <c r="AN45" i="14"/>
  <c r="AN32" i="14"/>
  <c r="AN64" i="14"/>
  <c r="AN4" i="13"/>
  <c r="AM18" i="13"/>
  <c r="AM24" i="13"/>
  <c r="AM15" i="13"/>
  <c r="AM20" i="13"/>
  <c r="AM22" i="13"/>
  <c r="AM25" i="13"/>
  <c r="AM21" i="13"/>
  <c r="AM17" i="13"/>
  <c r="AM10" i="13" s="1"/>
  <c r="AM16" i="13"/>
  <c r="AM14" i="13"/>
  <c r="AM7" i="13" s="1"/>
  <c r="AM19" i="13"/>
  <c r="AM23" i="13"/>
  <c r="AM8" i="14"/>
  <c r="AL8" i="13"/>
  <c r="AM10" i="14"/>
  <c r="AL9" i="13"/>
  <c r="AM9" i="14"/>
  <c r="AM7" i="14"/>
  <c r="AL10" i="13"/>
  <c r="AO4" i="14"/>
  <c r="AN14" i="14"/>
  <c r="AN15" i="14"/>
  <c r="AN16" i="14"/>
  <c r="AN17" i="14"/>
  <c r="AM8" i="13" l="1"/>
  <c r="AN10" i="14"/>
  <c r="AM9" i="13"/>
  <c r="AO4" i="13"/>
  <c r="AN15" i="13"/>
  <c r="AN24" i="13"/>
  <c r="AN20" i="13"/>
  <c r="AN17" i="13"/>
  <c r="AN22" i="13"/>
  <c r="AN18" i="13"/>
  <c r="AN16" i="13"/>
  <c r="AN19" i="13"/>
  <c r="AN25" i="13"/>
  <c r="AN21" i="13"/>
  <c r="AN23" i="13"/>
  <c r="AN14" i="13"/>
  <c r="AN9" i="14"/>
  <c r="AN8" i="14"/>
  <c r="AN7" i="14"/>
  <c r="AO20" i="14"/>
  <c r="AO18" i="14"/>
  <c r="AO19" i="14"/>
  <c r="AO21" i="14"/>
  <c r="AO22" i="14"/>
  <c r="AO26" i="14"/>
  <c r="AO23" i="14"/>
  <c r="AO27" i="14"/>
  <c r="AO24" i="14"/>
  <c r="AO25" i="14"/>
  <c r="AO29" i="14"/>
  <c r="AO28" i="14"/>
  <c r="AO94" i="14"/>
  <c r="AO58" i="14"/>
  <c r="AO78" i="14"/>
  <c r="AO90" i="14"/>
  <c r="AO66" i="14"/>
  <c r="AO82" i="14"/>
  <c r="AO74" i="14"/>
  <c r="AO79" i="14"/>
  <c r="AO59" i="14"/>
  <c r="AO91" i="14"/>
  <c r="AO86" i="14"/>
  <c r="AO67" i="14"/>
  <c r="AO95" i="14"/>
  <c r="AO83" i="14"/>
  <c r="AO60" i="14"/>
  <c r="AO96" i="14"/>
  <c r="AO87" i="14"/>
  <c r="AO75" i="14"/>
  <c r="AO68" i="14"/>
  <c r="AO80" i="14"/>
  <c r="AO70" i="14"/>
  <c r="AO50" i="14"/>
  <c r="AO38" i="14"/>
  <c r="AO30" i="14"/>
  <c r="AO69" i="14"/>
  <c r="AO42" i="14"/>
  <c r="AO93" i="14"/>
  <c r="AO62" i="14"/>
  <c r="AO34" i="14"/>
  <c r="AO54" i="14"/>
  <c r="AO98" i="14"/>
  <c r="AO61" i="14"/>
  <c r="AO81" i="14"/>
  <c r="AO46" i="14"/>
  <c r="AO92" i="14"/>
  <c r="AO97" i="14"/>
  <c r="AO31" i="14"/>
  <c r="AO47" i="14"/>
  <c r="AO84" i="14"/>
  <c r="AO71" i="14"/>
  <c r="AO77" i="14"/>
  <c r="AO55" i="14"/>
  <c r="AO99" i="14"/>
  <c r="AO89" i="14"/>
  <c r="AO63" i="14"/>
  <c r="AO51" i="14"/>
  <c r="AO35" i="14"/>
  <c r="AO85" i="14"/>
  <c r="AO76" i="14"/>
  <c r="AO88" i="14"/>
  <c r="AO43" i="14"/>
  <c r="AO39" i="14"/>
  <c r="AO52" i="14"/>
  <c r="AO100" i="14"/>
  <c r="AO49" i="14"/>
  <c r="AO72" i="14"/>
  <c r="AO57" i="14"/>
  <c r="AO45" i="14"/>
  <c r="AO33" i="14"/>
  <c r="AO73" i="14"/>
  <c r="AO37" i="14"/>
  <c r="AO101" i="14"/>
  <c r="AO44" i="14"/>
  <c r="AO41" i="14"/>
  <c r="AO36" i="14"/>
  <c r="AO40" i="14"/>
  <c r="AO65" i="14"/>
  <c r="AO48" i="14"/>
  <c r="AO53" i="14"/>
  <c r="AO56" i="14"/>
  <c r="AO64" i="14"/>
  <c r="AO32" i="14"/>
  <c r="AP4" i="14"/>
  <c r="AO14" i="14"/>
  <c r="AO15" i="14"/>
  <c r="AO17" i="14"/>
  <c r="AO16" i="14"/>
  <c r="AN10" i="13" l="1"/>
  <c r="AO7" i="14"/>
  <c r="AP21" i="14"/>
  <c r="AP19" i="14"/>
  <c r="AP18" i="14"/>
  <c r="AP20" i="14"/>
  <c r="AP22" i="14"/>
  <c r="AP26" i="14"/>
  <c r="AP23" i="14"/>
  <c r="AP25" i="14"/>
  <c r="AP27" i="14"/>
  <c r="AP24" i="14"/>
  <c r="AP28" i="14"/>
  <c r="AP29" i="14"/>
  <c r="AP78" i="14"/>
  <c r="AP94" i="14"/>
  <c r="AP66" i="14"/>
  <c r="AP90" i="14"/>
  <c r="AP58" i="14"/>
  <c r="AP95" i="14"/>
  <c r="AP82" i="14"/>
  <c r="AP91" i="14"/>
  <c r="AP74" i="14"/>
  <c r="AP86" i="14"/>
  <c r="AP59" i="14"/>
  <c r="AP79" i="14"/>
  <c r="AP67" i="14"/>
  <c r="AP60" i="14"/>
  <c r="AP34" i="14"/>
  <c r="AP81" i="14"/>
  <c r="AP68" i="14"/>
  <c r="AP70" i="14"/>
  <c r="AP42" i="14"/>
  <c r="AP30" i="14"/>
  <c r="AP50" i="14"/>
  <c r="AP61" i="14"/>
  <c r="AP97" i="14"/>
  <c r="AP54" i="14"/>
  <c r="AP75" i="14"/>
  <c r="AP62" i="14"/>
  <c r="AP46" i="14"/>
  <c r="AP69" i="14"/>
  <c r="AP98" i="14"/>
  <c r="AP93" i="14"/>
  <c r="AP87" i="14"/>
  <c r="AP83" i="14"/>
  <c r="AP92" i="14"/>
  <c r="AP38" i="14"/>
  <c r="AP96" i="14"/>
  <c r="AP80" i="14"/>
  <c r="AP55" i="14"/>
  <c r="AP47" i="14"/>
  <c r="AP89" i="14"/>
  <c r="AP43" i="14"/>
  <c r="AP63" i="14"/>
  <c r="AP76" i="14"/>
  <c r="AP71" i="14"/>
  <c r="AP88" i="14"/>
  <c r="AP85" i="14"/>
  <c r="AP35" i="14"/>
  <c r="AP39" i="14"/>
  <c r="AP31" i="14"/>
  <c r="AP77" i="14"/>
  <c r="AP99" i="14"/>
  <c r="AP51" i="14"/>
  <c r="AP84" i="14"/>
  <c r="AP33" i="14"/>
  <c r="AP36" i="14"/>
  <c r="AP37" i="14"/>
  <c r="AP100" i="14"/>
  <c r="AP73" i="14"/>
  <c r="AP44" i="14"/>
  <c r="AP72" i="14"/>
  <c r="AP65" i="14"/>
  <c r="AP64" i="14"/>
  <c r="AP32" i="14"/>
  <c r="AP48" i="14"/>
  <c r="AP53" i="14"/>
  <c r="AP49" i="14"/>
  <c r="AP57" i="14"/>
  <c r="AP45" i="14"/>
  <c r="AP52" i="14"/>
  <c r="AP40" i="14"/>
  <c r="AP101" i="14"/>
  <c r="AP41" i="14"/>
  <c r="AP56" i="14"/>
  <c r="AP4" i="13"/>
  <c r="AO20" i="13"/>
  <c r="AO18" i="13"/>
  <c r="AO15" i="13"/>
  <c r="AO22" i="13"/>
  <c r="AO25" i="13"/>
  <c r="AO21" i="13"/>
  <c r="AO17" i="13"/>
  <c r="AO10" i="13" s="1"/>
  <c r="AO14" i="13"/>
  <c r="AO16" i="13"/>
  <c r="AO24" i="13"/>
  <c r="AO23" i="13"/>
  <c r="AO19" i="13"/>
  <c r="AN7" i="13"/>
  <c r="AN8" i="13"/>
  <c r="AO10" i="14"/>
  <c r="AN9" i="13"/>
  <c r="AO9" i="14"/>
  <c r="AO8" i="14"/>
  <c r="AQ4" i="14"/>
  <c r="AP14" i="14"/>
  <c r="AP15" i="14"/>
  <c r="AP17" i="14"/>
  <c r="AP16" i="14"/>
  <c r="AO8" i="13" l="1"/>
  <c r="AQ20" i="14"/>
  <c r="AQ19" i="14"/>
  <c r="AQ21" i="14"/>
  <c r="AQ18" i="14"/>
  <c r="AQ22" i="14"/>
  <c r="AQ26" i="14"/>
  <c r="AQ23" i="14"/>
  <c r="AQ27" i="14"/>
  <c r="AQ24" i="14"/>
  <c r="AQ25" i="14"/>
  <c r="AQ29" i="14"/>
  <c r="AQ28" i="14"/>
  <c r="AQ94" i="14"/>
  <c r="AQ78" i="14"/>
  <c r="AQ90" i="14"/>
  <c r="AQ66" i="14"/>
  <c r="AQ58" i="14"/>
  <c r="AQ95" i="14"/>
  <c r="AQ59" i="14"/>
  <c r="AQ82" i="14"/>
  <c r="AQ74" i="14"/>
  <c r="AQ91" i="14"/>
  <c r="AQ79" i="14"/>
  <c r="AQ86" i="14"/>
  <c r="AQ67" i="14"/>
  <c r="AQ92" i="14"/>
  <c r="AQ93" i="14"/>
  <c r="AQ46" i="14"/>
  <c r="AQ50" i="14"/>
  <c r="AQ34" i="14"/>
  <c r="AQ70" i="14"/>
  <c r="AQ68" i="14"/>
  <c r="AQ80" i="14"/>
  <c r="AQ87" i="14"/>
  <c r="AQ75" i="14"/>
  <c r="AQ69" i="14"/>
  <c r="AQ83" i="14"/>
  <c r="AQ98" i="14"/>
  <c r="AQ42" i="14"/>
  <c r="AQ54" i="14"/>
  <c r="AQ62" i="14"/>
  <c r="AQ81" i="14"/>
  <c r="AQ60" i="14"/>
  <c r="AQ97" i="14"/>
  <c r="AQ61" i="14"/>
  <c r="AQ96" i="14"/>
  <c r="AQ30" i="14"/>
  <c r="AQ38" i="14"/>
  <c r="AQ84" i="14"/>
  <c r="AQ85" i="14"/>
  <c r="AQ43" i="14"/>
  <c r="AQ76" i="14"/>
  <c r="AQ71" i="14"/>
  <c r="AQ89" i="14"/>
  <c r="AQ99" i="14"/>
  <c r="AQ77" i="14"/>
  <c r="AQ31" i="14"/>
  <c r="AQ35" i="14"/>
  <c r="AQ51" i="14"/>
  <c r="AQ39" i="14"/>
  <c r="AQ47" i="14"/>
  <c r="AQ63" i="14"/>
  <c r="AQ55" i="14"/>
  <c r="AQ88" i="14"/>
  <c r="AQ49" i="14"/>
  <c r="AQ37" i="14"/>
  <c r="AQ33" i="14"/>
  <c r="AQ36" i="14"/>
  <c r="AQ44" i="14"/>
  <c r="AQ72" i="14"/>
  <c r="AQ57" i="14"/>
  <c r="AQ45" i="14"/>
  <c r="AQ65" i="14"/>
  <c r="AQ48" i="14"/>
  <c r="AQ53" i="14"/>
  <c r="AQ64" i="14"/>
  <c r="AQ52" i="14"/>
  <c r="AQ100" i="14"/>
  <c r="AQ40" i="14"/>
  <c r="AQ101" i="14"/>
  <c r="AQ41" i="14"/>
  <c r="AQ56" i="14"/>
  <c r="AQ32" i="14"/>
  <c r="AQ73" i="14"/>
  <c r="AO7" i="13"/>
  <c r="AQ4" i="13"/>
  <c r="AP16" i="13"/>
  <c r="AP24" i="13"/>
  <c r="AP14" i="13"/>
  <c r="AP15" i="13"/>
  <c r="AP23" i="13"/>
  <c r="AP25" i="13"/>
  <c r="AP21" i="13"/>
  <c r="AP17" i="13"/>
  <c r="AP22" i="13"/>
  <c r="AP18" i="13"/>
  <c r="AP20" i="13"/>
  <c r="AP19" i="13"/>
  <c r="AO9" i="13"/>
  <c r="AP9" i="14"/>
  <c r="AP10" i="14"/>
  <c r="AP8" i="14"/>
  <c r="AP7" i="14"/>
  <c r="AR4" i="14"/>
  <c r="AQ14" i="14"/>
  <c r="AQ15" i="14"/>
  <c r="AQ17" i="14"/>
  <c r="AQ16" i="14"/>
  <c r="AP10" i="13" l="1"/>
  <c r="AQ7" i="14"/>
  <c r="AP7" i="13"/>
  <c r="AP9" i="13"/>
  <c r="AQ9" i="14"/>
  <c r="AR19" i="14"/>
  <c r="AR21" i="14"/>
  <c r="AR18" i="14"/>
  <c r="AR20" i="14"/>
  <c r="AR22" i="14"/>
  <c r="AR23" i="14"/>
  <c r="AR26" i="14"/>
  <c r="AR24" i="14"/>
  <c r="AR25" i="14"/>
  <c r="AR27" i="14"/>
  <c r="AR29" i="14"/>
  <c r="AR28" i="14"/>
  <c r="AR78" i="14"/>
  <c r="AR58" i="14"/>
  <c r="AR90" i="14"/>
  <c r="AR66" i="14"/>
  <c r="AR94" i="14"/>
  <c r="AR67" i="14"/>
  <c r="AR95" i="14"/>
  <c r="AR86" i="14"/>
  <c r="AR91" i="14"/>
  <c r="AR82" i="14"/>
  <c r="AR79" i="14"/>
  <c r="AR59" i="14"/>
  <c r="AR74" i="14"/>
  <c r="AR54" i="14"/>
  <c r="AR62" i="14"/>
  <c r="AR81" i="14"/>
  <c r="AR42" i="14"/>
  <c r="AR50" i="14"/>
  <c r="AR97" i="14"/>
  <c r="AR87" i="14"/>
  <c r="AR68" i="14"/>
  <c r="AR38" i="14"/>
  <c r="AR96" i="14"/>
  <c r="AR75" i="14"/>
  <c r="AR30" i="14"/>
  <c r="AR61" i="14"/>
  <c r="AR92" i="14"/>
  <c r="AR60" i="14"/>
  <c r="AR34" i="14"/>
  <c r="AR69" i="14"/>
  <c r="AR93" i="14"/>
  <c r="AR98" i="14"/>
  <c r="AR80" i="14"/>
  <c r="AR70" i="14"/>
  <c r="AR83" i="14"/>
  <c r="AR46" i="14"/>
  <c r="AR39" i="14"/>
  <c r="AR51" i="14"/>
  <c r="AR77" i="14"/>
  <c r="AR71" i="14"/>
  <c r="AR43" i="14"/>
  <c r="AR47" i="14"/>
  <c r="AR84" i="14"/>
  <c r="AR35" i="14"/>
  <c r="AR85" i="14"/>
  <c r="AR76" i="14"/>
  <c r="AR55" i="14"/>
  <c r="AR89" i="14"/>
  <c r="AR63" i="14"/>
  <c r="AR88" i="14"/>
  <c r="AR99" i="14"/>
  <c r="AR31" i="14"/>
  <c r="AR101" i="14"/>
  <c r="AR36" i="14"/>
  <c r="AR45" i="14"/>
  <c r="AR65" i="14"/>
  <c r="AR48" i="14"/>
  <c r="AR41" i="14"/>
  <c r="AR44" i="14"/>
  <c r="AR57" i="14"/>
  <c r="AR37" i="14"/>
  <c r="AR56" i="14"/>
  <c r="AR73" i="14"/>
  <c r="AR53" i="14"/>
  <c r="AR32" i="14"/>
  <c r="AR40" i="14"/>
  <c r="AR49" i="14"/>
  <c r="AR72" i="14"/>
  <c r="AR64" i="14"/>
  <c r="AR52" i="14"/>
  <c r="AR100" i="14"/>
  <c r="AR33" i="14"/>
  <c r="AR4" i="13"/>
  <c r="AQ17" i="13"/>
  <c r="AQ15" i="13"/>
  <c r="AQ22" i="13"/>
  <c r="AQ18" i="13"/>
  <c r="AQ16" i="13"/>
  <c r="AQ14" i="13"/>
  <c r="AQ25" i="13"/>
  <c r="AQ21" i="13"/>
  <c r="AQ24" i="13"/>
  <c r="AQ19" i="13"/>
  <c r="AQ20" i="13"/>
  <c r="AQ23" i="13"/>
  <c r="AQ10" i="14"/>
  <c r="AQ8" i="14"/>
  <c r="AP8" i="13"/>
  <c r="AS4" i="14"/>
  <c r="AR14" i="14"/>
  <c r="AR17" i="14"/>
  <c r="AR15" i="14"/>
  <c r="AR16" i="14"/>
  <c r="AQ7" i="13" l="1"/>
  <c r="AQ10" i="13"/>
  <c r="AR7" i="14"/>
  <c r="AS18" i="14"/>
  <c r="AS20" i="14"/>
  <c r="AS19" i="14"/>
  <c r="AS21" i="14"/>
  <c r="AS22" i="14"/>
  <c r="AS23" i="14"/>
  <c r="AS26" i="14"/>
  <c r="AS24" i="14"/>
  <c r="AS27" i="14"/>
  <c r="AS25" i="14"/>
  <c r="AS29" i="14"/>
  <c r="AS28" i="14"/>
  <c r="AS78" i="14"/>
  <c r="AS66" i="14"/>
  <c r="AS94" i="14"/>
  <c r="AS58" i="14"/>
  <c r="AS90" i="14"/>
  <c r="AS95" i="14"/>
  <c r="AS67" i="14"/>
  <c r="AS82" i="14"/>
  <c r="AS86" i="14"/>
  <c r="AS79" i="14"/>
  <c r="AS74" i="14"/>
  <c r="AS59" i="14"/>
  <c r="AS91" i="14"/>
  <c r="AS81" i="14"/>
  <c r="AS92" i="14"/>
  <c r="AS97" i="14"/>
  <c r="AS38" i="14"/>
  <c r="AS60" i="14"/>
  <c r="AS93" i="14"/>
  <c r="AS54" i="14"/>
  <c r="AS75" i="14"/>
  <c r="AS87" i="14"/>
  <c r="AS34" i="14"/>
  <c r="AS69" i="14"/>
  <c r="AS83" i="14"/>
  <c r="AS61" i="14"/>
  <c r="AS68" i="14"/>
  <c r="AS80" i="14"/>
  <c r="AS98" i="14"/>
  <c r="AS70" i="14"/>
  <c r="AS42" i="14"/>
  <c r="AS46" i="14"/>
  <c r="AS50" i="14"/>
  <c r="AS62" i="14"/>
  <c r="AS96" i="14"/>
  <c r="AS30" i="14"/>
  <c r="AS51" i="14"/>
  <c r="AS31" i="14"/>
  <c r="AS88" i="14"/>
  <c r="AS71" i="14"/>
  <c r="AS77" i="14"/>
  <c r="AS84" i="14"/>
  <c r="AS35" i="14"/>
  <c r="AS55" i="14"/>
  <c r="AS47" i="14"/>
  <c r="AS99" i="14"/>
  <c r="AS85" i="14"/>
  <c r="AS63" i="14"/>
  <c r="AS39" i="14"/>
  <c r="AS89" i="14"/>
  <c r="AS76" i="14"/>
  <c r="AS43" i="14"/>
  <c r="AS32" i="14"/>
  <c r="AS53" i="14"/>
  <c r="AS72" i="14"/>
  <c r="AS41" i="14"/>
  <c r="AS56" i="14"/>
  <c r="AS57" i="14"/>
  <c r="AS65" i="14"/>
  <c r="AS52" i="14"/>
  <c r="AS101" i="14"/>
  <c r="AS64" i="14"/>
  <c r="AS45" i="14"/>
  <c r="AS36" i="14"/>
  <c r="AS33" i="14"/>
  <c r="AS49" i="14"/>
  <c r="AS37" i="14"/>
  <c r="AS44" i="14"/>
  <c r="AS100" i="14"/>
  <c r="AS48" i="14"/>
  <c r="AS40" i="14"/>
  <c r="AS73" i="14"/>
  <c r="AQ9" i="13"/>
  <c r="AR9" i="14"/>
  <c r="AR8" i="14"/>
  <c r="AS4" i="13"/>
  <c r="AR17" i="13"/>
  <c r="AR20" i="13"/>
  <c r="AR18" i="13"/>
  <c r="AR24" i="13"/>
  <c r="AR14" i="13"/>
  <c r="AR16" i="13"/>
  <c r="AR22" i="13"/>
  <c r="AR25" i="13"/>
  <c r="AR21" i="13"/>
  <c r="AR23" i="13"/>
  <c r="AR19" i="13"/>
  <c r="AR15" i="13"/>
  <c r="AR10" i="14"/>
  <c r="AQ8" i="13"/>
  <c r="AT4" i="14"/>
  <c r="AS14" i="14"/>
  <c r="AS17" i="14"/>
  <c r="AS15" i="14"/>
  <c r="AS16" i="14"/>
  <c r="AR9" i="13" l="1"/>
  <c r="AR8" i="13"/>
  <c r="AS7" i="14"/>
  <c r="AT4" i="13"/>
  <c r="AS25" i="13"/>
  <c r="AS21" i="13"/>
  <c r="AS14" i="13"/>
  <c r="AS16" i="13"/>
  <c r="AS17" i="13"/>
  <c r="AS15" i="13"/>
  <c r="AS18" i="13"/>
  <c r="AS20" i="13"/>
  <c r="AS19" i="13"/>
  <c r="AS23" i="13"/>
  <c r="AS22" i="13"/>
  <c r="AS24" i="13"/>
  <c r="AS9" i="14"/>
  <c r="AT18" i="14"/>
  <c r="AT21" i="14"/>
  <c r="AT20" i="14"/>
  <c r="AT19" i="14"/>
  <c r="AT22" i="14"/>
  <c r="AT26" i="14"/>
  <c r="AT23" i="14"/>
  <c r="AT25" i="14"/>
  <c r="AT27" i="14"/>
  <c r="AT24" i="14"/>
  <c r="AT29" i="14"/>
  <c r="AT28" i="14"/>
  <c r="AT58" i="14"/>
  <c r="AT90" i="14"/>
  <c r="AT66" i="14"/>
  <c r="AT78" i="14"/>
  <c r="AT94" i="14"/>
  <c r="AT74" i="14"/>
  <c r="AT91" i="14"/>
  <c r="AT59" i="14"/>
  <c r="AT82" i="14"/>
  <c r="AT86" i="14"/>
  <c r="AT67" i="14"/>
  <c r="AT95" i="14"/>
  <c r="AT79" i="14"/>
  <c r="AT62" i="14"/>
  <c r="AT42" i="14"/>
  <c r="AT96" i="14"/>
  <c r="AT81" i="14"/>
  <c r="AT60" i="14"/>
  <c r="AT97" i="14"/>
  <c r="AT68" i="14"/>
  <c r="AT80" i="14"/>
  <c r="AT93" i="14"/>
  <c r="AT83" i="14"/>
  <c r="AT46" i="14"/>
  <c r="AT87" i="14"/>
  <c r="AT98" i="14"/>
  <c r="AT61" i="14"/>
  <c r="AT69" i="14"/>
  <c r="AT38" i="14"/>
  <c r="AT92" i="14"/>
  <c r="AT30" i="14"/>
  <c r="AT54" i="14"/>
  <c r="AT75" i="14"/>
  <c r="AT50" i="14"/>
  <c r="AT34" i="14"/>
  <c r="AT70" i="14"/>
  <c r="AT71" i="14"/>
  <c r="AT76" i="14"/>
  <c r="AT85" i="14"/>
  <c r="AT99" i="14"/>
  <c r="AT39" i="14"/>
  <c r="AT63" i="14"/>
  <c r="AT35" i="14"/>
  <c r="AT51" i="14"/>
  <c r="AT47" i="14"/>
  <c r="AT31" i="14"/>
  <c r="AT55" i="14"/>
  <c r="AT84" i="14"/>
  <c r="AT88" i="14"/>
  <c r="AT89" i="14"/>
  <c r="AT77" i="14"/>
  <c r="AT43" i="14"/>
  <c r="AT56" i="14"/>
  <c r="AT36" i="14"/>
  <c r="AT72" i="14"/>
  <c r="AT64" i="14"/>
  <c r="AT37" i="14"/>
  <c r="AT41" i="14"/>
  <c r="AT49" i="14"/>
  <c r="AT73" i="14"/>
  <c r="AT52" i="14"/>
  <c r="AT45" i="14"/>
  <c r="AT65" i="14"/>
  <c r="AT33" i="14"/>
  <c r="AT32" i="14"/>
  <c r="AT44" i="14"/>
  <c r="AT53" i="14"/>
  <c r="AT57" i="14"/>
  <c r="AT40" i="14"/>
  <c r="AT100" i="14"/>
  <c r="AT48" i="14"/>
  <c r="AT101" i="14"/>
  <c r="AR7" i="13"/>
  <c r="AS8" i="14"/>
  <c r="AS10" i="14"/>
  <c r="AR10" i="13"/>
  <c r="AU4" i="14"/>
  <c r="AT14" i="14"/>
  <c r="AT16" i="14"/>
  <c r="AT15" i="14"/>
  <c r="AT17" i="14"/>
  <c r="AS10" i="13" l="1"/>
  <c r="AT7" i="14"/>
  <c r="AS8" i="13"/>
  <c r="AS7" i="13"/>
  <c r="AT10" i="14"/>
  <c r="AU20" i="14"/>
  <c r="AU19" i="14"/>
  <c r="AU18" i="14"/>
  <c r="AU21" i="14"/>
  <c r="AU22" i="14"/>
  <c r="AU23" i="14"/>
  <c r="AU26" i="14"/>
  <c r="AU24" i="14"/>
  <c r="AU27" i="14"/>
  <c r="AU25" i="14"/>
  <c r="AU28" i="14"/>
  <c r="AU29" i="14"/>
  <c r="AU78" i="14"/>
  <c r="AU90" i="14"/>
  <c r="AU94" i="14"/>
  <c r="AU66" i="14"/>
  <c r="AU58" i="14"/>
  <c r="AU82" i="14"/>
  <c r="AU86" i="14"/>
  <c r="AU74" i="14"/>
  <c r="AU59" i="14"/>
  <c r="AU91" i="14"/>
  <c r="AU67" i="14"/>
  <c r="AU79" i="14"/>
  <c r="AU95" i="14"/>
  <c r="AU92" i="14"/>
  <c r="AU70" i="14"/>
  <c r="AU61" i="14"/>
  <c r="AU38" i="14"/>
  <c r="AU68" i="14"/>
  <c r="AU34" i="14"/>
  <c r="AU96" i="14"/>
  <c r="AU50" i="14"/>
  <c r="AU97" i="14"/>
  <c r="AU30" i="14"/>
  <c r="AU62" i="14"/>
  <c r="AU69" i="14"/>
  <c r="AU60" i="14"/>
  <c r="AU93" i="14"/>
  <c r="AU81" i="14"/>
  <c r="AU54" i="14"/>
  <c r="AU75" i="14"/>
  <c r="AU80" i="14"/>
  <c r="AU46" i="14"/>
  <c r="AU87" i="14"/>
  <c r="AU83" i="14"/>
  <c r="AU42" i="14"/>
  <c r="AU98" i="14"/>
  <c r="AU99" i="14"/>
  <c r="AU63" i="14"/>
  <c r="AU76" i="14"/>
  <c r="AU39" i="14"/>
  <c r="AU77" i="14"/>
  <c r="AU84" i="14"/>
  <c r="AU71" i="14"/>
  <c r="AU89" i="14"/>
  <c r="AU55" i="14"/>
  <c r="AU43" i="14"/>
  <c r="AU85" i="14"/>
  <c r="AU51" i="14"/>
  <c r="AU47" i="14"/>
  <c r="AU35" i="14"/>
  <c r="AU88" i="14"/>
  <c r="AU31" i="14"/>
  <c r="AU48" i="14"/>
  <c r="AU101" i="14"/>
  <c r="AU44" i="14"/>
  <c r="AU65" i="14"/>
  <c r="AU40" i="14"/>
  <c r="AU72" i="14"/>
  <c r="AU37" i="14"/>
  <c r="AU33" i="14"/>
  <c r="AU53" i="14"/>
  <c r="AU49" i="14"/>
  <c r="AU57" i="14"/>
  <c r="AU32" i="14"/>
  <c r="AU52" i="14"/>
  <c r="AU56" i="14"/>
  <c r="AU100" i="14"/>
  <c r="AU41" i="14"/>
  <c r="AU73" i="14"/>
  <c r="AU36" i="14"/>
  <c r="AU45" i="14"/>
  <c r="AU64" i="14"/>
  <c r="AS9" i="13"/>
  <c r="AT8" i="14"/>
  <c r="AT9" i="14"/>
  <c r="AU4" i="13"/>
  <c r="AT18" i="13"/>
  <c r="AT20" i="13"/>
  <c r="AT25" i="13"/>
  <c r="AT21" i="13"/>
  <c r="AT24" i="13"/>
  <c r="AT22" i="13"/>
  <c r="AT16" i="13"/>
  <c r="AT15" i="13"/>
  <c r="AT14" i="13"/>
  <c r="AT23" i="13"/>
  <c r="AT19" i="13"/>
  <c r="AT17" i="13"/>
  <c r="AV4" i="14"/>
  <c r="AU14" i="14"/>
  <c r="AU16" i="14"/>
  <c r="AU15" i="14"/>
  <c r="AU17" i="14"/>
  <c r="AT10" i="13" l="1"/>
  <c r="AT8" i="13"/>
  <c r="AU10" i="14"/>
  <c r="AU7" i="14"/>
  <c r="AV20" i="14"/>
  <c r="AV19" i="14"/>
  <c r="AV21" i="14"/>
  <c r="AV18" i="14"/>
  <c r="AV22" i="14"/>
  <c r="AV23" i="14"/>
  <c r="AV26" i="14"/>
  <c r="AV24" i="14"/>
  <c r="AV25" i="14"/>
  <c r="AV27" i="14"/>
  <c r="AV28" i="14"/>
  <c r="AV29" i="14"/>
  <c r="AV66" i="14"/>
  <c r="AV78" i="14"/>
  <c r="AV94" i="14"/>
  <c r="AV90" i="14"/>
  <c r="AV58" i="14"/>
  <c r="AV79" i="14"/>
  <c r="AV59" i="14"/>
  <c r="AV91" i="14"/>
  <c r="AV82" i="14"/>
  <c r="AV95" i="14"/>
  <c r="AV86" i="14"/>
  <c r="AV74" i="14"/>
  <c r="AV67" i="14"/>
  <c r="AV75" i="14"/>
  <c r="AV87" i="14"/>
  <c r="AV98" i="14"/>
  <c r="AV50" i="14"/>
  <c r="AV34" i="14"/>
  <c r="AV38" i="14"/>
  <c r="AV30" i="14"/>
  <c r="AV97" i="14"/>
  <c r="AV69" i="14"/>
  <c r="AV81" i="14"/>
  <c r="AV92" i="14"/>
  <c r="AV70" i="14"/>
  <c r="AV61" i="14"/>
  <c r="AV96" i="14"/>
  <c r="AV62" i="14"/>
  <c r="AV60" i="14"/>
  <c r="AV42" i="14"/>
  <c r="AV46" i="14"/>
  <c r="AV80" i="14"/>
  <c r="AV83" i="14"/>
  <c r="AV93" i="14"/>
  <c r="AV68" i="14"/>
  <c r="AV54" i="14"/>
  <c r="AV47" i="14"/>
  <c r="AV88" i="14"/>
  <c r="AV89" i="14"/>
  <c r="AV77" i="14"/>
  <c r="AV43" i="14"/>
  <c r="AV51" i="14"/>
  <c r="AV35" i="14"/>
  <c r="AV63" i="14"/>
  <c r="AV76" i="14"/>
  <c r="AV55" i="14"/>
  <c r="AV85" i="14"/>
  <c r="AV39" i="14"/>
  <c r="AV31" i="14"/>
  <c r="AV71" i="14"/>
  <c r="AV99" i="14"/>
  <c r="AV84" i="14"/>
  <c r="AV64" i="14"/>
  <c r="AV73" i="14"/>
  <c r="AV49" i="14"/>
  <c r="AV57" i="14"/>
  <c r="AV52" i="14"/>
  <c r="AV100" i="14"/>
  <c r="AV33" i="14"/>
  <c r="AV37" i="14"/>
  <c r="AV101" i="14"/>
  <c r="AV32" i="14"/>
  <c r="AV72" i="14"/>
  <c r="AV48" i="14"/>
  <c r="AV56" i="14"/>
  <c r="AV36" i="14"/>
  <c r="AV53" i="14"/>
  <c r="AV40" i="14"/>
  <c r="AV44" i="14"/>
  <c r="AV45" i="14"/>
  <c r="AV65" i="14"/>
  <c r="AV41" i="14"/>
  <c r="AT7" i="13"/>
  <c r="AU8" i="14"/>
  <c r="AV4" i="13"/>
  <c r="AU22" i="13"/>
  <c r="AU25" i="13"/>
  <c r="AU21" i="13"/>
  <c r="AU20" i="13"/>
  <c r="AU17" i="13"/>
  <c r="AU16" i="13"/>
  <c r="AU18" i="13"/>
  <c r="AU24" i="13"/>
  <c r="AU14" i="13"/>
  <c r="AU15" i="13"/>
  <c r="AU19" i="13"/>
  <c r="AU23" i="13"/>
  <c r="AU9" i="14"/>
  <c r="AT9" i="13"/>
  <c r="AW4" i="14"/>
  <c r="AV14" i="14"/>
  <c r="AV16" i="14"/>
  <c r="AV15" i="14"/>
  <c r="AV17" i="14"/>
  <c r="AU8" i="13" l="1"/>
  <c r="AU7" i="13"/>
  <c r="AV8" i="14"/>
  <c r="AV9" i="14"/>
  <c r="AV7" i="14"/>
  <c r="AW4" i="13"/>
  <c r="AV22" i="13"/>
  <c r="AV18" i="13"/>
  <c r="AV14" i="13"/>
  <c r="AV17" i="13"/>
  <c r="AV24" i="13"/>
  <c r="AV20" i="13"/>
  <c r="AV15" i="13"/>
  <c r="AV23" i="13"/>
  <c r="AV16" i="13"/>
  <c r="AV25" i="13"/>
  <c r="AV21" i="13"/>
  <c r="AV19" i="13"/>
  <c r="AW19" i="14"/>
  <c r="AW21" i="14"/>
  <c r="AW20" i="14"/>
  <c r="AW18" i="14"/>
  <c r="AW22" i="14"/>
  <c r="AW23" i="14"/>
  <c r="AW26" i="14"/>
  <c r="AW24" i="14"/>
  <c r="AW25" i="14"/>
  <c r="AW27" i="14"/>
  <c r="AW28" i="14"/>
  <c r="AW29" i="14"/>
  <c r="AW78" i="14"/>
  <c r="AW90" i="14"/>
  <c r="AW66" i="14"/>
  <c r="AW58" i="14"/>
  <c r="AW94" i="14"/>
  <c r="AW79" i="14"/>
  <c r="AW91" i="14"/>
  <c r="AW59" i="14"/>
  <c r="AW86" i="14"/>
  <c r="AW74" i="14"/>
  <c r="AW82" i="14"/>
  <c r="AW67" i="14"/>
  <c r="AW95" i="14"/>
  <c r="AW62" i="14"/>
  <c r="AW30" i="14"/>
  <c r="AW68" i="14"/>
  <c r="AW81" i="14"/>
  <c r="AW80" i="14"/>
  <c r="AW42" i="14"/>
  <c r="AW93" i="14"/>
  <c r="AW61" i="14"/>
  <c r="AW38" i="14"/>
  <c r="AW34" i="14"/>
  <c r="AW69" i="14"/>
  <c r="AW83" i="14"/>
  <c r="AW97" i="14"/>
  <c r="AW60" i="14"/>
  <c r="AW96" i="14"/>
  <c r="AW70" i="14"/>
  <c r="AW92" i="14"/>
  <c r="AW50" i="14"/>
  <c r="AW54" i="14"/>
  <c r="AW98" i="14"/>
  <c r="AW75" i="14"/>
  <c r="AW87" i="14"/>
  <c r="AW46" i="14"/>
  <c r="AW77" i="14"/>
  <c r="AW99" i="14"/>
  <c r="AW51" i="14"/>
  <c r="AW84" i="14"/>
  <c r="AW63" i="14"/>
  <c r="AW39" i="14"/>
  <c r="AW47" i="14"/>
  <c r="AW89" i="14"/>
  <c r="AW55" i="14"/>
  <c r="AW71" i="14"/>
  <c r="AW88" i="14"/>
  <c r="AW31" i="14"/>
  <c r="AW43" i="14"/>
  <c r="AW76" i="14"/>
  <c r="AW85" i="14"/>
  <c r="AW35" i="14"/>
  <c r="AW33" i="14"/>
  <c r="AW53" i="14"/>
  <c r="AW64" i="14"/>
  <c r="AW45" i="14"/>
  <c r="AW52" i="14"/>
  <c r="AW48" i="14"/>
  <c r="AW40" i="14"/>
  <c r="AW37" i="14"/>
  <c r="AW32" i="14"/>
  <c r="AW73" i="14"/>
  <c r="AW49" i="14"/>
  <c r="AW100" i="14"/>
  <c r="AW41" i="14"/>
  <c r="AW72" i="14"/>
  <c r="AW44" i="14"/>
  <c r="AW57" i="14"/>
  <c r="AW65" i="14"/>
  <c r="AW36" i="14"/>
  <c r="AW56" i="14"/>
  <c r="AW101" i="14"/>
  <c r="AU9" i="13"/>
  <c r="AU10" i="13"/>
  <c r="AV10" i="14"/>
  <c r="AX4" i="14"/>
  <c r="AW14" i="14"/>
  <c r="AW17" i="14"/>
  <c r="AW16" i="14"/>
  <c r="AW15" i="14"/>
  <c r="AV7" i="13" l="1"/>
  <c r="AV8" i="13"/>
  <c r="AW9" i="14"/>
  <c r="AV10" i="13"/>
  <c r="AX19" i="14"/>
  <c r="AX20" i="14"/>
  <c r="AX18" i="14"/>
  <c r="AX21" i="14"/>
  <c r="AX22" i="14"/>
  <c r="AX23" i="14"/>
  <c r="AX26" i="14"/>
  <c r="AX24" i="14"/>
  <c r="AX25" i="14"/>
  <c r="AX27" i="14"/>
  <c r="AX29" i="14"/>
  <c r="AX28" i="14"/>
  <c r="AX94" i="14"/>
  <c r="AX58" i="14"/>
  <c r="AX90" i="14"/>
  <c r="AX78" i="14"/>
  <c r="AX66" i="14"/>
  <c r="AX95" i="14"/>
  <c r="AX74" i="14"/>
  <c r="AX86" i="14"/>
  <c r="AX67" i="14"/>
  <c r="AX82" i="14"/>
  <c r="AX59" i="14"/>
  <c r="AX79" i="14"/>
  <c r="AX91" i="14"/>
  <c r="AX42" i="14"/>
  <c r="AX54" i="14"/>
  <c r="AX83" i="14"/>
  <c r="AX98" i="14"/>
  <c r="AX81" i="14"/>
  <c r="AX61" i="14"/>
  <c r="AX30" i="14"/>
  <c r="AX70" i="14"/>
  <c r="AX46" i="14"/>
  <c r="AX87" i="14"/>
  <c r="AX68" i="14"/>
  <c r="AX80" i="14"/>
  <c r="AX92" i="14"/>
  <c r="AX96" i="14"/>
  <c r="AX62" i="14"/>
  <c r="AX60" i="14"/>
  <c r="AX93" i="14"/>
  <c r="AX50" i="14"/>
  <c r="AX69" i="14"/>
  <c r="AX38" i="14"/>
  <c r="AX34" i="14"/>
  <c r="AX75" i="14"/>
  <c r="AX97" i="14"/>
  <c r="AX63" i="14"/>
  <c r="AX39" i="14"/>
  <c r="AX76" i="14"/>
  <c r="AX88" i="14"/>
  <c r="AX84" i="14"/>
  <c r="AX35" i="14"/>
  <c r="AX43" i="14"/>
  <c r="AX77" i="14"/>
  <c r="AX51" i="14"/>
  <c r="AX71" i="14"/>
  <c r="AX31" i="14"/>
  <c r="AX47" i="14"/>
  <c r="AX99" i="14"/>
  <c r="AX85" i="14"/>
  <c r="AX89" i="14"/>
  <c r="AX55" i="14"/>
  <c r="AX52" i="14"/>
  <c r="AX101" i="14"/>
  <c r="AX49" i="14"/>
  <c r="AX57" i="14"/>
  <c r="AX73" i="14"/>
  <c r="AX48" i="14"/>
  <c r="AX56" i="14"/>
  <c r="AX37" i="14"/>
  <c r="AX32" i="14"/>
  <c r="AX64" i="14"/>
  <c r="AX65" i="14"/>
  <c r="AX53" i="14"/>
  <c r="AX44" i="14"/>
  <c r="AX33" i="14"/>
  <c r="AX41" i="14"/>
  <c r="AX72" i="14"/>
  <c r="AX100" i="14"/>
  <c r="AX40" i="14"/>
  <c r="AX45" i="14"/>
  <c r="AX36" i="14"/>
  <c r="AW7" i="14"/>
  <c r="AV9" i="13"/>
  <c r="AW10" i="14"/>
  <c r="AW8" i="14"/>
  <c r="AX4" i="13"/>
  <c r="AW14" i="13"/>
  <c r="AW18" i="13"/>
  <c r="AW15" i="13"/>
  <c r="AW20" i="13"/>
  <c r="AW25" i="13"/>
  <c r="AW21" i="13"/>
  <c r="AW16" i="13"/>
  <c r="AW17" i="13"/>
  <c r="AW22" i="13"/>
  <c r="AW19" i="13"/>
  <c r="AW24" i="13"/>
  <c r="AW23" i="13"/>
  <c r="AY4" i="14"/>
  <c r="AX14" i="14"/>
  <c r="AX17" i="14"/>
  <c r="AX16" i="14"/>
  <c r="AX15" i="14"/>
  <c r="AW9" i="13" l="1"/>
  <c r="AX10" i="14"/>
  <c r="AY21" i="14"/>
  <c r="AY18" i="14"/>
  <c r="AY20" i="14"/>
  <c r="AY19" i="14"/>
  <c r="AY22" i="14"/>
  <c r="AY23" i="14"/>
  <c r="AY26" i="14"/>
  <c r="AY27" i="14"/>
  <c r="AY25" i="14"/>
  <c r="AY24" i="14"/>
  <c r="AY28" i="14"/>
  <c r="AY29" i="14"/>
  <c r="AY78" i="14"/>
  <c r="AY58" i="14"/>
  <c r="AY90" i="14"/>
  <c r="AY94" i="14"/>
  <c r="AY66" i="14"/>
  <c r="AY59" i="14"/>
  <c r="AY91" i="14"/>
  <c r="AY79" i="14"/>
  <c r="AY86" i="14"/>
  <c r="AY74" i="14"/>
  <c r="AY82" i="14"/>
  <c r="AY67" i="14"/>
  <c r="AY95" i="14"/>
  <c r="AY70" i="14"/>
  <c r="AY38" i="14"/>
  <c r="AY60" i="14"/>
  <c r="AY61" i="14"/>
  <c r="AY54" i="14"/>
  <c r="AY75" i="14"/>
  <c r="AY93" i="14"/>
  <c r="AY50" i="14"/>
  <c r="AY62" i="14"/>
  <c r="AY96" i="14"/>
  <c r="AY34" i="14"/>
  <c r="AY98" i="14"/>
  <c r="AY83" i="14"/>
  <c r="AY92" i="14"/>
  <c r="AY69" i="14"/>
  <c r="AY46" i="14"/>
  <c r="AY87" i="14"/>
  <c r="AY68" i="14"/>
  <c r="AY81" i="14"/>
  <c r="AY97" i="14"/>
  <c r="AY42" i="14"/>
  <c r="AY80" i="14"/>
  <c r="AY30" i="14"/>
  <c r="AY77" i="14"/>
  <c r="AY35" i="14"/>
  <c r="AY51" i="14"/>
  <c r="AY71" i="14"/>
  <c r="AY88" i="14"/>
  <c r="AY99" i="14"/>
  <c r="AY55" i="14"/>
  <c r="AY89" i="14"/>
  <c r="AY39" i="14"/>
  <c r="AY76" i="14"/>
  <c r="AY31" i="14"/>
  <c r="AY85" i="14"/>
  <c r="AY47" i="14"/>
  <c r="AY43" i="14"/>
  <c r="AY63" i="14"/>
  <c r="AY84" i="14"/>
  <c r="AY100" i="14"/>
  <c r="AY45" i="14"/>
  <c r="AY33" i="14"/>
  <c r="AY64" i="14"/>
  <c r="AY53" i="14"/>
  <c r="AY44" i="14"/>
  <c r="AY36" i="14"/>
  <c r="AY101" i="14"/>
  <c r="AY56" i="14"/>
  <c r="AY73" i="14"/>
  <c r="AY65" i="14"/>
  <c r="AY41" i="14"/>
  <c r="AY32" i="14"/>
  <c r="AY48" i="14"/>
  <c r="AY40" i="14"/>
  <c r="AY49" i="14"/>
  <c r="AY72" i="14"/>
  <c r="AY37" i="14"/>
  <c r="AY57" i="14"/>
  <c r="AY52" i="14"/>
  <c r="AW8" i="13"/>
  <c r="AX7" i="14"/>
  <c r="AX8" i="14"/>
  <c r="AW7" i="13"/>
  <c r="AX9" i="14"/>
  <c r="AW10" i="13"/>
  <c r="AY4" i="13"/>
  <c r="AX15" i="13"/>
  <c r="AX24" i="13"/>
  <c r="AX14" i="13"/>
  <c r="AX20" i="13"/>
  <c r="AX22" i="13"/>
  <c r="AX25" i="13"/>
  <c r="AX21" i="13"/>
  <c r="AX18" i="13"/>
  <c r="AX17" i="13"/>
  <c r="AX10" i="13" s="1"/>
  <c r="AX16" i="13"/>
  <c r="AX23" i="13"/>
  <c r="AX19" i="13"/>
  <c r="AZ4" i="14"/>
  <c r="AY14" i="14"/>
  <c r="AY17" i="14"/>
  <c r="AY15" i="14"/>
  <c r="AY16" i="14"/>
  <c r="AX8" i="13" l="1"/>
  <c r="AY9" i="14"/>
  <c r="AY7" i="14"/>
  <c r="AZ18" i="14"/>
  <c r="AZ20" i="14"/>
  <c r="AZ19" i="14"/>
  <c r="AZ21" i="14"/>
  <c r="AZ22" i="14"/>
  <c r="AZ23" i="14"/>
  <c r="AZ26" i="14"/>
  <c r="AZ24" i="14"/>
  <c r="AZ27" i="14"/>
  <c r="AZ25" i="14"/>
  <c r="AZ28" i="14"/>
  <c r="AZ29" i="14"/>
  <c r="AZ94" i="14"/>
  <c r="AZ66" i="14"/>
  <c r="AZ90" i="14"/>
  <c r="AZ78" i="14"/>
  <c r="AZ58" i="14"/>
  <c r="AZ74" i="14"/>
  <c r="AZ67" i="14"/>
  <c r="AZ59" i="14"/>
  <c r="AZ86" i="14"/>
  <c r="AZ91" i="14"/>
  <c r="AZ79" i="14"/>
  <c r="AZ82" i="14"/>
  <c r="AZ95" i="14"/>
  <c r="AZ46" i="14"/>
  <c r="AZ69" i="14"/>
  <c r="AZ97" i="14"/>
  <c r="AZ34" i="14"/>
  <c r="AZ54" i="14"/>
  <c r="AZ70" i="14"/>
  <c r="AZ61" i="14"/>
  <c r="AZ96" i="14"/>
  <c r="AZ83" i="14"/>
  <c r="AZ60" i="14"/>
  <c r="AZ93" i="14"/>
  <c r="AZ50" i="14"/>
  <c r="AZ30" i="14"/>
  <c r="AZ98" i="14"/>
  <c r="AZ92" i="14"/>
  <c r="AZ42" i="14"/>
  <c r="AZ62" i="14"/>
  <c r="AZ75" i="14"/>
  <c r="AZ81" i="14"/>
  <c r="AZ38" i="14"/>
  <c r="AZ68" i="14"/>
  <c r="AZ87" i="14"/>
  <c r="AZ80" i="14"/>
  <c r="AZ89" i="14"/>
  <c r="AZ84" i="14"/>
  <c r="AZ39" i="14"/>
  <c r="AZ76" i="14"/>
  <c r="AZ88" i="14"/>
  <c r="AZ77" i="14"/>
  <c r="AZ47" i="14"/>
  <c r="AZ35" i="14"/>
  <c r="AZ71" i="14"/>
  <c r="AZ43" i="14"/>
  <c r="AZ63" i="14"/>
  <c r="AZ51" i="14"/>
  <c r="AZ99" i="14"/>
  <c r="AZ85" i="14"/>
  <c r="AZ31" i="14"/>
  <c r="AZ55" i="14"/>
  <c r="AZ100" i="14"/>
  <c r="AZ101" i="14"/>
  <c r="AZ44" i="14"/>
  <c r="AZ45" i="14"/>
  <c r="AZ64" i="14"/>
  <c r="AZ36" i="14"/>
  <c r="AZ52" i="14"/>
  <c r="AZ57" i="14"/>
  <c r="AZ65" i="14"/>
  <c r="AZ41" i="14"/>
  <c r="AZ56" i="14"/>
  <c r="AZ72" i="14"/>
  <c r="AZ40" i="14"/>
  <c r="AZ37" i="14"/>
  <c r="AZ48" i="14"/>
  <c r="AZ32" i="14"/>
  <c r="AZ49" i="14"/>
  <c r="AZ73" i="14"/>
  <c r="AZ53" i="14"/>
  <c r="AZ33" i="14"/>
  <c r="AX7" i="13"/>
  <c r="AX9" i="13"/>
  <c r="AY8" i="14"/>
  <c r="AZ4" i="13"/>
  <c r="AY17" i="13"/>
  <c r="AY18" i="13"/>
  <c r="AY20" i="13"/>
  <c r="AY24" i="13"/>
  <c r="AY14" i="13"/>
  <c r="AY16" i="13"/>
  <c r="AY25" i="13"/>
  <c r="AY21" i="13"/>
  <c r="AY15" i="13"/>
  <c r="AY19" i="13"/>
  <c r="AY23" i="13"/>
  <c r="AY22" i="13"/>
  <c r="AY10" i="14"/>
  <c r="BA4" i="14"/>
  <c r="AZ14" i="14"/>
  <c r="AZ15" i="14"/>
  <c r="AZ16" i="14"/>
  <c r="AZ17" i="14"/>
  <c r="AY7" i="13" l="1"/>
  <c r="AZ7" i="14"/>
  <c r="AY9" i="13"/>
  <c r="BA18" i="14"/>
  <c r="BA21" i="14"/>
  <c r="BA19" i="14"/>
  <c r="BA20" i="14"/>
  <c r="BA22" i="14"/>
  <c r="BA26" i="14"/>
  <c r="BA23" i="14"/>
  <c r="BA24" i="14"/>
  <c r="BA27" i="14"/>
  <c r="BA25" i="14"/>
  <c r="BA29" i="14"/>
  <c r="BA28" i="14"/>
  <c r="BA66" i="14"/>
  <c r="BA94" i="14"/>
  <c r="BA78" i="14"/>
  <c r="BA90" i="14"/>
  <c r="BA58" i="14"/>
  <c r="BA91" i="14"/>
  <c r="BA79" i="14"/>
  <c r="BA74" i="14"/>
  <c r="BA67" i="14"/>
  <c r="BA82" i="14"/>
  <c r="BA86" i="14"/>
  <c r="BA95" i="14"/>
  <c r="BA59" i="14"/>
  <c r="BA70" i="14"/>
  <c r="BA69" i="14"/>
  <c r="BA81" i="14"/>
  <c r="BA61" i="14"/>
  <c r="BA96" i="14"/>
  <c r="BA54" i="14"/>
  <c r="BA80" i="14"/>
  <c r="BA83" i="14"/>
  <c r="BA75" i="14"/>
  <c r="BA87" i="14"/>
  <c r="BA93" i="14"/>
  <c r="BA98" i="14"/>
  <c r="BA60" i="14"/>
  <c r="BA42" i="14"/>
  <c r="BA34" i="14"/>
  <c r="BA38" i="14"/>
  <c r="BA68" i="14"/>
  <c r="BA46" i="14"/>
  <c r="BA30" i="14"/>
  <c r="BA62" i="14"/>
  <c r="BA92" i="14"/>
  <c r="BA50" i="14"/>
  <c r="BA97" i="14"/>
  <c r="BA89" i="14"/>
  <c r="BA99" i="14"/>
  <c r="BA76" i="14"/>
  <c r="BA77" i="14"/>
  <c r="BA55" i="14"/>
  <c r="BA88" i="14"/>
  <c r="BA35" i="14"/>
  <c r="BA39" i="14"/>
  <c r="BA31" i="14"/>
  <c r="BA84" i="14"/>
  <c r="BA85" i="14"/>
  <c r="BA43" i="14"/>
  <c r="BA63" i="14"/>
  <c r="BA51" i="14"/>
  <c r="BA47" i="14"/>
  <c r="BA71" i="14"/>
  <c r="BA44" i="14"/>
  <c r="BA100" i="14"/>
  <c r="BA101" i="14"/>
  <c r="BA65" i="14"/>
  <c r="BA52" i="14"/>
  <c r="BA49" i="14"/>
  <c r="BA72" i="14"/>
  <c r="BA37" i="14"/>
  <c r="BA57" i="14"/>
  <c r="BA73" i="14"/>
  <c r="BA36" i="14"/>
  <c r="BA41" i="14"/>
  <c r="BA40" i="14"/>
  <c r="BA53" i="14"/>
  <c r="BA48" i="14"/>
  <c r="BA64" i="14"/>
  <c r="BA45" i="14"/>
  <c r="BA32" i="14"/>
  <c r="BA33" i="14"/>
  <c r="BA56" i="14"/>
  <c r="AZ9" i="14"/>
  <c r="AY8" i="13"/>
  <c r="AY10" i="13"/>
  <c r="AZ10" i="14"/>
  <c r="AZ8" i="14"/>
  <c r="BA4" i="13"/>
  <c r="AZ24" i="13"/>
  <c r="AZ17" i="13"/>
  <c r="AZ18" i="13"/>
  <c r="AZ22" i="13"/>
  <c r="AZ15" i="13"/>
  <c r="AZ14" i="13"/>
  <c r="AZ20" i="13"/>
  <c r="AZ25" i="13"/>
  <c r="AZ21" i="13"/>
  <c r="AZ16" i="13"/>
  <c r="AZ19" i="13"/>
  <c r="AZ23" i="13"/>
  <c r="BB4" i="14"/>
  <c r="BA14" i="14"/>
  <c r="BA17" i="14"/>
  <c r="BA15" i="14"/>
  <c r="BA16" i="14"/>
  <c r="BA10" i="14" l="1"/>
  <c r="BA9" i="14"/>
  <c r="BA7" i="14"/>
  <c r="AZ7" i="13"/>
  <c r="AZ8" i="13"/>
  <c r="BB19" i="14"/>
  <c r="BB18" i="14"/>
  <c r="BB20" i="14"/>
  <c r="BB21" i="14"/>
  <c r="BB22" i="14"/>
  <c r="BB23" i="14"/>
  <c r="BB26" i="14"/>
  <c r="BB24" i="14"/>
  <c r="BB25" i="14"/>
  <c r="BB27" i="14"/>
  <c r="BB29" i="14"/>
  <c r="BB28" i="14"/>
  <c r="BB58" i="14"/>
  <c r="BB94" i="14"/>
  <c r="BB78" i="14"/>
  <c r="BB90" i="14"/>
  <c r="BB66" i="14"/>
  <c r="BB82" i="14"/>
  <c r="BB67" i="14"/>
  <c r="BB79" i="14"/>
  <c r="BB59" i="14"/>
  <c r="BB91" i="14"/>
  <c r="BB74" i="14"/>
  <c r="BB95" i="14"/>
  <c r="BB86" i="14"/>
  <c r="BB98" i="14"/>
  <c r="BB62" i="14"/>
  <c r="BB81" i="14"/>
  <c r="BB96" i="14"/>
  <c r="BB46" i="14"/>
  <c r="BB83" i="14"/>
  <c r="BB38" i="14"/>
  <c r="BB69" i="14"/>
  <c r="BB87" i="14"/>
  <c r="BB30" i="14"/>
  <c r="BB50" i="14"/>
  <c r="BB60" i="14"/>
  <c r="BB34" i="14"/>
  <c r="BB75" i="14"/>
  <c r="BB70" i="14"/>
  <c r="BB42" i="14"/>
  <c r="BB92" i="14"/>
  <c r="BB80" i="14"/>
  <c r="BB93" i="14"/>
  <c r="BB61" i="14"/>
  <c r="BB54" i="14"/>
  <c r="BB97" i="14"/>
  <c r="BB68" i="14"/>
  <c r="BB51" i="14"/>
  <c r="BB35" i="14"/>
  <c r="BB85" i="14"/>
  <c r="BB63" i="14"/>
  <c r="BB76" i="14"/>
  <c r="BB31" i="14"/>
  <c r="BB47" i="14"/>
  <c r="BB71" i="14"/>
  <c r="BB88" i="14"/>
  <c r="BB89" i="14"/>
  <c r="BB99" i="14"/>
  <c r="BB43" i="14"/>
  <c r="BB39" i="14"/>
  <c r="BB77" i="14"/>
  <c r="BB55" i="14"/>
  <c r="BB84" i="14"/>
  <c r="BB40" i="14"/>
  <c r="BB65" i="14"/>
  <c r="BB33" i="14"/>
  <c r="BB72" i="14"/>
  <c r="BB73" i="14"/>
  <c r="BB49" i="14"/>
  <c r="BB57" i="14"/>
  <c r="BB56" i="14"/>
  <c r="BB44" i="14"/>
  <c r="BB53" i="14"/>
  <c r="BB64" i="14"/>
  <c r="BB37" i="14"/>
  <c r="BB101" i="14"/>
  <c r="BB41" i="14"/>
  <c r="BB32" i="14"/>
  <c r="BB52" i="14"/>
  <c r="BB48" i="14"/>
  <c r="BB45" i="14"/>
  <c r="BB36" i="14"/>
  <c r="BB100" i="14"/>
  <c r="AZ9" i="13"/>
  <c r="AZ10" i="13"/>
  <c r="BA8" i="14"/>
  <c r="BB4" i="13"/>
  <c r="BA14" i="13"/>
  <c r="BA25" i="13"/>
  <c r="BA21" i="13"/>
  <c r="BA18" i="13"/>
  <c r="BA17" i="13"/>
  <c r="BA22" i="13"/>
  <c r="BA16" i="13"/>
  <c r="BA24" i="13"/>
  <c r="BA23" i="13"/>
  <c r="BA20" i="13"/>
  <c r="BA19" i="13"/>
  <c r="BA15" i="13"/>
  <c r="BC4" i="14"/>
  <c r="BB14" i="14"/>
  <c r="BB16" i="14"/>
  <c r="BB15" i="14"/>
  <c r="BB17" i="14"/>
  <c r="BA9" i="13" l="1"/>
  <c r="BB9" i="14"/>
  <c r="BB7" i="14"/>
  <c r="BB10" i="14"/>
  <c r="BA7" i="13"/>
  <c r="BB8" i="14"/>
  <c r="BC4" i="13"/>
  <c r="BB22" i="13"/>
  <c r="BB25" i="13"/>
  <c r="BB21" i="13"/>
  <c r="BB20" i="13"/>
  <c r="BB16" i="13"/>
  <c r="BB15" i="13"/>
  <c r="BB14" i="13"/>
  <c r="BB18" i="13"/>
  <c r="BB23" i="13"/>
  <c r="BB24" i="13"/>
  <c r="BB19" i="13"/>
  <c r="BB17" i="13"/>
  <c r="BC21" i="14"/>
  <c r="BC20" i="14"/>
  <c r="BC18" i="14"/>
  <c r="BC19" i="14"/>
  <c r="BC22" i="14"/>
  <c r="BC26" i="14"/>
  <c r="BC23" i="14"/>
  <c r="BC27" i="14"/>
  <c r="BC25" i="14"/>
  <c r="BC24" i="14"/>
  <c r="BC29" i="14"/>
  <c r="BC28" i="14"/>
  <c r="BC58" i="14"/>
  <c r="BC66" i="14"/>
  <c r="BC90" i="14"/>
  <c r="BC94" i="14"/>
  <c r="BC78" i="14"/>
  <c r="BC59" i="14"/>
  <c r="BC79" i="14"/>
  <c r="BC67" i="14"/>
  <c r="BC86" i="14"/>
  <c r="BC91" i="14"/>
  <c r="BC82" i="14"/>
  <c r="BC95" i="14"/>
  <c r="BC74" i="14"/>
  <c r="BC96" i="14"/>
  <c r="BC50" i="14"/>
  <c r="BC54" i="14"/>
  <c r="BC75" i="14"/>
  <c r="BC38" i="14"/>
  <c r="BC68" i="14"/>
  <c r="BC80" i="14"/>
  <c r="BC81" i="14"/>
  <c r="BC70" i="14"/>
  <c r="BC46" i="14"/>
  <c r="BC61" i="14"/>
  <c r="BC97" i="14"/>
  <c r="BC69" i="14"/>
  <c r="BC34" i="14"/>
  <c r="BC83" i="14"/>
  <c r="BC93" i="14"/>
  <c r="BC92" i="14"/>
  <c r="BC98" i="14"/>
  <c r="BC87" i="14"/>
  <c r="BC62" i="14"/>
  <c r="BC60" i="14"/>
  <c r="BC42" i="14"/>
  <c r="BC30" i="14"/>
  <c r="BC89" i="14"/>
  <c r="BC39" i="14"/>
  <c r="BC76" i="14"/>
  <c r="BC55" i="14"/>
  <c r="BC47" i="14"/>
  <c r="BC84" i="14"/>
  <c r="BC31" i="14"/>
  <c r="BC71" i="14"/>
  <c r="BC35" i="14"/>
  <c r="BC63" i="14"/>
  <c r="BC88" i="14"/>
  <c r="BC85" i="14"/>
  <c r="BC43" i="14"/>
  <c r="BC99" i="14"/>
  <c r="BC51" i="14"/>
  <c r="BC77" i="14"/>
  <c r="BC57" i="14"/>
  <c r="BC101" i="14"/>
  <c r="BC36" i="14"/>
  <c r="BC65" i="14"/>
  <c r="BC40" i="14"/>
  <c r="BC49" i="14"/>
  <c r="BC56" i="14"/>
  <c r="BC37" i="14"/>
  <c r="BC73" i="14"/>
  <c r="BC52" i="14"/>
  <c r="BC41" i="14"/>
  <c r="BC44" i="14"/>
  <c r="BC72" i="14"/>
  <c r="BC32" i="14"/>
  <c r="BC100" i="14"/>
  <c r="BC33" i="14"/>
  <c r="BC45" i="14"/>
  <c r="BC48" i="14"/>
  <c r="BC64" i="14"/>
  <c r="BC53" i="14"/>
  <c r="BA10" i="13"/>
  <c r="BA8" i="13"/>
  <c r="BD4" i="14"/>
  <c r="BC14" i="14"/>
  <c r="BC16" i="14"/>
  <c r="BC15" i="14"/>
  <c r="BC17" i="14"/>
  <c r="BC7" i="14" l="1"/>
  <c r="BB10" i="13"/>
  <c r="BD20" i="14"/>
  <c r="BD19" i="14"/>
  <c r="BD18" i="14"/>
  <c r="BD21" i="14"/>
  <c r="BD22" i="14"/>
  <c r="BD23" i="14"/>
  <c r="BD26" i="14"/>
  <c r="BD24" i="14"/>
  <c r="BD27" i="14"/>
  <c r="BD25" i="14"/>
  <c r="BD29" i="14"/>
  <c r="BD28" i="14"/>
  <c r="BD78" i="14"/>
  <c r="BD90" i="14"/>
  <c r="BD58" i="14"/>
  <c r="BD66" i="14"/>
  <c r="BD94" i="14"/>
  <c r="BD82" i="14"/>
  <c r="BD74" i="14"/>
  <c r="BD59" i="14"/>
  <c r="BD67" i="14"/>
  <c r="BD86" i="14"/>
  <c r="BD79" i="14"/>
  <c r="BD91" i="14"/>
  <c r="BD95" i="14"/>
  <c r="BD70" i="14"/>
  <c r="BD61" i="14"/>
  <c r="BD98" i="14"/>
  <c r="BD75" i="14"/>
  <c r="BD68" i="14"/>
  <c r="BD80" i="14"/>
  <c r="BD46" i="14"/>
  <c r="BD83" i="14"/>
  <c r="BD69" i="14"/>
  <c r="BD81" i="14"/>
  <c r="BD42" i="14"/>
  <c r="BD62" i="14"/>
  <c r="BD93" i="14"/>
  <c r="BD87" i="14"/>
  <c r="BD97" i="14"/>
  <c r="BD92" i="14"/>
  <c r="BD38" i="14"/>
  <c r="BD30" i="14"/>
  <c r="BD60" i="14"/>
  <c r="BD96" i="14"/>
  <c r="BD54" i="14"/>
  <c r="BD34" i="14"/>
  <c r="BD50" i="14"/>
  <c r="BD89" i="14"/>
  <c r="BD51" i="14"/>
  <c r="BD85" i="14"/>
  <c r="BD43" i="14"/>
  <c r="BD31" i="14"/>
  <c r="BD88" i="14"/>
  <c r="BD99" i="14"/>
  <c r="BD77" i="14"/>
  <c r="BD47" i="14"/>
  <c r="BD71" i="14"/>
  <c r="BD39" i="14"/>
  <c r="BD35" i="14"/>
  <c r="BD63" i="14"/>
  <c r="BD76" i="14"/>
  <c r="BD84" i="14"/>
  <c r="BD55" i="14"/>
  <c r="BD33" i="14"/>
  <c r="BD40" i="14"/>
  <c r="BD56" i="14"/>
  <c r="BD100" i="14"/>
  <c r="BD45" i="14"/>
  <c r="BD65" i="14"/>
  <c r="BD52" i="14"/>
  <c r="BD101" i="14"/>
  <c r="BD72" i="14"/>
  <c r="BD37" i="14"/>
  <c r="BD49" i="14"/>
  <c r="BD41" i="14"/>
  <c r="BD53" i="14"/>
  <c r="BD44" i="14"/>
  <c r="BD57" i="14"/>
  <c r="BD32" i="14"/>
  <c r="BD73" i="14"/>
  <c r="BD36" i="14"/>
  <c r="BD48" i="14"/>
  <c r="BD64" i="14"/>
  <c r="BD4" i="13"/>
  <c r="BC25" i="13"/>
  <c r="BC21" i="13"/>
  <c r="BC17" i="13"/>
  <c r="BC24" i="13"/>
  <c r="BC22" i="13"/>
  <c r="BC16" i="13"/>
  <c r="BC15" i="13"/>
  <c r="BC18" i="13"/>
  <c r="BC20" i="13"/>
  <c r="BC23" i="13"/>
  <c r="BC14" i="13"/>
  <c r="BC19" i="13"/>
  <c r="BC10" i="14"/>
  <c r="BB7" i="13"/>
  <c r="BC8" i="14"/>
  <c r="BB8" i="13"/>
  <c r="BC9" i="14"/>
  <c r="BB9" i="13"/>
  <c r="BE4" i="14"/>
  <c r="BD14" i="14"/>
  <c r="BD16" i="14"/>
  <c r="BD17" i="14"/>
  <c r="BD15" i="14"/>
  <c r="BC7" i="13" l="1"/>
  <c r="BC10" i="13"/>
  <c r="BE4" i="13"/>
  <c r="BD16" i="13"/>
  <c r="BD14" i="13"/>
  <c r="BD17" i="13"/>
  <c r="BD18" i="13"/>
  <c r="BD22" i="13"/>
  <c r="BD24" i="13"/>
  <c r="BD20" i="13"/>
  <c r="BD15" i="13"/>
  <c r="BD19" i="13"/>
  <c r="BD23" i="13"/>
  <c r="BD25" i="13"/>
  <c r="BD21" i="13"/>
  <c r="BC8" i="13"/>
  <c r="BD8" i="14"/>
  <c r="BC9" i="13"/>
  <c r="BE20" i="14"/>
  <c r="BE21" i="14"/>
  <c r="BE19" i="14"/>
  <c r="BE18" i="14"/>
  <c r="BE22" i="14"/>
  <c r="BE23" i="14"/>
  <c r="BE26" i="14"/>
  <c r="BE24" i="14"/>
  <c r="BE25" i="14"/>
  <c r="BE27" i="14"/>
  <c r="BE28" i="14"/>
  <c r="BE29" i="14"/>
  <c r="BE78" i="14"/>
  <c r="BE90" i="14"/>
  <c r="BE58" i="14"/>
  <c r="BE66" i="14"/>
  <c r="BE94" i="14"/>
  <c r="BE82" i="14"/>
  <c r="BE59" i="14"/>
  <c r="BE86" i="14"/>
  <c r="BE67" i="14"/>
  <c r="BE91" i="14"/>
  <c r="BE95" i="14"/>
  <c r="BE79" i="14"/>
  <c r="BE74" i="14"/>
  <c r="BE93" i="14"/>
  <c r="BE61" i="14"/>
  <c r="BE97" i="14"/>
  <c r="BE30" i="14"/>
  <c r="BE80" i="14"/>
  <c r="BE50" i="14"/>
  <c r="BE98" i="14"/>
  <c r="BE34" i="14"/>
  <c r="BE87" i="14"/>
  <c r="BE46" i="14"/>
  <c r="BE96" i="14"/>
  <c r="BE81" i="14"/>
  <c r="BE42" i="14"/>
  <c r="BE38" i="14"/>
  <c r="BE54" i="14"/>
  <c r="BE83" i="14"/>
  <c r="BE62" i="14"/>
  <c r="BE92" i="14"/>
  <c r="BE60" i="14"/>
  <c r="BE70" i="14"/>
  <c r="BE69" i="14"/>
  <c r="BE75" i="14"/>
  <c r="BE68" i="14"/>
  <c r="BE99" i="14"/>
  <c r="BE51" i="14"/>
  <c r="BE88" i="14"/>
  <c r="BE85" i="14"/>
  <c r="BE43" i="14"/>
  <c r="BE31" i="14"/>
  <c r="BE47" i="14"/>
  <c r="BE84" i="14"/>
  <c r="BE77" i="14"/>
  <c r="BE39" i="14"/>
  <c r="BE76" i="14"/>
  <c r="BE35" i="14"/>
  <c r="BE89" i="14"/>
  <c r="BE55" i="14"/>
  <c r="BE63" i="14"/>
  <c r="BE71" i="14"/>
  <c r="BE53" i="14"/>
  <c r="BE72" i="14"/>
  <c r="BE101" i="14"/>
  <c r="BE45" i="14"/>
  <c r="BE33" i="14"/>
  <c r="BE65" i="14"/>
  <c r="BE73" i="14"/>
  <c r="BE32" i="14"/>
  <c r="BE52" i="14"/>
  <c r="BE44" i="14"/>
  <c r="BE64" i="14"/>
  <c r="BE36" i="14"/>
  <c r="BE37" i="14"/>
  <c r="BE40" i="14"/>
  <c r="BE41" i="14"/>
  <c r="BE49" i="14"/>
  <c r="BE57" i="14"/>
  <c r="BE100" i="14"/>
  <c r="BE48" i="14"/>
  <c r="BE56" i="14"/>
  <c r="BD10" i="14"/>
  <c r="BD9" i="14"/>
  <c r="BD7" i="14"/>
  <c r="BF4" i="14"/>
  <c r="BE14" i="14"/>
  <c r="BE16" i="14"/>
  <c r="BE15" i="14"/>
  <c r="BE17" i="14"/>
  <c r="BD8" i="13" l="1"/>
  <c r="BF19" i="14"/>
  <c r="BF20" i="14"/>
  <c r="BF21" i="14"/>
  <c r="BF18" i="14"/>
  <c r="BF22" i="14"/>
  <c r="BF26" i="14"/>
  <c r="BF23" i="14"/>
  <c r="BF27" i="14"/>
  <c r="BF25" i="14"/>
  <c r="BF24" i="14"/>
  <c r="BF29" i="14"/>
  <c r="BF28" i="14"/>
  <c r="BF94" i="14"/>
  <c r="BF78" i="14"/>
  <c r="BF66" i="14"/>
  <c r="BF58" i="14"/>
  <c r="BF90" i="14"/>
  <c r="BF59" i="14"/>
  <c r="BF91" i="14"/>
  <c r="BF74" i="14"/>
  <c r="BF82" i="14"/>
  <c r="BF79" i="14"/>
  <c r="BF67" i="14"/>
  <c r="BF86" i="14"/>
  <c r="BF95" i="14"/>
  <c r="BF62" i="14"/>
  <c r="BF42" i="14"/>
  <c r="BF93" i="14"/>
  <c r="BF38" i="14"/>
  <c r="BF30" i="14"/>
  <c r="BF60" i="14"/>
  <c r="BF34" i="14"/>
  <c r="BF54" i="14"/>
  <c r="BF75" i="14"/>
  <c r="BF61" i="14"/>
  <c r="BF97" i="14"/>
  <c r="BF96" i="14"/>
  <c r="BF98" i="14"/>
  <c r="BF92" i="14"/>
  <c r="BF70" i="14"/>
  <c r="BF87" i="14"/>
  <c r="BF50" i="14"/>
  <c r="BF83" i="14"/>
  <c r="BF81" i="14"/>
  <c r="BF80" i="14"/>
  <c r="BF68" i="14"/>
  <c r="BF69" i="14"/>
  <c r="BF46" i="14"/>
  <c r="BF47" i="14"/>
  <c r="BF63" i="14"/>
  <c r="BF31" i="14"/>
  <c r="BF35" i="14"/>
  <c r="BF89" i="14"/>
  <c r="BF55" i="14"/>
  <c r="BF84" i="14"/>
  <c r="BF88" i="14"/>
  <c r="BF43" i="14"/>
  <c r="BF39" i="14"/>
  <c r="BF51" i="14"/>
  <c r="BF76" i="14"/>
  <c r="BF71" i="14"/>
  <c r="BF85" i="14"/>
  <c r="BF99" i="14"/>
  <c r="BF77" i="14"/>
  <c r="BF101" i="14"/>
  <c r="BF49" i="14"/>
  <c r="BF56" i="14"/>
  <c r="BF72" i="14"/>
  <c r="BF57" i="14"/>
  <c r="BF45" i="14"/>
  <c r="BF65" i="14"/>
  <c r="BF64" i="14"/>
  <c r="BF37" i="14"/>
  <c r="BF40" i="14"/>
  <c r="BF32" i="14"/>
  <c r="BF41" i="14"/>
  <c r="BF48" i="14"/>
  <c r="BF73" i="14"/>
  <c r="BF52" i="14"/>
  <c r="BF33" i="14"/>
  <c r="BF53" i="14"/>
  <c r="BF36" i="14"/>
  <c r="BF44" i="14"/>
  <c r="BF100" i="14"/>
  <c r="BE10" i="14"/>
  <c r="BD10" i="13"/>
  <c r="BE8" i="14"/>
  <c r="BD7" i="13"/>
  <c r="BE9" i="14"/>
  <c r="BD9" i="13"/>
  <c r="BE7" i="14"/>
  <c r="BF4" i="13"/>
  <c r="BE14" i="13"/>
  <c r="BE24" i="13"/>
  <c r="BE20" i="13"/>
  <c r="BE25" i="13"/>
  <c r="BE21" i="13"/>
  <c r="BE17" i="13"/>
  <c r="BE22" i="13"/>
  <c r="BE18" i="13"/>
  <c r="BE16" i="13"/>
  <c r="BE15" i="13"/>
  <c r="BE23" i="13"/>
  <c r="BE19" i="13"/>
  <c r="BG4" i="14"/>
  <c r="BF14" i="14"/>
  <c r="BF16" i="14"/>
  <c r="BF15" i="14"/>
  <c r="BF17" i="14"/>
  <c r="BE7" i="13" l="1"/>
  <c r="BE9" i="13"/>
  <c r="BG4" i="13"/>
  <c r="BF22" i="13"/>
  <c r="BF15" i="13"/>
  <c r="BF25" i="13"/>
  <c r="BF18" i="13"/>
  <c r="BF21" i="13"/>
  <c r="BF24" i="13"/>
  <c r="BF20" i="13"/>
  <c r="BF17" i="13"/>
  <c r="BF16" i="13"/>
  <c r="BF19" i="13"/>
  <c r="BF23" i="13"/>
  <c r="BF14" i="13"/>
  <c r="BF7" i="13" s="1"/>
  <c r="BF8" i="14"/>
  <c r="BF9" i="14"/>
  <c r="BE8" i="13"/>
  <c r="BF10" i="14"/>
  <c r="BF7" i="14"/>
  <c r="BE10" i="13"/>
  <c r="BG19" i="14"/>
  <c r="BG18" i="14"/>
  <c r="BG20" i="14"/>
  <c r="BG21" i="14"/>
  <c r="BG22" i="14"/>
  <c r="BG23" i="14"/>
  <c r="BG26" i="14"/>
  <c r="BG24" i="14"/>
  <c r="BG25" i="14"/>
  <c r="BG27" i="14"/>
  <c r="BG29" i="14"/>
  <c r="BG28" i="14"/>
  <c r="BG78" i="14"/>
  <c r="BG94" i="14"/>
  <c r="BG66" i="14"/>
  <c r="BG58" i="14"/>
  <c r="BG90" i="14"/>
  <c r="BG95" i="14"/>
  <c r="BG79" i="14"/>
  <c r="BG59" i="14"/>
  <c r="BG91" i="14"/>
  <c r="BG67" i="14"/>
  <c r="BG74" i="14"/>
  <c r="BG86" i="14"/>
  <c r="BG82" i="14"/>
  <c r="BG61" i="14"/>
  <c r="BG68" i="14"/>
  <c r="BG60" i="14"/>
  <c r="BG80" i="14"/>
  <c r="BG70" i="14"/>
  <c r="BG92" i="14"/>
  <c r="BG54" i="14"/>
  <c r="BG87" i="14"/>
  <c r="BG69" i="14"/>
  <c r="BG50" i="14"/>
  <c r="BG30" i="14"/>
  <c r="BG96" i="14"/>
  <c r="BG81" i="14"/>
  <c r="BG38" i="14"/>
  <c r="BG42" i="14"/>
  <c r="BG97" i="14"/>
  <c r="BG75" i="14"/>
  <c r="BG34" i="14"/>
  <c r="BG83" i="14"/>
  <c r="BG98" i="14"/>
  <c r="BG62" i="14"/>
  <c r="BG93" i="14"/>
  <c r="BG46" i="14"/>
  <c r="BG63" i="14"/>
  <c r="BG55" i="14"/>
  <c r="BG77" i="14"/>
  <c r="BG85" i="14"/>
  <c r="BG35" i="14"/>
  <c r="BG39" i="14"/>
  <c r="BG31" i="14"/>
  <c r="BG84" i="14"/>
  <c r="BG51" i="14"/>
  <c r="BG88" i="14"/>
  <c r="BG47" i="14"/>
  <c r="BG71" i="14"/>
  <c r="BG89" i="14"/>
  <c r="BG43" i="14"/>
  <c r="BG99" i="14"/>
  <c r="BG76" i="14"/>
  <c r="BG101" i="14"/>
  <c r="BG49" i="14"/>
  <c r="BG56" i="14"/>
  <c r="BG52" i="14"/>
  <c r="BG41" i="14"/>
  <c r="BG44" i="14"/>
  <c r="BG45" i="14"/>
  <c r="BG36" i="14"/>
  <c r="BG32" i="14"/>
  <c r="BG57" i="14"/>
  <c r="BG37" i="14"/>
  <c r="BG65" i="14"/>
  <c r="BG48" i="14"/>
  <c r="BG33" i="14"/>
  <c r="BG40" i="14"/>
  <c r="BG72" i="14"/>
  <c r="BG53" i="14"/>
  <c r="BG64" i="14"/>
  <c r="BG100" i="14"/>
  <c r="BG73" i="14"/>
  <c r="BH4" i="14"/>
  <c r="BG14" i="14"/>
  <c r="BG15" i="14"/>
  <c r="BG16" i="14"/>
  <c r="BG17" i="14"/>
  <c r="BG10" i="14" l="1"/>
  <c r="BG9" i="14"/>
  <c r="BF8" i="13"/>
  <c r="BG8" i="14"/>
  <c r="BF9" i="13"/>
  <c r="BG7" i="14"/>
  <c r="BF10" i="13"/>
  <c r="BH4" i="13"/>
  <c r="BG17" i="13"/>
  <c r="BG16" i="13"/>
  <c r="BG24" i="13"/>
  <c r="BG22" i="13"/>
  <c r="BG15" i="13"/>
  <c r="BG18" i="13"/>
  <c r="BG20" i="13"/>
  <c r="BG14" i="13"/>
  <c r="BG25" i="13"/>
  <c r="BG21" i="13"/>
  <c r="BG23" i="13"/>
  <c r="BG19" i="13"/>
  <c r="BH20" i="14"/>
  <c r="BH21" i="14"/>
  <c r="BH18" i="14"/>
  <c r="BH19" i="14"/>
  <c r="BH22" i="14"/>
  <c r="BH23" i="14"/>
  <c r="BH26" i="14"/>
  <c r="BH24" i="14"/>
  <c r="BH27" i="14"/>
  <c r="BH25" i="14"/>
  <c r="BH29" i="14"/>
  <c r="BH28" i="14"/>
  <c r="BH90" i="14"/>
  <c r="BH66" i="14"/>
  <c r="BH94" i="14"/>
  <c r="BH78" i="14"/>
  <c r="BH58" i="14"/>
  <c r="BH91" i="14"/>
  <c r="BH59" i="14"/>
  <c r="BH74" i="14"/>
  <c r="BH95" i="14"/>
  <c r="BH86" i="14"/>
  <c r="BH67" i="14"/>
  <c r="BH79" i="14"/>
  <c r="BH82" i="14"/>
  <c r="BH42" i="14"/>
  <c r="BH46" i="14"/>
  <c r="BH75" i="14"/>
  <c r="BH92" i="14"/>
  <c r="BH61" i="14"/>
  <c r="BH83" i="14"/>
  <c r="BH70" i="14"/>
  <c r="BH60" i="14"/>
  <c r="BH68" i="14"/>
  <c r="BH34" i="14"/>
  <c r="BH62" i="14"/>
  <c r="BH38" i="14"/>
  <c r="BH30" i="14"/>
  <c r="BH80" i="14"/>
  <c r="BH54" i="14"/>
  <c r="BH98" i="14"/>
  <c r="BH81" i="14"/>
  <c r="BH93" i="14"/>
  <c r="BH87" i="14"/>
  <c r="BH96" i="14"/>
  <c r="BH50" i="14"/>
  <c r="BH69" i="14"/>
  <c r="BH97" i="14"/>
  <c r="BH77" i="14"/>
  <c r="BH76" i="14"/>
  <c r="BH31" i="14"/>
  <c r="BH43" i="14"/>
  <c r="BH39" i="14"/>
  <c r="BH99" i="14"/>
  <c r="BH71" i="14"/>
  <c r="BH88" i="14"/>
  <c r="BH89" i="14"/>
  <c r="BH55" i="14"/>
  <c r="BH84" i="14"/>
  <c r="BH35" i="14"/>
  <c r="BH85" i="14"/>
  <c r="BH51" i="14"/>
  <c r="BH47" i="14"/>
  <c r="BH63" i="14"/>
  <c r="BH73" i="14"/>
  <c r="BH36" i="14"/>
  <c r="BH32" i="14"/>
  <c r="BH52" i="14"/>
  <c r="BH33" i="14"/>
  <c r="BH49" i="14"/>
  <c r="BH48" i="14"/>
  <c r="BH53" i="14"/>
  <c r="BH56" i="14"/>
  <c r="BH45" i="14"/>
  <c r="BH64" i="14"/>
  <c r="BH65" i="14"/>
  <c r="BH44" i="14"/>
  <c r="BH40" i="14"/>
  <c r="BH72" i="14"/>
  <c r="BH37" i="14"/>
  <c r="BH101" i="14"/>
  <c r="BH41" i="14"/>
  <c r="BH100" i="14"/>
  <c r="BH57" i="14"/>
  <c r="BI4" i="14"/>
  <c r="BH14" i="14"/>
  <c r="BH15" i="14"/>
  <c r="BH16" i="14"/>
  <c r="BH17" i="14"/>
  <c r="BG7" i="13" l="1"/>
  <c r="BG8" i="13"/>
  <c r="BH10" i="14"/>
  <c r="BH9" i="14"/>
  <c r="BH8" i="14"/>
  <c r="BH7" i="14"/>
  <c r="BG9" i="13"/>
  <c r="BI4" i="13"/>
  <c r="BH17" i="13"/>
  <c r="BH14" i="13"/>
  <c r="BH24" i="13"/>
  <c r="BH16" i="13"/>
  <c r="BH25" i="13"/>
  <c r="BH18" i="13"/>
  <c r="BH21" i="13"/>
  <c r="BH22" i="13"/>
  <c r="BH20" i="13"/>
  <c r="BH19" i="13"/>
  <c r="BH15" i="13"/>
  <c r="BH23" i="13"/>
  <c r="BI20" i="14"/>
  <c r="BI19" i="14"/>
  <c r="BI18" i="14"/>
  <c r="BI21" i="14"/>
  <c r="BI22" i="14"/>
  <c r="BI23" i="14"/>
  <c r="BI26" i="14"/>
  <c r="BI25" i="14"/>
  <c r="BI24" i="14"/>
  <c r="BI27" i="14"/>
  <c r="BI28" i="14"/>
  <c r="BI29" i="14"/>
  <c r="BI90" i="14"/>
  <c r="BI78" i="14"/>
  <c r="BI58" i="14"/>
  <c r="BI94" i="14"/>
  <c r="BI66" i="14"/>
  <c r="BI82" i="14"/>
  <c r="BI91" i="14"/>
  <c r="BI86" i="14"/>
  <c r="BI67" i="14"/>
  <c r="BI59" i="14"/>
  <c r="BI74" i="14"/>
  <c r="BI79" i="14"/>
  <c r="BI95" i="14"/>
  <c r="BI93" i="14"/>
  <c r="BI75" i="14"/>
  <c r="BI81" i="14"/>
  <c r="BI46" i="14"/>
  <c r="BI97" i="14"/>
  <c r="BI38" i="14"/>
  <c r="BI87" i="14"/>
  <c r="BI68" i="14"/>
  <c r="BI96" i="14"/>
  <c r="BI30" i="14"/>
  <c r="BI62" i="14"/>
  <c r="BI92" i="14"/>
  <c r="BI70" i="14"/>
  <c r="BI61" i="14"/>
  <c r="BI50" i="14"/>
  <c r="BI80" i="14"/>
  <c r="BI69" i="14"/>
  <c r="BI98" i="14"/>
  <c r="BI60" i="14"/>
  <c r="BI34" i="14"/>
  <c r="BI83" i="14"/>
  <c r="BI42" i="14"/>
  <c r="BI54" i="14"/>
  <c r="BI99" i="14"/>
  <c r="BI55" i="14"/>
  <c r="BI85" i="14"/>
  <c r="BI31" i="14"/>
  <c r="BI88" i="14"/>
  <c r="BI43" i="14"/>
  <c r="BI89" i="14"/>
  <c r="BI63" i="14"/>
  <c r="BI47" i="14"/>
  <c r="BI71" i="14"/>
  <c r="BI39" i="14"/>
  <c r="BI51" i="14"/>
  <c r="BI77" i="14"/>
  <c r="BI76" i="14"/>
  <c r="BI35" i="14"/>
  <c r="BI84" i="14"/>
  <c r="BI49" i="14"/>
  <c r="BI36" i="14"/>
  <c r="BI65" i="14"/>
  <c r="BI37" i="14"/>
  <c r="BI41" i="14"/>
  <c r="BI56" i="14"/>
  <c r="BI100" i="14"/>
  <c r="BI40" i="14"/>
  <c r="BI64" i="14"/>
  <c r="BI73" i="14"/>
  <c r="BI72" i="14"/>
  <c r="BI33" i="14"/>
  <c r="BI57" i="14"/>
  <c r="BI53" i="14"/>
  <c r="BI101" i="14"/>
  <c r="BI44" i="14"/>
  <c r="BI32" i="14"/>
  <c r="BI52" i="14"/>
  <c r="BI48" i="14"/>
  <c r="BI45" i="14"/>
  <c r="BG10" i="13"/>
  <c r="BJ4" i="14"/>
  <c r="BI14" i="14"/>
  <c r="BI17" i="14"/>
  <c r="BI15" i="14"/>
  <c r="BI16" i="14"/>
  <c r="BH10" i="13" l="1"/>
  <c r="BH8" i="13"/>
  <c r="BI8" i="14"/>
  <c r="BH9" i="13"/>
  <c r="BI9" i="14"/>
  <c r="BI7" i="14"/>
  <c r="BI25" i="13"/>
  <c r="BI21" i="13"/>
  <c r="BI24" i="13"/>
  <c r="BI22" i="13"/>
  <c r="BI18" i="13"/>
  <c r="BI20" i="13"/>
  <c r="BI17" i="13"/>
  <c r="BI15" i="13"/>
  <c r="BI16" i="13"/>
  <c r="BI14" i="13"/>
  <c r="BI23" i="13"/>
  <c r="BI19" i="13"/>
  <c r="BI10" i="14"/>
  <c r="BJ19" i="14"/>
  <c r="BJ21" i="14"/>
  <c r="BJ18" i="14"/>
  <c r="BJ20" i="14"/>
  <c r="BJ22" i="14"/>
  <c r="BJ23" i="14"/>
  <c r="BJ26" i="14"/>
  <c r="BJ27" i="14"/>
  <c r="BJ25" i="14"/>
  <c r="BJ24" i="14"/>
  <c r="BJ28" i="14"/>
  <c r="BJ29" i="14"/>
  <c r="BJ78" i="14"/>
  <c r="BJ58" i="14"/>
  <c r="BJ94" i="14"/>
  <c r="BJ66" i="14"/>
  <c r="BJ90" i="14"/>
  <c r="BJ95" i="14"/>
  <c r="BJ91" i="14"/>
  <c r="BJ86" i="14"/>
  <c r="BJ82" i="14"/>
  <c r="BJ74" i="14"/>
  <c r="BJ67" i="14"/>
  <c r="BJ79" i="14"/>
  <c r="BJ59" i="14"/>
  <c r="BJ30" i="14"/>
  <c r="BJ38" i="14"/>
  <c r="BJ87" i="14"/>
  <c r="BJ98" i="14"/>
  <c r="BJ70" i="14"/>
  <c r="BJ93" i="14"/>
  <c r="BJ34" i="14"/>
  <c r="BJ50" i="14"/>
  <c r="BJ83" i="14"/>
  <c r="BJ61" i="14"/>
  <c r="BJ81" i="14"/>
  <c r="BJ97" i="14"/>
  <c r="BJ54" i="14"/>
  <c r="BJ75" i="14"/>
  <c r="BJ62" i="14"/>
  <c r="BJ96" i="14"/>
  <c r="BJ46" i="14"/>
  <c r="BJ68" i="14"/>
  <c r="BJ42" i="14"/>
  <c r="BJ92" i="14"/>
  <c r="BJ80" i="14"/>
  <c r="BJ60" i="14"/>
  <c r="BJ69" i="14"/>
  <c r="BJ99" i="14"/>
  <c r="BJ35" i="14"/>
  <c r="BJ71" i="14"/>
  <c r="BJ85" i="14"/>
  <c r="BJ43" i="14"/>
  <c r="BJ89" i="14"/>
  <c r="BJ39" i="14"/>
  <c r="BJ51" i="14"/>
  <c r="BJ77" i="14"/>
  <c r="BJ63" i="14"/>
  <c r="BJ47" i="14"/>
  <c r="BJ31" i="14"/>
  <c r="BJ55" i="14"/>
  <c r="BJ88" i="14"/>
  <c r="BJ84" i="14"/>
  <c r="BJ76" i="14"/>
  <c r="BJ52" i="14"/>
  <c r="BJ44" i="14"/>
  <c r="BJ100" i="14"/>
  <c r="BJ41" i="14"/>
  <c r="BJ36" i="14"/>
  <c r="BJ56" i="14"/>
  <c r="BJ45" i="14"/>
  <c r="BJ48" i="14"/>
  <c r="BJ49" i="14"/>
  <c r="BJ32" i="14"/>
  <c r="BJ64" i="14"/>
  <c r="BJ73" i="14"/>
  <c r="BJ33" i="14"/>
  <c r="BJ40" i="14"/>
  <c r="BJ101" i="14"/>
  <c r="BJ72" i="14"/>
  <c r="BJ65" i="14"/>
  <c r="BJ37" i="14"/>
  <c r="BJ53" i="14"/>
  <c r="BJ57" i="14"/>
  <c r="BH7" i="13"/>
  <c r="BJ14" i="14"/>
  <c r="BJ16" i="14"/>
  <c r="BJ17" i="14"/>
  <c r="BJ15" i="14"/>
  <c r="BI10" i="13" l="1"/>
  <c r="BJ10" i="14"/>
  <c r="BJ7" i="14"/>
  <c r="BI7" i="13"/>
  <c r="BI9" i="13"/>
  <c r="BJ9" i="14"/>
  <c r="BI8" i="13"/>
  <c r="BJ8" i="14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<sst xmlns="http://schemas.openxmlformats.org/spreadsheetml/2006/main" count="2993" uniqueCount="317">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</sst>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12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12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UMN/Semester%206%20Magang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abSelected="1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6425.2462396897245</v>
      </c>
      <c r="E7" s="23">
        <f>IF(D7&gt;300%,300%,D7)</f>
        <v>3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>
        <f t="shared" si="3"/>
        <v>16802.552164162287</v>
      </c>
      <c r="U7" s="38" t="str">
        <f t="shared" si="3"/>
        <v/>
      </c>
      <c r="V7" s="38" t="str">
        <f t="shared" si="3"/>
        <v/>
      </c>
      <c r="W7" s="38" t="str">
        <f t="shared" si="3"/>
        <v/>
      </c>
      <c r="X7" s="38" t="str">
        <f t="shared" si="3"/>
        <v/>
      </c>
      <c r="Y7" s="38" t="str">
        <f t="shared" si="3"/>
        <v/>
      </c>
      <c r="Z7" s="38" t="str">
        <f t="shared" si="3"/>
        <v/>
      </c>
      <c r="AA7" s="38" t="str">
        <f t="shared" si="3"/>
        <v/>
      </c>
      <c r="AB7" s="38" t="str">
        <f t="shared" si="3"/>
        <v/>
      </c>
      <c r="AC7" s="38" t="str">
        <f t="shared" si="3"/>
        <v/>
      </c>
      <c r="AD7" s="38" t="str">
        <f t="shared" si="3"/>
        <v/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5034.2567471179791</v>
      </c>
      <c r="E8" s="28">
        <f>IF(D8&gt;300%,300%,D8)</f>
        <v>3</v>
      </c>
      <c r="F8" s="39">
        <v>2026</v>
      </c>
      <c r="G8" s="40">
        <f t="shared" si="2"/>
        <v>718385713.437989</v>
      </c>
      <c r="H8" s="40">
        <f t="shared" si="2"/>
        <v>718227904.59198105</v>
      </c>
      <c r="I8" s="40">
        <f t="shared" ref="I8:AN8" si="5">IFERROR(I15+I19+I23,"")</f>
        <v>806.89732700000002</v>
      </c>
      <c r="J8" s="40">
        <f t="shared" si="5"/>
        <v>565.13658699999996</v>
      </c>
      <c r="K8" s="40">
        <f t="shared" si="5"/>
        <v>398.58688899999999</v>
      </c>
      <c r="L8" s="40">
        <f t="shared" si="5"/>
        <v>656.23400600000002</v>
      </c>
      <c r="M8" s="40">
        <f t="shared" si="5"/>
        <v>834.78412000000003</v>
      </c>
      <c r="N8" s="40">
        <f t="shared" si="5"/>
        <v>836.75156900000002</v>
      </c>
      <c r="O8" s="40">
        <f t="shared" si="5"/>
        <v>678.54052999999999</v>
      </c>
      <c r="P8" s="40">
        <f t="shared" si="5"/>
        <v>759.03560200000004</v>
      </c>
      <c r="Q8" s="40">
        <f t="shared" si="5"/>
        <v>470257559.28302801</v>
      </c>
      <c r="R8" s="40">
        <f t="shared" si="5"/>
        <v>132447217.72368701</v>
      </c>
      <c r="S8" s="40">
        <f t="shared" si="5"/>
        <v>115516816.59059499</v>
      </c>
      <c r="T8" s="40">
        <f t="shared" si="5"/>
        <v>775.02804100000003</v>
      </c>
      <c r="U8" s="40" t="str">
        <f t="shared" si="5"/>
        <v/>
      </c>
      <c r="V8" s="40" t="str">
        <f t="shared" si="5"/>
        <v/>
      </c>
      <c r="W8" s="40" t="str">
        <f t="shared" si="5"/>
        <v/>
      </c>
      <c r="X8" s="40" t="str">
        <f t="shared" si="5"/>
        <v/>
      </c>
      <c r="Y8" s="40" t="str">
        <f t="shared" si="5"/>
        <v/>
      </c>
      <c r="Z8" s="40" t="str">
        <f t="shared" si="5"/>
        <v/>
      </c>
      <c r="AA8" s="40" t="str">
        <f t="shared" si="5"/>
        <v/>
      </c>
      <c r="AB8" s="40" t="str">
        <f t="shared" si="5"/>
        <v/>
      </c>
      <c r="AC8" s="40" t="str">
        <f t="shared" si="5"/>
        <v/>
      </c>
      <c r="AD8" s="40" t="str">
        <f t="shared" si="5"/>
        <v/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-0.25869721147251856</v>
      </c>
      <c r="E9" s="28">
        <f>IF(D9&gt;300%,300%,D9)</f>
        <v>-0.25869721147251856</v>
      </c>
      <c r="F9" s="83">
        <v>2025</v>
      </c>
      <c r="G9" s="84">
        <f t="shared" si="2"/>
        <v>871113.49219499994</v>
      </c>
      <c r="H9" s="84">
        <f t="shared" si="2"/>
        <v>142639.77800199998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>
        <f t="shared" si="7"/>
        <v>16956.948464000001</v>
      </c>
      <c r="U9" s="84" t="str">
        <f t="shared" si="7"/>
        <v/>
      </c>
      <c r="V9" s="84" t="str">
        <f t="shared" si="7"/>
        <v/>
      </c>
      <c r="W9" s="84" t="str">
        <f t="shared" si="7"/>
        <v/>
      </c>
      <c r="X9" s="84" t="str">
        <f t="shared" si="7"/>
        <v/>
      </c>
      <c r="Y9" s="84" t="str">
        <f t="shared" si="7"/>
        <v/>
      </c>
      <c r="Z9" s="84" t="str">
        <f t="shared" si="7"/>
        <v/>
      </c>
      <c r="AA9" s="84" t="str">
        <f t="shared" si="7"/>
        <v/>
      </c>
      <c r="AB9" s="84" t="str">
        <f t="shared" si="7"/>
        <v/>
      </c>
      <c r="AC9" s="84" t="str">
        <f t="shared" si="7"/>
        <v/>
      </c>
      <c r="AD9" s="84" t="str">
        <f t="shared" si="7"/>
        <v/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192417.70058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>
        <f t="shared" si="8"/>
        <v>14694.208451999999</v>
      </c>
      <c r="U10" s="86" t="str">
        <f t="shared" si="8"/>
        <v/>
      </c>
      <c r="V10" s="86" t="str">
        <f t="shared" si="8"/>
        <v/>
      </c>
      <c r="W10" s="86" t="str">
        <f t="shared" si="8"/>
        <v/>
      </c>
      <c r="X10" s="86" t="str">
        <f t="shared" si="8"/>
        <v/>
      </c>
      <c r="Y10" s="86" t="str">
        <f t="shared" si="8"/>
        <v/>
      </c>
      <c r="Z10" s="86" t="str">
        <f t="shared" si="8"/>
        <v/>
      </c>
      <c r="AA10" s="86" t="str">
        <f t="shared" si="8"/>
        <v/>
      </c>
      <c r="AB10" s="86" t="str">
        <f t="shared" si="8"/>
        <v/>
      </c>
      <c r="AC10" s="86" t="str">
        <f t="shared" si="8"/>
        <v/>
      </c>
      <c r="AD10" s="86" t="str">
        <f t="shared" si="8"/>
        <v/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8216.7502638901406</v>
      </c>
      <c r="E14" s="23">
        <f>IF(D14&gt;300%,300%,D14)</f>
        <v>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>
        <f>IF(T$4&lt;=PARAMETER!$X$2,SUMIF('2026 T'!$E:$E,PerPM!$A14,'2026 T'!T:T)/PARAMETER!$T$3,"")</f>
        <v>6255.1223616978923</v>
      </c>
      <c r="U14" s="25" t="str">
        <f>IF(U$4&lt;=PARAMETER!$X$2,SUMIF('2026 T'!$E:$E,PerPM!$A14,'2026 T'!U:U)/PARAMETER!$T$3,"")</f>
        <v/>
      </c>
      <c r="V14" s="25" t="str">
        <f>IF(V$4&lt;=PARAMETER!$X$2,SUMIF('2026 T'!$E:$E,PerPM!$A14,'2026 T'!V:V)/PARAMETER!$T$3,"")</f>
        <v/>
      </c>
      <c r="W14" s="25" t="str">
        <f>IF(W$4&lt;=PARAMETER!$X$2,SUMIF('2026 T'!$E:$E,PerPM!$A14,'2026 T'!W:W)/PARAMETER!$T$3,"")</f>
        <v/>
      </c>
      <c r="X14" s="25" t="str">
        <f>IF(X$4&lt;=PARAMETER!$X$2,SUMIF('2026 T'!$E:$E,PerPM!$A14,'2026 T'!X:X)/PARAMETER!$T$3,"")</f>
        <v/>
      </c>
      <c r="Y14" s="25" t="str">
        <f>IF(Y$4&lt;=PARAMETER!$X$2,SUMIF('2026 T'!$E:$E,PerPM!$A14,'2026 T'!Y:Y)/PARAMETER!$T$3,"")</f>
        <v/>
      </c>
      <c r="Z14" s="25" t="str">
        <f>IF(Z$4&lt;=PARAMETER!$X$2,SUMIF('2026 T'!$E:$E,PerPM!$A14,'2026 T'!Z:Z)/PARAMETER!$T$3,"")</f>
        <v/>
      </c>
      <c r="AA14" s="25" t="str">
        <f>IF(AA$4&lt;=PARAMETER!$X$2,SUMIF('2026 T'!$E:$E,PerPM!$A14,'2026 T'!AA:AA)/PARAMETER!$T$3,"")</f>
        <v/>
      </c>
      <c r="AB14" s="25" t="str">
        <f>IF(AB$4&lt;=PARAMETER!$X$2,SUMIF('2026 T'!$E:$E,PerPM!$A14,'2026 T'!AB:AB)/PARAMETER!$T$3,"")</f>
        <v/>
      </c>
      <c r="AC14" s="25" t="str">
        <f>IF(AC$4&lt;=PARAMETER!$X$2,SUMIF('2026 T'!$E:$E,PerPM!$A14,'2026 T'!AC:AC)/PARAMETER!$T$3,"")</f>
        <v/>
      </c>
      <c r="AD14" s="25" t="str">
        <f>IF(AD$4&lt;=PARAMETER!$X$2,SUMIF('2026 T'!$E:$E,PerPM!$A14,'2026 T'!AD:AD)/PARAMETER!$T$3,"")</f>
        <v/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7084.6035626862222</v>
      </c>
      <c r="E15" s="28">
        <f>IF(D15&gt;300%,300%,D15)</f>
        <v>3</v>
      </c>
      <c r="F15" s="39">
        <f>F8</f>
        <v>2026</v>
      </c>
      <c r="G15" s="40">
        <f>IF(G$4&lt;=PARAMETER!$X$2,SUMIF('2026'!$E:$E,PerPM!$A14,'2026'!G:G)/PARAMETER!$T$3,"")</f>
        <v>365844141.27218598</v>
      </c>
      <c r="H15" s="40">
        <f>IF(H$4&lt;=PARAMETER!$X$2,SUMIF('2026'!$E:$E,PerPM!$A14,'2026'!H:H)/PARAMETER!$T$3,"")</f>
        <v>365787182.61841601</v>
      </c>
      <c r="I15" s="40">
        <f>IF(I$4&lt;=PARAMETER!$X$2,SUMIF('2026'!$E:$E,PerPM!$A14,'2026'!I:I)/PARAMETER!$T$3,"")</f>
        <v>156.049834</v>
      </c>
      <c r="J15" s="40">
        <f>IF(J$4&lt;=PARAMETER!$X$2,SUMIF('2026'!$E:$E,PerPM!$A14,'2026'!J:J)/PARAMETER!$T$3,"")</f>
        <v>0</v>
      </c>
      <c r="K15" s="40">
        <f>IF(K$4&lt;=PARAMETER!$X$2,SUMIF('2026'!$E:$E,PerPM!$A14,'2026'!K:K)/PARAMETER!$T$3,"")</f>
        <v>0</v>
      </c>
      <c r="L15" s="40">
        <f>IF(L$4&lt;=PARAMETER!$X$2,SUMIF('2026'!$E:$E,PerPM!$A14,'2026'!L:L)/PARAMETER!$T$3,"")</f>
        <v>0</v>
      </c>
      <c r="M15" s="40">
        <f>IF(M$4&lt;=PARAMETER!$X$2,SUMIF('2026'!$E:$E,PerPM!$A14,'2026'!M:M)/PARAMETER!$T$3,"")</f>
        <v>167.56352000000001</v>
      </c>
      <c r="N15" s="40">
        <f>IF(N$4&lt;=PARAMETER!$X$2,SUMIF('2026'!$E:$E,PerPM!$A14,'2026'!N:N)/PARAMETER!$T$3,"")</f>
        <v>147.79262499999999</v>
      </c>
      <c r="O15" s="40">
        <f>IF(O$4&lt;=PARAMETER!$X$2,SUMIF('2026'!$E:$E,PerPM!$A14,'2026'!O:O)/PARAMETER!$T$3,"")</f>
        <v>0</v>
      </c>
      <c r="P15" s="40">
        <f>IF(P$4&lt;=PARAMETER!$X$2,SUMIF('2026'!$E:$E,PerPM!$A14,'2026'!P:P)/PARAMETER!$T$3,"")</f>
        <v>128.04753600000001</v>
      </c>
      <c r="Q15" s="40">
        <f>IF(Q$4&lt;=PARAMETER!$X$2,SUMIF('2026'!$E:$E,PerPM!$A14,'2026'!Q:Q)/PARAMETER!$T$3,"")</f>
        <v>256544079.292817</v>
      </c>
      <c r="R15" s="40">
        <f>IF(R$4&lt;=PARAMETER!$X$2,SUMIF('2026'!$E:$E,PerPM!$A14,'2026'!R:R)/PARAMETER!$T$3,"")</f>
        <v>57398983.895030998</v>
      </c>
      <c r="S15" s="40">
        <f>IF(S$4&lt;=PARAMETER!$X$2,SUMIF('2026'!$E:$E,PerPM!$A14,'2026'!S:S)/PARAMETER!$T$3,"")</f>
        <v>51843370.177215002</v>
      </c>
      <c r="T15" s="40">
        <f>IF(T$4&lt;=PARAMETER!$X$2,SUMIF('2026'!$E:$E,PerPM!$A14,'2026'!T:T)/PARAMETER!$T$3,"")</f>
        <v>149.79983799999999</v>
      </c>
      <c r="U15" s="40" t="str">
        <f>IF(U$4&lt;=PARAMETER!$X$2,SUMIF('2026'!$E:$E,PerPM!$A14,'2026'!U:U)/PARAMETER!$T$3,"")</f>
        <v/>
      </c>
      <c r="V15" s="40" t="str">
        <f>IF(V$4&lt;=PARAMETER!$X$2,SUMIF('2026'!$E:$E,PerPM!$A14,'2026'!V:V)/PARAMETER!$T$3,"")</f>
        <v/>
      </c>
      <c r="W15" s="40" t="str">
        <f>IF(W$4&lt;=PARAMETER!$X$2,SUMIF('2026'!$E:$E,PerPM!$A14,'2026'!W:W)/PARAMETER!$T$3,"")</f>
        <v/>
      </c>
      <c r="X15" s="40" t="str">
        <f>IF(X$4&lt;=PARAMETER!$X$2,SUMIF('2026'!$E:$E,PerPM!$A14,'2026'!X:X)/PARAMETER!$T$3,"")</f>
        <v/>
      </c>
      <c r="Y15" s="40" t="str">
        <f>IF(Y$4&lt;=PARAMETER!$X$2,SUMIF('2026'!$E:$E,PerPM!$A14,'2026'!Y:Y)/PARAMETER!$T$3,"")</f>
        <v/>
      </c>
      <c r="Z15" s="40" t="str">
        <f>IF(Z$4&lt;=PARAMETER!$X$2,SUMIF('2026'!$E:$E,PerPM!$A14,'2026'!Z:Z)/PARAMETER!$T$3,"")</f>
        <v/>
      </c>
      <c r="AA15" s="40" t="str">
        <f>IF(AA$4&lt;=PARAMETER!$X$2,SUMIF('2026'!$E:$E,PerPM!$A14,'2026'!AA:AA)/PARAMETER!$T$3,"")</f>
        <v/>
      </c>
      <c r="AB15" s="40" t="str">
        <f>IF(AB$4&lt;=PARAMETER!$X$2,SUMIF('2026'!$E:$E,PerPM!$A14,'2026'!AB:AB)/PARAMETER!$T$3,"")</f>
        <v/>
      </c>
      <c r="AC15" s="40" t="str">
        <f>IF(AC$4&lt;=PARAMETER!$X$2,SUMIF('2026'!$E:$E,PerPM!$A14,'2026'!AC:AC)/PARAMETER!$T$3,"")</f>
        <v/>
      </c>
      <c r="AD15" s="40" t="str">
        <f>IF(AD$4&lt;=PARAMETER!$X$2,SUMIF('2026'!$E:$E,PerPM!$A14,'2026'!AD:AD)/PARAMETER!$T$3,"")</f>
        <v/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5.0684665324952638E-2</v>
      </c>
      <c r="E16" s="28">
        <f>IF(D16&gt;300%,300%,D16)</f>
        <v>5.0684665324952638E-2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51623.997783999999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>
        <f>IF(T$4&lt;=PARAMETER!$X$2,SUMIF('2025'!$E:$E,PerPM!$A15,'2025'!T:T)/PARAMETER!$T$3,"")</f>
        <v>5249.4427830000004</v>
      </c>
      <c r="U16" s="88" t="str">
        <f>IF(U$4&lt;=PARAMETER!$X$2,SUMIF('2025'!$E:$E,PerPM!$A15,'2025'!U:U)/PARAMETER!$T$3,"")</f>
        <v/>
      </c>
      <c r="V16" s="88" t="str">
        <f>IF(V$4&lt;=PARAMETER!$X$2,SUMIF('2025'!$E:$E,PerPM!$A15,'2025'!V:V)/PARAMETER!$T$3,"")</f>
        <v/>
      </c>
      <c r="W16" s="88" t="str">
        <f>IF(W$4&lt;=PARAMETER!$X$2,SUMIF('2025'!$E:$E,PerPM!$A15,'2025'!W:W)/PARAMETER!$T$3,"")</f>
        <v/>
      </c>
      <c r="X16" s="88" t="str">
        <f>IF(X$4&lt;=PARAMETER!$X$2,SUMIF('2025'!$E:$E,PerPM!$A15,'2025'!X:X)/PARAMETER!$T$3,"")</f>
        <v/>
      </c>
      <c r="Y16" s="88" t="str">
        <f>IF(Y$4&lt;=PARAMETER!$X$2,SUMIF('2025'!$E:$E,PerPM!$A15,'2025'!Y:Y)/PARAMETER!$T$3,"")</f>
        <v/>
      </c>
      <c r="Z16" s="88" t="str">
        <f>IF(Z$4&lt;=PARAMETER!$X$2,SUMIF('2025'!$E:$E,PerPM!$A15,'2025'!Z:Z)/PARAMETER!$T$3,"")</f>
        <v/>
      </c>
      <c r="AA16" s="88" t="str">
        <f>IF(AA$4&lt;=PARAMETER!$X$2,SUMIF('2025'!$E:$E,PerPM!$A15,'2025'!AA:AA)/PARAMETER!$T$3,"")</f>
        <v/>
      </c>
      <c r="AB16" s="88" t="str">
        <f>IF(AB$4&lt;=PARAMETER!$X$2,SUMIF('2025'!$E:$E,PerPM!$A15,'2025'!AB:AB)/PARAMETER!$T$3,"")</f>
        <v/>
      </c>
      <c r="AC16" s="88" t="str">
        <f>IF(AC$4&lt;=PARAMETER!$X$2,SUMIF('2025'!$E:$E,PerPM!$A15,'2025'!AC:AC)/PARAMETER!$T$3,"")</f>
        <v/>
      </c>
      <c r="AD16" s="88" t="str">
        <f>IF(AD$4&lt;=PARAMETER!$X$2,SUMIF('2025'!$E:$E,PerPM!$A15,'2025'!AD:AD)/PARAMETER!$T$3,"")</f>
        <v/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49133.673963000001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>
        <f>IF(T$4&lt;=PARAMETER!$X$2,SUMIF('2024'!$E:$E,PerPM!$A14,'2024'!T:T)/PARAMETER!$T$3,"")</f>
        <v>4209.1333530000002</v>
      </c>
      <c r="U17" s="90" t="str">
        <f>IF(U$4&lt;=PARAMETER!$X$2,SUMIF('2024'!$E:$E,PerPM!$A14,'2024'!U:U)/PARAMETER!$T$3,"")</f>
        <v/>
      </c>
      <c r="V17" s="90" t="str">
        <f>IF(V$4&lt;=PARAMETER!$X$2,SUMIF('2024'!$E:$E,PerPM!$A14,'2024'!V:V)/PARAMETER!$T$3,"")</f>
        <v/>
      </c>
      <c r="W17" s="90" t="str">
        <f>IF(W$4&lt;=PARAMETER!$X$2,SUMIF('2024'!$E:$E,PerPM!$A14,'2024'!W:W)/PARAMETER!$T$3,"")</f>
        <v/>
      </c>
      <c r="X17" s="90" t="str">
        <f>IF(X$4&lt;=PARAMETER!$X$2,SUMIF('2024'!$E:$E,PerPM!$A14,'2024'!X:X)/PARAMETER!$T$3,"")</f>
        <v/>
      </c>
      <c r="Y17" s="90" t="str">
        <f>IF(Y$4&lt;=PARAMETER!$X$2,SUMIF('2024'!$E:$E,PerPM!$A14,'2024'!Y:Y)/PARAMETER!$T$3,"")</f>
        <v/>
      </c>
      <c r="Z17" s="90" t="str">
        <f>IF(Z$4&lt;=PARAMETER!$X$2,SUMIF('2024'!$E:$E,PerPM!$A14,'2024'!Z:Z)/PARAMETER!$T$3,"")</f>
        <v/>
      </c>
      <c r="AA17" s="90" t="str">
        <f>IF(AA$4&lt;=PARAMETER!$X$2,SUMIF('2024'!$E:$E,PerPM!$A14,'2024'!AA:AA)/PARAMETER!$T$3,"")</f>
        <v/>
      </c>
      <c r="AB17" s="90" t="str">
        <f>IF(AB$4&lt;=PARAMETER!$X$2,SUMIF('2024'!$E:$E,PerPM!$A14,'2024'!AB:AB)/PARAMETER!$T$3,"")</f>
        <v/>
      </c>
      <c r="AC17" s="90" t="str">
        <f>IF(AC$4&lt;=PARAMETER!$X$2,SUMIF('2024'!$E:$E,PerPM!$A14,'2024'!AC:AC)/PARAMETER!$T$3,"")</f>
        <v/>
      </c>
      <c r="AD17" s="90" t="str">
        <f>IF(AD$4&lt;=PARAMETER!$X$2,SUMIF('2024'!$E:$E,PerPM!$A14,'2024'!AD:AD)/PARAMETER!$T$3,"")</f>
        <v/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7272.4945935244632</v>
      </c>
      <c r="E18" s="31">
        <f>IF(D18&gt;300%,300%,D18)</f>
        <v>3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>
        <f>IF(T$4&lt;=PARAMETER!$X$2,SUMIF('2026 T'!$E:$E,PerPM!$A18,'2026 T'!T:T)/PARAMETER!$T$3,"")</f>
        <v>9175.1056769566385</v>
      </c>
      <c r="U18" s="76" t="str">
        <f>IF(U$4&lt;=PARAMETER!$X$2,SUMIF('2026 T'!$E:$E,PerPM!$A18,'2026 T'!U:U)/PARAMETER!$T$3,"")</f>
        <v/>
      </c>
      <c r="V18" s="76" t="str">
        <f>IF(V$4&lt;=PARAMETER!$X$2,SUMIF('2026 T'!$E:$E,PerPM!$A18,'2026 T'!V:V)/PARAMETER!$T$3,"")</f>
        <v/>
      </c>
      <c r="W18" s="76" t="str">
        <f>IF(W$4&lt;=PARAMETER!$X$2,SUMIF('2026 T'!$E:$E,PerPM!$A18,'2026 T'!W:W)/PARAMETER!$T$3,"")</f>
        <v/>
      </c>
      <c r="X18" s="76" t="str">
        <f>IF(X$4&lt;=PARAMETER!$X$2,SUMIF('2026 T'!$E:$E,PerPM!$A18,'2026 T'!X:X)/PARAMETER!$T$3,"")</f>
        <v/>
      </c>
      <c r="Y18" s="76" t="str">
        <f>IF(Y$4&lt;=PARAMETER!$X$2,SUMIF('2026 T'!$E:$E,PerPM!$A18,'2026 T'!Y:Y)/PARAMETER!$T$3,"")</f>
        <v/>
      </c>
      <c r="Z18" s="76" t="str">
        <f>IF(Z$4&lt;=PARAMETER!$X$2,SUMIF('2026 T'!$E:$E,PerPM!$A18,'2026 T'!Z:Z)/PARAMETER!$T$3,"")</f>
        <v/>
      </c>
      <c r="AA18" s="76" t="str">
        <f>IF(AA$4&lt;=PARAMETER!$X$2,SUMIF('2026 T'!$E:$E,PerPM!$A18,'2026 T'!AA:AA)/PARAMETER!$T$3,"")</f>
        <v/>
      </c>
      <c r="AB18" s="76" t="str">
        <f>IF(AB$4&lt;=PARAMETER!$X$2,SUMIF('2026 T'!$E:$E,PerPM!$A18,'2026 T'!AB:AB)/PARAMETER!$T$3,"")</f>
        <v/>
      </c>
      <c r="AC18" s="76" t="str">
        <f>IF(AC$4&lt;=PARAMETER!$X$2,SUMIF('2026 T'!$E:$E,PerPM!$A18,'2026 T'!AC:AC)/PARAMETER!$T$3,"")</f>
        <v/>
      </c>
      <c r="AD18" s="76" t="str">
        <f>IF(AD$4&lt;=PARAMETER!$X$2,SUMIF('2026 T'!$E:$E,PerPM!$A18,'2026 T'!AD:AD)/PARAMETER!$T$3,"")</f>
        <v/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4627.3853195173469</v>
      </c>
      <c r="E19" s="28">
        <f>IF(D19&gt;300%,300%,D19)</f>
        <v>3</v>
      </c>
      <c r="F19" s="39">
        <f t="shared" si="12"/>
        <v>2026</v>
      </c>
      <c r="G19" s="40">
        <f>IF(G$4&lt;=PARAMETER!$X$2,SUMIF('2026'!$E:$E,PerPM!$A18,'2026'!G:G)/PARAMETER!$T$3,"")</f>
        <v>339580317.94837302</v>
      </c>
      <c r="H19" s="40">
        <f>IF(H$4&lt;=PARAMETER!$X$2,SUMIF('2026'!$E:$E,PerPM!$A18,'2026'!H:H)/PARAMETER!$T$3,"")</f>
        <v>339518601.11686897</v>
      </c>
      <c r="I19" s="40">
        <f>IF(I$4&lt;=PARAMETER!$X$2,SUMIF('2026'!$E:$E,PerPM!$A18,'2026'!I:I)/PARAMETER!$T$3,"")</f>
        <v>183.58226500000001</v>
      </c>
      <c r="J19" s="40">
        <f>IF(J$4&lt;=PARAMETER!$X$2,SUMIF('2026'!$E:$E,PerPM!$A18,'2026'!J:J)/PARAMETER!$T$3,"")</f>
        <v>177.940414</v>
      </c>
      <c r="K19" s="40">
        <f>IF(K$4&lt;=PARAMETER!$X$2,SUMIF('2026'!$E:$E,PerPM!$A18,'2026'!K:K)/PARAMETER!$T$3,"")</f>
        <v>0</v>
      </c>
      <c r="L19" s="40">
        <f>IF(L$4&lt;=PARAMETER!$X$2,SUMIF('2026'!$E:$E,PerPM!$A18,'2026'!L:L)/PARAMETER!$T$3,"")</f>
        <v>208.35062500000001</v>
      </c>
      <c r="M19" s="40">
        <f>IF(M$4&lt;=PARAMETER!$X$2,SUMIF('2026'!$E:$E,PerPM!$A18,'2026'!M:M)/PARAMETER!$T$3,"")</f>
        <v>165.623525</v>
      </c>
      <c r="N19" s="40">
        <f>IF(N$4&lt;=PARAMETER!$X$2,SUMIF('2026'!$E:$E,PerPM!$A18,'2026'!N:N)/PARAMETER!$T$3,"")</f>
        <v>200.19594000000001</v>
      </c>
      <c r="O19" s="40">
        <f>IF(O$4&lt;=PARAMETER!$X$2,SUMIF('2026'!$E:$E,PerPM!$A18,'2026'!O:O)/PARAMETER!$T$3,"")</f>
        <v>170.30830800000001</v>
      </c>
      <c r="P19" s="40">
        <f>IF(P$4&lt;=PARAMETER!$X$2,SUMIF('2026'!$E:$E,PerPM!$A18,'2026'!P:P)/PARAMETER!$T$3,"")</f>
        <v>206.23437899999999</v>
      </c>
      <c r="Q19" s="40">
        <f>IF(Q$4&lt;=PARAMETER!$X$2,SUMIF('2026'!$E:$E,PerPM!$A18,'2026'!Q:Q)/PARAMETER!$T$3,"")</f>
        <v>205916553.271079</v>
      </c>
      <c r="R19" s="40">
        <f>IF(R$4&lt;=PARAMETER!$X$2,SUMIF('2026'!$E:$E,PerPM!$A18,'2026'!R:R)/PARAMETER!$T$3,"")</f>
        <v>72530809.453189999</v>
      </c>
      <c r="S19" s="40">
        <f>IF(S$4&lt;=PARAMETER!$X$2,SUMIF('2026'!$E:$E,PerPM!$A18,'2026'!S:S)/PARAMETER!$T$3,"")</f>
        <v>61069724.864812002</v>
      </c>
      <c r="T19" s="40">
        <f>IF(T$4&lt;=PARAMETER!$X$2,SUMIF('2026'!$E:$E,PerPM!$A18,'2026'!T:T)/PARAMETER!$T$3,"")</f>
        <v>201.29233199999999</v>
      </c>
      <c r="U19" s="40" t="str">
        <f>IF(U$4&lt;=PARAMETER!$X$2,SUMIF('2026'!$E:$E,PerPM!$A18,'2026'!U:U)/PARAMETER!$T$3,"")</f>
        <v/>
      </c>
      <c r="V19" s="40" t="str">
        <f>IF(V$4&lt;=PARAMETER!$X$2,SUMIF('2026'!$E:$E,PerPM!$A18,'2026'!V:V)/PARAMETER!$T$3,"")</f>
        <v/>
      </c>
      <c r="W19" s="40" t="str">
        <f>IF(W$4&lt;=PARAMETER!$X$2,SUMIF('2026'!$E:$E,PerPM!$A18,'2026'!W:W)/PARAMETER!$T$3,"")</f>
        <v/>
      </c>
      <c r="X19" s="40" t="str">
        <f>IF(X$4&lt;=PARAMETER!$X$2,SUMIF('2026'!$E:$E,PerPM!$A18,'2026'!X:X)/PARAMETER!$T$3,"")</f>
        <v/>
      </c>
      <c r="Y19" s="40" t="str">
        <f>IF(Y$4&lt;=PARAMETER!$X$2,SUMIF('2026'!$E:$E,PerPM!$A18,'2026'!Y:Y)/PARAMETER!$T$3,"")</f>
        <v/>
      </c>
      <c r="Z19" s="40" t="str">
        <f>IF(Z$4&lt;=PARAMETER!$X$2,SUMIF('2026'!$E:$E,PerPM!$A18,'2026'!Z:Z)/PARAMETER!$T$3,"")</f>
        <v/>
      </c>
      <c r="AA19" s="40" t="str">
        <f>IF(AA$4&lt;=PARAMETER!$X$2,SUMIF('2026'!$E:$E,PerPM!$A18,'2026'!AA:AA)/PARAMETER!$T$3,"")</f>
        <v/>
      </c>
      <c r="AB19" s="40" t="str">
        <f>IF(AB$4&lt;=PARAMETER!$X$2,SUMIF('2026'!$E:$E,PerPM!$A18,'2026'!AB:AB)/PARAMETER!$T$3,"")</f>
        <v/>
      </c>
      <c r="AC19" s="40" t="str">
        <f>IF(AC$4&lt;=PARAMETER!$X$2,SUMIF('2026'!$E:$E,PerPM!$A18,'2026'!AC:AC)/PARAMETER!$T$3,"")</f>
        <v/>
      </c>
      <c r="AD19" s="40" t="str">
        <f>IF(AD$4&lt;=PARAMETER!$X$2,SUMIF('2026'!$E:$E,PerPM!$A18,'2026'!AD:AD)/PARAMETER!$T$3,"")</f>
        <v/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1.1756094336242899</v>
      </c>
      <c r="E20" s="28">
        <f>IF(D20&gt;300%,300%,D20)</f>
        <v>1.1756094336242899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73355.733733999994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>
        <f>IF(T$4&lt;=PARAMETER!$X$2,SUMIF('2025'!$E:$E,PerPM!$A19,'2025'!T:T)/PARAMETER!$T$3,"")</f>
        <v>10490.780033999999</v>
      </c>
      <c r="U20" s="88" t="str">
        <f>IF(U$4&lt;=PARAMETER!$X$2,SUMIF('2025'!$E:$E,PerPM!$A19,'2025'!U:U)/PARAMETER!$T$3,"")</f>
        <v/>
      </c>
      <c r="V20" s="88" t="str">
        <f>IF(V$4&lt;=PARAMETER!$X$2,SUMIF('2025'!$E:$E,PerPM!$A19,'2025'!V:V)/PARAMETER!$T$3,"")</f>
        <v/>
      </c>
      <c r="W20" s="88" t="str">
        <f>IF(W$4&lt;=PARAMETER!$X$2,SUMIF('2025'!$E:$E,PerPM!$A19,'2025'!W:W)/PARAMETER!$T$3,"")</f>
        <v/>
      </c>
      <c r="X20" s="88" t="str">
        <f>IF(X$4&lt;=PARAMETER!$X$2,SUMIF('2025'!$E:$E,PerPM!$A19,'2025'!X:X)/PARAMETER!$T$3,"")</f>
        <v/>
      </c>
      <c r="Y20" s="88" t="str">
        <f>IF(Y$4&lt;=PARAMETER!$X$2,SUMIF('2025'!$E:$E,PerPM!$A19,'2025'!Y:Y)/PARAMETER!$T$3,"")</f>
        <v/>
      </c>
      <c r="Z20" s="88" t="str">
        <f>IF(Z$4&lt;=PARAMETER!$X$2,SUMIF('2025'!$E:$E,PerPM!$A19,'2025'!Z:Z)/PARAMETER!$T$3,"")</f>
        <v/>
      </c>
      <c r="AA20" s="88" t="str">
        <f>IF(AA$4&lt;=PARAMETER!$X$2,SUMIF('2025'!$E:$E,PerPM!$A19,'2025'!AA:AA)/PARAMETER!$T$3,"")</f>
        <v/>
      </c>
      <c r="AB20" s="88" t="str">
        <f>IF(AB$4&lt;=PARAMETER!$X$2,SUMIF('2025'!$E:$E,PerPM!$A19,'2025'!AB:AB)/PARAMETER!$T$3,"")</f>
        <v/>
      </c>
      <c r="AC20" s="88" t="str">
        <f>IF(AC$4&lt;=PARAMETER!$X$2,SUMIF('2025'!$E:$E,PerPM!$A19,'2025'!AC:AC)/PARAMETER!$T$3,"")</f>
        <v/>
      </c>
      <c r="AD20" s="88" t="str">
        <f>IF(AD$4&lt;=PARAMETER!$X$2,SUMIF('2025'!$E:$E,PerPM!$A19,'2025'!AD:AD)/PARAMETER!$T$3,"")</f>
        <v/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33717.326557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>
        <f>IF(T$4&lt;=PARAMETER!$X$2,SUMIF('2024'!$E:$E,PerPM!$A18,'2024'!T:T)/PARAMETER!$T$3,"")</f>
        <v>3124.4166500000001</v>
      </c>
      <c r="U21" s="90" t="str">
        <f>IF(U$4&lt;=PARAMETER!$X$2,SUMIF('2024'!$E:$E,PerPM!$A18,'2024'!U:U)/PARAMETER!$T$3,"")</f>
        <v/>
      </c>
      <c r="V21" s="90" t="str">
        <f>IF(V$4&lt;=PARAMETER!$X$2,SUMIF('2024'!$E:$E,PerPM!$A18,'2024'!V:V)/PARAMETER!$T$3,"")</f>
        <v/>
      </c>
      <c r="W21" s="90" t="str">
        <f>IF(W$4&lt;=PARAMETER!$X$2,SUMIF('2024'!$E:$E,PerPM!$A18,'2024'!W:W)/PARAMETER!$T$3,"")</f>
        <v/>
      </c>
      <c r="X21" s="90" t="str">
        <f>IF(X$4&lt;=PARAMETER!$X$2,SUMIF('2024'!$E:$E,PerPM!$A18,'2024'!X:X)/PARAMETER!$T$3,"")</f>
        <v/>
      </c>
      <c r="Y21" s="90" t="str">
        <f>IF(Y$4&lt;=PARAMETER!$X$2,SUMIF('2024'!$E:$E,PerPM!$A18,'2024'!Y:Y)/PARAMETER!$T$3,"")</f>
        <v/>
      </c>
      <c r="Z21" s="90" t="str">
        <f>IF(Z$4&lt;=PARAMETER!$X$2,SUMIF('2024'!$E:$E,PerPM!$A18,'2024'!Z:Z)/PARAMETER!$T$3,"")</f>
        <v/>
      </c>
      <c r="AA21" s="90" t="str">
        <f>IF(AA$4&lt;=PARAMETER!$X$2,SUMIF('2024'!$E:$E,PerPM!$A18,'2024'!AA:AA)/PARAMETER!$T$3,"")</f>
        <v/>
      </c>
      <c r="AB21" s="90" t="str">
        <f>IF(AB$4&lt;=PARAMETER!$X$2,SUMIF('2024'!$E:$E,PerPM!$A18,'2024'!AB:AB)/PARAMETER!$T$3,"")</f>
        <v/>
      </c>
      <c r="AC21" s="90" t="str">
        <f>IF(AC$4&lt;=PARAMETER!$X$2,SUMIF('2024'!$E:$E,PerPM!$A18,'2024'!AC:AC)/PARAMETER!$T$3,"")</f>
        <v/>
      </c>
      <c r="AD21" s="90" t="str">
        <f>IF(AD$4&lt;=PARAMETER!$X$2,SUMIF('2024'!$E:$E,PerPM!$A18,'2024'!AD:AD)/PARAMETER!$T$3,"")</f>
        <v/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627.90917185442095</v>
      </c>
      <c r="E22" s="31">
        <f>IF(D22&gt;300%,300%,D22)</f>
        <v>3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>
        <f>IF(T$4&lt;=PARAMETER!$X$2,SUMIF('2026 T'!$E:$E,PerPM!$A22,'2026 T'!T:T)/PARAMETER!$T$3,"")</f>
        <v>1372.3241255077555</v>
      </c>
      <c r="U22" s="76" t="str">
        <f>IF(U$4&lt;=PARAMETER!$X$2,SUMIF('2026 T'!$E:$E,PerPM!$A22,'2026 T'!U:U)/PARAMETER!$T$3,"")</f>
        <v/>
      </c>
      <c r="V22" s="76" t="str">
        <f>IF(V$4&lt;=PARAMETER!$X$2,SUMIF('2026 T'!$E:$E,PerPM!$A22,'2026 T'!V:V)/PARAMETER!$T$3,"")</f>
        <v/>
      </c>
      <c r="W22" s="76" t="str">
        <f>IF(W$4&lt;=PARAMETER!$X$2,SUMIF('2026 T'!$E:$E,PerPM!$A22,'2026 T'!W:W)/PARAMETER!$T$3,"")</f>
        <v/>
      </c>
      <c r="X22" s="76" t="str">
        <f>IF(X$4&lt;=PARAMETER!$X$2,SUMIF('2026 T'!$E:$E,PerPM!$A22,'2026 T'!X:X)/PARAMETER!$T$3,"")</f>
        <v/>
      </c>
      <c r="Y22" s="76" t="str">
        <f>IF(Y$4&lt;=PARAMETER!$X$2,SUMIF('2026 T'!$E:$E,PerPM!$A22,'2026 T'!Y:Y)/PARAMETER!$T$3,"")</f>
        <v/>
      </c>
      <c r="Z22" s="76" t="str">
        <f>IF(Z$4&lt;=PARAMETER!$X$2,SUMIF('2026 T'!$E:$E,PerPM!$A22,'2026 T'!Z:Z)/PARAMETER!$T$3,"")</f>
        <v/>
      </c>
      <c r="AA22" s="76" t="str">
        <f>IF(AA$4&lt;=PARAMETER!$X$2,SUMIF('2026 T'!$E:$E,PerPM!$A22,'2026 T'!AA:AA)/PARAMETER!$T$3,"")</f>
        <v/>
      </c>
      <c r="AB22" s="76" t="str">
        <f>IF(AB$4&lt;=PARAMETER!$X$2,SUMIF('2026 T'!$E:$E,PerPM!$A22,'2026 T'!AB:AB)/PARAMETER!$T$3,"")</f>
        <v/>
      </c>
      <c r="AC22" s="76" t="str">
        <f>IF(AC$4&lt;=PARAMETER!$X$2,SUMIF('2026 T'!$E:$E,PerPM!$A22,'2026 T'!AC:AC)/PARAMETER!$T$3,"")</f>
        <v/>
      </c>
      <c r="AD22" s="76" t="str">
        <f>IF(AD$4&lt;=PARAMETER!$X$2,SUMIF('2026 T'!$E:$E,PerPM!$A22,'2026 T'!AD:AD)/PARAMETER!$T$3,"")</f>
        <v/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730.71499680951808</v>
      </c>
      <c r="E23" s="28">
        <f>IF(D23&gt;300%,300%,D23)</f>
        <v>3</v>
      </c>
      <c r="F23" s="39">
        <f t="shared" si="12"/>
        <v>2026</v>
      </c>
      <c r="G23" s="40">
        <f>IF(G$4&lt;=PARAMETER!$X$2,SUMIF('2026'!$E:$E,PerPM!$A22,'2026'!G:G)/PARAMETER!$T$3,"")</f>
        <v>12961254.217429999</v>
      </c>
      <c r="H23" s="40">
        <f>IF(H$4&lt;=PARAMETER!$X$2,SUMIF('2026'!$E:$E,PerPM!$A22,'2026'!H:H)/PARAMETER!$T$3,"")</f>
        <v>12922120.856696</v>
      </c>
      <c r="I23" s="40">
        <f>IF(I$4&lt;=PARAMETER!$X$2,SUMIF('2026'!$E:$E,PerPM!$A22,'2026'!I:I)/PARAMETER!$T$3,"")</f>
        <v>467.26522799999998</v>
      </c>
      <c r="J23" s="40">
        <f>IF(J$4&lt;=PARAMETER!$X$2,SUMIF('2026'!$E:$E,PerPM!$A22,'2026'!J:J)/PARAMETER!$T$3,"")</f>
        <v>387.19617299999999</v>
      </c>
      <c r="K23" s="40">
        <f>IF(K$4&lt;=PARAMETER!$X$2,SUMIF('2026'!$E:$E,PerPM!$A22,'2026'!K:K)/PARAMETER!$T$3,"")</f>
        <v>398.58688899999999</v>
      </c>
      <c r="L23" s="40">
        <f>IF(L$4&lt;=PARAMETER!$X$2,SUMIF('2026'!$E:$E,PerPM!$A22,'2026'!L:L)/PARAMETER!$T$3,"")</f>
        <v>447.88338099999999</v>
      </c>
      <c r="M23" s="40">
        <f>IF(M$4&lt;=PARAMETER!$X$2,SUMIF('2026'!$E:$E,PerPM!$A22,'2026'!M:M)/PARAMETER!$T$3,"")</f>
        <v>501.59707500000002</v>
      </c>
      <c r="N23" s="40">
        <f>IF(N$4&lt;=PARAMETER!$X$2,SUMIF('2026'!$E:$E,PerPM!$A22,'2026'!N:N)/PARAMETER!$T$3,"")</f>
        <v>488.76300400000002</v>
      </c>
      <c r="O23" s="40">
        <f>IF(O$4&lt;=PARAMETER!$X$2,SUMIF('2026'!$E:$E,PerPM!$A22,'2026'!O:O)/PARAMETER!$T$3,"")</f>
        <v>508.23222199999998</v>
      </c>
      <c r="P23" s="40">
        <f>IF(P$4&lt;=PARAMETER!$X$2,SUMIF('2026'!$E:$E,PerPM!$A22,'2026'!P:P)/PARAMETER!$T$3,"")</f>
        <v>424.75368700000001</v>
      </c>
      <c r="Q23" s="40">
        <f>IF(Q$4&lt;=PARAMETER!$X$2,SUMIF('2026'!$E:$E,PerPM!$A22,'2026'!Q:Q)/PARAMETER!$T$3,"")</f>
        <v>7796926.7191319996</v>
      </c>
      <c r="R23" s="40">
        <f>IF(R$4&lt;=PARAMETER!$X$2,SUMIF('2026'!$E:$E,PerPM!$A22,'2026'!R:R)/PARAMETER!$T$3,"")</f>
        <v>2517424.3754659998</v>
      </c>
      <c r="S23" s="40">
        <f>IF(S$4&lt;=PARAMETER!$X$2,SUMIF('2026'!$E:$E,PerPM!$A22,'2026'!S:S)/PARAMETER!$T$3,"")</f>
        <v>2603721.5485680001</v>
      </c>
      <c r="T23" s="40">
        <f>IF(T$4&lt;=PARAMETER!$X$2,SUMIF('2026'!$E:$E,PerPM!$A22,'2026'!T:T)/PARAMETER!$T$3,"")</f>
        <v>423.93587100000002</v>
      </c>
      <c r="U23" s="40" t="str">
        <f>IF(U$4&lt;=PARAMETER!$X$2,SUMIF('2026'!$E:$E,PerPM!$A22,'2026'!U:U)/PARAMETER!$T$3,"")</f>
        <v/>
      </c>
      <c r="V23" s="40" t="str">
        <f>IF(V$4&lt;=PARAMETER!$X$2,SUMIF('2026'!$E:$E,PerPM!$A22,'2026'!V:V)/PARAMETER!$T$3,"")</f>
        <v/>
      </c>
      <c r="W23" s="40" t="str">
        <f>IF(W$4&lt;=PARAMETER!$X$2,SUMIF('2026'!$E:$E,PerPM!$A22,'2026'!W:W)/PARAMETER!$T$3,"")</f>
        <v/>
      </c>
      <c r="X23" s="40" t="str">
        <f>IF(X$4&lt;=PARAMETER!$X$2,SUMIF('2026'!$E:$E,PerPM!$A22,'2026'!X:X)/PARAMETER!$T$3,"")</f>
        <v/>
      </c>
      <c r="Y23" s="40" t="str">
        <f>IF(Y$4&lt;=PARAMETER!$X$2,SUMIF('2026'!$E:$E,PerPM!$A22,'2026'!Y:Y)/PARAMETER!$T$3,"")</f>
        <v/>
      </c>
      <c r="Z23" s="40" t="str">
        <f>IF(Z$4&lt;=PARAMETER!$X$2,SUMIF('2026'!$E:$E,PerPM!$A22,'2026'!Z:Z)/PARAMETER!$T$3,"")</f>
        <v/>
      </c>
      <c r="AA23" s="40" t="str">
        <f>IF(AA$4&lt;=PARAMETER!$X$2,SUMIF('2026'!$E:$E,PerPM!$A22,'2026'!AA:AA)/PARAMETER!$T$3,"")</f>
        <v/>
      </c>
      <c r="AB23" s="40" t="str">
        <f>IF(AB$4&lt;=PARAMETER!$X$2,SUMIF('2026'!$E:$E,PerPM!$A22,'2026'!AB:AB)/PARAMETER!$T$3,"")</f>
        <v/>
      </c>
      <c r="AC23" s="40" t="str">
        <f>IF(AC$4&lt;=PARAMETER!$X$2,SUMIF('2026'!$E:$E,PerPM!$A22,'2026'!AC:AC)/PARAMETER!$T$3,"")</f>
        <v/>
      </c>
      <c r="AD23" s="40" t="str">
        <f>IF(AD$4&lt;=PARAMETER!$X$2,SUMIF('2026'!$E:$E,PerPM!$A22,'2026'!AD:AD)/PARAMETER!$T$3,"")</f>
        <v/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-0.83881921720441377</v>
      </c>
      <c r="E24" s="28">
        <f>IF(D24&gt;300%,300%,D24)</f>
        <v>-0.83881921720441377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17660.046483999999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>
        <f>IF(T$4&lt;=PARAMETER!$X$2,SUMIF('2025'!$E:$E,PerPM!$A23,'2025'!T:T)/PARAMETER!$T$3,"")</f>
        <v>1216.725647</v>
      </c>
      <c r="U24" s="88" t="str">
        <f>IF(U$4&lt;=PARAMETER!$X$2,SUMIF('2025'!$E:$E,PerPM!$A23,'2025'!U:U)/PARAMETER!$T$3,"")</f>
        <v/>
      </c>
      <c r="V24" s="88" t="str">
        <f>IF(V$4&lt;=PARAMETER!$X$2,SUMIF('2025'!$E:$E,PerPM!$A23,'2025'!V:V)/PARAMETER!$T$3,"")</f>
        <v/>
      </c>
      <c r="W24" s="88" t="str">
        <f>IF(W$4&lt;=PARAMETER!$X$2,SUMIF('2025'!$E:$E,PerPM!$A23,'2025'!W:W)/PARAMETER!$T$3,"")</f>
        <v/>
      </c>
      <c r="X24" s="88" t="str">
        <f>IF(X$4&lt;=PARAMETER!$X$2,SUMIF('2025'!$E:$E,PerPM!$A23,'2025'!X:X)/PARAMETER!$T$3,"")</f>
        <v/>
      </c>
      <c r="Y24" s="88" t="str">
        <f>IF(Y$4&lt;=PARAMETER!$X$2,SUMIF('2025'!$E:$E,PerPM!$A23,'2025'!Y:Y)/PARAMETER!$T$3,"")</f>
        <v/>
      </c>
      <c r="Z24" s="88" t="str">
        <f>IF(Z$4&lt;=PARAMETER!$X$2,SUMIF('2025'!$E:$E,PerPM!$A23,'2025'!Z:Z)/PARAMETER!$T$3,"")</f>
        <v/>
      </c>
      <c r="AA24" s="88" t="str">
        <f>IF(AA$4&lt;=PARAMETER!$X$2,SUMIF('2025'!$E:$E,PerPM!$A23,'2025'!AA:AA)/PARAMETER!$T$3,"")</f>
        <v/>
      </c>
      <c r="AB24" s="88" t="str">
        <f>IF(AB$4&lt;=PARAMETER!$X$2,SUMIF('2025'!$E:$E,PerPM!$A23,'2025'!AB:AB)/PARAMETER!$T$3,"")</f>
        <v/>
      </c>
      <c r="AC24" s="88" t="str">
        <f>IF(AC$4&lt;=PARAMETER!$X$2,SUMIF('2025'!$E:$E,PerPM!$A23,'2025'!AC:AC)/PARAMETER!$T$3,"")</f>
        <v/>
      </c>
      <c r="AD24" s="88" t="str">
        <f>IF(AD$4&lt;=PARAMETER!$X$2,SUMIF('2025'!$E:$E,PerPM!$A23,'2025'!AD:AD)/PARAMETER!$T$3,"")</f>
        <v/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109566.70006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>
        <f>IF(T$4&lt;=PARAMETER!$X$2,SUMIF('2024'!$E:$E,PerPM!$A22,'2024'!T:T)/PARAMETER!$T$3,"")</f>
        <v>7360.6584489999996</v>
      </c>
      <c r="U25" s="40" t="str">
        <f>IF(U$4&lt;=PARAMETER!$X$2,SUMIF('2024'!$E:$E,PerPM!$A22,'2024'!U:U)/PARAMETER!$T$3,"")</f>
        <v/>
      </c>
      <c r="V25" s="40" t="str">
        <f>IF(V$4&lt;=PARAMETER!$X$2,SUMIF('2024'!$E:$E,PerPM!$A22,'2024'!V:V)/PARAMETER!$T$3,"")</f>
        <v/>
      </c>
      <c r="W25" s="40" t="str">
        <f>IF(W$4&lt;=PARAMETER!$X$2,SUMIF('2024'!$E:$E,PerPM!$A22,'2024'!W:W)/PARAMETER!$T$3,"")</f>
        <v/>
      </c>
      <c r="X25" s="40" t="str">
        <f>IF(X$4&lt;=PARAMETER!$X$2,SUMIF('2024'!$E:$E,PerPM!$A22,'2024'!X:X)/PARAMETER!$T$3,"")</f>
        <v/>
      </c>
      <c r="Y25" s="40" t="str">
        <f>IF(Y$4&lt;=PARAMETER!$X$2,SUMIF('2024'!$E:$E,PerPM!$A22,'2024'!Y:Y)/PARAMETER!$T$3,"")</f>
        <v/>
      </c>
      <c r="Z25" s="40" t="str">
        <f>IF(Z$4&lt;=PARAMETER!$X$2,SUMIF('2024'!$E:$E,PerPM!$A22,'2024'!Z:Z)/PARAMETER!$T$3,"")</f>
        <v/>
      </c>
      <c r="AA25" s="40" t="str">
        <f>IF(AA$4&lt;=PARAMETER!$X$2,SUMIF('2024'!$E:$E,PerPM!$A22,'2024'!AA:AA)/PARAMETER!$T$3,"")</f>
        <v/>
      </c>
      <c r="AB25" s="40" t="str">
        <f>IF(AB$4&lt;=PARAMETER!$X$2,SUMIF('2024'!$E:$E,PerPM!$A22,'2024'!AB:AB)/PARAMETER!$T$3,"")</f>
        <v/>
      </c>
      <c r="AC25" s="40" t="str">
        <f>IF(AC$4&lt;=PARAMETER!$X$2,SUMIF('2024'!$E:$E,PerPM!$A22,'2024'!AC:AC)/PARAMETER!$T$3,"")</f>
        <v/>
      </c>
      <c r="AD25" s="40" t="str">
        <f>IF(AD$4&lt;=PARAMETER!$X$2,SUMIF('2024'!$E:$E,PerPM!$A22,'2024'!AD:AD)/PARAMETER!$T$3,"")</f>
        <v/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92.573030651789736</v>
      </c>
      <c r="F7" s="23">
        <f>IF(E7&gt;300%,300%,E7)</f>
        <v>3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>
        <f t="shared" si="3"/>
        <v>1372.3241255077558</v>
      </c>
      <c r="V7" s="38" t="e">
        <f t="shared" si="3"/>
        <v>#VALUE!</v>
      </c>
      <c r="W7" s="38" t="e">
        <f t="shared" si="3"/>
        <v>#VALUE!</v>
      </c>
      <c r="X7" s="38" t="e">
        <f t="shared" si="3"/>
        <v>#VALUE!</v>
      </c>
      <c r="Y7" s="38" t="e">
        <f t="shared" si="3"/>
        <v>#VALUE!</v>
      </c>
      <c r="Z7" s="38" t="e">
        <f t="shared" si="3"/>
        <v>#VALUE!</v>
      </c>
      <c r="AA7" s="38" t="e">
        <f t="shared" si="3"/>
        <v>#VALUE!</v>
      </c>
      <c r="AB7" s="38" t="e">
        <f t="shared" si="3"/>
        <v>#VALUE!</v>
      </c>
      <c r="AC7" s="38" t="e">
        <f t="shared" si="3"/>
        <v>#VALUE!</v>
      </c>
      <c r="AD7" s="38" t="e">
        <f t="shared" si="3"/>
        <v>#VALUE!</v>
      </c>
      <c r="AE7" s="38" t="e">
        <f t="shared" si="3"/>
        <v>#VALUE!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106.87718648538296</v>
      </c>
      <c r="F8" s="28">
        <f>IF(E8&gt;300%,300%,E8)</f>
        <v>3</v>
      </c>
      <c r="G8" s="39">
        <v>2026</v>
      </c>
      <c r="H8" s="40">
        <f t="shared" si="2"/>
        <v>1921615.177382</v>
      </c>
      <c r="I8" s="40">
        <f t="shared" si="2"/>
        <v>1905116.1278949999</v>
      </c>
      <c r="J8" s="40">
        <f t="shared" si="2"/>
        <v>467.26522799999998</v>
      </c>
      <c r="K8" s="40">
        <f t="shared" ref="K8:BJ8" si="4">K15+K19+K23+K27+K31+K35+K39+K43+K47+K51+K55+K59+K63+K67+K71+K75+K79+K83+K87+K91+K95+K99</f>
        <v>387.19617299999999</v>
      </c>
      <c r="L8" s="40">
        <f t="shared" si="4"/>
        <v>398.58688899999999</v>
      </c>
      <c r="M8" s="40">
        <f t="shared" si="4"/>
        <v>447.88338099999999</v>
      </c>
      <c r="N8" s="40">
        <f t="shared" si="4"/>
        <v>501.59707500000002</v>
      </c>
      <c r="O8" s="40">
        <f t="shared" si="4"/>
        <v>488.76300400000002</v>
      </c>
      <c r="P8" s="40">
        <f t="shared" si="4"/>
        <v>508.23222199999998</v>
      </c>
      <c r="Q8" s="40">
        <f t="shared" si="4"/>
        <v>424.75368700000001</v>
      </c>
      <c r="R8" s="40">
        <f t="shared" si="4"/>
        <v>644150.93008900003</v>
      </c>
      <c r="S8" s="40">
        <f t="shared" si="4"/>
        <v>658027.41522400011</v>
      </c>
      <c r="T8" s="40">
        <f t="shared" si="4"/>
        <v>598889.56905199995</v>
      </c>
      <c r="U8" s="40">
        <f t="shared" si="4"/>
        <v>423.93587100000002</v>
      </c>
      <c r="V8" s="40" t="e">
        <f t="shared" si="4"/>
        <v>#VALUE!</v>
      </c>
      <c r="W8" s="40" t="e">
        <f t="shared" si="4"/>
        <v>#VALUE!</v>
      </c>
      <c r="X8" s="40" t="e">
        <f t="shared" si="4"/>
        <v>#VALUE!</v>
      </c>
      <c r="Y8" s="40" t="e">
        <f t="shared" si="4"/>
        <v>#VALUE!</v>
      </c>
      <c r="Z8" s="40" t="e">
        <f t="shared" si="4"/>
        <v>#VALUE!</v>
      </c>
      <c r="AA8" s="40" t="e">
        <f t="shared" si="4"/>
        <v>#VALUE!</v>
      </c>
      <c r="AB8" s="40" t="e">
        <f t="shared" si="4"/>
        <v>#VALUE!</v>
      </c>
      <c r="AC8" s="40" t="e">
        <f t="shared" si="4"/>
        <v>#VALUE!</v>
      </c>
      <c r="AD8" s="40" t="e">
        <f t="shared" si="4"/>
        <v>#VALUE!</v>
      </c>
      <c r="AE8" s="40" t="e">
        <f t="shared" si="4"/>
        <v>#VALUE!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-0.83881921720441377</v>
      </c>
      <c r="F9" s="28">
        <f>IF(E9&gt;300%,300%,E9)</f>
        <v>-0.83881921720441377</v>
      </c>
      <c r="G9" s="39">
        <v>2025</v>
      </c>
      <c r="H9" s="40">
        <f t="shared" si="2"/>
        <v>78487.255596999996</v>
      </c>
      <c r="I9" s="40">
        <f t="shared" si="2"/>
        <v>17660.046484000002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>
        <f t="shared" si="5"/>
        <v>1216.725647</v>
      </c>
      <c r="V9" s="40" t="e">
        <f t="shared" si="5"/>
        <v>#VALUE!</v>
      </c>
      <c r="W9" s="40" t="e">
        <f t="shared" si="5"/>
        <v>#VALUE!</v>
      </c>
      <c r="X9" s="40" t="e">
        <f t="shared" si="5"/>
        <v>#VALUE!</v>
      </c>
      <c r="Y9" s="40" t="e">
        <f t="shared" si="5"/>
        <v>#VALUE!</v>
      </c>
      <c r="Z9" s="40" t="e">
        <f t="shared" si="5"/>
        <v>#VALUE!</v>
      </c>
      <c r="AA9" s="40" t="e">
        <f t="shared" si="5"/>
        <v>#VALUE!</v>
      </c>
      <c r="AB9" s="40" t="e">
        <f t="shared" si="5"/>
        <v>#VALUE!</v>
      </c>
      <c r="AC9" s="40" t="e">
        <f t="shared" si="5"/>
        <v>#VALUE!</v>
      </c>
      <c r="AD9" s="40" t="e">
        <f t="shared" si="5"/>
        <v>#VALUE!</v>
      </c>
      <c r="AE9" s="40" t="e">
        <f t="shared" si="5"/>
        <v>#VALUE!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109566.70006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>
        <f t="shared" si="6"/>
        <v>7360.6584489999996</v>
      </c>
      <c r="V10" s="38" t="e">
        <f t="shared" si="6"/>
        <v>#VALUE!</v>
      </c>
      <c r="W10" s="38" t="e">
        <f t="shared" si="6"/>
        <v>#VALUE!</v>
      </c>
      <c r="X10" s="38" t="e">
        <f t="shared" si="6"/>
        <v>#VALUE!</v>
      </c>
      <c r="Y10" s="38" t="e">
        <f t="shared" si="6"/>
        <v>#VALUE!</v>
      </c>
      <c r="Z10" s="38" t="e">
        <f t="shared" si="6"/>
        <v>#VALUE!</v>
      </c>
      <c r="AA10" s="38" t="e">
        <f t="shared" si="6"/>
        <v>#VALUE!</v>
      </c>
      <c r="AB10" s="38" t="e">
        <f t="shared" si="6"/>
        <v>#VALUE!</v>
      </c>
      <c r="AC10" s="38" t="e">
        <f t="shared" si="6"/>
        <v>#VALUE!</v>
      </c>
      <c r="AD10" s="38" t="e">
        <f t="shared" si="6"/>
        <v>#VALUE!</v>
      </c>
      <c r="AE10" s="38" t="e">
        <f t="shared" si="6"/>
        <v>#VALUE!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85.039551158204105</v>
      </c>
      <c r="F14" s="23">
        <f>IFERROR(IF(E14&gt;300%,300%,E14),"")</f>
        <v>3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>
        <f>IF(U$4&lt;=PARAMETER!$X$2,SUMIF('2026 T'!$F:$F,$B14,'2026 T'!T:T)/PARAMETER!$T$3,"")</f>
        <v>536.681997703006</v>
      </c>
      <c r="V14" s="25" t="str">
        <f>IF(V$4&lt;=PARAMETER!$X$2,SUMIF('2026 T'!$F:$F,$B14,'2026 T'!U:U)/PARAMETER!$T$3,"")</f>
        <v/>
      </c>
      <c r="W14" s="25" t="str">
        <f>IF(W$4&lt;=PARAMETER!$X$2,SUMIF('2026 T'!$F:$F,$B14,'2026 T'!V:V)/PARAMETER!$T$3,"")</f>
        <v/>
      </c>
      <c r="X14" s="25" t="str">
        <f>IF(X$4&lt;=PARAMETER!$X$2,SUMIF('2026 T'!$F:$F,$B14,'2026 T'!W:W)/PARAMETER!$T$3,"")</f>
        <v/>
      </c>
      <c r="Y14" s="25" t="str">
        <f>IF(Y$4&lt;=PARAMETER!$X$2,SUMIF('2026 T'!$F:$F,$B14,'2026 T'!X:X)/PARAMETER!$T$3,"")</f>
        <v/>
      </c>
      <c r="Z14" s="25" t="str">
        <f>IF(Z$4&lt;=PARAMETER!$X$2,SUMIF('2026 T'!$F:$F,$B14,'2026 T'!Y:Y)/PARAMETER!$T$3,"")</f>
        <v/>
      </c>
      <c r="AA14" s="25" t="str">
        <f>IF(AA$4&lt;=PARAMETER!$X$2,SUMIF('2026 T'!$F:$F,$B14,'2026 T'!Z:Z)/PARAMETER!$T$3,"")</f>
        <v/>
      </c>
      <c r="AB14" s="25" t="str">
        <f>IF(AB$4&lt;=PARAMETER!$X$2,SUMIF('2026 T'!$F:$F,$B14,'2026 T'!AA:AA)/PARAMETER!$T$3,"")</f>
        <v/>
      </c>
      <c r="AC14" s="25" t="str">
        <f>IF(AC$4&lt;=PARAMETER!$X$2,SUMIF('2026 T'!$F:$F,$B14,'2026 T'!AB:AB)/PARAMETER!$T$3,"")</f>
        <v/>
      </c>
      <c r="AD14" s="25" t="str">
        <f>IF(AD$4&lt;=PARAMETER!$X$2,SUMIF('2026 T'!$F:$F,$B14,'2026 T'!AC:AC)/PARAMETER!$T$3,"")</f>
        <v/>
      </c>
      <c r="AE14" s="25" t="str">
        <f>IF(AE$4&lt;=PARAMETER!$X$2,SUMIF('2026 T'!$F:$F,$B14,'2026 T'!AD:AD)/PARAMETER!$T$3,"")</f>
        <v/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13747.407064387886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427995.880779</v>
      </c>
      <c r="I15" s="40">
        <f>IF(I$4&lt;=PARAMETER!$X$2,SUMIF('2026'!$F:$F,$B15,'2026'!H:H)/PARAMETER!$T$3,"")</f>
        <v>426326.29318500002</v>
      </c>
      <c r="J15" s="40">
        <f>IF(J$4&lt;=PARAMETER!$X$2,SUMIF('2026'!$F:$F,$B15,'2026'!I:I)/PARAMETER!$T$3,"")</f>
        <v>0</v>
      </c>
      <c r="K15" s="40">
        <f>IF(K$4&lt;=PARAMETER!$X$2,SUMIF('2026'!$F:$F,$B15,'2026'!J:J)/PARAMETER!$T$3,"")</f>
        <v>0</v>
      </c>
      <c r="L15" s="40">
        <f>IF(L$4&lt;=PARAMETER!$X$2,SUMIF('2026'!$F:$F,$B15,'2026'!K:K)/PARAMETER!$T$3,"")</f>
        <v>0</v>
      </c>
      <c r="M15" s="40">
        <f>IF(M$4&lt;=PARAMETER!$X$2,SUMIF('2026'!$F:$F,$B15,'2026'!L:L)/PARAMETER!$T$3,"")</f>
        <v>0</v>
      </c>
      <c r="N15" s="40">
        <f>IF(N$4&lt;=PARAMETER!$X$2,SUMIF('2026'!$F:$F,$B15,'2026'!M:M)/PARAMETER!$T$3,"")</f>
        <v>0</v>
      </c>
      <c r="O15" s="40">
        <f>IF(O$4&lt;=PARAMETER!$X$2,SUMIF('2026'!$F:$F,$B15,'2026'!N:N)/PARAMETER!$T$3,"")</f>
        <v>0</v>
      </c>
      <c r="P15" s="40">
        <f>IF(P$4&lt;=PARAMETER!$X$2,SUMIF('2026'!$F:$F,$B15,'2026'!O:O)/PARAMETER!$T$3,"")</f>
        <v>0</v>
      </c>
      <c r="Q15" s="40">
        <f>IF(Q$4&lt;=PARAMETER!$X$2,SUMIF('2026'!$F:$F,$B15,'2026'!P:P)/PARAMETER!$T$3,"")</f>
        <v>0</v>
      </c>
      <c r="R15" s="40">
        <f>IF(R$4&lt;=PARAMETER!$X$2,SUMIF('2026'!$F:$F,$B15,'2026'!Q:Q)/PARAMETER!$T$3,"")</f>
        <v>158667.094755</v>
      </c>
      <c r="S15" s="40">
        <f>IF(S$4&lt;=PARAMETER!$X$2,SUMIF('2026'!$F:$F,$B15,'2026'!R:R)/PARAMETER!$T$3,"")</f>
        <v>121976.16834</v>
      </c>
      <c r="T15" s="40">
        <f>IF(T$4&lt;=PARAMETER!$X$2,SUMIF('2026'!$F:$F,$B15,'2026'!S:S)/PARAMETER!$T$3,"")</f>
        <v>145683.03008999999</v>
      </c>
      <c r="U15" s="40">
        <f>IF(U$4&lt;=PARAMETER!$X$2,SUMIF('2026'!$F:$F,$B15,'2026'!T:T)/PARAMETER!$T$3,"")</f>
        <v>0</v>
      </c>
      <c r="V15" s="40" t="str">
        <f>IF(V$4&lt;=PARAMETER!$X$2,SUMIF('2026'!$F:$F,$B15,'2026'!U:U)/PARAMETER!$T$3,"")</f>
        <v/>
      </c>
      <c r="W15" s="40" t="str">
        <f>IF(W$4&lt;=PARAMETER!$X$2,SUMIF('2026'!$F:$F,$B15,'2026'!V:V)/PARAMETER!$T$3,"")</f>
        <v/>
      </c>
      <c r="X15" s="40" t="str">
        <f>IF(X$4&lt;=PARAMETER!$X$2,SUMIF('2026'!$F:$F,$B15,'2026'!W:W)/PARAMETER!$T$3,"")</f>
        <v/>
      </c>
      <c r="Y15" s="40" t="str">
        <f>IF(Y$4&lt;=PARAMETER!$X$2,SUMIF('2026'!$F:$F,$B15,'2026'!X:X)/PARAMETER!$T$3,"")</f>
        <v/>
      </c>
      <c r="Z15" s="40" t="str">
        <f>IF(Z$4&lt;=PARAMETER!$X$2,SUMIF('2026'!$F:$F,$B15,'2026'!Y:Y)/PARAMETER!$T$3,"")</f>
        <v/>
      </c>
      <c r="AA15" s="40" t="str">
        <f>IF(AA$4&lt;=PARAMETER!$X$2,SUMIF('2026'!$F:$F,$B15,'2026'!Z:Z)/PARAMETER!$T$3,"")</f>
        <v/>
      </c>
      <c r="AB15" s="40" t="str">
        <f>IF(AB$4&lt;=PARAMETER!$X$2,SUMIF('2026'!$F:$F,$B15,'2026'!AA:AA)/PARAMETER!$T$3,"")</f>
        <v/>
      </c>
      <c r="AC15" s="40" t="str">
        <f>IF(AC$4&lt;=PARAMETER!$X$2,SUMIF('2026'!$F:$F,$B15,'2026'!AB:AB)/PARAMETER!$T$3,"")</f>
        <v/>
      </c>
      <c r="AD15" s="40" t="str">
        <f>IF(AD$4&lt;=PARAMETER!$X$2,SUMIF('2026'!$F:$F,$B15,'2026'!AC:AC)/PARAMETER!$T$3,"")</f>
        <v/>
      </c>
      <c r="AE15" s="40" t="str">
        <f>IF(AE$4&lt;=PARAMETER!$X$2,SUMIF('2026'!$F:$F,$B15,'2026'!AD:AD)/PARAMETER!$T$3,"")</f>
        <v/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4.996043970918091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31.009141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>
        <f>IF(U$4&lt;=PARAMETER!$X$2,SUMIF('2025'!$F:$F,$B16,'2025'!T:T)/PARAMETER!$T$3,"")</f>
        <v>1.1505000000000001</v>
      </c>
      <c r="V16" s="40" t="str">
        <f>IF(V$4&lt;=PARAMETER!$X$2,SUMIF('2025'!$F:$F,$B16,'2025'!U:U)/PARAMETER!$T$3,"")</f>
        <v/>
      </c>
      <c r="W16" s="40" t="str">
        <f>IF(W$4&lt;=PARAMETER!$X$2,SUMIF('2025'!$F:$F,$B16,'2025'!V:V)/PARAMETER!$T$3,"")</f>
        <v/>
      </c>
      <c r="X16" s="40" t="str">
        <f>IF(X$4&lt;=PARAMETER!$X$2,SUMIF('2025'!$F:$F,$B16,'2025'!W:W)/PARAMETER!$T$3,"")</f>
        <v/>
      </c>
      <c r="Y16" s="40" t="str">
        <f>IF(Y$4&lt;=PARAMETER!$X$2,SUMIF('2025'!$F:$F,$B16,'2025'!X:X)/PARAMETER!$T$3,"")</f>
        <v/>
      </c>
      <c r="Z16" s="40" t="str">
        <f>IF(Z$4&lt;=PARAMETER!$X$2,SUMIF('2025'!$F:$F,$B16,'2025'!Y:Y)/PARAMETER!$T$3,"")</f>
        <v/>
      </c>
      <c r="AA16" s="40" t="str">
        <f>IF(AA$4&lt;=PARAMETER!$X$2,SUMIF('2025'!$F:$F,$B16,'2025'!Z:Z)/PARAMETER!$T$3,"")</f>
        <v/>
      </c>
      <c r="AB16" s="40" t="str">
        <f>IF(AB$4&lt;=PARAMETER!$X$2,SUMIF('2025'!$F:$F,$B16,'2025'!AA:AA)/PARAMETER!$T$3,"")</f>
        <v/>
      </c>
      <c r="AC16" s="40" t="str">
        <f>IF(AC$4&lt;=PARAMETER!$X$2,SUMIF('2025'!$F:$F,$B16,'2025'!AB:AB)/PARAMETER!$T$3,"")</f>
        <v/>
      </c>
      <c r="AD16" s="40" t="str">
        <f>IF(AD$4&lt;=PARAMETER!$X$2,SUMIF('2025'!$F:$F,$B16,'2025'!AC:AC)/PARAMETER!$T$3,"")</f>
        <v/>
      </c>
      <c r="AE16" s="40" t="str">
        <f>IF(AE$4&lt;=PARAMETER!$X$2,SUMIF('2025'!$F:$F,$B16,'2025'!AD:AD)/PARAMETER!$T$3,"")</f>
        <v/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5.1715999999999998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>
        <f>IF(U$4&lt;=PARAMETER!$X$2,SUMIF('2024'!$F:$F,$B17,'2024'!T:T)/PARAMETER!$T$3,"")</f>
        <v>0.1212</v>
      </c>
      <c r="V17" s="71" t="str">
        <f>IF(V$4&lt;=PARAMETER!$X$2,SUMIF('2024'!$F:$F,$B17,'2024'!U:U)/PARAMETER!$T$3,"")</f>
        <v/>
      </c>
      <c r="W17" s="71" t="str">
        <f>IF(W$4&lt;=PARAMETER!$X$2,SUMIF('2024'!$F:$F,$B17,'2024'!V:V)/PARAMETER!$T$3,"")</f>
        <v/>
      </c>
      <c r="X17" s="71" t="str">
        <f>IF(X$4&lt;=PARAMETER!$X$2,SUMIF('2024'!$F:$F,$B17,'2024'!W:W)/PARAMETER!$T$3,"")</f>
        <v/>
      </c>
      <c r="Y17" s="71" t="str">
        <f>IF(Y$4&lt;=PARAMETER!$X$2,SUMIF('2024'!$F:$F,$B17,'2024'!X:X)/PARAMETER!$T$3,"")</f>
        <v/>
      </c>
      <c r="Z17" s="71" t="str">
        <f>IF(Z$4&lt;=PARAMETER!$X$2,SUMIF('2024'!$F:$F,$B17,'2024'!Y:Y)/PARAMETER!$T$3,"")</f>
        <v/>
      </c>
      <c r="AA17" s="71" t="str">
        <f>IF(AA$4&lt;=PARAMETER!$X$2,SUMIF('2024'!$F:$F,$B17,'2024'!Z:Z)/PARAMETER!$T$3,"")</f>
        <v/>
      </c>
      <c r="AB17" s="71" t="str">
        <f>IF(AB$4&lt;=PARAMETER!$X$2,SUMIF('2024'!$F:$F,$B17,'2024'!AA:AA)/PARAMETER!$T$3,"")</f>
        <v/>
      </c>
      <c r="AC17" s="71" t="str">
        <f>IF(AC$4&lt;=PARAMETER!$X$2,SUMIF('2024'!$F:$F,$B17,'2024'!AB:AB)/PARAMETER!$T$3,"")</f>
        <v/>
      </c>
      <c r="AD17" s="71" t="str">
        <f>IF(AD$4&lt;=PARAMETER!$X$2,SUMIF('2024'!$F:$F,$B17,'2024'!AC:AC)/PARAMETER!$T$3,"")</f>
        <v/>
      </c>
      <c r="AE17" s="71" t="str">
        <f>IF(AE$4&lt;=PARAMETER!$X$2,SUMIF('2024'!$F:$F,$B17,'2024'!AD:AD)/PARAMETER!$T$3,"")</f>
        <v/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18.21785226108338</v>
      </c>
      <c r="F18" s="23">
        <f t="shared" ref="F18:F20" si="13">IFERROR(IF(E18&gt;300%,300%,E18),"")</f>
        <v>3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>
        <f>IF(U$4&lt;=PARAMETER!$X$2,SUMIF('2026 T'!$F:$F,$B18,'2026 T'!T:T)/PARAMETER!$T$3,"")</f>
        <v>131.766032638019</v>
      </c>
      <c r="V18" s="25" t="str">
        <f>IF(V$4&lt;=PARAMETER!$X$2,SUMIF('2026 T'!$F:$F,$B18,'2026 T'!U:U)/PARAMETER!$T$3,"")</f>
        <v/>
      </c>
      <c r="W18" s="25" t="str">
        <f>IF(W$4&lt;=PARAMETER!$X$2,SUMIF('2026 T'!$F:$F,$B18,'2026 T'!V:V)/PARAMETER!$T$3,"")</f>
        <v/>
      </c>
      <c r="X18" s="25" t="str">
        <f>IF(X$4&lt;=PARAMETER!$X$2,SUMIF('2026 T'!$F:$F,$B18,'2026 T'!W:W)/PARAMETER!$T$3,"")</f>
        <v/>
      </c>
      <c r="Y18" s="25" t="str">
        <f>IF(Y$4&lt;=PARAMETER!$X$2,SUMIF('2026 T'!$F:$F,$B18,'2026 T'!X:X)/PARAMETER!$T$3,"")</f>
        <v/>
      </c>
      <c r="Z18" s="25" t="str">
        <f>IF(Z$4&lt;=PARAMETER!$X$2,SUMIF('2026 T'!$F:$F,$B18,'2026 T'!Y:Y)/PARAMETER!$T$3,"")</f>
        <v/>
      </c>
      <c r="AA18" s="25" t="str">
        <f>IF(AA$4&lt;=PARAMETER!$X$2,SUMIF('2026 T'!$F:$F,$B18,'2026 T'!Z:Z)/PARAMETER!$T$3,"")</f>
        <v/>
      </c>
      <c r="AB18" s="25" t="str">
        <f>IF(AB$4&lt;=PARAMETER!$X$2,SUMIF('2026 T'!$F:$F,$B18,'2026 T'!AA:AA)/PARAMETER!$T$3,"")</f>
        <v/>
      </c>
      <c r="AC18" s="25" t="str">
        <f>IF(AC$4&lt;=PARAMETER!$X$2,SUMIF('2026 T'!$F:$F,$B18,'2026 T'!AB:AB)/PARAMETER!$T$3,"")</f>
        <v/>
      </c>
      <c r="AD18" s="25" t="str">
        <f>IF(AD$4&lt;=PARAMETER!$X$2,SUMIF('2026 T'!$F:$F,$B18,'2026 T'!AC:AC)/PARAMETER!$T$3,"")</f>
        <v/>
      </c>
      <c r="AE18" s="25" t="str">
        <f>IF(AE$4&lt;=PARAMETER!$X$2,SUMIF('2026 T'!$F:$F,$B18,'2026 T'!AD:AD)/PARAMETER!$T$3,"")</f>
        <v/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67.98078459128601</v>
      </c>
      <c r="F19" s="28">
        <f t="shared" si="13"/>
        <v>3</v>
      </c>
      <c r="G19" s="39">
        <f>G15</f>
        <v>2026</v>
      </c>
      <c r="H19" s="40">
        <f>IF(H$4&lt;=PARAMETER!$X$2,SUMIF('2026'!$F:$F,$B19,'2026'!G:G)/PARAMETER!$T$3,"")</f>
        <v>33402.647987999997</v>
      </c>
      <c r="I19" s="40">
        <f>IF(I$4&lt;=PARAMETER!$X$2,SUMIF('2026'!$F:$F,$B19,'2026'!H:H)/PARAMETER!$T$3,"")</f>
        <v>31178.313999999998</v>
      </c>
      <c r="J19" s="40">
        <f>IF(J$4&lt;=PARAMETER!$X$2,SUMIF('2026'!$F:$F,$B19,'2026'!I:I)/PARAMETER!$T$3,"")</f>
        <v>0</v>
      </c>
      <c r="K19" s="40">
        <f>IF(K$4&lt;=PARAMETER!$X$2,SUMIF('2026'!$F:$F,$B19,'2026'!J:J)/PARAMETER!$T$3,"")</f>
        <v>0</v>
      </c>
      <c r="L19" s="40">
        <f>IF(L$4&lt;=PARAMETER!$X$2,SUMIF('2026'!$F:$F,$B19,'2026'!K:K)/PARAMETER!$T$3,"")</f>
        <v>0</v>
      </c>
      <c r="M19" s="40">
        <f>IF(M$4&lt;=PARAMETER!$X$2,SUMIF('2026'!$F:$F,$B19,'2026'!L:L)/PARAMETER!$T$3,"")</f>
        <v>0</v>
      </c>
      <c r="N19" s="40">
        <f>IF(N$4&lt;=PARAMETER!$X$2,SUMIF('2026'!$F:$F,$B19,'2026'!M:M)/PARAMETER!$T$3,"")</f>
        <v>0</v>
      </c>
      <c r="O19" s="40">
        <f>IF(O$4&lt;=PARAMETER!$X$2,SUMIF('2026'!$F:$F,$B19,'2026'!N:N)/PARAMETER!$T$3,"")</f>
        <v>0</v>
      </c>
      <c r="P19" s="40">
        <f>IF(P$4&lt;=PARAMETER!$X$2,SUMIF('2026'!$F:$F,$B19,'2026'!O:O)/PARAMETER!$T$3,"")</f>
        <v>0</v>
      </c>
      <c r="Q19" s="40">
        <f>IF(Q$4&lt;=PARAMETER!$X$2,SUMIF('2026'!$F:$F,$B19,'2026'!P:P)/PARAMETER!$T$3,"")</f>
        <v>0</v>
      </c>
      <c r="R19" s="40">
        <f>IF(R$4&lt;=PARAMETER!$X$2,SUMIF('2026'!$F:$F,$B19,'2026'!Q:Q)/PARAMETER!$T$3,"")</f>
        <v>24885.846000000001</v>
      </c>
      <c r="S19" s="40">
        <f>IF(S$4&lt;=PARAMETER!$X$2,SUMIF('2026'!$F:$F,$B19,'2026'!R:R)/PARAMETER!$T$3,"")</f>
        <v>3352.4389999999999</v>
      </c>
      <c r="T19" s="40">
        <f>IF(T$4&lt;=PARAMETER!$X$2,SUMIF('2026'!$F:$F,$B19,'2026'!S:S)/PARAMETER!$T$3,"")</f>
        <v>2940.029</v>
      </c>
      <c r="U19" s="40">
        <f>IF(U$4&lt;=PARAMETER!$X$2,SUMIF('2026'!$F:$F,$B19,'2026'!T:T)/PARAMETER!$T$3,"")</f>
        <v>0</v>
      </c>
      <c r="V19" s="40" t="str">
        <f>IF(V$4&lt;=PARAMETER!$X$2,SUMIF('2026'!$F:$F,$B19,'2026'!U:U)/PARAMETER!$T$3,"")</f>
        <v/>
      </c>
      <c r="W19" s="40" t="str">
        <f>IF(W$4&lt;=PARAMETER!$X$2,SUMIF('2026'!$F:$F,$B19,'2026'!V:V)/PARAMETER!$T$3,"")</f>
        <v/>
      </c>
      <c r="X19" s="40" t="str">
        <f>IF(X$4&lt;=PARAMETER!$X$2,SUMIF('2026'!$F:$F,$B19,'2026'!W:W)/PARAMETER!$T$3,"")</f>
        <v/>
      </c>
      <c r="Y19" s="40" t="str">
        <f>IF(Y$4&lt;=PARAMETER!$X$2,SUMIF('2026'!$F:$F,$B19,'2026'!X:X)/PARAMETER!$T$3,"")</f>
        <v/>
      </c>
      <c r="Z19" s="40" t="str">
        <f>IF(Z$4&lt;=PARAMETER!$X$2,SUMIF('2026'!$F:$F,$B19,'2026'!Y:Y)/PARAMETER!$T$3,"")</f>
        <v/>
      </c>
      <c r="AA19" s="40" t="str">
        <f>IF(AA$4&lt;=PARAMETER!$X$2,SUMIF('2026'!$F:$F,$B19,'2026'!Z:Z)/PARAMETER!$T$3,"")</f>
        <v/>
      </c>
      <c r="AB19" s="40" t="str">
        <f>IF(AB$4&lt;=PARAMETER!$X$2,SUMIF('2026'!$F:$F,$B19,'2026'!AA:AA)/PARAMETER!$T$3,"")</f>
        <v/>
      </c>
      <c r="AC19" s="40" t="str">
        <f>IF(AC$4&lt;=PARAMETER!$X$2,SUMIF('2026'!$F:$F,$B19,'2026'!AB:AB)/PARAMETER!$T$3,"")</f>
        <v/>
      </c>
      <c r="AD19" s="40" t="str">
        <f>IF(AD$4&lt;=PARAMETER!$X$2,SUMIF('2026'!$F:$F,$B19,'2026'!AC:AC)/PARAMETER!$T$3,"")</f>
        <v/>
      </c>
      <c r="AE19" s="40" t="str">
        <f>IF(AE$4&lt;=PARAMETER!$X$2,SUMIF('2026'!$F:$F,$B19,'2026'!AD:AD)/PARAMETER!$T$3,"")</f>
        <v/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451.98549400000002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>
        <f>IF(U$4&lt;=PARAMETER!$X$2,SUMIF('2025'!$F:$F,$B20,'2025'!T:T)/PARAMETER!$T$3,"")</f>
        <v>22.887250000000002</v>
      </c>
      <c r="V20" s="40" t="str">
        <f>IF(V$4&lt;=PARAMETER!$X$2,SUMIF('2025'!$F:$F,$B20,'2025'!U:U)/PARAMETER!$T$3,"")</f>
        <v/>
      </c>
      <c r="W20" s="40" t="str">
        <f>IF(W$4&lt;=PARAMETER!$X$2,SUMIF('2025'!$F:$F,$B20,'2025'!V:V)/PARAMETER!$T$3,"")</f>
        <v/>
      </c>
      <c r="X20" s="40" t="str">
        <f>IF(X$4&lt;=PARAMETER!$X$2,SUMIF('2025'!$F:$F,$B20,'2025'!W:W)/PARAMETER!$T$3,"")</f>
        <v/>
      </c>
      <c r="Y20" s="40" t="str">
        <f>IF(Y$4&lt;=PARAMETER!$X$2,SUMIF('2025'!$F:$F,$B20,'2025'!X:X)/PARAMETER!$T$3,"")</f>
        <v/>
      </c>
      <c r="Z20" s="40" t="str">
        <f>IF(Z$4&lt;=PARAMETER!$X$2,SUMIF('2025'!$F:$F,$B20,'2025'!Y:Y)/PARAMETER!$T$3,"")</f>
        <v/>
      </c>
      <c r="AA20" s="40" t="str">
        <f>IF(AA$4&lt;=PARAMETER!$X$2,SUMIF('2025'!$F:$F,$B20,'2025'!Z:Z)/PARAMETER!$T$3,"")</f>
        <v/>
      </c>
      <c r="AB20" s="40" t="str">
        <f>IF(AB$4&lt;=PARAMETER!$X$2,SUMIF('2025'!$F:$F,$B20,'2025'!AA:AA)/PARAMETER!$T$3,"")</f>
        <v/>
      </c>
      <c r="AC20" s="40" t="str">
        <f>IF(AC$4&lt;=PARAMETER!$X$2,SUMIF('2025'!$F:$F,$B20,'2025'!AB:AB)/PARAMETER!$T$3,"")</f>
        <v/>
      </c>
      <c r="AD20" s="40" t="str">
        <f>IF(AD$4&lt;=PARAMETER!$X$2,SUMIF('2025'!$F:$F,$B20,'2025'!AC:AC)/PARAMETER!$T$3,"")</f>
        <v/>
      </c>
      <c r="AE20" s="40" t="str">
        <f>IF(AE$4&lt;=PARAMETER!$X$2,SUMIF('2025'!$F:$F,$B20,'2025'!AD:AD)/PARAMETER!$T$3,"")</f>
        <v/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>
        <f>IF(U$4&lt;=PARAMETER!$X$2,SUMIF('2024'!$F:$F,$B21,'2024'!T:T)/PARAMETER!$T$3,"")</f>
        <v>0</v>
      </c>
      <c r="V21" s="71" t="str">
        <f>IF(V$4&lt;=PARAMETER!$X$2,SUMIF('2024'!$F:$F,$B21,'2024'!U:U)/PARAMETER!$T$3,"")</f>
        <v/>
      </c>
      <c r="W21" s="71" t="str">
        <f>IF(W$4&lt;=PARAMETER!$X$2,SUMIF('2024'!$F:$F,$B21,'2024'!V:V)/PARAMETER!$T$3,"")</f>
        <v/>
      </c>
      <c r="X21" s="71" t="str">
        <f>IF(X$4&lt;=PARAMETER!$X$2,SUMIF('2024'!$F:$F,$B21,'2024'!W:W)/PARAMETER!$T$3,"")</f>
        <v/>
      </c>
      <c r="Y21" s="71" t="str">
        <f>IF(Y$4&lt;=PARAMETER!$X$2,SUMIF('2024'!$F:$F,$B21,'2024'!X:X)/PARAMETER!$T$3,"")</f>
        <v/>
      </c>
      <c r="Z21" s="71" t="str">
        <f>IF(Z$4&lt;=PARAMETER!$X$2,SUMIF('2024'!$F:$F,$B21,'2024'!Y:Y)/PARAMETER!$T$3,"")</f>
        <v/>
      </c>
      <c r="AA21" s="71" t="str">
        <f>IF(AA$4&lt;=PARAMETER!$X$2,SUMIF('2024'!$F:$F,$B21,'2024'!Z:Z)/PARAMETER!$T$3,"")</f>
        <v/>
      </c>
      <c r="AB21" s="71" t="str">
        <f>IF(AB$4&lt;=PARAMETER!$X$2,SUMIF('2024'!$F:$F,$B21,'2024'!AA:AA)/PARAMETER!$T$3,"")</f>
        <v/>
      </c>
      <c r="AC21" s="71" t="str">
        <f>IF(AC$4&lt;=PARAMETER!$X$2,SUMIF('2024'!$F:$F,$B21,'2024'!AB:AB)/PARAMETER!$T$3,"")</f>
        <v/>
      </c>
      <c r="AD21" s="71" t="str">
        <f>IF(AD$4&lt;=PARAMETER!$X$2,SUMIF('2024'!$F:$F,$B21,'2024'!AC:AC)/PARAMETER!$T$3,"")</f>
        <v/>
      </c>
      <c r="AE21" s="71" t="str">
        <f>IF(AE$4&lt;=PARAMETER!$X$2,SUMIF('2024'!$F:$F,$B21,'2024'!AD:AD)/PARAMETER!$T$3,"")</f>
        <v/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291.26187640707036</v>
      </c>
      <c r="F22" s="23">
        <f t="shared" ref="F22:F24" si="19">IFERROR(IF(E22&gt;300%,300%,E22),"")</f>
        <v>3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>
        <f>IF(U$4&lt;=PARAMETER!$X$2,SUMIF('2026 T'!$F:$F,$B22,'2026 T'!T:T)/PARAMETER!$T$3,"")</f>
        <v>2.0754716981132102</v>
      </c>
      <c r="V22" s="25" t="str">
        <f>IF(V$4&lt;=PARAMETER!$X$2,SUMIF('2026 T'!$F:$F,$B22,'2026 T'!U:U)/PARAMETER!$T$3,"")</f>
        <v/>
      </c>
      <c r="W22" s="25" t="str">
        <f>IF(W$4&lt;=PARAMETER!$X$2,SUMIF('2026 T'!$F:$F,$B22,'2026 T'!V:V)/PARAMETER!$T$3,"")</f>
        <v/>
      </c>
      <c r="X22" s="25" t="str">
        <f>IF(X$4&lt;=PARAMETER!$X$2,SUMIF('2026 T'!$F:$F,$B22,'2026 T'!W:W)/PARAMETER!$T$3,"")</f>
        <v/>
      </c>
      <c r="Y22" s="25" t="str">
        <f>IF(Y$4&lt;=PARAMETER!$X$2,SUMIF('2026 T'!$F:$F,$B22,'2026 T'!X:X)/PARAMETER!$T$3,"")</f>
        <v/>
      </c>
      <c r="Z22" s="25" t="str">
        <f>IF(Z$4&lt;=PARAMETER!$X$2,SUMIF('2026 T'!$F:$F,$B22,'2026 T'!Y:Y)/PARAMETER!$T$3,"")</f>
        <v/>
      </c>
      <c r="AA22" s="25" t="str">
        <f>IF(AA$4&lt;=PARAMETER!$X$2,SUMIF('2026 T'!$F:$F,$B22,'2026 T'!Z:Z)/PARAMETER!$T$3,"")</f>
        <v/>
      </c>
      <c r="AB22" s="25" t="str">
        <f>IF(AB$4&lt;=PARAMETER!$X$2,SUMIF('2026 T'!$F:$F,$B22,'2026 T'!AA:AA)/PARAMETER!$T$3,"")</f>
        <v/>
      </c>
      <c r="AC22" s="25" t="str">
        <f>IF(AC$4&lt;=PARAMETER!$X$2,SUMIF('2026 T'!$F:$F,$B22,'2026 T'!AB:AB)/PARAMETER!$T$3,"")</f>
        <v/>
      </c>
      <c r="AD22" s="25" t="str">
        <f>IF(AD$4&lt;=PARAMETER!$X$2,SUMIF('2026 T'!$F:$F,$B22,'2026 T'!AC:AC)/PARAMETER!$T$3,"")</f>
        <v/>
      </c>
      <c r="AE22" s="25" t="str">
        <f>IF(AE$4&lt;=PARAMETER!$X$2,SUMIF('2026 T'!$F:$F,$B22,'2026 T'!AD:AD)/PARAMETER!$T$3,"")</f>
        <v/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529.05641322668339</v>
      </c>
      <c r="F23" s="28">
        <f t="shared" si="19"/>
        <v>3</v>
      </c>
      <c r="G23" s="39">
        <f t="shared" si="20"/>
        <v>2026</v>
      </c>
      <c r="H23" s="40">
        <f>IF(H$4&lt;=PARAMETER!$X$2,SUMIF('2026'!$F:$F,$B23,'2026'!G:G)/PARAMETER!$T$3,"")</f>
        <v>9616.0028939999993</v>
      </c>
      <c r="I23" s="40">
        <f>IF(I$4&lt;=PARAMETER!$X$2,SUMIF('2026'!$F:$F,$B23,'2026'!H:H)/PARAMETER!$T$3,"")</f>
        <v>5440.5520310000002</v>
      </c>
      <c r="J23" s="40">
        <f>IF(J$4&lt;=PARAMETER!$X$2,SUMIF('2026'!$F:$F,$B23,'2026'!I:I)/PARAMETER!$T$3,"")</f>
        <v>467.26522799999998</v>
      </c>
      <c r="K23" s="40">
        <f>IF(K$4&lt;=PARAMETER!$X$2,SUMIF('2026'!$F:$F,$B23,'2026'!J:J)/PARAMETER!$T$3,"")</f>
        <v>387.19617299999999</v>
      </c>
      <c r="L23" s="40">
        <f>IF(L$4&lt;=PARAMETER!$X$2,SUMIF('2026'!$F:$F,$B23,'2026'!K:K)/PARAMETER!$T$3,"")</f>
        <v>398.58688899999999</v>
      </c>
      <c r="M23" s="40">
        <f>IF(M$4&lt;=PARAMETER!$X$2,SUMIF('2026'!$F:$F,$B23,'2026'!L:L)/PARAMETER!$T$3,"")</f>
        <v>447.88338099999999</v>
      </c>
      <c r="N23" s="40">
        <f>IF(N$4&lt;=PARAMETER!$X$2,SUMIF('2026'!$F:$F,$B23,'2026'!M:M)/PARAMETER!$T$3,"")</f>
        <v>501.59707500000002</v>
      </c>
      <c r="O23" s="40">
        <f>IF(O$4&lt;=PARAMETER!$X$2,SUMIF('2026'!$F:$F,$B23,'2026'!N:N)/PARAMETER!$T$3,"")</f>
        <v>488.76300400000002</v>
      </c>
      <c r="P23" s="40">
        <f>IF(P$4&lt;=PARAMETER!$X$2,SUMIF('2026'!$F:$F,$B23,'2026'!O:O)/PARAMETER!$T$3,"")</f>
        <v>508.23222199999998</v>
      </c>
      <c r="Q23" s="40">
        <f>IF(Q$4&lt;=PARAMETER!$X$2,SUMIF('2026'!$F:$F,$B23,'2026'!P:P)/PARAMETER!$T$3,"")</f>
        <v>424.75368700000001</v>
      </c>
      <c r="R23" s="40">
        <f>IF(R$4&lt;=PARAMETER!$X$2,SUMIF('2026'!$F:$F,$B23,'2026'!Q:Q)/PARAMETER!$T$3,"")</f>
        <v>476.76162099999999</v>
      </c>
      <c r="S23" s="40">
        <f>IF(S$4&lt;=PARAMETER!$X$2,SUMIF('2026'!$F:$F,$B23,'2026'!R:R)/PARAMETER!$T$3,"")</f>
        <v>507.140041</v>
      </c>
      <c r="T23" s="40">
        <f>IF(T$4&lt;=PARAMETER!$X$2,SUMIF('2026'!$F:$F,$B23,'2026'!S:S)/PARAMETER!$T$3,"")</f>
        <v>408.43683900000002</v>
      </c>
      <c r="U23" s="40">
        <f>IF(U$4&lt;=PARAMETER!$X$2,SUMIF('2026'!$F:$F,$B23,'2026'!T:T)/PARAMETER!$T$3,"")</f>
        <v>423.93587100000002</v>
      </c>
      <c r="V23" s="40" t="str">
        <f>IF(V$4&lt;=PARAMETER!$X$2,SUMIF('2026'!$F:$F,$B23,'2026'!U:U)/PARAMETER!$T$3,"")</f>
        <v/>
      </c>
      <c r="W23" s="40" t="str">
        <f>IF(W$4&lt;=PARAMETER!$X$2,SUMIF('2026'!$F:$F,$B23,'2026'!V:V)/PARAMETER!$T$3,"")</f>
        <v/>
      </c>
      <c r="X23" s="40" t="str">
        <f>IF(X$4&lt;=PARAMETER!$X$2,SUMIF('2026'!$F:$F,$B23,'2026'!W:W)/PARAMETER!$T$3,"")</f>
        <v/>
      </c>
      <c r="Y23" s="40" t="str">
        <f>IF(Y$4&lt;=PARAMETER!$X$2,SUMIF('2026'!$F:$F,$B23,'2026'!X:X)/PARAMETER!$T$3,"")</f>
        <v/>
      </c>
      <c r="Z23" s="40" t="str">
        <f>IF(Z$4&lt;=PARAMETER!$X$2,SUMIF('2026'!$F:$F,$B23,'2026'!Y:Y)/PARAMETER!$T$3,"")</f>
        <v/>
      </c>
      <c r="AA23" s="40" t="str">
        <f>IF(AA$4&lt;=PARAMETER!$X$2,SUMIF('2026'!$F:$F,$B23,'2026'!Z:Z)/PARAMETER!$T$3,"")</f>
        <v/>
      </c>
      <c r="AB23" s="40" t="str">
        <f>IF(AB$4&lt;=PARAMETER!$X$2,SUMIF('2026'!$F:$F,$B23,'2026'!AA:AA)/PARAMETER!$T$3,"")</f>
        <v/>
      </c>
      <c r="AC23" s="40" t="str">
        <f>IF(AC$4&lt;=PARAMETER!$X$2,SUMIF('2026'!$F:$F,$B23,'2026'!AB:AB)/PARAMETER!$T$3,"")</f>
        <v/>
      </c>
      <c r="AD23" s="40" t="str">
        <f>IF(AD$4&lt;=PARAMETER!$X$2,SUMIF('2026'!$F:$F,$B23,'2026'!AC:AC)/PARAMETER!$T$3,"")</f>
        <v/>
      </c>
      <c r="AE23" s="40" t="str">
        <f>IF(AE$4&lt;=PARAMETER!$X$2,SUMIF('2026'!$F:$F,$B23,'2026'!AD:AD)/PARAMETER!$T$3,"")</f>
        <v/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-0.99610635550648352</v>
      </c>
      <c r="F24" s="28">
        <f t="shared" si="19"/>
        <v>-0.99610635550648352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10.264099999999999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>
        <f>IF(U$4&lt;=PARAMETER!$X$2,SUMIF('2025'!$F:$F,$B24,'2025'!T:T)/PARAMETER!$T$3,"")</f>
        <v>1.7423999999999999</v>
      </c>
      <c r="V24" s="40" t="str">
        <f>IF(V$4&lt;=PARAMETER!$X$2,SUMIF('2025'!$F:$F,$B24,'2025'!U:U)/PARAMETER!$T$3,"")</f>
        <v/>
      </c>
      <c r="W24" s="40" t="str">
        <f>IF(W$4&lt;=PARAMETER!$X$2,SUMIF('2025'!$F:$F,$B24,'2025'!V:V)/PARAMETER!$T$3,"")</f>
        <v/>
      </c>
      <c r="X24" s="40" t="str">
        <f>IF(X$4&lt;=PARAMETER!$X$2,SUMIF('2025'!$F:$F,$B24,'2025'!W:W)/PARAMETER!$T$3,"")</f>
        <v/>
      </c>
      <c r="Y24" s="40" t="str">
        <f>IF(Y$4&lt;=PARAMETER!$X$2,SUMIF('2025'!$F:$F,$B24,'2025'!X:X)/PARAMETER!$T$3,"")</f>
        <v/>
      </c>
      <c r="Z24" s="40" t="str">
        <f>IF(Z$4&lt;=PARAMETER!$X$2,SUMIF('2025'!$F:$F,$B24,'2025'!Y:Y)/PARAMETER!$T$3,"")</f>
        <v/>
      </c>
      <c r="AA24" s="40" t="str">
        <f>IF(AA$4&lt;=PARAMETER!$X$2,SUMIF('2025'!$F:$F,$B24,'2025'!Z:Z)/PARAMETER!$T$3,"")</f>
        <v/>
      </c>
      <c r="AB24" s="40" t="str">
        <f>IF(AB$4&lt;=PARAMETER!$X$2,SUMIF('2025'!$F:$F,$B24,'2025'!AA:AA)/PARAMETER!$T$3,"")</f>
        <v/>
      </c>
      <c r="AC24" s="40" t="str">
        <f>IF(AC$4&lt;=PARAMETER!$X$2,SUMIF('2025'!$F:$F,$B24,'2025'!AB:AB)/PARAMETER!$T$3,"")</f>
        <v/>
      </c>
      <c r="AD24" s="40" t="str">
        <f>IF(AD$4&lt;=PARAMETER!$X$2,SUMIF('2025'!$F:$F,$B24,'2025'!AC:AC)/PARAMETER!$T$3,"")</f>
        <v/>
      </c>
      <c r="AE24" s="40" t="str">
        <f>IF(AE$4&lt;=PARAMETER!$X$2,SUMIF('2025'!$F:$F,$B24,'2025'!AD:AD)/PARAMETER!$T$3,"")</f>
        <v/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2636.1163729999998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>
        <f>IF(U$4&lt;=PARAMETER!$X$2,SUMIF('2024'!$F:$F,$B25,'2024'!T:T)/PARAMETER!$T$3,"")</f>
        <v>23.517949999999999</v>
      </c>
      <c r="V25" s="71" t="str">
        <f>IF(V$4&lt;=PARAMETER!$X$2,SUMIF('2024'!$F:$F,$B25,'2024'!U:U)/PARAMETER!$T$3,"")</f>
        <v/>
      </c>
      <c r="W25" s="71" t="str">
        <f>IF(W$4&lt;=PARAMETER!$X$2,SUMIF('2024'!$F:$F,$B25,'2024'!V:V)/PARAMETER!$T$3,"")</f>
        <v/>
      </c>
      <c r="X25" s="71" t="str">
        <f>IF(X$4&lt;=PARAMETER!$X$2,SUMIF('2024'!$F:$F,$B25,'2024'!W:W)/PARAMETER!$T$3,"")</f>
        <v/>
      </c>
      <c r="Y25" s="71" t="str">
        <f>IF(Y$4&lt;=PARAMETER!$X$2,SUMIF('2024'!$F:$F,$B25,'2024'!X:X)/PARAMETER!$T$3,"")</f>
        <v/>
      </c>
      <c r="Z25" s="71" t="str">
        <f>IF(Z$4&lt;=PARAMETER!$X$2,SUMIF('2024'!$F:$F,$B25,'2024'!Y:Y)/PARAMETER!$T$3,"")</f>
        <v/>
      </c>
      <c r="AA25" s="71" t="str">
        <f>IF(AA$4&lt;=PARAMETER!$X$2,SUMIF('2024'!$F:$F,$B25,'2024'!Z:Z)/PARAMETER!$T$3,"")</f>
        <v/>
      </c>
      <c r="AB25" s="71" t="str">
        <f>IF(AB$4&lt;=PARAMETER!$X$2,SUMIF('2024'!$F:$F,$B25,'2024'!AA:AA)/PARAMETER!$T$3,"")</f>
        <v/>
      </c>
      <c r="AC25" s="71" t="str">
        <f>IF(AC$4&lt;=PARAMETER!$X$2,SUMIF('2024'!$F:$F,$B25,'2024'!AB:AB)/PARAMETER!$T$3,"")</f>
        <v/>
      </c>
      <c r="AD25" s="71" t="str">
        <f>IF(AD$4&lt;=PARAMETER!$X$2,SUMIF('2024'!$F:$F,$B25,'2024'!AC:AC)/PARAMETER!$T$3,"")</f>
        <v/>
      </c>
      <c r="AE25" s="71" t="str">
        <f>IF(AE$4&lt;=PARAMETER!$X$2,SUMIF('2024'!$F:$F,$B25,'2024'!AD:AD)/PARAMETER!$T$3,"")</f>
        <v/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2.0492274749240389</v>
      </c>
      <c r="F26" s="23">
        <f t="shared" ref="F26:F28" si="26">IFERROR(IF(E26&gt;300%,300%,E26),"")</f>
        <v>2.0492274749240389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>
        <f>IF(U$4&lt;=PARAMETER!$X$2,SUMIF('2026 T'!$F:$F,$B26,'2026 T'!T:T)/PARAMETER!$T$3,"")</f>
        <v>306.71418256444798</v>
      </c>
      <c r="V26" s="25" t="str">
        <f>IF(V$4&lt;=PARAMETER!$X$2,SUMIF('2026 T'!$F:$F,$B26,'2026 T'!U:U)/PARAMETER!$T$3,"")</f>
        <v/>
      </c>
      <c r="W26" s="25" t="str">
        <f>IF(W$4&lt;=PARAMETER!$X$2,SUMIF('2026 T'!$F:$F,$B26,'2026 T'!V:V)/PARAMETER!$T$3,"")</f>
        <v/>
      </c>
      <c r="X26" s="25" t="str">
        <f>IF(X$4&lt;=PARAMETER!$X$2,SUMIF('2026 T'!$F:$F,$B26,'2026 T'!W:W)/PARAMETER!$T$3,"")</f>
        <v/>
      </c>
      <c r="Y26" s="25" t="str">
        <f>IF(Y$4&lt;=PARAMETER!$X$2,SUMIF('2026 T'!$F:$F,$B26,'2026 T'!X:X)/PARAMETER!$T$3,"")</f>
        <v/>
      </c>
      <c r="Z26" s="25" t="str">
        <f>IF(Z$4&lt;=PARAMETER!$X$2,SUMIF('2026 T'!$F:$F,$B26,'2026 T'!Y:Y)/PARAMETER!$T$3,"")</f>
        <v/>
      </c>
      <c r="AA26" s="25" t="str">
        <f>IF(AA$4&lt;=PARAMETER!$X$2,SUMIF('2026 T'!$F:$F,$B26,'2026 T'!Z:Z)/PARAMETER!$T$3,"")</f>
        <v/>
      </c>
      <c r="AB26" s="25" t="str">
        <f>IF(AB$4&lt;=PARAMETER!$X$2,SUMIF('2026 T'!$F:$F,$B26,'2026 T'!AA:AA)/PARAMETER!$T$3,"")</f>
        <v/>
      </c>
      <c r="AC26" s="25" t="str">
        <f>IF(AC$4&lt;=PARAMETER!$X$2,SUMIF('2026 T'!$F:$F,$B26,'2026 T'!AB:AB)/PARAMETER!$T$3,"")</f>
        <v/>
      </c>
      <c r="AD26" s="25" t="str">
        <f>IF(AD$4&lt;=PARAMETER!$X$2,SUMIF('2026 T'!$F:$F,$B26,'2026 T'!AC:AC)/PARAMETER!$T$3,"")</f>
        <v/>
      </c>
      <c r="AE26" s="25" t="str">
        <f>IF(AE$4&lt;=PARAMETER!$X$2,SUMIF('2026 T'!$F:$F,$B26,'2026 T'!AD:AD)/PARAMETER!$T$3,"")</f>
        <v/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1.2526546416911613</v>
      </c>
      <c r="F27" s="28">
        <f t="shared" si="26"/>
        <v>1.2526546416911613</v>
      </c>
      <c r="G27" s="39">
        <f t="shared" si="20"/>
        <v>2026</v>
      </c>
      <c r="H27" s="40">
        <f>IF(H$4&lt;=PARAMETER!$X$2,SUMIF('2026'!$F:$F,$B27,'2026'!G:G)/PARAMETER!$T$3,"")</f>
        <v>10884.943379</v>
      </c>
      <c r="I27" s="40">
        <f>IF(I$4&lt;=PARAMETER!$X$2,SUMIF('2026'!$F:$F,$B27,'2026'!H:H)/PARAMETER!$T$3,"")</f>
        <v>10384.4</v>
      </c>
      <c r="J27" s="40">
        <f>IF(J$4&lt;=PARAMETER!$X$2,SUMIF('2026'!$F:$F,$B27,'2026'!I:I)/PARAMETER!$T$3,"")</f>
        <v>0</v>
      </c>
      <c r="K27" s="40">
        <f>IF(K$4&lt;=PARAMETER!$X$2,SUMIF('2026'!$F:$F,$B27,'2026'!J:J)/PARAMETER!$T$3,"")</f>
        <v>0</v>
      </c>
      <c r="L27" s="40">
        <f>IF(L$4&lt;=PARAMETER!$X$2,SUMIF('2026'!$F:$F,$B27,'2026'!K:K)/PARAMETER!$T$3,"")</f>
        <v>0</v>
      </c>
      <c r="M27" s="40">
        <f>IF(M$4&lt;=PARAMETER!$X$2,SUMIF('2026'!$F:$F,$B27,'2026'!L:L)/PARAMETER!$T$3,"")</f>
        <v>0</v>
      </c>
      <c r="N27" s="40">
        <f>IF(N$4&lt;=PARAMETER!$X$2,SUMIF('2026'!$F:$F,$B27,'2026'!M:M)/PARAMETER!$T$3,"")</f>
        <v>0</v>
      </c>
      <c r="O27" s="40">
        <f>IF(O$4&lt;=PARAMETER!$X$2,SUMIF('2026'!$F:$F,$B27,'2026'!N:N)/PARAMETER!$T$3,"")</f>
        <v>0</v>
      </c>
      <c r="P27" s="40">
        <f>IF(P$4&lt;=PARAMETER!$X$2,SUMIF('2026'!$F:$F,$B27,'2026'!O:O)/PARAMETER!$T$3,"")</f>
        <v>0</v>
      </c>
      <c r="Q27" s="40">
        <f>IF(Q$4&lt;=PARAMETER!$X$2,SUMIF('2026'!$F:$F,$B27,'2026'!P:P)/PARAMETER!$T$3,"")</f>
        <v>0</v>
      </c>
      <c r="R27" s="40">
        <f>IF(R$4&lt;=PARAMETER!$X$2,SUMIF('2026'!$F:$F,$B27,'2026'!Q:Q)/PARAMETER!$T$3,"")</f>
        <v>3691.2</v>
      </c>
      <c r="S27" s="40">
        <f>IF(S$4&lt;=PARAMETER!$X$2,SUMIF('2026'!$F:$F,$B27,'2026'!R:R)/PARAMETER!$T$3,"")</f>
        <v>3502.1</v>
      </c>
      <c r="T27" s="40">
        <f>IF(T$4&lt;=PARAMETER!$X$2,SUMIF('2026'!$F:$F,$B27,'2026'!S:S)/PARAMETER!$T$3,"")</f>
        <v>3191.1</v>
      </c>
      <c r="U27" s="40">
        <f>IF(U$4&lt;=PARAMETER!$X$2,SUMIF('2026'!$F:$F,$B27,'2026'!T:T)/PARAMETER!$T$3,"")</f>
        <v>0</v>
      </c>
      <c r="V27" s="40" t="str">
        <f>IF(V$4&lt;=PARAMETER!$X$2,SUMIF('2026'!$F:$F,$B27,'2026'!U:U)/PARAMETER!$T$3,"")</f>
        <v/>
      </c>
      <c r="W27" s="40" t="str">
        <f>IF(W$4&lt;=PARAMETER!$X$2,SUMIF('2026'!$F:$F,$B27,'2026'!V:V)/PARAMETER!$T$3,"")</f>
        <v/>
      </c>
      <c r="X27" s="40" t="str">
        <f>IF(X$4&lt;=PARAMETER!$X$2,SUMIF('2026'!$F:$F,$B27,'2026'!W:W)/PARAMETER!$T$3,"")</f>
        <v/>
      </c>
      <c r="Y27" s="40" t="str">
        <f>IF(Y$4&lt;=PARAMETER!$X$2,SUMIF('2026'!$F:$F,$B27,'2026'!X:X)/PARAMETER!$T$3,"")</f>
        <v/>
      </c>
      <c r="Z27" s="40" t="str">
        <f>IF(Z$4&lt;=PARAMETER!$X$2,SUMIF('2026'!$F:$F,$B27,'2026'!Y:Y)/PARAMETER!$T$3,"")</f>
        <v/>
      </c>
      <c r="AA27" s="40" t="str">
        <f>IF(AA$4&lt;=PARAMETER!$X$2,SUMIF('2026'!$F:$F,$B27,'2026'!Z:Z)/PARAMETER!$T$3,"")</f>
        <v/>
      </c>
      <c r="AB27" s="40" t="str">
        <f>IF(AB$4&lt;=PARAMETER!$X$2,SUMIF('2026'!$F:$F,$B27,'2026'!AA:AA)/PARAMETER!$T$3,"")</f>
        <v/>
      </c>
      <c r="AC27" s="40" t="str">
        <f>IF(AC$4&lt;=PARAMETER!$X$2,SUMIF('2026'!$F:$F,$B27,'2026'!AB:AB)/PARAMETER!$T$3,"")</f>
        <v/>
      </c>
      <c r="AD27" s="40" t="str">
        <f>IF(AD$4&lt;=PARAMETER!$X$2,SUMIF('2026'!$F:$F,$B27,'2026'!AC:AC)/PARAMETER!$T$3,"")</f>
        <v/>
      </c>
      <c r="AE27" s="40" t="str">
        <f>IF(AE$4&lt;=PARAMETER!$X$2,SUMIF('2026'!$F:$F,$B27,'2026'!AD:AD)/PARAMETER!$T$3,"")</f>
        <v/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0.74300271289618225</v>
      </c>
      <c r="F28" s="28">
        <f t="shared" si="26"/>
        <v>0.74300271289618225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4609.8500000000004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>
        <f>IF(U$4&lt;=PARAMETER!$X$2,SUMIF('2025'!$F:$F,$B28,'2025'!T:T)/PARAMETER!$T$3,"")</f>
        <v>229.35</v>
      </c>
      <c r="V28" s="40" t="str">
        <f>IF(V$4&lt;=PARAMETER!$X$2,SUMIF('2025'!$F:$F,$B28,'2025'!U:U)/PARAMETER!$T$3,"")</f>
        <v/>
      </c>
      <c r="W28" s="40" t="str">
        <f>IF(W$4&lt;=PARAMETER!$X$2,SUMIF('2025'!$F:$F,$B28,'2025'!V:V)/PARAMETER!$T$3,"")</f>
        <v/>
      </c>
      <c r="X28" s="40" t="str">
        <f>IF(X$4&lt;=PARAMETER!$X$2,SUMIF('2025'!$F:$F,$B28,'2025'!W:W)/PARAMETER!$T$3,"")</f>
        <v/>
      </c>
      <c r="Y28" s="40" t="str">
        <f>IF(Y$4&lt;=PARAMETER!$X$2,SUMIF('2025'!$F:$F,$B28,'2025'!X:X)/PARAMETER!$T$3,"")</f>
        <v/>
      </c>
      <c r="Z28" s="40" t="str">
        <f>IF(Z$4&lt;=PARAMETER!$X$2,SUMIF('2025'!$F:$F,$B28,'2025'!Y:Y)/PARAMETER!$T$3,"")</f>
        <v/>
      </c>
      <c r="AA28" s="40" t="str">
        <f>IF(AA$4&lt;=PARAMETER!$X$2,SUMIF('2025'!$F:$F,$B28,'2025'!Z:Z)/PARAMETER!$T$3,"")</f>
        <v/>
      </c>
      <c r="AB28" s="40" t="str">
        <f>IF(AB$4&lt;=PARAMETER!$X$2,SUMIF('2025'!$F:$F,$B28,'2025'!AA:AA)/PARAMETER!$T$3,"")</f>
        <v/>
      </c>
      <c r="AC28" s="40" t="str">
        <f>IF(AC$4&lt;=PARAMETER!$X$2,SUMIF('2025'!$F:$F,$B28,'2025'!AB:AB)/PARAMETER!$T$3,"")</f>
        <v/>
      </c>
      <c r="AD28" s="40" t="str">
        <f>IF(AD$4&lt;=PARAMETER!$X$2,SUMIF('2025'!$F:$F,$B28,'2025'!AC:AC)/PARAMETER!$T$3,"")</f>
        <v/>
      </c>
      <c r="AE28" s="40" t="str">
        <f>IF(AE$4&lt;=PARAMETER!$X$2,SUMIF('2025'!$F:$F,$B28,'2025'!AD:AD)/PARAMETER!$T$3,"")</f>
        <v/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2644.7750000000001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>
        <f>IF(U$4&lt;=PARAMETER!$X$2,SUMIF('2024'!$F:$F,$B29,'2024'!T:T)/PARAMETER!$T$3,"")</f>
        <v>161.92500000000001</v>
      </c>
      <c r="V29" s="71" t="str">
        <f>IF(V$4&lt;=PARAMETER!$X$2,SUMIF('2024'!$F:$F,$B29,'2024'!U:U)/PARAMETER!$T$3,"")</f>
        <v/>
      </c>
      <c r="W29" s="71" t="str">
        <f>IF(W$4&lt;=PARAMETER!$X$2,SUMIF('2024'!$F:$F,$B29,'2024'!V:V)/PARAMETER!$T$3,"")</f>
        <v/>
      </c>
      <c r="X29" s="71" t="str">
        <f>IF(X$4&lt;=PARAMETER!$X$2,SUMIF('2024'!$F:$F,$B29,'2024'!W:W)/PARAMETER!$T$3,"")</f>
        <v/>
      </c>
      <c r="Y29" s="71" t="str">
        <f>IF(Y$4&lt;=PARAMETER!$X$2,SUMIF('2024'!$F:$F,$B29,'2024'!X:X)/PARAMETER!$T$3,"")</f>
        <v/>
      </c>
      <c r="Z29" s="71" t="str">
        <f>IF(Z$4&lt;=PARAMETER!$X$2,SUMIF('2024'!$F:$F,$B29,'2024'!Y:Y)/PARAMETER!$T$3,"")</f>
        <v/>
      </c>
      <c r="AA29" s="71" t="str">
        <f>IF(AA$4&lt;=PARAMETER!$X$2,SUMIF('2024'!$F:$F,$B29,'2024'!Z:Z)/PARAMETER!$T$3,"")</f>
        <v/>
      </c>
      <c r="AB29" s="71" t="str">
        <f>IF(AB$4&lt;=PARAMETER!$X$2,SUMIF('2024'!$F:$F,$B29,'2024'!AA:AA)/PARAMETER!$T$3,"")</f>
        <v/>
      </c>
      <c r="AC29" s="71" t="str">
        <f>IF(AC$4&lt;=PARAMETER!$X$2,SUMIF('2024'!$F:$F,$B29,'2024'!AB:AB)/PARAMETER!$T$3,"")</f>
        <v/>
      </c>
      <c r="AD29" s="71" t="str">
        <f>IF(AD$4&lt;=PARAMETER!$X$2,SUMIF('2024'!$F:$F,$B29,'2024'!AC:AC)/PARAMETER!$T$3,"")</f>
        <v/>
      </c>
      <c r="AE29" s="71" t="str">
        <f>IF(AE$4&lt;=PARAMETER!$X$2,SUMIF('2024'!$F:$F,$B29,'2024'!AD:AD)/PARAMETER!$T$3,"")</f>
        <v/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4.1285773705572542</v>
      </c>
      <c r="F30" s="23">
        <f t="shared" ref="F30:F32" si="32">IFERROR(IF(E30&gt;300%,300%,E30),"")</f>
        <v>3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>
        <f>IF(U$4&lt;=PARAMETER!$X$2,SUMIF('2026 T'!$F:$F,$B30,'2026 T'!T:T)/PARAMETER!$T$3,"")</f>
        <v>27.198619011385702</v>
      </c>
      <c r="V30" s="25" t="str">
        <f>IF(V$4&lt;=PARAMETER!$X$2,SUMIF('2026 T'!$F:$F,$B30,'2026 T'!U:U)/PARAMETER!$T$3,"")</f>
        <v/>
      </c>
      <c r="W30" s="25" t="str">
        <f>IF(W$4&lt;=PARAMETER!$X$2,SUMIF('2026 T'!$F:$F,$B30,'2026 T'!V:V)/PARAMETER!$T$3,"")</f>
        <v/>
      </c>
      <c r="X30" s="25" t="str">
        <f>IF(X$4&lt;=PARAMETER!$X$2,SUMIF('2026 T'!$F:$F,$B30,'2026 T'!W:W)/PARAMETER!$T$3,"")</f>
        <v/>
      </c>
      <c r="Y30" s="25" t="str">
        <f>IF(Y$4&lt;=PARAMETER!$X$2,SUMIF('2026 T'!$F:$F,$B30,'2026 T'!X:X)/PARAMETER!$T$3,"")</f>
        <v/>
      </c>
      <c r="Z30" s="25" t="str">
        <f>IF(Z$4&lt;=PARAMETER!$X$2,SUMIF('2026 T'!$F:$F,$B30,'2026 T'!Y:Y)/PARAMETER!$T$3,"")</f>
        <v/>
      </c>
      <c r="AA30" s="25" t="str">
        <f>IF(AA$4&lt;=PARAMETER!$X$2,SUMIF('2026 T'!$F:$F,$B30,'2026 T'!Z:Z)/PARAMETER!$T$3,"")</f>
        <v/>
      </c>
      <c r="AB30" s="25" t="str">
        <f>IF(AB$4&lt;=PARAMETER!$X$2,SUMIF('2026 T'!$F:$F,$B30,'2026 T'!AA:AA)/PARAMETER!$T$3,"")</f>
        <v/>
      </c>
      <c r="AC30" s="25" t="str">
        <f>IF(AC$4&lt;=PARAMETER!$X$2,SUMIF('2026 T'!$F:$F,$B30,'2026 T'!AB:AB)/PARAMETER!$T$3,"")</f>
        <v/>
      </c>
      <c r="AD30" s="25" t="str">
        <f>IF(AD$4&lt;=PARAMETER!$X$2,SUMIF('2026 T'!$F:$F,$B30,'2026 T'!AC:AC)/PARAMETER!$T$3,"")</f>
        <v/>
      </c>
      <c r="AE30" s="25" t="str">
        <f>IF(AE$4&lt;=PARAMETER!$X$2,SUMIF('2026 T'!$F:$F,$B30,'2026 T'!AD:AD)/PARAMETER!$T$3,"")</f>
        <v/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2.9766584958568547</v>
      </c>
      <c r="F31" s="28">
        <f t="shared" si="32"/>
        <v>2.9766584958568547</v>
      </c>
      <c r="G31" s="39">
        <f t="shared" si="20"/>
        <v>2026</v>
      </c>
      <c r="H31" s="40">
        <f>IF(H$4&lt;=PARAMETER!$X$2,SUMIF('2026'!$F:$F,$B31,'2026'!G:G)/PARAMETER!$T$3,"")</f>
        <v>26511.826980999998</v>
      </c>
      <c r="I31" s="40">
        <f>IF(I$4&lt;=PARAMETER!$X$2,SUMIF('2026'!$F:$F,$B31,'2026'!H:H)/PARAMETER!$T$3,"")</f>
        <v>24514.468000000001</v>
      </c>
      <c r="J31" s="40">
        <f>IF(J$4&lt;=PARAMETER!$X$2,SUMIF('2026'!$F:$F,$B31,'2026'!I:I)/PARAMETER!$T$3,"")</f>
        <v>0</v>
      </c>
      <c r="K31" s="40">
        <f>IF(K$4&lt;=PARAMETER!$X$2,SUMIF('2026'!$F:$F,$B31,'2026'!J:J)/PARAMETER!$T$3,"")</f>
        <v>0</v>
      </c>
      <c r="L31" s="40">
        <f>IF(L$4&lt;=PARAMETER!$X$2,SUMIF('2026'!$F:$F,$B31,'2026'!K:K)/PARAMETER!$T$3,"")</f>
        <v>0</v>
      </c>
      <c r="M31" s="40">
        <f>IF(M$4&lt;=PARAMETER!$X$2,SUMIF('2026'!$F:$F,$B31,'2026'!L:L)/PARAMETER!$T$3,"")</f>
        <v>0</v>
      </c>
      <c r="N31" s="40">
        <f>IF(N$4&lt;=PARAMETER!$X$2,SUMIF('2026'!$F:$F,$B31,'2026'!M:M)/PARAMETER!$T$3,"")</f>
        <v>0</v>
      </c>
      <c r="O31" s="40">
        <f>IF(O$4&lt;=PARAMETER!$X$2,SUMIF('2026'!$F:$F,$B31,'2026'!N:N)/PARAMETER!$T$3,"")</f>
        <v>0</v>
      </c>
      <c r="P31" s="40">
        <f>IF(P$4&lt;=PARAMETER!$X$2,SUMIF('2026'!$F:$F,$B31,'2026'!O:O)/PARAMETER!$T$3,"")</f>
        <v>0</v>
      </c>
      <c r="Q31" s="40">
        <f>IF(Q$4&lt;=PARAMETER!$X$2,SUMIF('2026'!$F:$F,$B31,'2026'!P:P)/PARAMETER!$T$3,"")</f>
        <v>0</v>
      </c>
      <c r="R31" s="40">
        <f>IF(R$4&lt;=PARAMETER!$X$2,SUMIF('2026'!$F:$F,$B31,'2026'!Q:Q)/PARAMETER!$T$3,"")</f>
        <v>24514.468000000001</v>
      </c>
      <c r="S31" s="40">
        <f>IF(S$4&lt;=PARAMETER!$X$2,SUMIF('2026'!$F:$F,$B31,'2026'!R:R)/PARAMETER!$T$3,"")</f>
        <v>0</v>
      </c>
      <c r="T31" s="40">
        <f>IF(T$4&lt;=PARAMETER!$X$2,SUMIF('2026'!$F:$F,$B31,'2026'!S:S)/PARAMETER!$T$3,"")</f>
        <v>0</v>
      </c>
      <c r="U31" s="40">
        <f>IF(U$4&lt;=PARAMETER!$X$2,SUMIF('2026'!$F:$F,$B31,'2026'!T:T)/PARAMETER!$T$3,"")</f>
        <v>0</v>
      </c>
      <c r="V31" s="40" t="str">
        <f>IF(V$4&lt;=PARAMETER!$X$2,SUMIF('2026'!$F:$F,$B31,'2026'!U:U)/PARAMETER!$T$3,"")</f>
        <v/>
      </c>
      <c r="W31" s="40" t="str">
        <f>IF(W$4&lt;=PARAMETER!$X$2,SUMIF('2026'!$F:$F,$B31,'2026'!V:V)/PARAMETER!$T$3,"")</f>
        <v/>
      </c>
      <c r="X31" s="40" t="str">
        <f>IF(X$4&lt;=PARAMETER!$X$2,SUMIF('2026'!$F:$F,$B31,'2026'!W:W)/PARAMETER!$T$3,"")</f>
        <v/>
      </c>
      <c r="Y31" s="40" t="str">
        <f>IF(Y$4&lt;=PARAMETER!$X$2,SUMIF('2026'!$F:$F,$B31,'2026'!X:X)/PARAMETER!$T$3,"")</f>
        <v/>
      </c>
      <c r="Z31" s="40" t="str">
        <f>IF(Z$4&lt;=PARAMETER!$X$2,SUMIF('2026'!$F:$F,$B31,'2026'!Y:Y)/PARAMETER!$T$3,"")</f>
        <v/>
      </c>
      <c r="AA31" s="40" t="str">
        <f>IF(AA$4&lt;=PARAMETER!$X$2,SUMIF('2026'!$F:$F,$B31,'2026'!Z:Z)/PARAMETER!$T$3,"")</f>
        <v/>
      </c>
      <c r="AB31" s="40" t="str">
        <f>IF(AB$4&lt;=PARAMETER!$X$2,SUMIF('2026'!$F:$F,$B31,'2026'!AA:AA)/PARAMETER!$T$3,"")</f>
        <v/>
      </c>
      <c r="AC31" s="40" t="str">
        <f>IF(AC$4&lt;=PARAMETER!$X$2,SUMIF('2026'!$F:$F,$B31,'2026'!AB:AB)/PARAMETER!$T$3,"")</f>
        <v/>
      </c>
      <c r="AD31" s="40" t="str">
        <f>IF(AD$4&lt;=PARAMETER!$X$2,SUMIF('2026'!$F:$F,$B31,'2026'!AC:AC)/PARAMETER!$T$3,"")</f>
        <v/>
      </c>
      <c r="AE31" s="40" t="str">
        <f>IF(AE$4&lt;=PARAMETER!$X$2,SUMIF('2026'!$F:$F,$B31,'2026'!AD:AD)/PARAMETER!$T$3,"")</f>
        <v/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2.6732216232191659</v>
      </c>
      <c r="F32" s="28">
        <f t="shared" si="32"/>
        <v>2.6732216232191659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6164.5896990000001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>
        <f>IF(U$4&lt;=PARAMETER!$X$2,SUMIF('2025'!$F:$F,$B32,'2025'!T:T)/PARAMETER!$T$3,"")</f>
        <v>26.925999999999998</v>
      </c>
      <c r="V32" s="40" t="str">
        <f>IF(V$4&lt;=PARAMETER!$X$2,SUMIF('2025'!$F:$F,$B32,'2025'!U:U)/PARAMETER!$T$3,"")</f>
        <v/>
      </c>
      <c r="W32" s="40" t="str">
        <f>IF(W$4&lt;=PARAMETER!$X$2,SUMIF('2025'!$F:$F,$B32,'2025'!V:V)/PARAMETER!$T$3,"")</f>
        <v/>
      </c>
      <c r="X32" s="40" t="str">
        <f>IF(X$4&lt;=PARAMETER!$X$2,SUMIF('2025'!$F:$F,$B32,'2025'!W:W)/PARAMETER!$T$3,"")</f>
        <v/>
      </c>
      <c r="Y32" s="40" t="str">
        <f>IF(Y$4&lt;=PARAMETER!$X$2,SUMIF('2025'!$F:$F,$B32,'2025'!X:X)/PARAMETER!$T$3,"")</f>
        <v/>
      </c>
      <c r="Z32" s="40" t="str">
        <f>IF(Z$4&lt;=PARAMETER!$X$2,SUMIF('2025'!$F:$F,$B32,'2025'!Y:Y)/PARAMETER!$T$3,"")</f>
        <v/>
      </c>
      <c r="AA32" s="40" t="str">
        <f>IF(AA$4&lt;=PARAMETER!$X$2,SUMIF('2025'!$F:$F,$B32,'2025'!Z:Z)/PARAMETER!$T$3,"")</f>
        <v/>
      </c>
      <c r="AB32" s="40" t="str">
        <f>IF(AB$4&lt;=PARAMETER!$X$2,SUMIF('2025'!$F:$F,$B32,'2025'!AA:AA)/PARAMETER!$T$3,"")</f>
        <v/>
      </c>
      <c r="AC32" s="40" t="str">
        <f>IF(AC$4&lt;=PARAMETER!$X$2,SUMIF('2025'!$F:$F,$B32,'2025'!AB:AB)/PARAMETER!$T$3,"")</f>
        <v/>
      </c>
      <c r="AD32" s="40" t="str">
        <f>IF(AD$4&lt;=PARAMETER!$X$2,SUMIF('2025'!$F:$F,$B32,'2025'!AC:AC)/PARAMETER!$T$3,"")</f>
        <v/>
      </c>
      <c r="AE32" s="40" t="str">
        <f>IF(AE$4&lt;=PARAMETER!$X$2,SUMIF('2025'!$F:$F,$B32,'2025'!AD:AD)/PARAMETER!$T$3,"")</f>
        <v/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1678.2515000000001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>
        <f>IF(U$4&lt;=PARAMETER!$X$2,SUMIF('2024'!$F:$F,$B33,'2024'!T:T)/PARAMETER!$T$3,"")</f>
        <v>200.31549999999999</v>
      </c>
      <c r="V33" s="71" t="str">
        <f>IF(V$4&lt;=PARAMETER!$X$2,SUMIF('2024'!$F:$F,$B33,'2024'!U:U)/PARAMETER!$T$3,"")</f>
        <v/>
      </c>
      <c r="W33" s="71" t="str">
        <f>IF(W$4&lt;=PARAMETER!$X$2,SUMIF('2024'!$F:$F,$B33,'2024'!V:V)/PARAMETER!$T$3,"")</f>
        <v/>
      </c>
      <c r="X33" s="71" t="str">
        <f>IF(X$4&lt;=PARAMETER!$X$2,SUMIF('2024'!$F:$F,$B33,'2024'!W:W)/PARAMETER!$T$3,"")</f>
        <v/>
      </c>
      <c r="Y33" s="71" t="str">
        <f>IF(Y$4&lt;=PARAMETER!$X$2,SUMIF('2024'!$F:$F,$B33,'2024'!X:X)/PARAMETER!$T$3,"")</f>
        <v/>
      </c>
      <c r="Z33" s="71" t="str">
        <f>IF(Z$4&lt;=PARAMETER!$X$2,SUMIF('2024'!$F:$F,$B33,'2024'!Y:Y)/PARAMETER!$T$3,"")</f>
        <v/>
      </c>
      <c r="AA33" s="71" t="str">
        <f>IF(AA$4&lt;=PARAMETER!$X$2,SUMIF('2024'!$F:$F,$B33,'2024'!Z:Z)/PARAMETER!$T$3,"")</f>
        <v/>
      </c>
      <c r="AB33" s="71" t="str">
        <f>IF(AB$4&lt;=PARAMETER!$X$2,SUMIF('2024'!$F:$F,$B33,'2024'!AA:AA)/PARAMETER!$T$3,"")</f>
        <v/>
      </c>
      <c r="AC33" s="71" t="str">
        <f>IF(AC$4&lt;=PARAMETER!$X$2,SUMIF('2024'!$F:$F,$B33,'2024'!AB:AB)/PARAMETER!$T$3,"")</f>
        <v/>
      </c>
      <c r="AD33" s="71" t="str">
        <f>IF(AD$4&lt;=PARAMETER!$X$2,SUMIF('2024'!$F:$F,$B33,'2024'!AC:AC)/PARAMETER!$T$3,"")</f>
        <v/>
      </c>
      <c r="AE33" s="71" t="str">
        <f>IF(AE$4&lt;=PARAMETER!$X$2,SUMIF('2024'!$F:$F,$B33,'2024'!AD:AD)/PARAMETER!$T$3,"")</f>
        <v/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0.12998948926350459</v>
      </c>
      <c r="F34" s="23">
        <f t="shared" ref="F34:F36" si="38">IFERROR(IF(E34&gt;300%,300%,E34),"")</f>
        <v>0.12998948926350459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>
        <f>IF(U$4&lt;=PARAMETER!$X$2,SUMIF('2026 T'!$F:$F,$B34,'2026 T'!T:T)/PARAMETER!$T$3,"")</f>
        <v>0</v>
      </c>
      <c r="V34" s="25" t="str">
        <f>IF(V$4&lt;=PARAMETER!$X$2,SUMIF('2026 T'!$F:$F,$B34,'2026 T'!U:U)/PARAMETER!$T$3,"")</f>
        <v/>
      </c>
      <c r="W34" s="25" t="str">
        <f>IF(W$4&lt;=PARAMETER!$X$2,SUMIF('2026 T'!$F:$F,$B34,'2026 T'!V:V)/PARAMETER!$T$3,"")</f>
        <v/>
      </c>
      <c r="X34" s="25" t="str">
        <f>IF(X$4&lt;=PARAMETER!$X$2,SUMIF('2026 T'!$F:$F,$B34,'2026 T'!W:W)/PARAMETER!$T$3,"")</f>
        <v/>
      </c>
      <c r="Y34" s="25" t="str">
        <f>IF(Y$4&lt;=PARAMETER!$X$2,SUMIF('2026 T'!$F:$F,$B34,'2026 T'!X:X)/PARAMETER!$T$3,"")</f>
        <v/>
      </c>
      <c r="Z34" s="25" t="str">
        <f>IF(Z$4&lt;=PARAMETER!$X$2,SUMIF('2026 T'!$F:$F,$B34,'2026 T'!Y:Y)/PARAMETER!$T$3,"")</f>
        <v/>
      </c>
      <c r="AA34" s="25" t="str">
        <f>IF(AA$4&lt;=PARAMETER!$X$2,SUMIF('2026 T'!$F:$F,$B34,'2026 T'!Z:Z)/PARAMETER!$T$3,"")</f>
        <v/>
      </c>
      <c r="AB34" s="25" t="str">
        <f>IF(AB$4&lt;=PARAMETER!$X$2,SUMIF('2026 T'!$F:$F,$B34,'2026 T'!AA:AA)/PARAMETER!$T$3,"")</f>
        <v/>
      </c>
      <c r="AC34" s="25" t="str">
        <f>IF(AC$4&lt;=PARAMETER!$X$2,SUMIF('2026 T'!$F:$F,$B34,'2026 T'!AB:AB)/PARAMETER!$T$3,"")</f>
        <v/>
      </c>
      <c r="AD34" s="25" t="str">
        <f>IF(AD$4&lt;=PARAMETER!$X$2,SUMIF('2026 T'!$F:$F,$B34,'2026 T'!AC:AC)/PARAMETER!$T$3,"")</f>
        <v/>
      </c>
      <c r="AE34" s="25" t="str">
        <f>IF(AE$4&lt;=PARAMETER!$X$2,SUMIF('2026 T'!$F:$F,$B34,'2026 T'!AD:AD)/PARAMETER!$T$3,"")</f>
        <v/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5.4102564102564106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3268.2947439999998</v>
      </c>
      <c r="I35" s="40">
        <f>IF(I$4&lt;=PARAMETER!$X$2,SUMIF('2026'!$F:$F,$B35,'2026'!H:H)/PARAMETER!$T$3,"")</f>
        <v>25</v>
      </c>
      <c r="J35" s="40">
        <f>IF(J$4&lt;=PARAMETER!$X$2,SUMIF('2026'!$F:$F,$B35,'2026'!I:I)/PARAMETER!$T$3,"")</f>
        <v>0</v>
      </c>
      <c r="K35" s="40">
        <f>IF(K$4&lt;=PARAMETER!$X$2,SUMIF('2026'!$F:$F,$B35,'2026'!J:J)/PARAMETER!$T$3,"")</f>
        <v>0</v>
      </c>
      <c r="L35" s="40">
        <f>IF(L$4&lt;=PARAMETER!$X$2,SUMIF('2026'!$F:$F,$B35,'2026'!K:K)/PARAMETER!$T$3,"")</f>
        <v>0</v>
      </c>
      <c r="M35" s="40">
        <f>IF(M$4&lt;=PARAMETER!$X$2,SUMIF('2026'!$F:$F,$B35,'2026'!L:L)/PARAMETER!$T$3,"")</f>
        <v>0</v>
      </c>
      <c r="N35" s="40">
        <f>IF(N$4&lt;=PARAMETER!$X$2,SUMIF('2026'!$F:$F,$B35,'2026'!M:M)/PARAMETER!$T$3,"")</f>
        <v>0</v>
      </c>
      <c r="O35" s="40">
        <f>IF(O$4&lt;=PARAMETER!$X$2,SUMIF('2026'!$F:$F,$B35,'2026'!N:N)/PARAMETER!$T$3,"")</f>
        <v>0</v>
      </c>
      <c r="P35" s="40">
        <f>IF(P$4&lt;=PARAMETER!$X$2,SUMIF('2026'!$F:$F,$B35,'2026'!O:O)/PARAMETER!$T$3,"")</f>
        <v>0</v>
      </c>
      <c r="Q35" s="40">
        <f>IF(Q$4&lt;=PARAMETER!$X$2,SUMIF('2026'!$F:$F,$B35,'2026'!P:P)/PARAMETER!$T$3,"")</f>
        <v>0</v>
      </c>
      <c r="R35" s="40">
        <f>IF(R$4&lt;=PARAMETER!$X$2,SUMIF('2026'!$F:$F,$B35,'2026'!Q:Q)/PARAMETER!$T$3,"")</f>
        <v>0</v>
      </c>
      <c r="S35" s="40">
        <f>IF(S$4&lt;=PARAMETER!$X$2,SUMIF('2026'!$F:$F,$B35,'2026'!R:R)/PARAMETER!$T$3,"")</f>
        <v>0</v>
      </c>
      <c r="T35" s="40">
        <f>IF(T$4&lt;=PARAMETER!$X$2,SUMIF('2026'!$F:$F,$B35,'2026'!S:S)/PARAMETER!$T$3,"")</f>
        <v>25</v>
      </c>
      <c r="U35" s="40">
        <f>IF(U$4&lt;=PARAMETER!$X$2,SUMIF('2026'!$F:$F,$B35,'2026'!T:T)/PARAMETER!$T$3,"")</f>
        <v>0</v>
      </c>
      <c r="V35" s="40" t="str">
        <f>IF(V$4&lt;=PARAMETER!$X$2,SUMIF('2026'!$F:$F,$B35,'2026'!U:U)/PARAMETER!$T$3,"")</f>
        <v/>
      </c>
      <c r="W35" s="40" t="str">
        <f>IF(W$4&lt;=PARAMETER!$X$2,SUMIF('2026'!$F:$F,$B35,'2026'!V:V)/PARAMETER!$T$3,"")</f>
        <v/>
      </c>
      <c r="X35" s="40" t="str">
        <f>IF(X$4&lt;=PARAMETER!$X$2,SUMIF('2026'!$F:$F,$B35,'2026'!W:W)/PARAMETER!$T$3,"")</f>
        <v/>
      </c>
      <c r="Y35" s="40" t="str">
        <f>IF(Y$4&lt;=PARAMETER!$X$2,SUMIF('2026'!$F:$F,$B35,'2026'!X:X)/PARAMETER!$T$3,"")</f>
        <v/>
      </c>
      <c r="Z35" s="40" t="str">
        <f>IF(Z$4&lt;=PARAMETER!$X$2,SUMIF('2026'!$F:$F,$B35,'2026'!Y:Y)/PARAMETER!$T$3,"")</f>
        <v/>
      </c>
      <c r="AA35" s="40" t="str">
        <f>IF(AA$4&lt;=PARAMETER!$X$2,SUMIF('2026'!$F:$F,$B35,'2026'!Z:Z)/PARAMETER!$T$3,"")</f>
        <v/>
      </c>
      <c r="AB35" s="40" t="str">
        <f>IF(AB$4&lt;=PARAMETER!$X$2,SUMIF('2026'!$F:$F,$B35,'2026'!AA:AA)/PARAMETER!$T$3,"")</f>
        <v/>
      </c>
      <c r="AC35" s="40" t="str">
        <f>IF(AC$4&lt;=PARAMETER!$X$2,SUMIF('2026'!$F:$F,$B35,'2026'!AB:AB)/PARAMETER!$T$3,"")</f>
        <v/>
      </c>
      <c r="AD35" s="40" t="str">
        <f>IF(AD$4&lt;=PARAMETER!$X$2,SUMIF('2026'!$F:$F,$B35,'2026'!AC:AC)/PARAMETER!$T$3,"")</f>
        <v/>
      </c>
      <c r="AE35" s="40" t="str">
        <f>IF(AE$4&lt;=PARAMETER!$X$2,SUMIF('2026'!$F:$F,$B35,'2026'!AD:AD)/PARAMETER!$T$3,"")</f>
        <v/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1.2941176470588234</v>
      </c>
      <c r="F36" s="28">
        <f t="shared" si="38"/>
        <v>1.2941176470588234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3.9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>
        <f>IF(U$4&lt;=PARAMETER!$X$2,SUMIF('2025'!$F:$F,$B36,'2025'!T:T)/PARAMETER!$T$3,"")</f>
        <v>0</v>
      </c>
      <c r="V36" s="40" t="str">
        <f>IF(V$4&lt;=PARAMETER!$X$2,SUMIF('2025'!$F:$F,$B36,'2025'!U:U)/PARAMETER!$T$3,"")</f>
        <v/>
      </c>
      <c r="W36" s="40" t="str">
        <f>IF(W$4&lt;=PARAMETER!$X$2,SUMIF('2025'!$F:$F,$B36,'2025'!V:V)/PARAMETER!$T$3,"")</f>
        <v/>
      </c>
      <c r="X36" s="40" t="str">
        <f>IF(X$4&lt;=PARAMETER!$X$2,SUMIF('2025'!$F:$F,$B36,'2025'!W:W)/PARAMETER!$T$3,"")</f>
        <v/>
      </c>
      <c r="Y36" s="40" t="str">
        <f>IF(Y$4&lt;=PARAMETER!$X$2,SUMIF('2025'!$F:$F,$B36,'2025'!X:X)/PARAMETER!$T$3,"")</f>
        <v/>
      </c>
      <c r="Z36" s="40" t="str">
        <f>IF(Z$4&lt;=PARAMETER!$X$2,SUMIF('2025'!$F:$F,$B36,'2025'!Y:Y)/PARAMETER!$T$3,"")</f>
        <v/>
      </c>
      <c r="AA36" s="40" t="str">
        <f>IF(AA$4&lt;=PARAMETER!$X$2,SUMIF('2025'!$F:$F,$B36,'2025'!Z:Z)/PARAMETER!$T$3,"")</f>
        <v/>
      </c>
      <c r="AB36" s="40" t="str">
        <f>IF(AB$4&lt;=PARAMETER!$X$2,SUMIF('2025'!$F:$F,$B36,'2025'!AA:AA)/PARAMETER!$T$3,"")</f>
        <v/>
      </c>
      <c r="AC36" s="40" t="str">
        <f>IF(AC$4&lt;=PARAMETER!$X$2,SUMIF('2025'!$F:$F,$B36,'2025'!AB:AB)/PARAMETER!$T$3,"")</f>
        <v/>
      </c>
      <c r="AD36" s="40" t="str">
        <f>IF(AD$4&lt;=PARAMETER!$X$2,SUMIF('2025'!$F:$F,$B36,'2025'!AC:AC)/PARAMETER!$T$3,"")</f>
        <v/>
      </c>
      <c r="AE36" s="40" t="str">
        <f>IF(AE$4&lt;=PARAMETER!$X$2,SUMIF('2025'!$F:$F,$B36,'2025'!AD:AD)/PARAMETER!$T$3,"")</f>
        <v/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1.7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>
        <f>IF(U$4&lt;=PARAMETER!$X$2,SUMIF('2024'!$F:$F,$B37,'2024'!T:T)/PARAMETER!$T$3,"")</f>
        <v>0</v>
      </c>
      <c r="V37" s="71" t="str">
        <f>IF(V$4&lt;=PARAMETER!$X$2,SUMIF('2024'!$F:$F,$B37,'2024'!U:U)/PARAMETER!$T$3,"")</f>
        <v/>
      </c>
      <c r="W37" s="71" t="str">
        <f>IF(W$4&lt;=PARAMETER!$X$2,SUMIF('2024'!$F:$F,$B37,'2024'!V:V)/PARAMETER!$T$3,"")</f>
        <v/>
      </c>
      <c r="X37" s="71" t="str">
        <f>IF(X$4&lt;=PARAMETER!$X$2,SUMIF('2024'!$F:$F,$B37,'2024'!W:W)/PARAMETER!$T$3,"")</f>
        <v/>
      </c>
      <c r="Y37" s="71" t="str">
        <f>IF(Y$4&lt;=PARAMETER!$X$2,SUMIF('2024'!$F:$F,$B37,'2024'!X:X)/PARAMETER!$T$3,"")</f>
        <v/>
      </c>
      <c r="Z37" s="71" t="str">
        <f>IF(Z$4&lt;=PARAMETER!$X$2,SUMIF('2024'!$F:$F,$B37,'2024'!Y:Y)/PARAMETER!$T$3,"")</f>
        <v/>
      </c>
      <c r="AA37" s="71" t="str">
        <f>IF(AA$4&lt;=PARAMETER!$X$2,SUMIF('2024'!$F:$F,$B37,'2024'!Z:Z)/PARAMETER!$T$3,"")</f>
        <v/>
      </c>
      <c r="AB37" s="71" t="str">
        <f>IF(AB$4&lt;=PARAMETER!$X$2,SUMIF('2024'!$F:$F,$B37,'2024'!AA:AA)/PARAMETER!$T$3,"")</f>
        <v/>
      </c>
      <c r="AC37" s="71" t="str">
        <f>IF(AC$4&lt;=PARAMETER!$X$2,SUMIF('2024'!$F:$F,$B37,'2024'!AB:AB)/PARAMETER!$T$3,"")</f>
        <v/>
      </c>
      <c r="AD37" s="71" t="str">
        <f>IF(AD$4&lt;=PARAMETER!$X$2,SUMIF('2024'!$F:$F,$B37,'2024'!AC:AC)/PARAMETER!$T$3,"")</f>
        <v/>
      </c>
      <c r="AE37" s="71" t="str">
        <f>IF(AE$4&lt;=PARAMETER!$X$2,SUMIF('2024'!$F:$F,$B37,'2024'!AD:AD)/PARAMETER!$T$3,"")</f>
        <v/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704.42346257092993</v>
      </c>
      <c r="F38" s="23">
        <f t="shared" ref="F38:F40" si="43">IFERROR(IF(E38&gt;300%,300%,E38),"")</f>
        <v>3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>
        <f>IF(U$4&lt;=PARAMETER!$X$2,SUMIF('2026 T'!$F:$F,$B38,'2026 T'!T:T)/PARAMETER!$T$3,"")</f>
        <v>318.98999756652699</v>
      </c>
      <c r="V38" s="25" t="str">
        <f>IF(V$4&lt;=PARAMETER!$X$2,SUMIF('2026 T'!$F:$F,$B38,'2026 T'!U:U)/PARAMETER!$T$3,"")</f>
        <v/>
      </c>
      <c r="W38" s="25" t="str">
        <f>IF(W$4&lt;=PARAMETER!$X$2,SUMIF('2026 T'!$F:$F,$B38,'2026 T'!V:V)/PARAMETER!$T$3,"")</f>
        <v/>
      </c>
      <c r="X38" s="25" t="str">
        <f>IF(X$4&lt;=PARAMETER!$X$2,SUMIF('2026 T'!$F:$F,$B38,'2026 T'!W:W)/PARAMETER!$T$3,"")</f>
        <v/>
      </c>
      <c r="Y38" s="25" t="str">
        <f>IF(Y$4&lt;=PARAMETER!$X$2,SUMIF('2026 T'!$F:$F,$B38,'2026 T'!X:X)/PARAMETER!$T$3,"")</f>
        <v/>
      </c>
      <c r="Z38" s="25" t="str">
        <f>IF(Z$4&lt;=PARAMETER!$X$2,SUMIF('2026 T'!$F:$F,$B38,'2026 T'!Y:Y)/PARAMETER!$T$3,"")</f>
        <v/>
      </c>
      <c r="AA38" s="25" t="str">
        <f>IF(AA$4&lt;=PARAMETER!$X$2,SUMIF('2026 T'!$F:$F,$B38,'2026 T'!Z:Z)/PARAMETER!$T$3,"")</f>
        <v/>
      </c>
      <c r="AB38" s="25" t="str">
        <f>IF(AB$4&lt;=PARAMETER!$X$2,SUMIF('2026 T'!$F:$F,$B38,'2026 T'!AA:AA)/PARAMETER!$T$3,"")</f>
        <v/>
      </c>
      <c r="AC38" s="25" t="str">
        <f>IF(AC$4&lt;=PARAMETER!$X$2,SUMIF('2026 T'!$F:$F,$B38,'2026 T'!AB:AB)/PARAMETER!$T$3,"")</f>
        <v/>
      </c>
      <c r="AD38" s="25" t="str">
        <f>IF(AD$4&lt;=PARAMETER!$X$2,SUMIF('2026 T'!$F:$F,$B38,'2026 T'!AC:AC)/PARAMETER!$T$3,"")</f>
        <v/>
      </c>
      <c r="AE38" s="25" t="str">
        <f>IF(AE$4&lt;=PARAMETER!$X$2,SUMIF('2026 T'!$F:$F,$B38,'2026 T'!AD:AD)/PARAMETER!$T$3,"")</f>
        <v/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246.62376877578168</v>
      </c>
      <c r="F39" s="28">
        <f t="shared" si="43"/>
        <v>3</v>
      </c>
      <c r="G39" s="39">
        <f t="shared" si="20"/>
        <v>2026</v>
      </c>
      <c r="H39" s="40">
        <f>IF(H$4&lt;=PARAMETER!$X$2,SUMIF('2026'!$F:$F,$B39,'2026'!G:G)/PARAMETER!$T$3,"")</f>
        <v>1408820.357813</v>
      </c>
      <c r="I39" s="40">
        <f>IF(I$4&lt;=PARAMETER!$X$2,SUMIF('2026'!$F:$F,$B39,'2026'!H:H)/PARAMETER!$T$3,"")</f>
        <v>1407203.545679</v>
      </c>
      <c r="J39" s="40">
        <f>IF(J$4&lt;=PARAMETER!$X$2,SUMIF('2026'!$F:$F,$B39,'2026'!I:I)/PARAMETER!$T$3,"")</f>
        <v>0</v>
      </c>
      <c r="K39" s="40">
        <f>IF(K$4&lt;=PARAMETER!$X$2,SUMIF('2026'!$F:$F,$B39,'2026'!J:J)/PARAMETER!$T$3,"")</f>
        <v>0</v>
      </c>
      <c r="L39" s="40">
        <f>IF(L$4&lt;=PARAMETER!$X$2,SUMIF('2026'!$F:$F,$B39,'2026'!K:K)/PARAMETER!$T$3,"")</f>
        <v>0</v>
      </c>
      <c r="M39" s="40">
        <f>IF(M$4&lt;=PARAMETER!$X$2,SUMIF('2026'!$F:$F,$B39,'2026'!L:L)/PARAMETER!$T$3,"")</f>
        <v>0</v>
      </c>
      <c r="N39" s="40">
        <f>IF(N$4&lt;=PARAMETER!$X$2,SUMIF('2026'!$F:$F,$B39,'2026'!M:M)/PARAMETER!$T$3,"")</f>
        <v>0</v>
      </c>
      <c r="O39" s="40">
        <f>IF(O$4&lt;=PARAMETER!$X$2,SUMIF('2026'!$F:$F,$B39,'2026'!N:N)/PARAMETER!$T$3,"")</f>
        <v>0</v>
      </c>
      <c r="P39" s="40">
        <f>IF(P$4&lt;=PARAMETER!$X$2,SUMIF('2026'!$F:$F,$B39,'2026'!O:O)/PARAMETER!$T$3,"")</f>
        <v>0</v>
      </c>
      <c r="Q39" s="40">
        <f>IF(Q$4&lt;=PARAMETER!$X$2,SUMIF('2026'!$F:$F,$B39,'2026'!P:P)/PARAMETER!$T$3,"")</f>
        <v>0</v>
      </c>
      <c r="R39" s="40">
        <f>IF(R$4&lt;=PARAMETER!$X$2,SUMIF('2026'!$F:$F,$B39,'2026'!Q:Q)/PARAMETER!$T$3,"")</f>
        <v>431915.55971300002</v>
      </c>
      <c r="S39" s="40">
        <f>IF(S$4&lt;=PARAMETER!$X$2,SUMIF('2026'!$F:$F,$B39,'2026'!R:R)/PARAMETER!$T$3,"")</f>
        <v>528677.78784300003</v>
      </c>
      <c r="T39" s="40">
        <f>IF(T$4&lt;=PARAMETER!$X$2,SUMIF('2026'!$F:$F,$B39,'2026'!S:S)/PARAMETER!$T$3,"")</f>
        <v>446610.19812299998</v>
      </c>
      <c r="U39" s="40">
        <f>IF(U$4&lt;=PARAMETER!$X$2,SUMIF('2026'!$F:$F,$B39,'2026'!T:T)/PARAMETER!$T$3,"")</f>
        <v>0</v>
      </c>
      <c r="V39" s="40" t="str">
        <f>IF(V$4&lt;=PARAMETER!$X$2,SUMIF('2026'!$F:$F,$B39,'2026'!U:U)/PARAMETER!$T$3,"")</f>
        <v/>
      </c>
      <c r="W39" s="40" t="str">
        <f>IF(W$4&lt;=PARAMETER!$X$2,SUMIF('2026'!$F:$F,$B39,'2026'!V:V)/PARAMETER!$T$3,"")</f>
        <v/>
      </c>
      <c r="X39" s="40" t="str">
        <f>IF(X$4&lt;=PARAMETER!$X$2,SUMIF('2026'!$F:$F,$B39,'2026'!W:W)/PARAMETER!$T$3,"")</f>
        <v/>
      </c>
      <c r="Y39" s="40" t="str">
        <f>IF(Y$4&lt;=PARAMETER!$X$2,SUMIF('2026'!$F:$F,$B39,'2026'!X:X)/PARAMETER!$T$3,"")</f>
        <v/>
      </c>
      <c r="Z39" s="40" t="str">
        <f>IF(Z$4&lt;=PARAMETER!$X$2,SUMIF('2026'!$F:$F,$B39,'2026'!Y:Y)/PARAMETER!$T$3,"")</f>
        <v/>
      </c>
      <c r="AA39" s="40" t="str">
        <f>IF(AA$4&lt;=PARAMETER!$X$2,SUMIF('2026'!$F:$F,$B39,'2026'!Z:Z)/PARAMETER!$T$3,"")</f>
        <v/>
      </c>
      <c r="AB39" s="40" t="str">
        <f>IF(AB$4&lt;=PARAMETER!$X$2,SUMIF('2026'!$F:$F,$B39,'2026'!AA:AA)/PARAMETER!$T$3,"")</f>
        <v/>
      </c>
      <c r="AC39" s="40" t="str">
        <f>IF(AC$4&lt;=PARAMETER!$X$2,SUMIF('2026'!$F:$F,$B39,'2026'!AB:AB)/PARAMETER!$T$3,"")</f>
        <v/>
      </c>
      <c r="AD39" s="40" t="str">
        <f>IF(AD$4&lt;=PARAMETER!$X$2,SUMIF('2026'!$F:$F,$B39,'2026'!AC:AC)/PARAMETER!$T$3,"")</f>
        <v/>
      </c>
      <c r="AE39" s="40" t="str">
        <f>IF(AE$4&lt;=PARAMETER!$X$2,SUMIF('2026'!$F:$F,$B39,'2026'!AD:AD)/PARAMETER!$T$3,"")</f>
        <v/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-0.94460097112749342</v>
      </c>
      <c r="F40" s="28">
        <f t="shared" si="43"/>
        <v>-0.94460097112749342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5682.8290459999998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>
        <f>IF(U$4&lt;=PARAMETER!$X$2,SUMIF('2025'!$F:$F,$B40,'2025'!T:T)/PARAMETER!$T$3,"")</f>
        <v>888.12949700000001</v>
      </c>
      <c r="V40" s="40" t="str">
        <f>IF(V$4&lt;=PARAMETER!$X$2,SUMIF('2025'!$F:$F,$B40,'2025'!U:U)/PARAMETER!$T$3,"")</f>
        <v/>
      </c>
      <c r="W40" s="40" t="str">
        <f>IF(W$4&lt;=PARAMETER!$X$2,SUMIF('2025'!$F:$F,$B40,'2025'!V:V)/PARAMETER!$T$3,"")</f>
        <v/>
      </c>
      <c r="X40" s="40" t="str">
        <f>IF(X$4&lt;=PARAMETER!$X$2,SUMIF('2025'!$F:$F,$B40,'2025'!W:W)/PARAMETER!$T$3,"")</f>
        <v/>
      </c>
      <c r="Y40" s="40" t="str">
        <f>IF(Y$4&lt;=PARAMETER!$X$2,SUMIF('2025'!$F:$F,$B40,'2025'!X:X)/PARAMETER!$T$3,"")</f>
        <v/>
      </c>
      <c r="Z40" s="40" t="str">
        <f>IF(Z$4&lt;=PARAMETER!$X$2,SUMIF('2025'!$F:$F,$B40,'2025'!Y:Y)/PARAMETER!$T$3,"")</f>
        <v/>
      </c>
      <c r="AA40" s="40" t="str">
        <f>IF(AA$4&lt;=PARAMETER!$X$2,SUMIF('2025'!$F:$F,$B40,'2025'!Z:Z)/PARAMETER!$T$3,"")</f>
        <v/>
      </c>
      <c r="AB40" s="40" t="str">
        <f>IF(AB$4&lt;=PARAMETER!$X$2,SUMIF('2025'!$F:$F,$B40,'2025'!AA:AA)/PARAMETER!$T$3,"")</f>
        <v/>
      </c>
      <c r="AC40" s="40" t="str">
        <f>IF(AC$4&lt;=PARAMETER!$X$2,SUMIF('2025'!$F:$F,$B40,'2025'!AB:AB)/PARAMETER!$T$3,"")</f>
        <v/>
      </c>
      <c r="AD40" s="40" t="str">
        <f>IF(AD$4&lt;=PARAMETER!$X$2,SUMIF('2025'!$F:$F,$B40,'2025'!AC:AC)/PARAMETER!$T$3,"")</f>
        <v/>
      </c>
      <c r="AE40" s="40" t="str">
        <f>IF(AE$4&lt;=PARAMETER!$X$2,SUMIF('2025'!$F:$F,$B40,'2025'!AD:AD)/PARAMETER!$T$3,"")</f>
        <v/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102579.939787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>
        <f>IF(U$4&lt;=PARAMETER!$X$2,SUMIF('2024'!$F:$F,$B41,'2024'!T:T)/PARAMETER!$T$3,"")</f>
        <v>6973.498799</v>
      </c>
      <c r="V41" s="71" t="str">
        <f>IF(V$4&lt;=PARAMETER!$X$2,SUMIF('2024'!$F:$F,$B41,'2024'!U:U)/PARAMETER!$T$3,"")</f>
        <v/>
      </c>
      <c r="W41" s="71" t="str">
        <f>IF(W$4&lt;=PARAMETER!$X$2,SUMIF('2024'!$F:$F,$B41,'2024'!V:V)/PARAMETER!$T$3,"")</f>
        <v/>
      </c>
      <c r="X41" s="71" t="str">
        <f>IF(X$4&lt;=PARAMETER!$X$2,SUMIF('2024'!$F:$F,$B41,'2024'!W:W)/PARAMETER!$T$3,"")</f>
        <v/>
      </c>
      <c r="Y41" s="71" t="str">
        <f>IF(Y$4&lt;=PARAMETER!$X$2,SUMIF('2024'!$F:$F,$B41,'2024'!X:X)/PARAMETER!$T$3,"")</f>
        <v/>
      </c>
      <c r="Z41" s="71" t="str">
        <f>IF(Z$4&lt;=PARAMETER!$X$2,SUMIF('2024'!$F:$F,$B41,'2024'!Y:Y)/PARAMETER!$T$3,"")</f>
        <v/>
      </c>
      <c r="AA41" s="71" t="str">
        <f>IF(AA$4&lt;=PARAMETER!$X$2,SUMIF('2024'!$F:$F,$B41,'2024'!Z:Z)/PARAMETER!$T$3,"")</f>
        <v/>
      </c>
      <c r="AB41" s="71" t="str">
        <f>IF(AB$4&lt;=PARAMETER!$X$2,SUMIF('2024'!$F:$F,$B41,'2024'!AA:AA)/PARAMETER!$T$3,"")</f>
        <v/>
      </c>
      <c r="AC41" s="71" t="str">
        <f>IF(AC$4&lt;=PARAMETER!$X$2,SUMIF('2024'!$F:$F,$B41,'2024'!AB:AB)/PARAMETER!$T$3,"")</f>
        <v/>
      </c>
      <c r="AD41" s="71" t="str">
        <f>IF(AD$4&lt;=PARAMETER!$X$2,SUMIF('2024'!$F:$F,$B41,'2024'!AC:AC)/PARAMETER!$T$3,"")</f>
        <v/>
      </c>
      <c r="AE41" s="71" t="str">
        <f>IF(AE$4&lt;=PARAMETER!$X$2,SUMIF('2024'!$F:$F,$B41,'2024'!AD:AD)/PARAMETER!$T$3,"")</f>
        <v/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6.7945995745396628E-2</v>
      </c>
      <c r="F42" s="23">
        <f t="shared" ref="F42:F44" si="49">IFERROR(IF(E42&gt;300%,300%,E42),"")</f>
        <v>6.7945995745396628E-2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>
        <f>IF(U$4&lt;=PARAMETER!$X$2,SUMIF('2026 T'!$F:$F,$B42,'2026 T'!T:T)/PARAMETER!$T$3,"")</f>
        <v>48.897824326256604</v>
      </c>
      <c r="V42" s="25" t="str">
        <f>IF(V$4&lt;=PARAMETER!$X$2,SUMIF('2026 T'!$F:$F,$B42,'2026 T'!U:U)/PARAMETER!$T$3,"")</f>
        <v/>
      </c>
      <c r="W42" s="25" t="str">
        <f>IF(W$4&lt;=PARAMETER!$X$2,SUMIF('2026 T'!$F:$F,$B42,'2026 T'!V:V)/PARAMETER!$T$3,"")</f>
        <v/>
      </c>
      <c r="X42" s="25" t="str">
        <f>IF(X$4&lt;=PARAMETER!$X$2,SUMIF('2026 T'!$F:$F,$B42,'2026 T'!W:W)/PARAMETER!$T$3,"")</f>
        <v/>
      </c>
      <c r="Y42" s="25" t="str">
        <f>IF(Y$4&lt;=PARAMETER!$X$2,SUMIF('2026 T'!$F:$F,$B42,'2026 T'!X:X)/PARAMETER!$T$3,"")</f>
        <v/>
      </c>
      <c r="Z42" s="25" t="str">
        <f>IF(Z$4&lt;=PARAMETER!$X$2,SUMIF('2026 T'!$F:$F,$B42,'2026 T'!Y:Y)/PARAMETER!$T$3,"")</f>
        <v/>
      </c>
      <c r="AA42" s="25" t="str">
        <f>IF(AA$4&lt;=PARAMETER!$X$2,SUMIF('2026 T'!$F:$F,$B42,'2026 T'!Z:Z)/PARAMETER!$T$3,"")</f>
        <v/>
      </c>
      <c r="AB42" s="25" t="str">
        <f>IF(AB$4&lt;=PARAMETER!$X$2,SUMIF('2026 T'!$F:$F,$B42,'2026 T'!AA:AA)/PARAMETER!$T$3,"")</f>
        <v/>
      </c>
      <c r="AC42" s="25" t="str">
        <f>IF(AC$4&lt;=PARAMETER!$X$2,SUMIF('2026 T'!$F:$F,$B42,'2026 T'!AB:AB)/PARAMETER!$T$3,"")</f>
        <v/>
      </c>
      <c r="AD42" s="25" t="str">
        <f>IF(AD$4&lt;=PARAMETER!$X$2,SUMIF('2026 T'!$F:$F,$B42,'2026 T'!AC:AC)/PARAMETER!$T$3,"")</f>
        <v/>
      </c>
      <c r="AE42" s="25" t="str">
        <f>IF(AE$4&lt;=PARAMETER!$X$2,SUMIF('2026 T'!$F:$F,$B42,'2026 T'!AD:AD)/PARAMETER!$T$3,"")</f>
        <v/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-0.938274054761711</v>
      </c>
      <c r="F43" s="28">
        <f t="shared" si="49"/>
        <v>-0.938274054761711</v>
      </c>
      <c r="G43" s="39">
        <f t="shared" si="20"/>
        <v>2026</v>
      </c>
      <c r="H43" s="40">
        <f>IF(H$4&lt;=PARAMETER!$X$2,SUMIF('2026'!$F:$F,$B43,'2026'!G:G)/PARAMETER!$T$3,"")</f>
        <v>1115.222804</v>
      </c>
      <c r="I43" s="40">
        <f>IF(I$4&lt;=PARAMETER!$X$2,SUMIF('2026'!$F:$F,$B43,'2026'!H:H)/PARAMETER!$T$3,"")</f>
        <v>43.555</v>
      </c>
      <c r="J43" s="40">
        <f>IF(J$4&lt;=PARAMETER!$X$2,SUMIF('2026'!$F:$F,$B43,'2026'!I:I)/PARAMETER!$T$3,"")</f>
        <v>0</v>
      </c>
      <c r="K43" s="40">
        <f>IF(K$4&lt;=PARAMETER!$X$2,SUMIF('2026'!$F:$F,$B43,'2026'!J:J)/PARAMETER!$T$3,"")</f>
        <v>0</v>
      </c>
      <c r="L43" s="40">
        <f>IF(L$4&lt;=PARAMETER!$X$2,SUMIF('2026'!$F:$F,$B43,'2026'!K:K)/PARAMETER!$T$3,"")</f>
        <v>0</v>
      </c>
      <c r="M43" s="40">
        <f>IF(M$4&lt;=PARAMETER!$X$2,SUMIF('2026'!$F:$F,$B43,'2026'!L:L)/PARAMETER!$T$3,"")</f>
        <v>0</v>
      </c>
      <c r="N43" s="40">
        <f>IF(N$4&lt;=PARAMETER!$X$2,SUMIF('2026'!$F:$F,$B43,'2026'!M:M)/PARAMETER!$T$3,"")</f>
        <v>0</v>
      </c>
      <c r="O43" s="40">
        <f>IF(O$4&lt;=PARAMETER!$X$2,SUMIF('2026'!$F:$F,$B43,'2026'!N:N)/PARAMETER!$T$3,"")</f>
        <v>0</v>
      </c>
      <c r="P43" s="40">
        <f>IF(P$4&lt;=PARAMETER!$X$2,SUMIF('2026'!$F:$F,$B43,'2026'!O:O)/PARAMETER!$T$3,"")</f>
        <v>0</v>
      </c>
      <c r="Q43" s="40">
        <f>IF(Q$4&lt;=PARAMETER!$X$2,SUMIF('2026'!$F:$F,$B43,'2026'!P:P)/PARAMETER!$T$3,"")</f>
        <v>0</v>
      </c>
      <c r="R43" s="40">
        <f>IF(R$4&lt;=PARAMETER!$X$2,SUMIF('2026'!$F:$F,$B43,'2026'!Q:Q)/PARAMETER!$T$3,"")</f>
        <v>0</v>
      </c>
      <c r="S43" s="40">
        <f>IF(S$4&lt;=PARAMETER!$X$2,SUMIF('2026'!$F:$F,$B43,'2026'!R:R)/PARAMETER!$T$3,"")</f>
        <v>11.78</v>
      </c>
      <c r="T43" s="40">
        <f>IF(T$4&lt;=PARAMETER!$X$2,SUMIF('2026'!$F:$F,$B43,'2026'!S:S)/PARAMETER!$T$3,"")</f>
        <v>31.774999999999999</v>
      </c>
      <c r="U43" s="40">
        <f>IF(U$4&lt;=PARAMETER!$X$2,SUMIF('2026'!$F:$F,$B43,'2026'!T:T)/PARAMETER!$T$3,"")</f>
        <v>0</v>
      </c>
      <c r="V43" s="40" t="str">
        <f>IF(V$4&lt;=PARAMETER!$X$2,SUMIF('2026'!$F:$F,$B43,'2026'!U:U)/PARAMETER!$T$3,"")</f>
        <v/>
      </c>
      <c r="W43" s="40" t="str">
        <f>IF(W$4&lt;=PARAMETER!$X$2,SUMIF('2026'!$F:$F,$B43,'2026'!V:V)/PARAMETER!$T$3,"")</f>
        <v/>
      </c>
      <c r="X43" s="40" t="str">
        <f>IF(X$4&lt;=PARAMETER!$X$2,SUMIF('2026'!$F:$F,$B43,'2026'!W:W)/PARAMETER!$T$3,"")</f>
        <v/>
      </c>
      <c r="Y43" s="40" t="str">
        <f>IF(Y$4&lt;=PARAMETER!$X$2,SUMIF('2026'!$F:$F,$B43,'2026'!X:X)/PARAMETER!$T$3,"")</f>
        <v/>
      </c>
      <c r="Z43" s="40" t="str">
        <f>IF(Z$4&lt;=PARAMETER!$X$2,SUMIF('2026'!$F:$F,$B43,'2026'!Y:Y)/PARAMETER!$T$3,"")</f>
        <v/>
      </c>
      <c r="AA43" s="40" t="str">
        <f>IF(AA$4&lt;=PARAMETER!$X$2,SUMIF('2026'!$F:$F,$B43,'2026'!Z:Z)/PARAMETER!$T$3,"")</f>
        <v/>
      </c>
      <c r="AB43" s="40" t="str">
        <f>IF(AB$4&lt;=PARAMETER!$X$2,SUMIF('2026'!$F:$F,$B43,'2026'!AA:AA)/PARAMETER!$T$3,"")</f>
        <v/>
      </c>
      <c r="AC43" s="40" t="str">
        <f>IF(AC$4&lt;=PARAMETER!$X$2,SUMIF('2026'!$F:$F,$B43,'2026'!AB:AB)/PARAMETER!$T$3,"")</f>
        <v/>
      </c>
      <c r="AD43" s="40" t="str">
        <f>IF(AD$4&lt;=PARAMETER!$X$2,SUMIF('2026'!$F:$F,$B43,'2026'!AC:AC)/PARAMETER!$T$3,"")</f>
        <v/>
      </c>
      <c r="AE43" s="40" t="str">
        <f>IF(AE$4&lt;=PARAMETER!$X$2,SUMIF('2026'!$F:$F,$B43,'2026'!AD:AD)/PARAMETER!$T$3,"")</f>
        <v/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33.012619614572593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705.61900400000002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>
        <f>IF(U$4&lt;=PARAMETER!$X$2,SUMIF('2025'!$F:$F,$B44,'2025'!T:T)/PARAMETER!$T$3,"")</f>
        <v>46.54</v>
      </c>
      <c r="V44" s="40" t="str">
        <f>IF(V$4&lt;=PARAMETER!$X$2,SUMIF('2025'!$F:$F,$B44,'2025'!U:U)/PARAMETER!$T$3,"")</f>
        <v/>
      </c>
      <c r="W44" s="40" t="str">
        <f>IF(W$4&lt;=PARAMETER!$X$2,SUMIF('2025'!$F:$F,$B44,'2025'!V:V)/PARAMETER!$T$3,"")</f>
        <v/>
      </c>
      <c r="X44" s="40" t="str">
        <f>IF(X$4&lt;=PARAMETER!$X$2,SUMIF('2025'!$F:$F,$B44,'2025'!W:W)/PARAMETER!$T$3,"")</f>
        <v/>
      </c>
      <c r="Y44" s="40" t="str">
        <f>IF(Y$4&lt;=PARAMETER!$X$2,SUMIF('2025'!$F:$F,$B44,'2025'!X:X)/PARAMETER!$T$3,"")</f>
        <v/>
      </c>
      <c r="Z44" s="40" t="str">
        <f>IF(Z$4&lt;=PARAMETER!$X$2,SUMIF('2025'!$F:$F,$B44,'2025'!Y:Y)/PARAMETER!$T$3,"")</f>
        <v/>
      </c>
      <c r="AA44" s="40" t="str">
        <f>IF(AA$4&lt;=PARAMETER!$X$2,SUMIF('2025'!$F:$F,$B44,'2025'!Z:Z)/PARAMETER!$T$3,"")</f>
        <v/>
      </c>
      <c r="AB44" s="40" t="str">
        <f>IF(AB$4&lt;=PARAMETER!$X$2,SUMIF('2025'!$F:$F,$B44,'2025'!AA:AA)/PARAMETER!$T$3,"")</f>
        <v/>
      </c>
      <c r="AC44" s="40" t="str">
        <f>IF(AC$4&lt;=PARAMETER!$X$2,SUMIF('2025'!$F:$F,$B44,'2025'!AB:AB)/PARAMETER!$T$3,"")</f>
        <v/>
      </c>
      <c r="AD44" s="40" t="str">
        <f>IF(AD$4&lt;=PARAMETER!$X$2,SUMIF('2025'!$F:$F,$B44,'2025'!AC:AC)/PARAMETER!$T$3,"")</f>
        <v/>
      </c>
      <c r="AE44" s="40" t="str">
        <f>IF(AE$4&lt;=PARAMETER!$X$2,SUMIF('2025'!$F:$F,$B44,'2025'!AD:AD)/PARAMETER!$T$3,"")</f>
        <v/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20.745799999999999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>
        <f>IF(U$4&lt;=PARAMETER!$X$2,SUMIF('2024'!$F:$F,$B45,'2024'!T:T)/PARAMETER!$T$3,"")</f>
        <v>1.28</v>
      </c>
      <c r="V45" s="71" t="str">
        <f>IF(V$4&lt;=PARAMETER!$X$2,SUMIF('2024'!$F:$F,$B45,'2024'!U:U)/PARAMETER!$T$3,"")</f>
        <v/>
      </c>
      <c r="W45" s="71" t="str">
        <f>IF(W$4&lt;=PARAMETER!$X$2,SUMIF('2024'!$F:$F,$B45,'2024'!V:V)/PARAMETER!$T$3,"")</f>
        <v/>
      </c>
      <c r="X45" s="71" t="str">
        <f>IF(X$4&lt;=PARAMETER!$X$2,SUMIF('2024'!$F:$F,$B45,'2024'!W:W)/PARAMETER!$T$3,"")</f>
        <v/>
      </c>
      <c r="Y45" s="71" t="str">
        <f>IF(Y$4&lt;=PARAMETER!$X$2,SUMIF('2024'!$F:$F,$B45,'2024'!X:X)/PARAMETER!$T$3,"")</f>
        <v/>
      </c>
      <c r="Z45" s="71" t="str">
        <f>IF(Z$4&lt;=PARAMETER!$X$2,SUMIF('2024'!$F:$F,$B45,'2024'!Y:Y)/PARAMETER!$T$3,"")</f>
        <v/>
      </c>
      <c r="AA45" s="71" t="str">
        <f>IF(AA$4&lt;=PARAMETER!$X$2,SUMIF('2024'!$F:$F,$B45,'2024'!Z:Z)/PARAMETER!$T$3,"")</f>
        <v/>
      </c>
      <c r="AB45" s="71" t="str">
        <f>IF(AB$4&lt;=PARAMETER!$X$2,SUMIF('2024'!$F:$F,$B45,'2024'!AA:AA)/PARAMETER!$T$3,"")</f>
        <v/>
      </c>
      <c r="AC45" s="71" t="str">
        <f>IF(AC$4&lt;=PARAMETER!$X$2,SUMIF('2024'!$F:$F,$B45,'2024'!AB:AB)/PARAMETER!$T$3,"")</f>
        <v/>
      </c>
      <c r="AD45" s="71" t="str">
        <f>IF(AD$4&lt;=PARAMETER!$X$2,SUMIF('2024'!$F:$F,$B45,'2024'!AC:AC)/PARAMETER!$T$3,"")</f>
        <v/>
      </c>
      <c r="AE45" s="71" t="str">
        <f>IF(AE$4&lt;=PARAMETER!$X$2,SUMIF('2024'!$F:$F,$B45,'2024'!AD:AD)/PARAMETER!$T$3,"")</f>
        <v/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>
        <f>IF(U$4&lt;=PARAMETER!$X$2,SUMIF('2026 T'!$F:$F,$B46,'2026 T'!T:T)/PARAMETER!$T$3,"")</f>
        <v>0</v>
      </c>
      <c r="V46" s="25" t="str">
        <f>IF(V$4&lt;=PARAMETER!$X$2,SUMIF('2026 T'!$F:$F,$B46,'2026 T'!U:U)/PARAMETER!$T$3,"")</f>
        <v/>
      </c>
      <c r="W46" s="25" t="str">
        <f>IF(W$4&lt;=PARAMETER!$X$2,SUMIF('2026 T'!$F:$F,$B46,'2026 T'!V:V)/PARAMETER!$T$3,"")</f>
        <v/>
      </c>
      <c r="X46" s="25" t="str">
        <f>IF(X$4&lt;=PARAMETER!$X$2,SUMIF('2026 T'!$F:$F,$B46,'2026 T'!W:W)/PARAMETER!$T$3,"")</f>
        <v/>
      </c>
      <c r="Y46" s="25" t="str">
        <f>IF(Y$4&lt;=PARAMETER!$X$2,SUMIF('2026 T'!$F:$F,$B46,'2026 T'!X:X)/PARAMETER!$T$3,"")</f>
        <v/>
      </c>
      <c r="Z46" s="25" t="str">
        <f>IF(Z$4&lt;=PARAMETER!$X$2,SUMIF('2026 T'!$F:$F,$B46,'2026 T'!Y:Y)/PARAMETER!$T$3,"")</f>
        <v/>
      </c>
      <c r="AA46" s="25" t="str">
        <f>IF(AA$4&lt;=PARAMETER!$X$2,SUMIF('2026 T'!$F:$F,$B46,'2026 T'!Z:Z)/PARAMETER!$T$3,"")</f>
        <v/>
      </c>
      <c r="AB46" s="25" t="str">
        <f>IF(AB$4&lt;=PARAMETER!$X$2,SUMIF('2026 T'!$F:$F,$B46,'2026 T'!AA:AA)/PARAMETER!$T$3,"")</f>
        <v/>
      </c>
      <c r="AC46" s="25" t="str">
        <f>IF(AC$4&lt;=PARAMETER!$X$2,SUMIF('2026 T'!$F:$F,$B46,'2026 T'!AB:AB)/PARAMETER!$T$3,"")</f>
        <v/>
      </c>
      <c r="AD46" s="25" t="str">
        <f>IF(AD$4&lt;=PARAMETER!$X$2,SUMIF('2026 T'!$F:$F,$B46,'2026 T'!AC:AC)/PARAMETER!$T$3,"")</f>
        <v/>
      </c>
      <c r="AE46" s="25" t="str">
        <f>IF(AE$4&lt;=PARAMETER!$X$2,SUMIF('2026 T'!$F:$F,$B46,'2026 T'!AD:AD)/PARAMETER!$T$3,"")</f>
        <v/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>
        <f>IF(U$4&lt;=PARAMETER!$X$2,SUMIF('2026'!$F:$F,$B47,'2026'!T:T)/PARAMETER!$T$3,"")</f>
        <v>0</v>
      </c>
      <c r="V47" s="40" t="str">
        <f>IF(V$4&lt;=PARAMETER!$X$2,SUMIF('2026'!$F:$F,$B47,'2026'!U:U)/PARAMETER!$T$3,"")</f>
        <v/>
      </c>
      <c r="W47" s="40" t="str">
        <f>IF(W$4&lt;=PARAMETER!$X$2,SUMIF('2026'!$F:$F,$B47,'2026'!V:V)/PARAMETER!$T$3,"")</f>
        <v/>
      </c>
      <c r="X47" s="40" t="str">
        <f>IF(X$4&lt;=PARAMETER!$X$2,SUMIF('2026'!$F:$F,$B47,'2026'!W:W)/PARAMETER!$T$3,"")</f>
        <v/>
      </c>
      <c r="Y47" s="40" t="str">
        <f>IF(Y$4&lt;=PARAMETER!$X$2,SUMIF('2026'!$F:$F,$B47,'2026'!X:X)/PARAMETER!$T$3,"")</f>
        <v/>
      </c>
      <c r="Z47" s="40" t="str">
        <f>IF(Z$4&lt;=PARAMETER!$X$2,SUMIF('2026'!$F:$F,$B47,'2026'!Y:Y)/PARAMETER!$T$3,"")</f>
        <v/>
      </c>
      <c r="AA47" s="40" t="str">
        <f>IF(AA$4&lt;=PARAMETER!$X$2,SUMIF('2026'!$F:$F,$B47,'2026'!Z:Z)/PARAMETER!$T$3,"")</f>
        <v/>
      </c>
      <c r="AB47" s="40" t="str">
        <f>IF(AB$4&lt;=PARAMETER!$X$2,SUMIF('2026'!$F:$F,$B47,'2026'!AA:AA)/PARAMETER!$T$3,"")</f>
        <v/>
      </c>
      <c r="AC47" s="40" t="str">
        <f>IF(AC$4&lt;=PARAMETER!$X$2,SUMIF('2026'!$F:$F,$B47,'2026'!AB:AB)/PARAMETER!$T$3,"")</f>
        <v/>
      </c>
      <c r="AD47" s="40" t="str">
        <f>IF(AD$4&lt;=PARAMETER!$X$2,SUMIF('2026'!$F:$F,$B47,'2026'!AC:AC)/PARAMETER!$T$3,"")</f>
        <v/>
      </c>
      <c r="AE47" s="40" t="str">
        <f>IF(AE$4&lt;=PARAMETER!$X$2,SUMIF('2026'!$F:$F,$B47,'2026'!AD:AD)/PARAMETER!$T$3,"")</f>
        <v/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>
        <f>IF(U$4&lt;=PARAMETER!$X$2,SUMIF('2025'!$F:$F,$B48,'2025'!T:T)/PARAMETER!$T$3,"")</f>
        <v>0</v>
      </c>
      <c r="V48" s="40" t="str">
        <f>IF(V$4&lt;=PARAMETER!$X$2,SUMIF('2025'!$F:$F,$B48,'2025'!U:U)/PARAMETER!$T$3,"")</f>
        <v/>
      </c>
      <c r="W48" s="40" t="str">
        <f>IF(W$4&lt;=PARAMETER!$X$2,SUMIF('2025'!$F:$F,$B48,'2025'!V:V)/PARAMETER!$T$3,"")</f>
        <v/>
      </c>
      <c r="X48" s="40" t="str">
        <f>IF(X$4&lt;=PARAMETER!$X$2,SUMIF('2025'!$F:$F,$B48,'2025'!W:W)/PARAMETER!$T$3,"")</f>
        <v/>
      </c>
      <c r="Y48" s="40" t="str">
        <f>IF(Y$4&lt;=PARAMETER!$X$2,SUMIF('2025'!$F:$F,$B48,'2025'!X:X)/PARAMETER!$T$3,"")</f>
        <v/>
      </c>
      <c r="Z48" s="40" t="str">
        <f>IF(Z$4&lt;=PARAMETER!$X$2,SUMIF('2025'!$F:$F,$B48,'2025'!Y:Y)/PARAMETER!$T$3,"")</f>
        <v/>
      </c>
      <c r="AA48" s="40" t="str">
        <f>IF(AA$4&lt;=PARAMETER!$X$2,SUMIF('2025'!$F:$F,$B48,'2025'!Z:Z)/PARAMETER!$T$3,"")</f>
        <v/>
      </c>
      <c r="AB48" s="40" t="str">
        <f>IF(AB$4&lt;=PARAMETER!$X$2,SUMIF('2025'!$F:$F,$B48,'2025'!AA:AA)/PARAMETER!$T$3,"")</f>
        <v/>
      </c>
      <c r="AC48" s="40" t="str">
        <f>IF(AC$4&lt;=PARAMETER!$X$2,SUMIF('2025'!$F:$F,$B48,'2025'!AB:AB)/PARAMETER!$T$3,"")</f>
        <v/>
      </c>
      <c r="AD48" s="40" t="str">
        <f>IF(AD$4&lt;=PARAMETER!$X$2,SUMIF('2025'!$F:$F,$B48,'2025'!AC:AC)/PARAMETER!$T$3,"")</f>
        <v/>
      </c>
      <c r="AE48" s="40" t="str">
        <f>IF(AE$4&lt;=PARAMETER!$X$2,SUMIF('2025'!$F:$F,$B48,'2025'!AD:AD)/PARAMETER!$T$3,"")</f>
        <v/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>
        <f>IF(U$4&lt;=PARAMETER!$X$2,SUMIF('2024'!$F:$F,$B49,'2024'!T:T)/PARAMETER!$T$3,"")</f>
        <v>0</v>
      </c>
      <c r="V49" s="71" t="str">
        <f>IF(V$4&lt;=PARAMETER!$X$2,SUMIF('2024'!$F:$F,$B49,'2024'!U:U)/PARAMETER!$T$3,"")</f>
        <v/>
      </c>
      <c r="W49" s="71" t="str">
        <f>IF(W$4&lt;=PARAMETER!$X$2,SUMIF('2024'!$F:$F,$B49,'2024'!V:V)/PARAMETER!$T$3,"")</f>
        <v/>
      </c>
      <c r="X49" s="71" t="str">
        <f>IF(X$4&lt;=PARAMETER!$X$2,SUMIF('2024'!$F:$F,$B49,'2024'!W:W)/PARAMETER!$T$3,"")</f>
        <v/>
      </c>
      <c r="Y49" s="71" t="str">
        <f>IF(Y$4&lt;=PARAMETER!$X$2,SUMIF('2024'!$F:$F,$B49,'2024'!X:X)/PARAMETER!$T$3,"")</f>
        <v/>
      </c>
      <c r="Z49" s="71" t="str">
        <f>IF(Z$4&lt;=PARAMETER!$X$2,SUMIF('2024'!$F:$F,$B49,'2024'!Y:Y)/PARAMETER!$T$3,"")</f>
        <v/>
      </c>
      <c r="AA49" s="71" t="str">
        <f>IF(AA$4&lt;=PARAMETER!$X$2,SUMIF('2024'!$F:$F,$B49,'2024'!Z:Z)/PARAMETER!$T$3,"")</f>
        <v/>
      </c>
      <c r="AB49" s="71" t="str">
        <f>IF(AB$4&lt;=PARAMETER!$X$2,SUMIF('2024'!$F:$F,$B49,'2024'!AA:AA)/PARAMETER!$T$3,"")</f>
        <v/>
      </c>
      <c r="AC49" s="71" t="str">
        <f>IF(AC$4&lt;=PARAMETER!$X$2,SUMIF('2024'!$F:$F,$B49,'2024'!AB:AB)/PARAMETER!$T$3,"")</f>
        <v/>
      </c>
      <c r="AD49" s="71" t="str">
        <f>IF(AD$4&lt;=PARAMETER!$X$2,SUMIF('2024'!$F:$F,$B49,'2024'!AC:AC)/PARAMETER!$T$3,"")</f>
        <v/>
      </c>
      <c r="AE49" s="71" t="str">
        <f>IF(AE$4&lt;=PARAMETER!$X$2,SUMIF('2024'!$F:$F,$B49,'2024'!AD:AD)/PARAMETER!$T$3,"")</f>
        <v/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>
        <f>IF(U$4&lt;=PARAMETER!$X$2,SUMIF('2026 T'!$F:$F,$B50,'2026 T'!T:T)/PARAMETER!$T$3,"")</f>
        <v>0</v>
      </c>
      <c r="V50" s="25" t="str">
        <f>IF(V$4&lt;=PARAMETER!$X$2,SUMIF('2026 T'!$F:$F,$B50,'2026 T'!U:U)/PARAMETER!$T$3,"")</f>
        <v/>
      </c>
      <c r="W50" s="25" t="str">
        <f>IF(W$4&lt;=PARAMETER!$X$2,SUMIF('2026 T'!$F:$F,$B50,'2026 T'!V:V)/PARAMETER!$T$3,"")</f>
        <v/>
      </c>
      <c r="X50" s="25" t="str">
        <f>IF(X$4&lt;=PARAMETER!$X$2,SUMIF('2026 T'!$F:$F,$B50,'2026 T'!W:W)/PARAMETER!$T$3,"")</f>
        <v/>
      </c>
      <c r="Y50" s="25" t="str">
        <f>IF(Y$4&lt;=PARAMETER!$X$2,SUMIF('2026 T'!$F:$F,$B50,'2026 T'!X:X)/PARAMETER!$T$3,"")</f>
        <v/>
      </c>
      <c r="Z50" s="25" t="str">
        <f>IF(Z$4&lt;=PARAMETER!$X$2,SUMIF('2026 T'!$F:$F,$B50,'2026 T'!Y:Y)/PARAMETER!$T$3,"")</f>
        <v/>
      </c>
      <c r="AA50" s="25" t="str">
        <f>IF(AA$4&lt;=PARAMETER!$X$2,SUMIF('2026 T'!$F:$F,$B50,'2026 T'!Z:Z)/PARAMETER!$T$3,"")</f>
        <v/>
      </c>
      <c r="AB50" s="25" t="str">
        <f>IF(AB$4&lt;=PARAMETER!$X$2,SUMIF('2026 T'!$F:$F,$B50,'2026 T'!AA:AA)/PARAMETER!$T$3,"")</f>
        <v/>
      </c>
      <c r="AC50" s="25" t="str">
        <f>IF(AC$4&lt;=PARAMETER!$X$2,SUMIF('2026 T'!$F:$F,$B50,'2026 T'!AB:AB)/PARAMETER!$T$3,"")</f>
        <v/>
      </c>
      <c r="AD50" s="25" t="str">
        <f>IF(AD$4&lt;=PARAMETER!$X$2,SUMIF('2026 T'!$F:$F,$B50,'2026 T'!AC:AC)/PARAMETER!$T$3,"")</f>
        <v/>
      </c>
      <c r="AE50" s="25" t="str">
        <f>IF(AE$4&lt;=PARAMETER!$X$2,SUMIF('2026 T'!$F:$F,$B50,'2026 T'!AD:AD)/PARAMETER!$T$3,"")</f>
        <v/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>
        <f>IF(U$4&lt;=PARAMETER!$X$2,SUMIF('2026'!$F:$F,$B51,'2026'!T:T)/PARAMETER!$T$3,"")</f>
        <v>0</v>
      </c>
      <c r="V51" s="40" t="str">
        <f>IF(V$4&lt;=PARAMETER!$X$2,SUMIF('2026'!$F:$F,$B51,'2026'!U:U)/PARAMETER!$T$3,"")</f>
        <v/>
      </c>
      <c r="W51" s="40" t="str">
        <f>IF(W$4&lt;=PARAMETER!$X$2,SUMIF('2026'!$F:$F,$B51,'2026'!V:V)/PARAMETER!$T$3,"")</f>
        <v/>
      </c>
      <c r="X51" s="40" t="str">
        <f>IF(X$4&lt;=PARAMETER!$X$2,SUMIF('2026'!$F:$F,$B51,'2026'!W:W)/PARAMETER!$T$3,"")</f>
        <v/>
      </c>
      <c r="Y51" s="40" t="str">
        <f>IF(Y$4&lt;=PARAMETER!$X$2,SUMIF('2026'!$F:$F,$B51,'2026'!X:X)/PARAMETER!$T$3,"")</f>
        <v/>
      </c>
      <c r="Z51" s="40" t="str">
        <f>IF(Z$4&lt;=PARAMETER!$X$2,SUMIF('2026'!$F:$F,$B51,'2026'!Y:Y)/PARAMETER!$T$3,"")</f>
        <v/>
      </c>
      <c r="AA51" s="40" t="str">
        <f>IF(AA$4&lt;=PARAMETER!$X$2,SUMIF('2026'!$F:$F,$B51,'2026'!Z:Z)/PARAMETER!$T$3,"")</f>
        <v/>
      </c>
      <c r="AB51" s="40" t="str">
        <f>IF(AB$4&lt;=PARAMETER!$X$2,SUMIF('2026'!$F:$F,$B51,'2026'!AA:AA)/PARAMETER!$T$3,"")</f>
        <v/>
      </c>
      <c r="AC51" s="40" t="str">
        <f>IF(AC$4&lt;=PARAMETER!$X$2,SUMIF('2026'!$F:$F,$B51,'2026'!AB:AB)/PARAMETER!$T$3,"")</f>
        <v/>
      </c>
      <c r="AD51" s="40" t="str">
        <f>IF(AD$4&lt;=PARAMETER!$X$2,SUMIF('2026'!$F:$F,$B51,'2026'!AC:AC)/PARAMETER!$T$3,"")</f>
        <v/>
      </c>
      <c r="AE51" s="40" t="str">
        <f>IF(AE$4&lt;=PARAMETER!$X$2,SUMIF('2026'!$F:$F,$B51,'2026'!AD:AD)/PARAMETER!$T$3,"")</f>
        <v/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>
        <f>IF(U$4&lt;=PARAMETER!$X$2,SUMIF('2025'!$F:$F,$B52,'2025'!T:T)/PARAMETER!$T$3,"")</f>
        <v>0</v>
      </c>
      <c r="V52" s="40" t="str">
        <f>IF(V$4&lt;=PARAMETER!$X$2,SUMIF('2025'!$F:$F,$B52,'2025'!U:U)/PARAMETER!$T$3,"")</f>
        <v/>
      </c>
      <c r="W52" s="40" t="str">
        <f>IF(W$4&lt;=PARAMETER!$X$2,SUMIF('2025'!$F:$F,$B52,'2025'!V:V)/PARAMETER!$T$3,"")</f>
        <v/>
      </c>
      <c r="X52" s="40" t="str">
        <f>IF(X$4&lt;=PARAMETER!$X$2,SUMIF('2025'!$F:$F,$B52,'2025'!W:W)/PARAMETER!$T$3,"")</f>
        <v/>
      </c>
      <c r="Y52" s="40" t="str">
        <f>IF(Y$4&lt;=PARAMETER!$X$2,SUMIF('2025'!$F:$F,$B52,'2025'!X:X)/PARAMETER!$T$3,"")</f>
        <v/>
      </c>
      <c r="Z52" s="40" t="str">
        <f>IF(Z$4&lt;=PARAMETER!$X$2,SUMIF('2025'!$F:$F,$B52,'2025'!Y:Y)/PARAMETER!$T$3,"")</f>
        <v/>
      </c>
      <c r="AA52" s="40" t="str">
        <f>IF(AA$4&lt;=PARAMETER!$X$2,SUMIF('2025'!$F:$F,$B52,'2025'!Z:Z)/PARAMETER!$T$3,"")</f>
        <v/>
      </c>
      <c r="AB52" s="40" t="str">
        <f>IF(AB$4&lt;=PARAMETER!$X$2,SUMIF('2025'!$F:$F,$B52,'2025'!AA:AA)/PARAMETER!$T$3,"")</f>
        <v/>
      </c>
      <c r="AC52" s="40" t="str">
        <f>IF(AC$4&lt;=PARAMETER!$X$2,SUMIF('2025'!$F:$F,$B52,'2025'!AB:AB)/PARAMETER!$T$3,"")</f>
        <v/>
      </c>
      <c r="AD52" s="40" t="str">
        <f>IF(AD$4&lt;=PARAMETER!$X$2,SUMIF('2025'!$F:$F,$B52,'2025'!AC:AC)/PARAMETER!$T$3,"")</f>
        <v/>
      </c>
      <c r="AE52" s="40" t="str">
        <f>IF(AE$4&lt;=PARAMETER!$X$2,SUMIF('2025'!$F:$F,$B52,'2025'!AD:AD)/PARAMETER!$T$3,"")</f>
        <v/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>
        <f>IF(U$4&lt;=PARAMETER!$X$2,SUMIF('2024'!$F:$F,$B53,'2024'!T:T)/PARAMETER!$T$3,"")</f>
        <v>0</v>
      </c>
      <c r="V53" s="71" t="str">
        <f>IF(V$4&lt;=PARAMETER!$X$2,SUMIF('2024'!$F:$F,$B53,'2024'!U:U)/PARAMETER!$T$3,"")</f>
        <v/>
      </c>
      <c r="W53" s="71" t="str">
        <f>IF(W$4&lt;=PARAMETER!$X$2,SUMIF('2024'!$F:$F,$B53,'2024'!V:V)/PARAMETER!$T$3,"")</f>
        <v/>
      </c>
      <c r="X53" s="71" t="str">
        <f>IF(X$4&lt;=PARAMETER!$X$2,SUMIF('2024'!$F:$F,$B53,'2024'!W:W)/PARAMETER!$T$3,"")</f>
        <v/>
      </c>
      <c r="Y53" s="71" t="str">
        <f>IF(Y$4&lt;=PARAMETER!$X$2,SUMIF('2024'!$F:$F,$B53,'2024'!X:X)/PARAMETER!$T$3,"")</f>
        <v/>
      </c>
      <c r="Z53" s="71" t="str">
        <f>IF(Z$4&lt;=PARAMETER!$X$2,SUMIF('2024'!$F:$F,$B53,'2024'!Y:Y)/PARAMETER!$T$3,"")</f>
        <v/>
      </c>
      <c r="AA53" s="71" t="str">
        <f>IF(AA$4&lt;=PARAMETER!$X$2,SUMIF('2024'!$F:$F,$B53,'2024'!Z:Z)/PARAMETER!$T$3,"")</f>
        <v/>
      </c>
      <c r="AB53" s="71" t="str">
        <f>IF(AB$4&lt;=PARAMETER!$X$2,SUMIF('2024'!$F:$F,$B53,'2024'!AA:AA)/PARAMETER!$T$3,"")</f>
        <v/>
      </c>
      <c r="AC53" s="71" t="str">
        <f>IF(AC$4&lt;=PARAMETER!$X$2,SUMIF('2024'!$F:$F,$B53,'2024'!AB:AB)/PARAMETER!$T$3,"")</f>
        <v/>
      </c>
      <c r="AD53" s="71" t="str">
        <f>IF(AD$4&lt;=PARAMETER!$X$2,SUMIF('2024'!$F:$F,$B53,'2024'!AC:AC)/PARAMETER!$T$3,"")</f>
        <v/>
      </c>
      <c r="AE53" s="71" t="str">
        <f>IF(AE$4&lt;=PARAMETER!$X$2,SUMIF('2024'!$F:$F,$B53,'2024'!AD:AD)/PARAMETER!$T$3,"")</f>
        <v/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>
        <f>IF(U$4&lt;=PARAMETER!$X$2,SUMIF('2026 T'!$F:$F,$B54,'2026 T'!T:T)/PARAMETER!$T$3,"")</f>
        <v>0</v>
      </c>
      <c r="V54" s="25" t="str">
        <f>IF(V$4&lt;=PARAMETER!$X$2,SUMIF('2026 T'!$F:$F,$B54,'2026 T'!U:U)/PARAMETER!$T$3,"")</f>
        <v/>
      </c>
      <c r="W54" s="25" t="str">
        <f>IF(W$4&lt;=PARAMETER!$X$2,SUMIF('2026 T'!$F:$F,$B54,'2026 T'!V:V)/PARAMETER!$T$3,"")</f>
        <v/>
      </c>
      <c r="X54" s="25" t="str">
        <f>IF(X$4&lt;=PARAMETER!$X$2,SUMIF('2026 T'!$F:$F,$B54,'2026 T'!W:W)/PARAMETER!$T$3,"")</f>
        <v/>
      </c>
      <c r="Y54" s="25" t="str">
        <f>IF(Y$4&lt;=PARAMETER!$X$2,SUMIF('2026 T'!$F:$F,$B54,'2026 T'!X:X)/PARAMETER!$T$3,"")</f>
        <v/>
      </c>
      <c r="Z54" s="25" t="str">
        <f>IF(Z$4&lt;=PARAMETER!$X$2,SUMIF('2026 T'!$F:$F,$B54,'2026 T'!Y:Y)/PARAMETER!$T$3,"")</f>
        <v/>
      </c>
      <c r="AA54" s="25" t="str">
        <f>IF(AA$4&lt;=PARAMETER!$X$2,SUMIF('2026 T'!$F:$F,$B54,'2026 T'!Z:Z)/PARAMETER!$T$3,"")</f>
        <v/>
      </c>
      <c r="AB54" s="25" t="str">
        <f>IF(AB$4&lt;=PARAMETER!$X$2,SUMIF('2026 T'!$F:$F,$B54,'2026 T'!AA:AA)/PARAMETER!$T$3,"")</f>
        <v/>
      </c>
      <c r="AC54" s="25" t="str">
        <f>IF(AC$4&lt;=PARAMETER!$X$2,SUMIF('2026 T'!$F:$F,$B54,'2026 T'!AB:AB)/PARAMETER!$T$3,"")</f>
        <v/>
      </c>
      <c r="AD54" s="25" t="str">
        <f>IF(AD$4&lt;=PARAMETER!$X$2,SUMIF('2026 T'!$F:$F,$B54,'2026 T'!AC:AC)/PARAMETER!$T$3,"")</f>
        <v/>
      </c>
      <c r="AE54" s="25" t="str">
        <f>IF(AE$4&lt;=PARAMETER!$X$2,SUMIF('2026 T'!$F:$F,$B54,'2026 T'!AD:AD)/PARAMETER!$T$3,"")</f>
        <v/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>
        <f>IF(U$4&lt;=PARAMETER!$X$2,SUMIF('2026'!$F:$F,$B55,'2026'!T:T)/PARAMETER!$T$3,"")</f>
        <v>0</v>
      </c>
      <c r="V55" s="40" t="str">
        <f>IF(V$4&lt;=PARAMETER!$X$2,SUMIF('2026'!$F:$F,$B55,'2026'!U:U)/PARAMETER!$T$3,"")</f>
        <v/>
      </c>
      <c r="W55" s="40" t="str">
        <f>IF(W$4&lt;=PARAMETER!$X$2,SUMIF('2026'!$F:$F,$B55,'2026'!V:V)/PARAMETER!$T$3,"")</f>
        <v/>
      </c>
      <c r="X55" s="40" t="str">
        <f>IF(X$4&lt;=PARAMETER!$X$2,SUMIF('2026'!$F:$F,$B55,'2026'!W:W)/PARAMETER!$T$3,"")</f>
        <v/>
      </c>
      <c r="Y55" s="40" t="str">
        <f>IF(Y$4&lt;=PARAMETER!$X$2,SUMIF('2026'!$F:$F,$B55,'2026'!X:X)/PARAMETER!$T$3,"")</f>
        <v/>
      </c>
      <c r="Z55" s="40" t="str">
        <f>IF(Z$4&lt;=PARAMETER!$X$2,SUMIF('2026'!$F:$F,$B55,'2026'!Y:Y)/PARAMETER!$T$3,"")</f>
        <v/>
      </c>
      <c r="AA55" s="40" t="str">
        <f>IF(AA$4&lt;=PARAMETER!$X$2,SUMIF('2026'!$F:$F,$B55,'2026'!Z:Z)/PARAMETER!$T$3,"")</f>
        <v/>
      </c>
      <c r="AB55" s="40" t="str">
        <f>IF(AB$4&lt;=PARAMETER!$X$2,SUMIF('2026'!$F:$F,$B55,'2026'!AA:AA)/PARAMETER!$T$3,"")</f>
        <v/>
      </c>
      <c r="AC55" s="40" t="str">
        <f>IF(AC$4&lt;=PARAMETER!$X$2,SUMIF('2026'!$F:$F,$B55,'2026'!AB:AB)/PARAMETER!$T$3,"")</f>
        <v/>
      </c>
      <c r="AD55" s="40" t="str">
        <f>IF(AD$4&lt;=PARAMETER!$X$2,SUMIF('2026'!$F:$F,$B55,'2026'!AC:AC)/PARAMETER!$T$3,"")</f>
        <v/>
      </c>
      <c r="AE55" s="40" t="str">
        <f>IF(AE$4&lt;=PARAMETER!$X$2,SUMIF('2026'!$F:$F,$B55,'2026'!AD:AD)/PARAMETER!$T$3,"")</f>
        <v/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>
        <f>IF(U$4&lt;=PARAMETER!$X$2,SUMIF('2025'!$F:$F,$B56,'2025'!T:T)/PARAMETER!$T$3,"")</f>
        <v>0</v>
      </c>
      <c r="V56" s="40" t="str">
        <f>IF(V$4&lt;=PARAMETER!$X$2,SUMIF('2025'!$F:$F,$B56,'2025'!U:U)/PARAMETER!$T$3,"")</f>
        <v/>
      </c>
      <c r="W56" s="40" t="str">
        <f>IF(W$4&lt;=PARAMETER!$X$2,SUMIF('2025'!$F:$F,$B56,'2025'!V:V)/PARAMETER!$T$3,"")</f>
        <v/>
      </c>
      <c r="X56" s="40" t="str">
        <f>IF(X$4&lt;=PARAMETER!$X$2,SUMIF('2025'!$F:$F,$B56,'2025'!W:W)/PARAMETER!$T$3,"")</f>
        <v/>
      </c>
      <c r="Y56" s="40" t="str">
        <f>IF(Y$4&lt;=PARAMETER!$X$2,SUMIF('2025'!$F:$F,$B56,'2025'!X:X)/PARAMETER!$T$3,"")</f>
        <v/>
      </c>
      <c r="Z56" s="40" t="str">
        <f>IF(Z$4&lt;=PARAMETER!$X$2,SUMIF('2025'!$F:$F,$B56,'2025'!Y:Y)/PARAMETER!$T$3,"")</f>
        <v/>
      </c>
      <c r="AA56" s="40" t="str">
        <f>IF(AA$4&lt;=PARAMETER!$X$2,SUMIF('2025'!$F:$F,$B56,'2025'!Z:Z)/PARAMETER!$T$3,"")</f>
        <v/>
      </c>
      <c r="AB56" s="40" t="str">
        <f>IF(AB$4&lt;=PARAMETER!$X$2,SUMIF('2025'!$F:$F,$B56,'2025'!AA:AA)/PARAMETER!$T$3,"")</f>
        <v/>
      </c>
      <c r="AC56" s="40" t="str">
        <f>IF(AC$4&lt;=PARAMETER!$X$2,SUMIF('2025'!$F:$F,$B56,'2025'!AB:AB)/PARAMETER!$T$3,"")</f>
        <v/>
      </c>
      <c r="AD56" s="40" t="str">
        <f>IF(AD$4&lt;=PARAMETER!$X$2,SUMIF('2025'!$F:$F,$B56,'2025'!AC:AC)/PARAMETER!$T$3,"")</f>
        <v/>
      </c>
      <c r="AE56" s="40" t="str">
        <f>IF(AE$4&lt;=PARAMETER!$X$2,SUMIF('2025'!$F:$F,$B56,'2025'!AD:AD)/PARAMETER!$T$3,"")</f>
        <v/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>
        <f>IF(U$4&lt;=PARAMETER!$X$2,SUMIF('2024'!$F:$F,$B57,'2024'!T:T)/PARAMETER!$T$3,"")</f>
        <v>0</v>
      </c>
      <c r="V57" s="71" t="str">
        <f>IF(V$4&lt;=PARAMETER!$X$2,SUMIF('2024'!$F:$F,$B57,'2024'!U:U)/PARAMETER!$T$3,"")</f>
        <v/>
      </c>
      <c r="W57" s="71" t="str">
        <f>IF(W$4&lt;=PARAMETER!$X$2,SUMIF('2024'!$F:$F,$B57,'2024'!V:V)/PARAMETER!$T$3,"")</f>
        <v/>
      </c>
      <c r="X57" s="71" t="str">
        <f>IF(X$4&lt;=PARAMETER!$X$2,SUMIF('2024'!$F:$F,$B57,'2024'!W:W)/PARAMETER!$T$3,"")</f>
        <v/>
      </c>
      <c r="Y57" s="71" t="str">
        <f>IF(Y$4&lt;=PARAMETER!$X$2,SUMIF('2024'!$F:$F,$B57,'2024'!X:X)/PARAMETER!$T$3,"")</f>
        <v/>
      </c>
      <c r="Z57" s="71" t="str">
        <f>IF(Z$4&lt;=PARAMETER!$X$2,SUMIF('2024'!$F:$F,$B57,'2024'!Y:Y)/PARAMETER!$T$3,"")</f>
        <v/>
      </c>
      <c r="AA57" s="71" t="str">
        <f>IF(AA$4&lt;=PARAMETER!$X$2,SUMIF('2024'!$F:$F,$B57,'2024'!Z:Z)/PARAMETER!$T$3,"")</f>
        <v/>
      </c>
      <c r="AB57" s="71" t="str">
        <f>IF(AB$4&lt;=PARAMETER!$X$2,SUMIF('2024'!$F:$F,$B57,'2024'!AA:AA)/PARAMETER!$T$3,"")</f>
        <v/>
      </c>
      <c r="AC57" s="71" t="str">
        <f>IF(AC$4&lt;=PARAMETER!$X$2,SUMIF('2024'!$F:$F,$B57,'2024'!AB:AB)/PARAMETER!$T$3,"")</f>
        <v/>
      </c>
      <c r="AD57" s="71" t="str">
        <f>IF(AD$4&lt;=PARAMETER!$X$2,SUMIF('2024'!$F:$F,$B57,'2024'!AC:AC)/PARAMETER!$T$3,"")</f>
        <v/>
      </c>
      <c r="AE57" s="71" t="str">
        <f>IF(AE$4&lt;=PARAMETER!$X$2,SUMIF('2024'!$F:$F,$B57,'2024'!AD:AD)/PARAMETER!$T$3,"")</f>
        <v/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>
        <f>IF(U$4&lt;=PARAMETER!$X$2,SUMIF('2026 T'!$F:$F,$B58,'2026 T'!T:T)/PARAMETER!$T$3,"")</f>
        <v>0</v>
      </c>
      <c r="V58" s="25" t="str">
        <f>IF(V$4&lt;=PARAMETER!$X$2,SUMIF('2026 T'!$F:$F,$B58,'2026 T'!U:U)/PARAMETER!$T$3,"")</f>
        <v/>
      </c>
      <c r="W58" s="25" t="str">
        <f>IF(W$4&lt;=PARAMETER!$X$2,SUMIF('2026 T'!$F:$F,$B58,'2026 T'!V:V)/PARAMETER!$T$3,"")</f>
        <v/>
      </c>
      <c r="X58" s="25" t="str">
        <f>IF(X$4&lt;=PARAMETER!$X$2,SUMIF('2026 T'!$F:$F,$B58,'2026 T'!W:W)/PARAMETER!$T$3,"")</f>
        <v/>
      </c>
      <c r="Y58" s="25" t="str">
        <f>IF(Y$4&lt;=PARAMETER!$X$2,SUMIF('2026 T'!$F:$F,$B58,'2026 T'!X:X)/PARAMETER!$T$3,"")</f>
        <v/>
      </c>
      <c r="Z58" s="25" t="str">
        <f>IF(Z$4&lt;=PARAMETER!$X$2,SUMIF('2026 T'!$F:$F,$B58,'2026 T'!Y:Y)/PARAMETER!$T$3,"")</f>
        <v/>
      </c>
      <c r="AA58" s="25" t="str">
        <f>IF(AA$4&lt;=PARAMETER!$X$2,SUMIF('2026 T'!$F:$F,$B58,'2026 T'!Z:Z)/PARAMETER!$T$3,"")</f>
        <v/>
      </c>
      <c r="AB58" s="25" t="str">
        <f>IF(AB$4&lt;=PARAMETER!$X$2,SUMIF('2026 T'!$F:$F,$B58,'2026 T'!AA:AA)/PARAMETER!$T$3,"")</f>
        <v/>
      </c>
      <c r="AC58" s="25" t="str">
        <f>IF(AC$4&lt;=PARAMETER!$X$2,SUMIF('2026 T'!$F:$F,$B58,'2026 T'!AB:AB)/PARAMETER!$T$3,"")</f>
        <v/>
      </c>
      <c r="AD58" s="25" t="str">
        <f>IF(AD$4&lt;=PARAMETER!$X$2,SUMIF('2026 T'!$F:$F,$B58,'2026 T'!AC:AC)/PARAMETER!$T$3,"")</f>
        <v/>
      </c>
      <c r="AE58" s="25" t="str">
        <f>IF(AE$4&lt;=PARAMETER!$X$2,SUMIF('2026 T'!$F:$F,$B58,'2026 T'!AD:AD)/PARAMETER!$T$3,"")</f>
        <v/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>
        <f>IF(U$4&lt;=PARAMETER!$X$2,SUMIF('2026'!$F:$F,$B59,'2026'!T:T)/PARAMETER!$T$3,"")</f>
        <v>0</v>
      </c>
      <c r="V59" s="40" t="str">
        <f>IF(V$4&lt;=PARAMETER!$X$2,SUMIF('2026'!$F:$F,$B59,'2026'!U:U)/PARAMETER!$T$3,"")</f>
        <v/>
      </c>
      <c r="W59" s="40" t="str">
        <f>IF(W$4&lt;=PARAMETER!$X$2,SUMIF('2026'!$F:$F,$B59,'2026'!V:V)/PARAMETER!$T$3,"")</f>
        <v/>
      </c>
      <c r="X59" s="40" t="str">
        <f>IF(X$4&lt;=PARAMETER!$X$2,SUMIF('2026'!$F:$F,$B59,'2026'!W:W)/PARAMETER!$T$3,"")</f>
        <v/>
      </c>
      <c r="Y59" s="40" t="str">
        <f>IF(Y$4&lt;=PARAMETER!$X$2,SUMIF('2026'!$F:$F,$B59,'2026'!X:X)/PARAMETER!$T$3,"")</f>
        <v/>
      </c>
      <c r="Z59" s="40" t="str">
        <f>IF(Z$4&lt;=PARAMETER!$X$2,SUMIF('2026'!$F:$F,$B59,'2026'!Y:Y)/PARAMETER!$T$3,"")</f>
        <v/>
      </c>
      <c r="AA59" s="40" t="str">
        <f>IF(AA$4&lt;=PARAMETER!$X$2,SUMIF('2026'!$F:$F,$B59,'2026'!Z:Z)/PARAMETER!$T$3,"")</f>
        <v/>
      </c>
      <c r="AB59" s="40" t="str">
        <f>IF(AB$4&lt;=PARAMETER!$X$2,SUMIF('2026'!$F:$F,$B59,'2026'!AA:AA)/PARAMETER!$T$3,"")</f>
        <v/>
      </c>
      <c r="AC59" s="40" t="str">
        <f>IF(AC$4&lt;=PARAMETER!$X$2,SUMIF('2026'!$F:$F,$B59,'2026'!AB:AB)/PARAMETER!$T$3,"")</f>
        <v/>
      </c>
      <c r="AD59" s="40" t="str">
        <f>IF(AD$4&lt;=PARAMETER!$X$2,SUMIF('2026'!$F:$F,$B59,'2026'!AC:AC)/PARAMETER!$T$3,"")</f>
        <v/>
      </c>
      <c r="AE59" s="40" t="str">
        <f>IF(AE$4&lt;=PARAMETER!$X$2,SUMIF('2026'!$F:$F,$B59,'2026'!AD:AD)/PARAMETER!$T$3,"")</f>
        <v/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>
        <f>IF(U$4&lt;=PARAMETER!$X$2,SUMIF('2025'!$F:$F,$B60,'2025'!T:T)/PARAMETER!$T$3,"")</f>
        <v>0</v>
      </c>
      <c r="V60" s="40" t="str">
        <f>IF(V$4&lt;=PARAMETER!$X$2,SUMIF('2025'!$F:$F,$B60,'2025'!U:U)/PARAMETER!$T$3,"")</f>
        <v/>
      </c>
      <c r="W60" s="40" t="str">
        <f>IF(W$4&lt;=PARAMETER!$X$2,SUMIF('2025'!$F:$F,$B60,'2025'!V:V)/PARAMETER!$T$3,"")</f>
        <v/>
      </c>
      <c r="X60" s="40" t="str">
        <f>IF(X$4&lt;=PARAMETER!$X$2,SUMIF('2025'!$F:$F,$B60,'2025'!W:W)/PARAMETER!$T$3,"")</f>
        <v/>
      </c>
      <c r="Y60" s="40" t="str">
        <f>IF(Y$4&lt;=PARAMETER!$X$2,SUMIF('2025'!$F:$F,$B60,'2025'!X:X)/PARAMETER!$T$3,"")</f>
        <v/>
      </c>
      <c r="Z60" s="40" t="str">
        <f>IF(Z$4&lt;=PARAMETER!$X$2,SUMIF('2025'!$F:$F,$B60,'2025'!Y:Y)/PARAMETER!$T$3,"")</f>
        <v/>
      </c>
      <c r="AA60" s="40" t="str">
        <f>IF(AA$4&lt;=PARAMETER!$X$2,SUMIF('2025'!$F:$F,$B60,'2025'!Z:Z)/PARAMETER!$T$3,"")</f>
        <v/>
      </c>
      <c r="AB60" s="40" t="str">
        <f>IF(AB$4&lt;=PARAMETER!$X$2,SUMIF('2025'!$F:$F,$B60,'2025'!AA:AA)/PARAMETER!$T$3,"")</f>
        <v/>
      </c>
      <c r="AC60" s="40" t="str">
        <f>IF(AC$4&lt;=PARAMETER!$X$2,SUMIF('2025'!$F:$F,$B60,'2025'!AB:AB)/PARAMETER!$T$3,"")</f>
        <v/>
      </c>
      <c r="AD60" s="40" t="str">
        <f>IF(AD$4&lt;=PARAMETER!$X$2,SUMIF('2025'!$F:$F,$B60,'2025'!AC:AC)/PARAMETER!$T$3,"")</f>
        <v/>
      </c>
      <c r="AE60" s="40" t="str">
        <f>IF(AE$4&lt;=PARAMETER!$X$2,SUMIF('2025'!$F:$F,$B60,'2025'!AD:AD)/PARAMETER!$T$3,"")</f>
        <v/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>
        <f>IF(U$4&lt;=PARAMETER!$X$2,SUMIF('2024'!$F:$F,$B61,'2024'!T:T)/PARAMETER!$T$3,"")</f>
        <v>0</v>
      </c>
      <c r="V61" s="71" t="str">
        <f>IF(V$4&lt;=PARAMETER!$X$2,SUMIF('2024'!$F:$F,$B61,'2024'!U:U)/PARAMETER!$T$3,"")</f>
        <v/>
      </c>
      <c r="W61" s="71" t="str">
        <f>IF(W$4&lt;=PARAMETER!$X$2,SUMIF('2024'!$F:$F,$B61,'2024'!V:V)/PARAMETER!$T$3,"")</f>
        <v/>
      </c>
      <c r="X61" s="71" t="str">
        <f>IF(X$4&lt;=PARAMETER!$X$2,SUMIF('2024'!$F:$F,$B61,'2024'!W:W)/PARAMETER!$T$3,"")</f>
        <v/>
      </c>
      <c r="Y61" s="71" t="str">
        <f>IF(Y$4&lt;=PARAMETER!$X$2,SUMIF('2024'!$F:$F,$B61,'2024'!X:X)/PARAMETER!$T$3,"")</f>
        <v/>
      </c>
      <c r="Z61" s="71" t="str">
        <f>IF(Z$4&lt;=PARAMETER!$X$2,SUMIF('2024'!$F:$F,$B61,'2024'!Y:Y)/PARAMETER!$T$3,"")</f>
        <v/>
      </c>
      <c r="AA61" s="71" t="str">
        <f>IF(AA$4&lt;=PARAMETER!$X$2,SUMIF('2024'!$F:$F,$B61,'2024'!Z:Z)/PARAMETER!$T$3,"")</f>
        <v/>
      </c>
      <c r="AB61" s="71" t="str">
        <f>IF(AB$4&lt;=PARAMETER!$X$2,SUMIF('2024'!$F:$F,$B61,'2024'!AA:AA)/PARAMETER!$T$3,"")</f>
        <v/>
      </c>
      <c r="AC61" s="71" t="str">
        <f>IF(AC$4&lt;=PARAMETER!$X$2,SUMIF('2024'!$F:$F,$B61,'2024'!AB:AB)/PARAMETER!$T$3,"")</f>
        <v/>
      </c>
      <c r="AD61" s="71" t="str">
        <f>IF(AD$4&lt;=PARAMETER!$X$2,SUMIF('2024'!$F:$F,$B61,'2024'!AC:AC)/PARAMETER!$T$3,"")</f>
        <v/>
      </c>
      <c r="AE61" s="71" t="str">
        <f>IF(AE$4&lt;=PARAMETER!$X$2,SUMIF('2024'!$F:$F,$B61,'2024'!AD:AD)/PARAMETER!$T$3,"")</f>
        <v/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>
        <f>IF(U$4&lt;=PARAMETER!$X$2,SUMIF('2026 T'!$F:$F,$B62,'2026 T'!T:T)/PARAMETER!$T$3,"")</f>
        <v>0</v>
      </c>
      <c r="V62" s="25" t="str">
        <f>IF(V$4&lt;=PARAMETER!$X$2,SUMIF('2026 T'!$F:$F,$B62,'2026 T'!U:U)/PARAMETER!$T$3,"")</f>
        <v/>
      </c>
      <c r="W62" s="25" t="str">
        <f>IF(W$4&lt;=PARAMETER!$X$2,SUMIF('2026 T'!$F:$F,$B62,'2026 T'!V:V)/PARAMETER!$T$3,"")</f>
        <v/>
      </c>
      <c r="X62" s="25" t="str">
        <f>IF(X$4&lt;=PARAMETER!$X$2,SUMIF('2026 T'!$F:$F,$B62,'2026 T'!W:W)/PARAMETER!$T$3,"")</f>
        <v/>
      </c>
      <c r="Y62" s="25" t="str">
        <f>IF(Y$4&lt;=PARAMETER!$X$2,SUMIF('2026 T'!$F:$F,$B62,'2026 T'!X:X)/PARAMETER!$T$3,"")</f>
        <v/>
      </c>
      <c r="Z62" s="25" t="str">
        <f>IF(Z$4&lt;=PARAMETER!$X$2,SUMIF('2026 T'!$F:$F,$B62,'2026 T'!Y:Y)/PARAMETER!$T$3,"")</f>
        <v/>
      </c>
      <c r="AA62" s="25" t="str">
        <f>IF(AA$4&lt;=PARAMETER!$X$2,SUMIF('2026 T'!$F:$F,$B62,'2026 T'!Z:Z)/PARAMETER!$T$3,"")</f>
        <v/>
      </c>
      <c r="AB62" s="25" t="str">
        <f>IF(AB$4&lt;=PARAMETER!$X$2,SUMIF('2026 T'!$F:$F,$B62,'2026 T'!AA:AA)/PARAMETER!$T$3,"")</f>
        <v/>
      </c>
      <c r="AC62" s="25" t="str">
        <f>IF(AC$4&lt;=PARAMETER!$X$2,SUMIF('2026 T'!$F:$F,$B62,'2026 T'!AB:AB)/PARAMETER!$T$3,"")</f>
        <v/>
      </c>
      <c r="AD62" s="25" t="str">
        <f>IF(AD$4&lt;=PARAMETER!$X$2,SUMIF('2026 T'!$F:$F,$B62,'2026 T'!AC:AC)/PARAMETER!$T$3,"")</f>
        <v/>
      </c>
      <c r="AE62" s="25" t="str">
        <f>IF(AE$4&lt;=PARAMETER!$X$2,SUMIF('2026 T'!$F:$F,$B62,'2026 T'!AD:AD)/PARAMETER!$T$3,"")</f>
        <v/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>
        <f>IF(U$4&lt;=PARAMETER!$X$2,SUMIF('2026'!$F:$F,$B63,'2026'!T:T)/PARAMETER!$T$3,"")</f>
        <v>0</v>
      </c>
      <c r="V63" s="40" t="str">
        <f>IF(V$4&lt;=PARAMETER!$X$2,SUMIF('2026'!$F:$F,$B63,'2026'!U:U)/PARAMETER!$T$3,"")</f>
        <v/>
      </c>
      <c r="W63" s="40" t="str">
        <f>IF(W$4&lt;=PARAMETER!$X$2,SUMIF('2026'!$F:$F,$B63,'2026'!V:V)/PARAMETER!$T$3,"")</f>
        <v/>
      </c>
      <c r="X63" s="40" t="str">
        <f>IF(X$4&lt;=PARAMETER!$X$2,SUMIF('2026'!$F:$F,$B63,'2026'!W:W)/PARAMETER!$T$3,"")</f>
        <v/>
      </c>
      <c r="Y63" s="40" t="str">
        <f>IF(Y$4&lt;=PARAMETER!$X$2,SUMIF('2026'!$F:$F,$B63,'2026'!X:X)/PARAMETER!$T$3,"")</f>
        <v/>
      </c>
      <c r="Z63" s="40" t="str">
        <f>IF(Z$4&lt;=PARAMETER!$X$2,SUMIF('2026'!$F:$F,$B63,'2026'!Y:Y)/PARAMETER!$T$3,"")</f>
        <v/>
      </c>
      <c r="AA63" s="40" t="str">
        <f>IF(AA$4&lt;=PARAMETER!$X$2,SUMIF('2026'!$F:$F,$B63,'2026'!Z:Z)/PARAMETER!$T$3,"")</f>
        <v/>
      </c>
      <c r="AB63" s="40" t="str">
        <f>IF(AB$4&lt;=PARAMETER!$X$2,SUMIF('2026'!$F:$F,$B63,'2026'!AA:AA)/PARAMETER!$T$3,"")</f>
        <v/>
      </c>
      <c r="AC63" s="40" t="str">
        <f>IF(AC$4&lt;=PARAMETER!$X$2,SUMIF('2026'!$F:$F,$B63,'2026'!AB:AB)/PARAMETER!$T$3,"")</f>
        <v/>
      </c>
      <c r="AD63" s="40" t="str">
        <f>IF(AD$4&lt;=PARAMETER!$X$2,SUMIF('2026'!$F:$F,$B63,'2026'!AC:AC)/PARAMETER!$T$3,"")</f>
        <v/>
      </c>
      <c r="AE63" s="40" t="str">
        <f>IF(AE$4&lt;=PARAMETER!$X$2,SUMIF('2026'!$F:$F,$B63,'2026'!AD:AD)/PARAMETER!$T$3,"")</f>
        <v/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>
        <f>IF(U$4&lt;=PARAMETER!$X$2,SUMIF('2025'!$F:$F,$B64,'2025'!T:T)/PARAMETER!$T$3,"")</f>
        <v>0</v>
      </c>
      <c r="V64" s="40" t="str">
        <f>IF(V$4&lt;=PARAMETER!$X$2,SUMIF('2025'!$F:$F,$B64,'2025'!U:U)/PARAMETER!$T$3,"")</f>
        <v/>
      </c>
      <c r="W64" s="40" t="str">
        <f>IF(W$4&lt;=PARAMETER!$X$2,SUMIF('2025'!$F:$F,$B64,'2025'!V:V)/PARAMETER!$T$3,"")</f>
        <v/>
      </c>
      <c r="X64" s="40" t="str">
        <f>IF(X$4&lt;=PARAMETER!$X$2,SUMIF('2025'!$F:$F,$B64,'2025'!W:W)/PARAMETER!$T$3,"")</f>
        <v/>
      </c>
      <c r="Y64" s="40" t="str">
        <f>IF(Y$4&lt;=PARAMETER!$X$2,SUMIF('2025'!$F:$F,$B64,'2025'!X:X)/PARAMETER!$T$3,"")</f>
        <v/>
      </c>
      <c r="Z64" s="40" t="str">
        <f>IF(Z$4&lt;=PARAMETER!$X$2,SUMIF('2025'!$F:$F,$B64,'2025'!Y:Y)/PARAMETER!$T$3,"")</f>
        <v/>
      </c>
      <c r="AA64" s="40" t="str">
        <f>IF(AA$4&lt;=PARAMETER!$X$2,SUMIF('2025'!$F:$F,$B64,'2025'!Z:Z)/PARAMETER!$T$3,"")</f>
        <v/>
      </c>
      <c r="AB64" s="40" t="str">
        <f>IF(AB$4&lt;=PARAMETER!$X$2,SUMIF('2025'!$F:$F,$B64,'2025'!AA:AA)/PARAMETER!$T$3,"")</f>
        <v/>
      </c>
      <c r="AC64" s="40" t="str">
        <f>IF(AC$4&lt;=PARAMETER!$X$2,SUMIF('2025'!$F:$F,$B64,'2025'!AB:AB)/PARAMETER!$T$3,"")</f>
        <v/>
      </c>
      <c r="AD64" s="40" t="str">
        <f>IF(AD$4&lt;=PARAMETER!$X$2,SUMIF('2025'!$F:$F,$B64,'2025'!AC:AC)/PARAMETER!$T$3,"")</f>
        <v/>
      </c>
      <c r="AE64" s="40" t="str">
        <f>IF(AE$4&lt;=PARAMETER!$X$2,SUMIF('2025'!$F:$F,$B64,'2025'!AD:AD)/PARAMETER!$T$3,"")</f>
        <v/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>
        <f>IF(U$4&lt;=PARAMETER!$X$2,SUMIF('2024'!$F:$F,$B65,'2024'!T:T)/PARAMETER!$T$3,"")</f>
        <v>0</v>
      </c>
      <c r="V65" s="71" t="str">
        <f>IF(V$4&lt;=PARAMETER!$X$2,SUMIF('2024'!$F:$F,$B65,'2024'!U:U)/PARAMETER!$T$3,"")</f>
        <v/>
      </c>
      <c r="W65" s="71" t="str">
        <f>IF(W$4&lt;=PARAMETER!$X$2,SUMIF('2024'!$F:$F,$B65,'2024'!V:V)/PARAMETER!$T$3,"")</f>
        <v/>
      </c>
      <c r="X65" s="71" t="str">
        <f>IF(X$4&lt;=PARAMETER!$X$2,SUMIF('2024'!$F:$F,$B65,'2024'!W:W)/PARAMETER!$T$3,"")</f>
        <v/>
      </c>
      <c r="Y65" s="71" t="str">
        <f>IF(Y$4&lt;=PARAMETER!$X$2,SUMIF('2024'!$F:$F,$B65,'2024'!X:X)/PARAMETER!$T$3,"")</f>
        <v/>
      </c>
      <c r="Z65" s="71" t="str">
        <f>IF(Z$4&lt;=PARAMETER!$X$2,SUMIF('2024'!$F:$F,$B65,'2024'!Y:Y)/PARAMETER!$T$3,"")</f>
        <v/>
      </c>
      <c r="AA65" s="71" t="str">
        <f>IF(AA$4&lt;=PARAMETER!$X$2,SUMIF('2024'!$F:$F,$B65,'2024'!Z:Z)/PARAMETER!$T$3,"")</f>
        <v/>
      </c>
      <c r="AB65" s="71" t="str">
        <f>IF(AB$4&lt;=PARAMETER!$X$2,SUMIF('2024'!$F:$F,$B65,'2024'!AA:AA)/PARAMETER!$T$3,"")</f>
        <v/>
      </c>
      <c r="AC65" s="71" t="str">
        <f>IF(AC$4&lt;=PARAMETER!$X$2,SUMIF('2024'!$F:$F,$B65,'2024'!AB:AB)/PARAMETER!$T$3,"")</f>
        <v/>
      </c>
      <c r="AD65" s="71" t="str">
        <f>IF(AD$4&lt;=PARAMETER!$X$2,SUMIF('2024'!$F:$F,$B65,'2024'!AC:AC)/PARAMETER!$T$3,"")</f>
        <v/>
      </c>
      <c r="AE65" s="71" t="str">
        <f>IF(AE$4&lt;=PARAMETER!$X$2,SUMIF('2024'!$F:$F,$B65,'2024'!AD:AD)/PARAMETER!$T$3,"")</f>
        <v/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>
        <f>IF(U$4&lt;=PARAMETER!$X$2,SUMIF('2026 T'!$F:$F,$B66,'2026 T'!T:T)/PARAMETER!$T$3,"")</f>
        <v>0</v>
      </c>
      <c r="V66" s="25" t="str">
        <f>IF(V$4&lt;=PARAMETER!$X$2,SUMIF('2026 T'!$F:$F,$B66,'2026 T'!U:U)/PARAMETER!$T$3,"")</f>
        <v/>
      </c>
      <c r="W66" s="25" t="str">
        <f>IF(W$4&lt;=PARAMETER!$X$2,SUMIF('2026 T'!$F:$F,$B66,'2026 T'!V:V)/PARAMETER!$T$3,"")</f>
        <v/>
      </c>
      <c r="X66" s="25" t="str">
        <f>IF(X$4&lt;=PARAMETER!$X$2,SUMIF('2026 T'!$F:$F,$B66,'2026 T'!W:W)/PARAMETER!$T$3,"")</f>
        <v/>
      </c>
      <c r="Y66" s="25" t="str">
        <f>IF(Y$4&lt;=PARAMETER!$X$2,SUMIF('2026 T'!$F:$F,$B66,'2026 T'!X:X)/PARAMETER!$T$3,"")</f>
        <v/>
      </c>
      <c r="Z66" s="25" t="str">
        <f>IF(Z$4&lt;=PARAMETER!$X$2,SUMIF('2026 T'!$F:$F,$B66,'2026 T'!Y:Y)/PARAMETER!$T$3,"")</f>
        <v/>
      </c>
      <c r="AA66" s="25" t="str">
        <f>IF(AA$4&lt;=PARAMETER!$X$2,SUMIF('2026 T'!$F:$F,$B66,'2026 T'!Z:Z)/PARAMETER!$T$3,"")</f>
        <v/>
      </c>
      <c r="AB66" s="25" t="str">
        <f>IF(AB$4&lt;=PARAMETER!$X$2,SUMIF('2026 T'!$F:$F,$B66,'2026 T'!AA:AA)/PARAMETER!$T$3,"")</f>
        <v/>
      </c>
      <c r="AC66" s="25" t="str">
        <f>IF(AC$4&lt;=PARAMETER!$X$2,SUMIF('2026 T'!$F:$F,$B66,'2026 T'!AB:AB)/PARAMETER!$T$3,"")</f>
        <v/>
      </c>
      <c r="AD66" s="25" t="str">
        <f>IF(AD$4&lt;=PARAMETER!$X$2,SUMIF('2026 T'!$F:$F,$B66,'2026 T'!AC:AC)/PARAMETER!$T$3,"")</f>
        <v/>
      </c>
      <c r="AE66" s="25" t="str">
        <f>IF(AE$4&lt;=PARAMETER!$X$2,SUMIF('2026 T'!$F:$F,$B66,'2026 T'!AD:AD)/PARAMETER!$T$3,"")</f>
        <v/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>
        <f>IF(U$4&lt;=PARAMETER!$X$2,SUMIF('2026'!$F:$F,$B67,'2026'!T:T)/PARAMETER!$T$3,"")</f>
        <v>0</v>
      </c>
      <c r="V67" s="40" t="str">
        <f>IF(V$4&lt;=PARAMETER!$X$2,SUMIF('2026'!$F:$F,$B67,'2026'!U:U)/PARAMETER!$T$3,"")</f>
        <v/>
      </c>
      <c r="W67" s="40" t="str">
        <f>IF(W$4&lt;=PARAMETER!$X$2,SUMIF('2026'!$F:$F,$B67,'2026'!V:V)/PARAMETER!$T$3,"")</f>
        <v/>
      </c>
      <c r="X67" s="40" t="str">
        <f>IF(X$4&lt;=PARAMETER!$X$2,SUMIF('2026'!$F:$F,$B67,'2026'!W:W)/PARAMETER!$T$3,"")</f>
        <v/>
      </c>
      <c r="Y67" s="40" t="str">
        <f>IF(Y$4&lt;=PARAMETER!$X$2,SUMIF('2026'!$F:$F,$B67,'2026'!X:X)/PARAMETER!$T$3,"")</f>
        <v/>
      </c>
      <c r="Z67" s="40" t="str">
        <f>IF(Z$4&lt;=PARAMETER!$X$2,SUMIF('2026'!$F:$F,$B67,'2026'!Y:Y)/PARAMETER!$T$3,"")</f>
        <v/>
      </c>
      <c r="AA67" s="40" t="str">
        <f>IF(AA$4&lt;=PARAMETER!$X$2,SUMIF('2026'!$F:$F,$B67,'2026'!Z:Z)/PARAMETER!$T$3,"")</f>
        <v/>
      </c>
      <c r="AB67" s="40" t="str">
        <f>IF(AB$4&lt;=PARAMETER!$X$2,SUMIF('2026'!$F:$F,$B67,'2026'!AA:AA)/PARAMETER!$T$3,"")</f>
        <v/>
      </c>
      <c r="AC67" s="40" t="str">
        <f>IF(AC$4&lt;=PARAMETER!$X$2,SUMIF('2026'!$F:$F,$B67,'2026'!AB:AB)/PARAMETER!$T$3,"")</f>
        <v/>
      </c>
      <c r="AD67" s="40" t="str">
        <f>IF(AD$4&lt;=PARAMETER!$X$2,SUMIF('2026'!$F:$F,$B67,'2026'!AC:AC)/PARAMETER!$T$3,"")</f>
        <v/>
      </c>
      <c r="AE67" s="40" t="str">
        <f>IF(AE$4&lt;=PARAMETER!$X$2,SUMIF('2026'!$F:$F,$B67,'2026'!AD:AD)/PARAMETER!$T$3,"")</f>
        <v/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>
        <f>IF(U$4&lt;=PARAMETER!$X$2,SUMIF('2025'!$F:$F,$B68,'2025'!T:T)/PARAMETER!$T$3,"")</f>
        <v>0</v>
      </c>
      <c r="V68" s="40" t="str">
        <f>IF(V$4&lt;=PARAMETER!$X$2,SUMIF('2025'!$F:$F,$B68,'2025'!U:U)/PARAMETER!$T$3,"")</f>
        <v/>
      </c>
      <c r="W68" s="40" t="str">
        <f>IF(W$4&lt;=PARAMETER!$X$2,SUMIF('2025'!$F:$F,$B68,'2025'!V:V)/PARAMETER!$T$3,"")</f>
        <v/>
      </c>
      <c r="X68" s="40" t="str">
        <f>IF(X$4&lt;=PARAMETER!$X$2,SUMIF('2025'!$F:$F,$B68,'2025'!W:W)/PARAMETER!$T$3,"")</f>
        <v/>
      </c>
      <c r="Y68" s="40" t="str">
        <f>IF(Y$4&lt;=PARAMETER!$X$2,SUMIF('2025'!$F:$F,$B68,'2025'!X:X)/PARAMETER!$T$3,"")</f>
        <v/>
      </c>
      <c r="Z68" s="40" t="str">
        <f>IF(Z$4&lt;=PARAMETER!$X$2,SUMIF('2025'!$F:$F,$B68,'2025'!Y:Y)/PARAMETER!$T$3,"")</f>
        <v/>
      </c>
      <c r="AA68" s="40" t="str">
        <f>IF(AA$4&lt;=PARAMETER!$X$2,SUMIF('2025'!$F:$F,$B68,'2025'!Z:Z)/PARAMETER!$T$3,"")</f>
        <v/>
      </c>
      <c r="AB68" s="40" t="str">
        <f>IF(AB$4&lt;=PARAMETER!$X$2,SUMIF('2025'!$F:$F,$B68,'2025'!AA:AA)/PARAMETER!$T$3,"")</f>
        <v/>
      </c>
      <c r="AC68" s="40" t="str">
        <f>IF(AC$4&lt;=PARAMETER!$X$2,SUMIF('2025'!$F:$F,$B68,'2025'!AB:AB)/PARAMETER!$T$3,"")</f>
        <v/>
      </c>
      <c r="AD68" s="40" t="str">
        <f>IF(AD$4&lt;=PARAMETER!$X$2,SUMIF('2025'!$F:$F,$B68,'2025'!AC:AC)/PARAMETER!$T$3,"")</f>
        <v/>
      </c>
      <c r="AE68" s="40" t="str">
        <f>IF(AE$4&lt;=PARAMETER!$X$2,SUMIF('2025'!$F:$F,$B68,'2025'!AD:AD)/PARAMETER!$T$3,"")</f>
        <v/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>
        <f>IF(U$4&lt;=PARAMETER!$X$2,SUMIF('2024'!$F:$F,$B69,'2024'!T:T)/PARAMETER!$T$3,"")</f>
        <v>0</v>
      </c>
      <c r="V69" s="71" t="str">
        <f>IF(V$4&lt;=PARAMETER!$X$2,SUMIF('2024'!$F:$F,$B69,'2024'!U:U)/PARAMETER!$T$3,"")</f>
        <v/>
      </c>
      <c r="W69" s="71" t="str">
        <f>IF(W$4&lt;=PARAMETER!$X$2,SUMIF('2024'!$F:$F,$B69,'2024'!V:V)/PARAMETER!$T$3,"")</f>
        <v/>
      </c>
      <c r="X69" s="71" t="str">
        <f>IF(X$4&lt;=PARAMETER!$X$2,SUMIF('2024'!$F:$F,$B69,'2024'!W:W)/PARAMETER!$T$3,"")</f>
        <v/>
      </c>
      <c r="Y69" s="71" t="str">
        <f>IF(Y$4&lt;=PARAMETER!$X$2,SUMIF('2024'!$F:$F,$B69,'2024'!X:X)/PARAMETER!$T$3,"")</f>
        <v/>
      </c>
      <c r="Z69" s="71" t="str">
        <f>IF(Z$4&lt;=PARAMETER!$X$2,SUMIF('2024'!$F:$F,$B69,'2024'!Y:Y)/PARAMETER!$T$3,"")</f>
        <v/>
      </c>
      <c r="AA69" s="71" t="str">
        <f>IF(AA$4&lt;=PARAMETER!$X$2,SUMIF('2024'!$F:$F,$B69,'2024'!Z:Z)/PARAMETER!$T$3,"")</f>
        <v/>
      </c>
      <c r="AB69" s="71" t="str">
        <f>IF(AB$4&lt;=PARAMETER!$X$2,SUMIF('2024'!$F:$F,$B69,'2024'!AA:AA)/PARAMETER!$T$3,"")</f>
        <v/>
      </c>
      <c r="AC69" s="71" t="str">
        <f>IF(AC$4&lt;=PARAMETER!$X$2,SUMIF('2024'!$F:$F,$B69,'2024'!AB:AB)/PARAMETER!$T$3,"")</f>
        <v/>
      </c>
      <c r="AD69" s="71" t="str">
        <f>IF(AD$4&lt;=PARAMETER!$X$2,SUMIF('2024'!$F:$F,$B69,'2024'!AC:AC)/PARAMETER!$T$3,"")</f>
        <v/>
      </c>
      <c r="AE69" s="71" t="str">
        <f>IF(AE$4&lt;=PARAMETER!$X$2,SUMIF('2024'!$F:$F,$B69,'2024'!AD:AD)/PARAMETER!$T$3,"")</f>
        <v/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>
        <f>IF(U$4&lt;=PARAMETER!$X$2,SUMIF('2026 T'!$F:$F,$B70,'2026 T'!T:T)/PARAMETER!$T$3,"")</f>
        <v>0</v>
      </c>
      <c r="V70" s="25" t="str">
        <f>IF(V$4&lt;=PARAMETER!$X$2,SUMIF('2026 T'!$F:$F,$B70,'2026 T'!U:U)/PARAMETER!$T$3,"")</f>
        <v/>
      </c>
      <c r="W70" s="25" t="str">
        <f>IF(W$4&lt;=PARAMETER!$X$2,SUMIF('2026 T'!$F:$F,$B70,'2026 T'!V:V)/PARAMETER!$T$3,"")</f>
        <v/>
      </c>
      <c r="X70" s="25" t="str">
        <f>IF(X$4&lt;=PARAMETER!$X$2,SUMIF('2026 T'!$F:$F,$B70,'2026 T'!W:W)/PARAMETER!$T$3,"")</f>
        <v/>
      </c>
      <c r="Y70" s="25" t="str">
        <f>IF(Y$4&lt;=PARAMETER!$X$2,SUMIF('2026 T'!$F:$F,$B70,'2026 T'!X:X)/PARAMETER!$T$3,"")</f>
        <v/>
      </c>
      <c r="Z70" s="25" t="str">
        <f>IF(Z$4&lt;=PARAMETER!$X$2,SUMIF('2026 T'!$F:$F,$B70,'2026 T'!Y:Y)/PARAMETER!$T$3,"")</f>
        <v/>
      </c>
      <c r="AA70" s="25" t="str">
        <f>IF(AA$4&lt;=PARAMETER!$X$2,SUMIF('2026 T'!$F:$F,$B70,'2026 T'!Z:Z)/PARAMETER!$T$3,"")</f>
        <v/>
      </c>
      <c r="AB70" s="25" t="str">
        <f>IF(AB$4&lt;=PARAMETER!$X$2,SUMIF('2026 T'!$F:$F,$B70,'2026 T'!AA:AA)/PARAMETER!$T$3,"")</f>
        <v/>
      </c>
      <c r="AC70" s="25" t="str">
        <f>IF(AC$4&lt;=PARAMETER!$X$2,SUMIF('2026 T'!$F:$F,$B70,'2026 T'!AB:AB)/PARAMETER!$T$3,"")</f>
        <v/>
      </c>
      <c r="AD70" s="25" t="str">
        <f>IF(AD$4&lt;=PARAMETER!$X$2,SUMIF('2026 T'!$F:$F,$B70,'2026 T'!AC:AC)/PARAMETER!$T$3,"")</f>
        <v/>
      </c>
      <c r="AE70" s="25" t="str">
        <f>IF(AE$4&lt;=PARAMETER!$X$2,SUMIF('2026 T'!$F:$F,$B70,'2026 T'!AD:AD)/PARAMETER!$T$3,"")</f>
        <v/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>
        <f>IF(U$4&lt;=PARAMETER!$X$2,SUMIF('2026'!$F:$F,$B71,'2026'!T:T)/PARAMETER!$T$3,"")</f>
        <v>0</v>
      </c>
      <c r="V71" s="40" t="str">
        <f>IF(V$4&lt;=PARAMETER!$X$2,SUMIF('2026'!$F:$F,$B71,'2026'!U:U)/PARAMETER!$T$3,"")</f>
        <v/>
      </c>
      <c r="W71" s="40" t="str">
        <f>IF(W$4&lt;=PARAMETER!$X$2,SUMIF('2026'!$F:$F,$B71,'2026'!V:V)/PARAMETER!$T$3,"")</f>
        <v/>
      </c>
      <c r="X71" s="40" t="str">
        <f>IF(X$4&lt;=PARAMETER!$X$2,SUMIF('2026'!$F:$F,$B71,'2026'!W:W)/PARAMETER!$T$3,"")</f>
        <v/>
      </c>
      <c r="Y71" s="40" t="str">
        <f>IF(Y$4&lt;=PARAMETER!$X$2,SUMIF('2026'!$F:$F,$B71,'2026'!X:X)/PARAMETER!$T$3,"")</f>
        <v/>
      </c>
      <c r="Z71" s="40" t="str">
        <f>IF(Z$4&lt;=PARAMETER!$X$2,SUMIF('2026'!$F:$F,$B71,'2026'!Y:Y)/PARAMETER!$T$3,"")</f>
        <v/>
      </c>
      <c r="AA71" s="40" t="str">
        <f>IF(AA$4&lt;=PARAMETER!$X$2,SUMIF('2026'!$F:$F,$B71,'2026'!Z:Z)/PARAMETER!$T$3,"")</f>
        <v/>
      </c>
      <c r="AB71" s="40" t="str">
        <f>IF(AB$4&lt;=PARAMETER!$X$2,SUMIF('2026'!$F:$F,$B71,'2026'!AA:AA)/PARAMETER!$T$3,"")</f>
        <v/>
      </c>
      <c r="AC71" s="40" t="str">
        <f>IF(AC$4&lt;=PARAMETER!$X$2,SUMIF('2026'!$F:$F,$B71,'2026'!AB:AB)/PARAMETER!$T$3,"")</f>
        <v/>
      </c>
      <c r="AD71" s="40" t="str">
        <f>IF(AD$4&lt;=PARAMETER!$X$2,SUMIF('2026'!$F:$F,$B71,'2026'!AC:AC)/PARAMETER!$T$3,"")</f>
        <v/>
      </c>
      <c r="AE71" s="40" t="str">
        <f>IF(AE$4&lt;=PARAMETER!$X$2,SUMIF('2026'!$F:$F,$B71,'2026'!AD:AD)/PARAMETER!$T$3,"")</f>
        <v/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>
        <f>IF(U$4&lt;=PARAMETER!$X$2,SUMIF('2025'!$F:$F,$B72,'2025'!T:T)/PARAMETER!$T$3,"")</f>
        <v>0</v>
      </c>
      <c r="V72" s="40" t="str">
        <f>IF(V$4&lt;=PARAMETER!$X$2,SUMIF('2025'!$F:$F,$B72,'2025'!U:U)/PARAMETER!$T$3,"")</f>
        <v/>
      </c>
      <c r="W72" s="40" t="str">
        <f>IF(W$4&lt;=PARAMETER!$X$2,SUMIF('2025'!$F:$F,$B72,'2025'!V:V)/PARAMETER!$T$3,"")</f>
        <v/>
      </c>
      <c r="X72" s="40" t="str">
        <f>IF(X$4&lt;=PARAMETER!$X$2,SUMIF('2025'!$F:$F,$B72,'2025'!W:W)/PARAMETER!$T$3,"")</f>
        <v/>
      </c>
      <c r="Y72" s="40" t="str">
        <f>IF(Y$4&lt;=PARAMETER!$X$2,SUMIF('2025'!$F:$F,$B72,'2025'!X:X)/PARAMETER!$T$3,"")</f>
        <v/>
      </c>
      <c r="Z72" s="40" t="str">
        <f>IF(Z$4&lt;=PARAMETER!$X$2,SUMIF('2025'!$F:$F,$B72,'2025'!Y:Y)/PARAMETER!$T$3,"")</f>
        <v/>
      </c>
      <c r="AA72" s="40" t="str">
        <f>IF(AA$4&lt;=PARAMETER!$X$2,SUMIF('2025'!$F:$F,$B72,'2025'!Z:Z)/PARAMETER!$T$3,"")</f>
        <v/>
      </c>
      <c r="AB72" s="40" t="str">
        <f>IF(AB$4&lt;=PARAMETER!$X$2,SUMIF('2025'!$F:$F,$B72,'2025'!AA:AA)/PARAMETER!$T$3,"")</f>
        <v/>
      </c>
      <c r="AC72" s="40" t="str">
        <f>IF(AC$4&lt;=PARAMETER!$X$2,SUMIF('2025'!$F:$F,$B72,'2025'!AB:AB)/PARAMETER!$T$3,"")</f>
        <v/>
      </c>
      <c r="AD72" s="40" t="str">
        <f>IF(AD$4&lt;=PARAMETER!$X$2,SUMIF('2025'!$F:$F,$B72,'2025'!AC:AC)/PARAMETER!$T$3,"")</f>
        <v/>
      </c>
      <c r="AE72" s="40" t="str">
        <f>IF(AE$4&lt;=PARAMETER!$X$2,SUMIF('2025'!$F:$F,$B72,'2025'!AD:AD)/PARAMETER!$T$3,"")</f>
        <v/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>
        <f>IF(U$4&lt;=PARAMETER!$X$2,SUMIF('2024'!$F:$F,$B73,'2024'!T:T)/PARAMETER!$T$3,"")</f>
        <v>0</v>
      </c>
      <c r="V73" s="71" t="str">
        <f>IF(V$4&lt;=PARAMETER!$X$2,SUMIF('2024'!$F:$F,$B73,'2024'!U:U)/PARAMETER!$T$3,"")</f>
        <v/>
      </c>
      <c r="W73" s="71" t="str">
        <f>IF(W$4&lt;=PARAMETER!$X$2,SUMIF('2024'!$F:$F,$B73,'2024'!V:V)/PARAMETER!$T$3,"")</f>
        <v/>
      </c>
      <c r="X73" s="71" t="str">
        <f>IF(X$4&lt;=PARAMETER!$X$2,SUMIF('2024'!$F:$F,$B73,'2024'!W:W)/PARAMETER!$T$3,"")</f>
        <v/>
      </c>
      <c r="Y73" s="71" t="str">
        <f>IF(Y$4&lt;=PARAMETER!$X$2,SUMIF('2024'!$F:$F,$B73,'2024'!X:X)/PARAMETER!$T$3,"")</f>
        <v/>
      </c>
      <c r="Z73" s="71" t="str">
        <f>IF(Z$4&lt;=PARAMETER!$X$2,SUMIF('2024'!$F:$F,$B73,'2024'!Y:Y)/PARAMETER!$T$3,"")</f>
        <v/>
      </c>
      <c r="AA73" s="71" t="str">
        <f>IF(AA$4&lt;=PARAMETER!$X$2,SUMIF('2024'!$F:$F,$B73,'2024'!Z:Z)/PARAMETER!$T$3,"")</f>
        <v/>
      </c>
      <c r="AB73" s="71" t="str">
        <f>IF(AB$4&lt;=PARAMETER!$X$2,SUMIF('2024'!$F:$F,$B73,'2024'!AA:AA)/PARAMETER!$T$3,"")</f>
        <v/>
      </c>
      <c r="AC73" s="71" t="str">
        <f>IF(AC$4&lt;=PARAMETER!$X$2,SUMIF('2024'!$F:$F,$B73,'2024'!AB:AB)/PARAMETER!$T$3,"")</f>
        <v/>
      </c>
      <c r="AD73" s="71" t="str">
        <f>IF(AD$4&lt;=PARAMETER!$X$2,SUMIF('2024'!$F:$F,$B73,'2024'!AC:AC)/PARAMETER!$T$3,"")</f>
        <v/>
      </c>
      <c r="AE73" s="71" t="str">
        <f>IF(AE$4&lt;=PARAMETER!$X$2,SUMIF('2024'!$F:$F,$B73,'2024'!AD:AD)/PARAMETER!$T$3,"")</f>
        <v/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>
        <f>IF(U$4&lt;=PARAMETER!$X$2,SUMIF('2026 T'!$F:$F,$B74,'2026 T'!T:T)/PARAMETER!$T$3,"")</f>
        <v>0</v>
      </c>
      <c r="V74" s="25" t="str">
        <f>IF(V$4&lt;=PARAMETER!$X$2,SUMIF('2026 T'!$F:$F,$B74,'2026 T'!U:U)/PARAMETER!$T$3,"")</f>
        <v/>
      </c>
      <c r="W74" s="25" t="str">
        <f>IF(W$4&lt;=PARAMETER!$X$2,SUMIF('2026 T'!$F:$F,$B74,'2026 T'!V:V)/PARAMETER!$T$3,"")</f>
        <v/>
      </c>
      <c r="X74" s="25" t="str">
        <f>IF(X$4&lt;=PARAMETER!$X$2,SUMIF('2026 T'!$F:$F,$B74,'2026 T'!W:W)/PARAMETER!$T$3,"")</f>
        <v/>
      </c>
      <c r="Y74" s="25" t="str">
        <f>IF(Y$4&lt;=PARAMETER!$X$2,SUMIF('2026 T'!$F:$F,$B74,'2026 T'!X:X)/PARAMETER!$T$3,"")</f>
        <v/>
      </c>
      <c r="Z74" s="25" t="str">
        <f>IF(Z$4&lt;=PARAMETER!$X$2,SUMIF('2026 T'!$F:$F,$B74,'2026 T'!Y:Y)/PARAMETER!$T$3,"")</f>
        <v/>
      </c>
      <c r="AA74" s="25" t="str">
        <f>IF(AA$4&lt;=PARAMETER!$X$2,SUMIF('2026 T'!$F:$F,$B74,'2026 T'!Z:Z)/PARAMETER!$T$3,"")</f>
        <v/>
      </c>
      <c r="AB74" s="25" t="str">
        <f>IF(AB$4&lt;=PARAMETER!$X$2,SUMIF('2026 T'!$F:$F,$B74,'2026 T'!AA:AA)/PARAMETER!$T$3,"")</f>
        <v/>
      </c>
      <c r="AC74" s="25" t="str">
        <f>IF(AC$4&lt;=PARAMETER!$X$2,SUMIF('2026 T'!$F:$F,$B74,'2026 T'!AB:AB)/PARAMETER!$T$3,"")</f>
        <v/>
      </c>
      <c r="AD74" s="25" t="str">
        <f>IF(AD$4&lt;=PARAMETER!$X$2,SUMIF('2026 T'!$F:$F,$B74,'2026 T'!AC:AC)/PARAMETER!$T$3,"")</f>
        <v/>
      </c>
      <c r="AE74" s="25" t="str">
        <f>IF(AE$4&lt;=PARAMETER!$X$2,SUMIF('2026 T'!$F:$F,$B74,'2026 T'!AD:AD)/PARAMETER!$T$3,"")</f>
        <v/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>
        <f>IF(U$4&lt;=PARAMETER!$X$2,SUMIF('2026'!$F:$F,$B75,'2026'!T:T)/PARAMETER!$T$3,"")</f>
        <v>0</v>
      </c>
      <c r="V75" s="40" t="str">
        <f>IF(V$4&lt;=PARAMETER!$X$2,SUMIF('2026'!$F:$F,$B75,'2026'!U:U)/PARAMETER!$T$3,"")</f>
        <v/>
      </c>
      <c r="W75" s="40" t="str">
        <f>IF(W$4&lt;=PARAMETER!$X$2,SUMIF('2026'!$F:$F,$B75,'2026'!V:V)/PARAMETER!$T$3,"")</f>
        <v/>
      </c>
      <c r="X75" s="40" t="str">
        <f>IF(X$4&lt;=PARAMETER!$X$2,SUMIF('2026'!$F:$F,$B75,'2026'!W:W)/PARAMETER!$T$3,"")</f>
        <v/>
      </c>
      <c r="Y75" s="40" t="str">
        <f>IF(Y$4&lt;=PARAMETER!$X$2,SUMIF('2026'!$F:$F,$B75,'2026'!X:X)/PARAMETER!$T$3,"")</f>
        <v/>
      </c>
      <c r="Z75" s="40" t="str">
        <f>IF(Z$4&lt;=PARAMETER!$X$2,SUMIF('2026'!$F:$F,$B75,'2026'!Y:Y)/PARAMETER!$T$3,"")</f>
        <v/>
      </c>
      <c r="AA75" s="40" t="str">
        <f>IF(AA$4&lt;=PARAMETER!$X$2,SUMIF('2026'!$F:$F,$B75,'2026'!Z:Z)/PARAMETER!$T$3,"")</f>
        <v/>
      </c>
      <c r="AB75" s="40" t="str">
        <f>IF(AB$4&lt;=PARAMETER!$X$2,SUMIF('2026'!$F:$F,$B75,'2026'!AA:AA)/PARAMETER!$T$3,"")</f>
        <v/>
      </c>
      <c r="AC75" s="40" t="str">
        <f>IF(AC$4&lt;=PARAMETER!$X$2,SUMIF('2026'!$F:$F,$B75,'2026'!AB:AB)/PARAMETER!$T$3,"")</f>
        <v/>
      </c>
      <c r="AD75" s="40" t="str">
        <f>IF(AD$4&lt;=PARAMETER!$X$2,SUMIF('2026'!$F:$F,$B75,'2026'!AC:AC)/PARAMETER!$T$3,"")</f>
        <v/>
      </c>
      <c r="AE75" s="40" t="str">
        <f>IF(AE$4&lt;=PARAMETER!$X$2,SUMIF('2026'!$F:$F,$B75,'2026'!AD:AD)/PARAMETER!$T$3,"")</f>
        <v/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>
        <f>IF(U$4&lt;=PARAMETER!$X$2,SUMIF('2025'!$F:$F,$B76,'2025'!T:T)/PARAMETER!$T$3,"")</f>
        <v>0</v>
      </c>
      <c r="V76" s="40" t="str">
        <f>IF(V$4&lt;=PARAMETER!$X$2,SUMIF('2025'!$F:$F,$B76,'2025'!U:U)/PARAMETER!$T$3,"")</f>
        <v/>
      </c>
      <c r="W76" s="40" t="str">
        <f>IF(W$4&lt;=PARAMETER!$X$2,SUMIF('2025'!$F:$F,$B76,'2025'!V:V)/PARAMETER!$T$3,"")</f>
        <v/>
      </c>
      <c r="X76" s="40" t="str">
        <f>IF(X$4&lt;=PARAMETER!$X$2,SUMIF('2025'!$F:$F,$B76,'2025'!W:W)/PARAMETER!$T$3,"")</f>
        <v/>
      </c>
      <c r="Y76" s="40" t="str">
        <f>IF(Y$4&lt;=PARAMETER!$X$2,SUMIF('2025'!$F:$F,$B76,'2025'!X:X)/PARAMETER!$T$3,"")</f>
        <v/>
      </c>
      <c r="Z76" s="40" t="str">
        <f>IF(Z$4&lt;=PARAMETER!$X$2,SUMIF('2025'!$F:$F,$B76,'2025'!Y:Y)/PARAMETER!$T$3,"")</f>
        <v/>
      </c>
      <c r="AA76" s="40" t="str">
        <f>IF(AA$4&lt;=PARAMETER!$X$2,SUMIF('2025'!$F:$F,$B76,'2025'!Z:Z)/PARAMETER!$T$3,"")</f>
        <v/>
      </c>
      <c r="AB76" s="40" t="str">
        <f>IF(AB$4&lt;=PARAMETER!$X$2,SUMIF('2025'!$F:$F,$B76,'2025'!AA:AA)/PARAMETER!$T$3,"")</f>
        <v/>
      </c>
      <c r="AC76" s="40" t="str">
        <f>IF(AC$4&lt;=PARAMETER!$X$2,SUMIF('2025'!$F:$F,$B76,'2025'!AB:AB)/PARAMETER!$T$3,"")</f>
        <v/>
      </c>
      <c r="AD76" s="40" t="str">
        <f>IF(AD$4&lt;=PARAMETER!$X$2,SUMIF('2025'!$F:$F,$B76,'2025'!AC:AC)/PARAMETER!$T$3,"")</f>
        <v/>
      </c>
      <c r="AE76" s="40" t="str">
        <f>IF(AE$4&lt;=PARAMETER!$X$2,SUMIF('2025'!$F:$F,$B76,'2025'!AD:AD)/PARAMETER!$T$3,"")</f>
        <v/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>
        <f>IF(U$4&lt;=PARAMETER!$X$2,SUMIF('2024'!$F:$F,$B77,'2024'!T:T)/PARAMETER!$T$3,"")</f>
        <v>0</v>
      </c>
      <c r="V77" s="71" t="str">
        <f>IF(V$4&lt;=PARAMETER!$X$2,SUMIF('2024'!$F:$F,$B77,'2024'!U:U)/PARAMETER!$T$3,"")</f>
        <v/>
      </c>
      <c r="W77" s="71" t="str">
        <f>IF(W$4&lt;=PARAMETER!$X$2,SUMIF('2024'!$F:$F,$B77,'2024'!V:V)/PARAMETER!$T$3,"")</f>
        <v/>
      </c>
      <c r="X77" s="71" t="str">
        <f>IF(X$4&lt;=PARAMETER!$X$2,SUMIF('2024'!$F:$F,$B77,'2024'!W:W)/PARAMETER!$T$3,"")</f>
        <v/>
      </c>
      <c r="Y77" s="71" t="str">
        <f>IF(Y$4&lt;=PARAMETER!$X$2,SUMIF('2024'!$F:$F,$B77,'2024'!X:X)/PARAMETER!$T$3,"")</f>
        <v/>
      </c>
      <c r="Z77" s="71" t="str">
        <f>IF(Z$4&lt;=PARAMETER!$X$2,SUMIF('2024'!$F:$F,$B77,'2024'!Y:Y)/PARAMETER!$T$3,"")</f>
        <v/>
      </c>
      <c r="AA77" s="71" t="str">
        <f>IF(AA$4&lt;=PARAMETER!$X$2,SUMIF('2024'!$F:$F,$B77,'2024'!Z:Z)/PARAMETER!$T$3,"")</f>
        <v/>
      </c>
      <c r="AB77" s="71" t="str">
        <f>IF(AB$4&lt;=PARAMETER!$X$2,SUMIF('2024'!$F:$F,$B77,'2024'!AA:AA)/PARAMETER!$T$3,"")</f>
        <v/>
      </c>
      <c r="AC77" s="71" t="str">
        <f>IF(AC$4&lt;=PARAMETER!$X$2,SUMIF('2024'!$F:$F,$B77,'2024'!AB:AB)/PARAMETER!$T$3,"")</f>
        <v/>
      </c>
      <c r="AD77" s="71" t="str">
        <f>IF(AD$4&lt;=PARAMETER!$X$2,SUMIF('2024'!$F:$F,$B77,'2024'!AC:AC)/PARAMETER!$T$3,"")</f>
        <v/>
      </c>
      <c r="AE77" s="71" t="str">
        <f>IF(AE$4&lt;=PARAMETER!$X$2,SUMIF('2024'!$F:$F,$B77,'2024'!AD:AD)/PARAMETER!$T$3,"")</f>
        <v/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>
        <f>IF(U$4&lt;=PARAMETER!$X$2,SUMIF('2026 T'!$F:$F,$B78,'2026 T'!T:T)/PARAMETER!$T$3,"")</f>
        <v>0</v>
      </c>
      <c r="V78" s="25" t="str">
        <f>IF(V$4&lt;=PARAMETER!$X$2,SUMIF('2026 T'!$F:$F,$B78,'2026 T'!U:U)/PARAMETER!$T$3,"")</f>
        <v/>
      </c>
      <c r="W78" s="25" t="str">
        <f>IF(W$4&lt;=PARAMETER!$X$2,SUMIF('2026 T'!$F:$F,$B78,'2026 T'!V:V)/PARAMETER!$T$3,"")</f>
        <v/>
      </c>
      <c r="X78" s="25" t="str">
        <f>IF(X$4&lt;=PARAMETER!$X$2,SUMIF('2026 T'!$F:$F,$B78,'2026 T'!W:W)/PARAMETER!$T$3,"")</f>
        <v/>
      </c>
      <c r="Y78" s="25" t="str">
        <f>IF(Y$4&lt;=PARAMETER!$X$2,SUMIF('2026 T'!$F:$F,$B78,'2026 T'!X:X)/PARAMETER!$T$3,"")</f>
        <v/>
      </c>
      <c r="Z78" s="25" t="str">
        <f>IF(Z$4&lt;=PARAMETER!$X$2,SUMIF('2026 T'!$F:$F,$B78,'2026 T'!Y:Y)/PARAMETER!$T$3,"")</f>
        <v/>
      </c>
      <c r="AA78" s="25" t="str">
        <f>IF(AA$4&lt;=PARAMETER!$X$2,SUMIF('2026 T'!$F:$F,$B78,'2026 T'!Z:Z)/PARAMETER!$T$3,"")</f>
        <v/>
      </c>
      <c r="AB78" s="25" t="str">
        <f>IF(AB$4&lt;=PARAMETER!$X$2,SUMIF('2026 T'!$F:$F,$B78,'2026 T'!AA:AA)/PARAMETER!$T$3,"")</f>
        <v/>
      </c>
      <c r="AC78" s="25" t="str">
        <f>IF(AC$4&lt;=PARAMETER!$X$2,SUMIF('2026 T'!$F:$F,$B78,'2026 T'!AB:AB)/PARAMETER!$T$3,"")</f>
        <v/>
      </c>
      <c r="AD78" s="25" t="str">
        <f>IF(AD$4&lt;=PARAMETER!$X$2,SUMIF('2026 T'!$F:$F,$B78,'2026 T'!AC:AC)/PARAMETER!$T$3,"")</f>
        <v/>
      </c>
      <c r="AE78" s="25" t="str">
        <f>IF(AE$4&lt;=PARAMETER!$X$2,SUMIF('2026 T'!$F:$F,$B78,'2026 T'!AD:AD)/PARAMETER!$T$3,"")</f>
        <v/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>
        <f>IF(U$4&lt;=PARAMETER!$X$2,SUMIF('2026'!$F:$F,$B79,'2026'!T:T)/PARAMETER!$T$3,"")</f>
        <v>0</v>
      </c>
      <c r="V79" s="40" t="str">
        <f>IF(V$4&lt;=PARAMETER!$X$2,SUMIF('2026'!$F:$F,$B79,'2026'!U:U)/PARAMETER!$T$3,"")</f>
        <v/>
      </c>
      <c r="W79" s="40" t="str">
        <f>IF(W$4&lt;=PARAMETER!$X$2,SUMIF('2026'!$F:$F,$B79,'2026'!V:V)/PARAMETER!$T$3,"")</f>
        <v/>
      </c>
      <c r="X79" s="40" t="str">
        <f>IF(X$4&lt;=PARAMETER!$X$2,SUMIF('2026'!$F:$F,$B79,'2026'!W:W)/PARAMETER!$T$3,"")</f>
        <v/>
      </c>
      <c r="Y79" s="40" t="str">
        <f>IF(Y$4&lt;=PARAMETER!$X$2,SUMIF('2026'!$F:$F,$B79,'2026'!X:X)/PARAMETER!$T$3,"")</f>
        <v/>
      </c>
      <c r="Z79" s="40" t="str">
        <f>IF(Z$4&lt;=PARAMETER!$X$2,SUMIF('2026'!$F:$F,$B79,'2026'!Y:Y)/PARAMETER!$T$3,"")</f>
        <v/>
      </c>
      <c r="AA79" s="40" t="str">
        <f>IF(AA$4&lt;=PARAMETER!$X$2,SUMIF('2026'!$F:$F,$B79,'2026'!Z:Z)/PARAMETER!$T$3,"")</f>
        <v/>
      </c>
      <c r="AB79" s="40" t="str">
        <f>IF(AB$4&lt;=PARAMETER!$X$2,SUMIF('2026'!$F:$F,$B79,'2026'!AA:AA)/PARAMETER!$T$3,"")</f>
        <v/>
      </c>
      <c r="AC79" s="40" t="str">
        <f>IF(AC$4&lt;=PARAMETER!$X$2,SUMIF('2026'!$F:$F,$B79,'2026'!AB:AB)/PARAMETER!$T$3,"")</f>
        <v/>
      </c>
      <c r="AD79" s="40" t="str">
        <f>IF(AD$4&lt;=PARAMETER!$X$2,SUMIF('2026'!$F:$F,$B79,'2026'!AC:AC)/PARAMETER!$T$3,"")</f>
        <v/>
      </c>
      <c r="AE79" s="40" t="str">
        <f>IF(AE$4&lt;=PARAMETER!$X$2,SUMIF('2026'!$F:$F,$B79,'2026'!AD:AD)/PARAMETER!$T$3,"")</f>
        <v/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>
        <f>IF(U$4&lt;=PARAMETER!$X$2,SUMIF('2025'!$F:$F,$B80,'2025'!T:T)/PARAMETER!$T$3,"")</f>
        <v>0</v>
      </c>
      <c r="V80" s="40" t="str">
        <f>IF(V$4&lt;=PARAMETER!$X$2,SUMIF('2025'!$F:$F,$B80,'2025'!U:U)/PARAMETER!$T$3,"")</f>
        <v/>
      </c>
      <c r="W80" s="40" t="str">
        <f>IF(W$4&lt;=PARAMETER!$X$2,SUMIF('2025'!$F:$F,$B80,'2025'!V:V)/PARAMETER!$T$3,"")</f>
        <v/>
      </c>
      <c r="X80" s="40" t="str">
        <f>IF(X$4&lt;=PARAMETER!$X$2,SUMIF('2025'!$F:$F,$B80,'2025'!W:W)/PARAMETER!$T$3,"")</f>
        <v/>
      </c>
      <c r="Y80" s="40" t="str">
        <f>IF(Y$4&lt;=PARAMETER!$X$2,SUMIF('2025'!$F:$F,$B80,'2025'!X:X)/PARAMETER!$T$3,"")</f>
        <v/>
      </c>
      <c r="Z80" s="40" t="str">
        <f>IF(Z$4&lt;=PARAMETER!$X$2,SUMIF('2025'!$F:$F,$B80,'2025'!Y:Y)/PARAMETER!$T$3,"")</f>
        <v/>
      </c>
      <c r="AA80" s="40" t="str">
        <f>IF(AA$4&lt;=PARAMETER!$X$2,SUMIF('2025'!$F:$F,$B80,'2025'!Z:Z)/PARAMETER!$T$3,"")</f>
        <v/>
      </c>
      <c r="AB80" s="40" t="str">
        <f>IF(AB$4&lt;=PARAMETER!$X$2,SUMIF('2025'!$F:$F,$B80,'2025'!AA:AA)/PARAMETER!$T$3,"")</f>
        <v/>
      </c>
      <c r="AC80" s="40" t="str">
        <f>IF(AC$4&lt;=PARAMETER!$X$2,SUMIF('2025'!$F:$F,$B80,'2025'!AB:AB)/PARAMETER!$T$3,"")</f>
        <v/>
      </c>
      <c r="AD80" s="40" t="str">
        <f>IF(AD$4&lt;=PARAMETER!$X$2,SUMIF('2025'!$F:$F,$B80,'2025'!AC:AC)/PARAMETER!$T$3,"")</f>
        <v/>
      </c>
      <c r="AE80" s="40" t="str">
        <f>IF(AE$4&lt;=PARAMETER!$X$2,SUMIF('2025'!$F:$F,$B80,'2025'!AD:AD)/PARAMETER!$T$3,"")</f>
        <v/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>
        <f>IF(U$4&lt;=PARAMETER!$X$2,SUMIF('2024'!$F:$F,$B81,'2024'!T:T)/PARAMETER!$T$3,"")</f>
        <v>0</v>
      </c>
      <c r="V81" s="71" t="str">
        <f>IF(V$4&lt;=PARAMETER!$X$2,SUMIF('2024'!$F:$F,$B81,'2024'!U:U)/PARAMETER!$T$3,"")</f>
        <v/>
      </c>
      <c r="W81" s="71" t="str">
        <f>IF(W$4&lt;=PARAMETER!$X$2,SUMIF('2024'!$F:$F,$B81,'2024'!V:V)/PARAMETER!$T$3,"")</f>
        <v/>
      </c>
      <c r="X81" s="71" t="str">
        <f>IF(X$4&lt;=PARAMETER!$X$2,SUMIF('2024'!$F:$F,$B81,'2024'!W:W)/PARAMETER!$T$3,"")</f>
        <v/>
      </c>
      <c r="Y81" s="71" t="str">
        <f>IF(Y$4&lt;=PARAMETER!$X$2,SUMIF('2024'!$F:$F,$B81,'2024'!X:X)/PARAMETER!$T$3,"")</f>
        <v/>
      </c>
      <c r="Z81" s="71" t="str">
        <f>IF(Z$4&lt;=PARAMETER!$X$2,SUMIF('2024'!$F:$F,$B81,'2024'!Y:Y)/PARAMETER!$T$3,"")</f>
        <v/>
      </c>
      <c r="AA81" s="71" t="str">
        <f>IF(AA$4&lt;=PARAMETER!$X$2,SUMIF('2024'!$F:$F,$B81,'2024'!Z:Z)/PARAMETER!$T$3,"")</f>
        <v/>
      </c>
      <c r="AB81" s="71" t="str">
        <f>IF(AB$4&lt;=PARAMETER!$X$2,SUMIF('2024'!$F:$F,$B81,'2024'!AA:AA)/PARAMETER!$T$3,"")</f>
        <v/>
      </c>
      <c r="AC81" s="71" t="str">
        <f>IF(AC$4&lt;=PARAMETER!$X$2,SUMIF('2024'!$F:$F,$B81,'2024'!AB:AB)/PARAMETER!$T$3,"")</f>
        <v/>
      </c>
      <c r="AD81" s="71" t="str">
        <f>IF(AD$4&lt;=PARAMETER!$X$2,SUMIF('2024'!$F:$F,$B81,'2024'!AC:AC)/PARAMETER!$T$3,"")</f>
        <v/>
      </c>
      <c r="AE81" s="71" t="str">
        <f>IF(AE$4&lt;=PARAMETER!$X$2,SUMIF('2024'!$F:$F,$B81,'2024'!AD:AD)/PARAMETER!$T$3,"")</f>
        <v/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>
        <f>IF(U$4&lt;=PARAMETER!$X$2,SUMIF('2026 T'!$F:$F,$B82,'2026 T'!T:T)/PARAMETER!$T$3,"")</f>
        <v>0</v>
      </c>
      <c r="V82" s="25" t="str">
        <f>IF(V$4&lt;=PARAMETER!$X$2,SUMIF('2026 T'!$F:$F,$B82,'2026 T'!U:U)/PARAMETER!$T$3,"")</f>
        <v/>
      </c>
      <c r="W82" s="25" t="str">
        <f>IF(W$4&lt;=PARAMETER!$X$2,SUMIF('2026 T'!$F:$F,$B82,'2026 T'!V:V)/PARAMETER!$T$3,"")</f>
        <v/>
      </c>
      <c r="X82" s="25" t="str">
        <f>IF(X$4&lt;=PARAMETER!$X$2,SUMIF('2026 T'!$F:$F,$B82,'2026 T'!W:W)/PARAMETER!$T$3,"")</f>
        <v/>
      </c>
      <c r="Y82" s="25" t="str">
        <f>IF(Y$4&lt;=PARAMETER!$X$2,SUMIF('2026 T'!$F:$F,$B82,'2026 T'!X:X)/PARAMETER!$T$3,"")</f>
        <v/>
      </c>
      <c r="Z82" s="25" t="str">
        <f>IF(Z$4&lt;=PARAMETER!$X$2,SUMIF('2026 T'!$F:$F,$B82,'2026 T'!Y:Y)/PARAMETER!$T$3,"")</f>
        <v/>
      </c>
      <c r="AA82" s="25" t="str">
        <f>IF(AA$4&lt;=PARAMETER!$X$2,SUMIF('2026 T'!$F:$F,$B82,'2026 T'!Z:Z)/PARAMETER!$T$3,"")</f>
        <v/>
      </c>
      <c r="AB82" s="25" t="str">
        <f>IF(AB$4&lt;=PARAMETER!$X$2,SUMIF('2026 T'!$F:$F,$B82,'2026 T'!AA:AA)/PARAMETER!$T$3,"")</f>
        <v/>
      </c>
      <c r="AC82" s="25" t="str">
        <f>IF(AC$4&lt;=PARAMETER!$X$2,SUMIF('2026 T'!$F:$F,$B82,'2026 T'!AB:AB)/PARAMETER!$T$3,"")</f>
        <v/>
      </c>
      <c r="AD82" s="25" t="str">
        <f>IF(AD$4&lt;=PARAMETER!$X$2,SUMIF('2026 T'!$F:$F,$B82,'2026 T'!AC:AC)/PARAMETER!$T$3,"")</f>
        <v/>
      </c>
      <c r="AE82" s="25" t="str">
        <f>IF(AE$4&lt;=PARAMETER!$X$2,SUMIF('2026 T'!$F:$F,$B82,'2026 T'!AD:AD)/PARAMETER!$T$3,"")</f>
        <v/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>
        <f>IF(U$4&lt;=PARAMETER!$X$2,SUMIF('2026'!$F:$F,$B83,'2026'!T:T)/PARAMETER!$T$3,"")</f>
        <v>0</v>
      </c>
      <c r="V83" s="40" t="str">
        <f>IF(V$4&lt;=PARAMETER!$X$2,SUMIF('2026'!$F:$F,$B83,'2026'!U:U)/PARAMETER!$T$3,"")</f>
        <v/>
      </c>
      <c r="W83" s="40" t="str">
        <f>IF(W$4&lt;=PARAMETER!$X$2,SUMIF('2026'!$F:$F,$B83,'2026'!V:V)/PARAMETER!$T$3,"")</f>
        <v/>
      </c>
      <c r="X83" s="40" t="str">
        <f>IF(X$4&lt;=PARAMETER!$X$2,SUMIF('2026'!$F:$F,$B83,'2026'!W:W)/PARAMETER!$T$3,"")</f>
        <v/>
      </c>
      <c r="Y83" s="40" t="str">
        <f>IF(Y$4&lt;=PARAMETER!$X$2,SUMIF('2026'!$F:$F,$B83,'2026'!X:X)/PARAMETER!$T$3,"")</f>
        <v/>
      </c>
      <c r="Z83" s="40" t="str">
        <f>IF(Z$4&lt;=PARAMETER!$X$2,SUMIF('2026'!$F:$F,$B83,'2026'!Y:Y)/PARAMETER!$T$3,"")</f>
        <v/>
      </c>
      <c r="AA83" s="40" t="str">
        <f>IF(AA$4&lt;=PARAMETER!$X$2,SUMIF('2026'!$F:$F,$B83,'2026'!Z:Z)/PARAMETER!$T$3,"")</f>
        <v/>
      </c>
      <c r="AB83" s="40" t="str">
        <f>IF(AB$4&lt;=PARAMETER!$X$2,SUMIF('2026'!$F:$F,$B83,'2026'!AA:AA)/PARAMETER!$T$3,"")</f>
        <v/>
      </c>
      <c r="AC83" s="40" t="str">
        <f>IF(AC$4&lt;=PARAMETER!$X$2,SUMIF('2026'!$F:$F,$B83,'2026'!AB:AB)/PARAMETER!$T$3,"")</f>
        <v/>
      </c>
      <c r="AD83" s="40" t="str">
        <f>IF(AD$4&lt;=PARAMETER!$X$2,SUMIF('2026'!$F:$F,$B83,'2026'!AC:AC)/PARAMETER!$T$3,"")</f>
        <v/>
      </c>
      <c r="AE83" s="40" t="str">
        <f>IF(AE$4&lt;=PARAMETER!$X$2,SUMIF('2026'!$F:$F,$B83,'2026'!AD:AD)/PARAMETER!$T$3,"")</f>
        <v/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>
        <f>IF(U$4&lt;=PARAMETER!$X$2,SUMIF('2025'!$F:$F,$B84,'2025'!T:T)/PARAMETER!$T$3,"")</f>
        <v>0</v>
      </c>
      <c r="V84" s="40" t="str">
        <f>IF(V$4&lt;=PARAMETER!$X$2,SUMIF('2025'!$F:$F,$B84,'2025'!U:U)/PARAMETER!$T$3,"")</f>
        <v/>
      </c>
      <c r="W84" s="40" t="str">
        <f>IF(W$4&lt;=PARAMETER!$X$2,SUMIF('2025'!$F:$F,$B84,'2025'!V:V)/PARAMETER!$T$3,"")</f>
        <v/>
      </c>
      <c r="X84" s="40" t="str">
        <f>IF(X$4&lt;=PARAMETER!$X$2,SUMIF('2025'!$F:$F,$B84,'2025'!W:W)/PARAMETER!$T$3,"")</f>
        <v/>
      </c>
      <c r="Y84" s="40" t="str">
        <f>IF(Y$4&lt;=PARAMETER!$X$2,SUMIF('2025'!$F:$F,$B84,'2025'!X:X)/PARAMETER!$T$3,"")</f>
        <v/>
      </c>
      <c r="Z84" s="40" t="str">
        <f>IF(Z$4&lt;=PARAMETER!$X$2,SUMIF('2025'!$F:$F,$B84,'2025'!Y:Y)/PARAMETER!$T$3,"")</f>
        <v/>
      </c>
      <c r="AA84" s="40" t="str">
        <f>IF(AA$4&lt;=PARAMETER!$X$2,SUMIF('2025'!$F:$F,$B84,'2025'!Z:Z)/PARAMETER!$T$3,"")</f>
        <v/>
      </c>
      <c r="AB84" s="40" t="str">
        <f>IF(AB$4&lt;=PARAMETER!$X$2,SUMIF('2025'!$F:$F,$B84,'2025'!AA:AA)/PARAMETER!$T$3,"")</f>
        <v/>
      </c>
      <c r="AC84" s="40" t="str">
        <f>IF(AC$4&lt;=PARAMETER!$X$2,SUMIF('2025'!$F:$F,$B84,'2025'!AB:AB)/PARAMETER!$T$3,"")</f>
        <v/>
      </c>
      <c r="AD84" s="40" t="str">
        <f>IF(AD$4&lt;=PARAMETER!$X$2,SUMIF('2025'!$F:$F,$B84,'2025'!AC:AC)/PARAMETER!$T$3,"")</f>
        <v/>
      </c>
      <c r="AE84" s="40" t="str">
        <f>IF(AE$4&lt;=PARAMETER!$X$2,SUMIF('2025'!$F:$F,$B84,'2025'!AD:AD)/PARAMETER!$T$3,"")</f>
        <v/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>
        <f>IF(U$4&lt;=PARAMETER!$X$2,SUMIF('2024'!$F:$F,$B85,'2024'!T:T)/PARAMETER!$T$3,"")</f>
        <v>0</v>
      </c>
      <c r="V85" s="71" t="str">
        <f>IF(V$4&lt;=PARAMETER!$X$2,SUMIF('2024'!$F:$F,$B85,'2024'!U:U)/PARAMETER!$T$3,"")</f>
        <v/>
      </c>
      <c r="W85" s="71" t="str">
        <f>IF(W$4&lt;=PARAMETER!$X$2,SUMIF('2024'!$F:$F,$B85,'2024'!V:V)/PARAMETER!$T$3,"")</f>
        <v/>
      </c>
      <c r="X85" s="71" t="str">
        <f>IF(X$4&lt;=PARAMETER!$X$2,SUMIF('2024'!$F:$F,$B85,'2024'!W:W)/PARAMETER!$T$3,"")</f>
        <v/>
      </c>
      <c r="Y85" s="71" t="str">
        <f>IF(Y$4&lt;=PARAMETER!$X$2,SUMIF('2024'!$F:$F,$B85,'2024'!X:X)/PARAMETER!$T$3,"")</f>
        <v/>
      </c>
      <c r="Z85" s="71" t="str">
        <f>IF(Z$4&lt;=PARAMETER!$X$2,SUMIF('2024'!$F:$F,$B85,'2024'!Y:Y)/PARAMETER!$T$3,"")</f>
        <v/>
      </c>
      <c r="AA85" s="71" t="str">
        <f>IF(AA$4&lt;=PARAMETER!$X$2,SUMIF('2024'!$F:$F,$B85,'2024'!Z:Z)/PARAMETER!$T$3,"")</f>
        <v/>
      </c>
      <c r="AB85" s="71" t="str">
        <f>IF(AB$4&lt;=PARAMETER!$X$2,SUMIF('2024'!$F:$F,$B85,'2024'!AA:AA)/PARAMETER!$T$3,"")</f>
        <v/>
      </c>
      <c r="AC85" s="71" t="str">
        <f>IF(AC$4&lt;=PARAMETER!$X$2,SUMIF('2024'!$F:$F,$B85,'2024'!AB:AB)/PARAMETER!$T$3,"")</f>
        <v/>
      </c>
      <c r="AD85" s="71" t="str">
        <f>IF(AD$4&lt;=PARAMETER!$X$2,SUMIF('2024'!$F:$F,$B85,'2024'!AC:AC)/PARAMETER!$T$3,"")</f>
        <v/>
      </c>
      <c r="AE85" s="71" t="str">
        <f>IF(AE$4&lt;=PARAMETER!$X$2,SUMIF('2024'!$F:$F,$B85,'2024'!AD:AD)/PARAMETER!$T$3,"")</f>
        <v/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>
        <f>IF(U$4&lt;=PARAMETER!$X$2,SUMIF('2026 T'!$F:$F,$B86,'2026 T'!T:T)/PARAMETER!$T$3,"")</f>
        <v>0</v>
      </c>
      <c r="V86" s="25" t="str">
        <f>IF(V$4&lt;=PARAMETER!$X$2,SUMIF('2026 T'!$F:$F,$B86,'2026 T'!U:U)/PARAMETER!$T$3,"")</f>
        <v/>
      </c>
      <c r="W86" s="25" t="str">
        <f>IF(W$4&lt;=PARAMETER!$X$2,SUMIF('2026 T'!$F:$F,$B86,'2026 T'!V:V)/PARAMETER!$T$3,"")</f>
        <v/>
      </c>
      <c r="X86" s="25" t="str">
        <f>IF(X$4&lt;=PARAMETER!$X$2,SUMIF('2026 T'!$F:$F,$B86,'2026 T'!W:W)/PARAMETER!$T$3,"")</f>
        <v/>
      </c>
      <c r="Y86" s="25" t="str">
        <f>IF(Y$4&lt;=PARAMETER!$X$2,SUMIF('2026 T'!$F:$F,$B86,'2026 T'!X:X)/PARAMETER!$T$3,"")</f>
        <v/>
      </c>
      <c r="Z86" s="25" t="str">
        <f>IF(Z$4&lt;=PARAMETER!$X$2,SUMIF('2026 T'!$F:$F,$B86,'2026 T'!Y:Y)/PARAMETER!$T$3,"")</f>
        <v/>
      </c>
      <c r="AA86" s="25" t="str">
        <f>IF(AA$4&lt;=PARAMETER!$X$2,SUMIF('2026 T'!$F:$F,$B86,'2026 T'!Z:Z)/PARAMETER!$T$3,"")</f>
        <v/>
      </c>
      <c r="AB86" s="25" t="str">
        <f>IF(AB$4&lt;=PARAMETER!$X$2,SUMIF('2026 T'!$F:$F,$B86,'2026 T'!AA:AA)/PARAMETER!$T$3,"")</f>
        <v/>
      </c>
      <c r="AC86" s="25" t="str">
        <f>IF(AC$4&lt;=PARAMETER!$X$2,SUMIF('2026 T'!$F:$F,$B86,'2026 T'!AB:AB)/PARAMETER!$T$3,"")</f>
        <v/>
      </c>
      <c r="AD86" s="25" t="str">
        <f>IF(AD$4&lt;=PARAMETER!$X$2,SUMIF('2026 T'!$F:$F,$B86,'2026 T'!AC:AC)/PARAMETER!$T$3,"")</f>
        <v/>
      </c>
      <c r="AE86" s="25" t="str">
        <f>IF(AE$4&lt;=PARAMETER!$X$2,SUMIF('2026 T'!$F:$F,$B86,'2026 T'!AD:AD)/PARAMETER!$T$3,"")</f>
        <v/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>
        <f>IF(U$4&lt;=PARAMETER!$X$2,SUMIF('2026'!$F:$F,$B87,'2026'!T:T)/PARAMETER!$T$3,"")</f>
        <v>0</v>
      </c>
      <c r="V87" s="40" t="str">
        <f>IF(V$4&lt;=PARAMETER!$X$2,SUMIF('2026'!$F:$F,$B87,'2026'!U:U)/PARAMETER!$T$3,"")</f>
        <v/>
      </c>
      <c r="W87" s="40" t="str">
        <f>IF(W$4&lt;=PARAMETER!$X$2,SUMIF('2026'!$F:$F,$B87,'2026'!V:V)/PARAMETER!$T$3,"")</f>
        <v/>
      </c>
      <c r="X87" s="40" t="str">
        <f>IF(X$4&lt;=PARAMETER!$X$2,SUMIF('2026'!$F:$F,$B87,'2026'!W:W)/PARAMETER!$T$3,"")</f>
        <v/>
      </c>
      <c r="Y87" s="40" t="str">
        <f>IF(Y$4&lt;=PARAMETER!$X$2,SUMIF('2026'!$F:$F,$B87,'2026'!X:X)/PARAMETER!$T$3,"")</f>
        <v/>
      </c>
      <c r="Z87" s="40" t="str">
        <f>IF(Z$4&lt;=PARAMETER!$X$2,SUMIF('2026'!$F:$F,$B87,'2026'!Y:Y)/PARAMETER!$T$3,"")</f>
        <v/>
      </c>
      <c r="AA87" s="40" t="str">
        <f>IF(AA$4&lt;=PARAMETER!$X$2,SUMIF('2026'!$F:$F,$B87,'2026'!Z:Z)/PARAMETER!$T$3,"")</f>
        <v/>
      </c>
      <c r="AB87" s="40" t="str">
        <f>IF(AB$4&lt;=PARAMETER!$X$2,SUMIF('2026'!$F:$F,$B87,'2026'!AA:AA)/PARAMETER!$T$3,"")</f>
        <v/>
      </c>
      <c r="AC87" s="40" t="str">
        <f>IF(AC$4&lt;=PARAMETER!$X$2,SUMIF('2026'!$F:$F,$B87,'2026'!AB:AB)/PARAMETER!$T$3,"")</f>
        <v/>
      </c>
      <c r="AD87" s="40" t="str">
        <f>IF(AD$4&lt;=PARAMETER!$X$2,SUMIF('2026'!$F:$F,$B87,'2026'!AC:AC)/PARAMETER!$T$3,"")</f>
        <v/>
      </c>
      <c r="AE87" s="40" t="str">
        <f>IF(AE$4&lt;=PARAMETER!$X$2,SUMIF('2026'!$F:$F,$B87,'2026'!AD:AD)/PARAMETER!$T$3,"")</f>
        <v/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>
        <f>IF(U$4&lt;=PARAMETER!$X$2,SUMIF('2025'!$F:$F,$B88,'2025'!T:T)/PARAMETER!$T$3,"")</f>
        <v>0</v>
      </c>
      <c r="V88" s="40" t="str">
        <f>IF(V$4&lt;=PARAMETER!$X$2,SUMIF('2025'!$F:$F,$B88,'2025'!U:U)/PARAMETER!$T$3,"")</f>
        <v/>
      </c>
      <c r="W88" s="40" t="str">
        <f>IF(W$4&lt;=PARAMETER!$X$2,SUMIF('2025'!$F:$F,$B88,'2025'!V:V)/PARAMETER!$T$3,"")</f>
        <v/>
      </c>
      <c r="X88" s="40" t="str">
        <f>IF(X$4&lt;=PARAMETER!$X$2,SUMIF('2025'!$F:$F,$B88,'2025'!W:W)/PARAMETER!$T$3,"")</f>
        <v/>
      </c>
      <c r="Y88" s="40" t="str">
        <f>IF(Y$4&lt;=PARAMETER!$X$2,SUMIF('2025'!$F:$F,$B88,'2025'!X:X)/PARAMETER!$T$3,"")</f>
        <v/>
      </c>
      <c r="Z88" s="40" t="str">
        <f>IF(Z$4&lt;=PARAMETER!$X$2,SUMIF('2025'!$F:$F,$B88,'2025'!Y:Y)/PARAMETER!$T$3,"")</f>
        <v/>
      </c>
      <c r="AA88" s="40" t="str">
        <f>IF(AA$4&lt;=PARAMETER!$X$2,SUMIF('2025'!$F:$F,$B88,'2025'!Z:Z)/PARAMETER!$T$3,"")</f>
        <v/>
      </c>
      <c r="AB88" s="40" t="str">
        <f>IF(AB$4&lt;=PARAMETER!$X$2,SUMIF('2025'!$F:$F,$B88,'2025'!AA:AA)/PARAMETER!$T$3,"")</f>
        <v/>
      </c>
      <c r="AC88" s="40" t="str">
        <f>IF(AC$4&lt;=PARAMETER!$X$2,SUMIF('2025'!$F:$F,$B88,'2025'!AB:AB)/PARAMETER!$T$3,"")</f>
        <v/>
      </c>
      <c r="AD88" s="40" t="str">
        <f>IF(AD$4&lt;=PARAMETER!$X$2,SUMIF('2025'!$F:$F,$B88,'2025'!AC:AC)/PARAMETER!$T$3,"")</f>
        <v/>
      </c>
      <c r="AE88" s="40" t="str">
        <f>IF(AE$4&lt;=PARAMETER!$X$2,SUMIF('2025'!$F:$F,$B88,'2025'!AD:AD)/PARAMETER!$T$3,"")</f>
        <v/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>
        <f>IF(U$4&lt;=PARAMETER!$X$2,SUMIF('2024'!$F:$F,$B89,'2024'!T:T)/PARAMETER!$T$3,"")</f>
        <v>0</v>
      </c>
      <c r="V89" s="71" t="str">
        <f>IF(V$4&lt;=PARAMETER!$X$2,SUMIF('2024'!$F:$F,$B89,'2024'!U:U)/PARAMETER!$T$3,"")</f>
        <v/>
      </c>
      <c r="W89" s="71" t="str">
        <f>IF(W$4&lt;=PARAMETER!$X$2,SUMIF('2024'!$F:$F,$B89,'2024'!V:V)/PARAMETER!$T$3,"")</f>
        <v/>
      </c>
      <c r="X89" s="71" t="str">
        <f>IF(X$4&lt;=PARAMETER!$X$2,SUMIF('2024'!$F:$F,$B89,'2024'!W:W)/PARAMETER!$T$3,"")</f>
        <v/>
      </c>
      <c r="Y89" s="71" t="str">
        <f>IF(Y$4&lt;=PARAMETER!$X$2,SUMIF('2024'!$F:$F,$B89,'2024'!X:X)/PARAMETER!$T$3,"")</f>
        <v/>
      </c>
      <c r="Z89" s="71" t="str">
        <f>IF(Z$4&lt;=PARAMETER!$X$2,SUMIF('2024'!$F:$F,$B89,'2024'!Y:Y)/PARAMETER!$T$3,"")</f>
        <v/>
      </c>
      <c r="AA89" s="71" t="str">
        <f>IF(AA$4&lt;=PARAMETER!$X$2,SUMIF('2024'!$F:$F,$B89,'2024'!Z:Z)/PARAMETER!$T$3,"")</f>
        <v/>
      </c>
      <c r="AB89" s="71" t="str">
        <f>IF(AB$4&lt;=PARAMETER!$X$2,SUMIF('2024'!$F:$F,$B89,'2024'!AA:AA)/PARAMETER!$T$3,"")</f>
        <v/>
      </c>
      <c r="AC89" s="71" t="str">
        <f>IF(AC$4&lt;=PARAMETER!$X$2,SUMIF('2024'!$F:$F,$B89,'2024'!AB:AB)/PARAMETER!$T$3,"")</f>
        <v/>
      </c>
      <c r="AD89" s="71" t="str">
        <f>IF(AD$4&lt;=PARAMETER!$X$2,SUMIF('2024'!$F:$F,$B89,'2024'!AC:AC)/PARAMETER!$T$3,"")</f>
        <v/>
      </c>
      <c r="AE89" s="71" t="str">
        <f>IF(AE$4&lt;=PARAMETER!$X$2,SUMIF('2024'!$F:$F,$B89,'2024'!AD:AD)/PARAMETER!$T$3,"")</f>
        <v/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>
        <f>IF(U$4&lt;=PARAMETER!$X$2,SUMIF('2026 T'!$F:$F,$B90,'2026 T'!T:T)/PARAMETER!$T$3,"")</f>
        <v>0</v>
      </c>
      <c r="V90" s="25" t="str">
        <f>IF(V$4&lt;=PARAMETER!$X$2,SUMIF('2026 T'!$F:$F,$B90,'2026 T'!U:U)/PARAMETER!$T$3,"")</f>
        <v/>
      </c>
      <c r="W90" s="25" t="str">
        <f>IF(W$4&lt;=PARAMETER!$X$2,SUMIF('2026 T'!$F:$F,$B90,'2026 T'!V:V)/PARAMETER!$T$3,"")</f>
        <v/>
      </c>
      <c r="X90" s="25" t="str">
        <f>IF(X$4&lt;=PARAMETER!$X$2,SUMIF('2026 T'!$F:$F,$B90,'2026 T'!W:W)/PARAMETER!$T$3,"")</f>
        <v/>
      </c>
      <c r="Y90" s="25" t="str">
        <f>IF(Y$4&lt;=PARAMETER!$X$2,SUMIF('2026 T'!$F:$F,$B90,'2026 T'!X:X)/PARAMETER!$T$3,"")</f>
        <v/>
      </c>
      <c r="Z90" s="25" t="str">
        <f>IF(Z$4&lt;=PARAMETER!$X$2,SUMIF('2026 T'!$F:$F,$B90,'2026 T'!Y:Y)/PARAMETER!$T$3,"")</f>
        <v/>
      </c>
      <c r="AA90" s="25" t="str">
        <f>IF(AA$4&lt;=PARAMETER!$X$2,SUMIF('2026 T'!$F:$F,$B90,'2026 T'!Z:Z)/PARAMETER!$T$3,"")</f>
        <v/>
      </c>
      <c r="AB90" s="25" t="str">
        <f>IF(AB$4&lt;=PARAMETER!$X$2,SUMIF('2026 T'!$F:$F,$B90,'2026 T'!AA:AA)/PARAMETER!$T$3,"")</f>
        <v/>
      </c>
      <c r="AC90" s="25" t="str">
        <f>IF(AC$4&lt;=PARAMETER!$X$2,SUMIF('2026 T'!$F:$F,$B90,'2026 T'!AB:AB)/PARAMETER!$T$3,"")</f>
        <v/>
      </c>
      <c r="AD90" s="25" t="str">
        <f>IF(AD$4&lt;=PARAMETER!$X$2,SUMIF('2026 T'!$F:$F,$B90,'2026 T'!AC:AC)/PARAMETER!$T$3,"")</f>
        <v/>
      </c>
      <c r="AE90" s="25" t="str">
        <f>IF(AE$4&lt;=PARAMETER!$X$2,SUMIF('2026 T'!$F:$F,$B90,'2026 T'!AD:AD)/PARAMETER!$T$3,"")</f>
        <v/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>
        <f>IF(U$4&lt;=PARAMETER!$X$2,SUMIF('2026'!$F:$F,$B91,'2026'!T:T)/PARAMETER!$T$3,"")</f>
        <v>0</v>
      </c>
      <c r="V91" s="40" t="str">
        <f>IF(V$4&lt;=PARAMETER!$X$2,SUMIF('2026'!$F:$F,$B91,'2026'!U:U)/PARAMETER!$T$3,"")</f>
        <v/>
      </c>
      <c r="W91" s="40" t="str">
        <f>IF(W$4&lt;=PARAMETER!$X$2,SUMIF('2026'!$F:$F,$B91,'2026'!V:V)/PARAMETER!$T$3,"")</f>
        <v/>
      </c>
      <c r="X91" s="40" t="str">
        <f>IF(X$4&lt;=PARAMETER!$X$2,SUMIF('2026'!$F:$F,$B91,'2026'!W:W)/PARAMETER!$T$3,"")</f>
        <v/>
      </c>
      <c r="Y91" s="40" t="str">
        <f>IF(Y$4&lt;=PARAMETER!$X$2,SUMIF('2026'!$F:$F,$B91,'2026'!X:X)/PARAMETER!$T$3,"")</f>
        <v/>
      </c>
      <c r="Z91" s="40" t="str">
        <f>IF(Z$4&lt;=PARAMETER!$X$2,SUMIF('2026'!$F:$F,$B91,'2026'!Y:Y)/PARAMETER!$T$3,"")</f>
        <v/>
      </c>
      <c r="AA91" s="40" t="str">
        <f>IF(AA$4&lt;=PARAMETER!$X$2,SUMIF('2026'!$F:$F,$B91,'2026'!Z:Z)/PARAMETER!$T$3,"")</f>
        <v/>
      </c>
      <c r="AB91" s="40" t="str">
        <f>IF(AB$4&lt;=PARAMETER!$X$2,SUMIF('2026'!$F:$F,$B91,'2026'!AA:AA)/PARAMETER!$T$3,"")</f>
        <v/>
      </c>
      <c r="AC91" s="40" t="str">
        <f>IF(AC$4&lt;=PARAMETER!$X$2,SUMIF('2026'!$F:$F,$B91,'2026'!AB:AB)/PARAMETER!$T$3,"")</f>
        <v/>
      </c>
      <c r="AD91" s="40" t="str">
        <f>IF(AD$4&lt;=PARAMETER!$X$2,SUMIF('2026'!$F:$F,$B91,'2026'!AC:AC)/PARAMETER!$T$3,"")</f>
        <v/>
      </c>
      <c r="AE91" s="40" t="str">
        <f>IF(AE$4&lt;=PARAMETER!$X$2,SUMIF('2026'!$F:$F,$B91,'2026'!AD:AD)/PARAMETER!$T$3,"")</f>
        <v/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>
        <f>IF(U$4&lt;=PARAMETER!$X$2,SUMIF('2025'!$F:$F,$B92,'2025'!T:T)/PARAMETER!$T$3,"")</f>
        <v>0</v>
      </c>
      <c r="V92" s="40" t="str">
        <f>IF(V$4&lt;=PARAMETER!$X$2,SUMIF('2025'!$F:$F,$B92,'2025'!U:U)/PARAMETER!$T$3,"")</f>
        <v/>
      </c>
      <c r="W92" s="40" t="str">
        <f>IF(W$4&lt;=PARAMETER!$X$2,SUMIF('2025'!$F:$F,$B92,'2025'!V:V)/PARAMETER!$T$3,"")</f>
        <v/>
      </c>
      <c r="X92" s="40" t="str">
        <f>IF(X$4&lt;=PARAMETER!$X$2,SUMIF('2025'!$F:$F,$B92,'2025'!W:W)/PARAMETER!$T$3,"")</f>
        <v/>
      </c>
      <c r="Y92" s="40" t="str">
        <f>IF(Y$4&lt;=PARAMETER!$X$2,SUMIF('2025'!$F:$F,$B92,'2025'!X:X)/PARAMETER!$T$3,"")</f>
        <v/>
      </c>
      <c r="Z92" s="40" t="str">
        <f>IF(Z$4&lt;=PARAMETER!$X$2,SUMIF('2025'!$F:$F,$B92,'2025'!Y:Y)/PARAMETER!$T$3,"")</f>
        <v/>
      </c>
      <c r="AA92" s="40" t="str">
        <f>IF(AA$4&lt;=PARAMETER!$X$2,SUMIF('2025'!$F:$F,$B92,'2025'!Z:Z)/PARAMETER!$T$3,"")</f>
        <v/>
      </c>
      <c r="AB92" s="40" t="str">
        <f>IF(AB$4&lt;=PARAMETER!$X$2,SUMIF('2025'!$F:$F,$B92,'2025'!AA:AA)/PARAMETER!$T$3,"")</f>
        <v/>
      </c>
      <c r="AC92" s="40" t="str">
        <f>IF(AC$4&lt;=PARAMETER!$X$2,SUMIF('2025'!$F:$F,$B92,'2025'!AB:AB)/PARAMETER!$T$3,"")</f>
        <v/>
      </c>
      <c r="AD92" s="40" t="str">
        <f>IF(AD$4&lt;=PARAMETER!$X$2,SUMIF('2025'!$F:$F,$B92,'2025'!AC:AC)/PARAMETER!$T$3,"")</f>
        <v/>
      </c>
      <c r="AE92" s="40" t="str">
        <f>IF(AE$4&lt;=PARAMETER!$X$2,SUMIF('2025'!$F:$F,$B92,'2025'!AD:AD)/PARAMETER!$T$3,"")</f>
        <v/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>
        <f>IF(U$4&lt;=PARAMETER!$X$2,SUMIF('2024'!$F:$F,$B93,'2024'!T:T)/PARAMETER!$T$3,"")</f>
        <v>0</v>
      </c>
      <c r="V93" s="71" t="str">
        <f>IF(V$4&lt;=PARAMETER!$X$2,SUMIF('2024'!$F:$F,$B93,'2024'!U:U)/PARAMETER!$T$3,"")</f>
        <v/>
      </c>
      <c r="W93" s="71" t="str">
        <f>IF(W$4&lt;=PARAMETER!$X$2,SUMIF('2024'!$F:$F,$B93,'2024'!V:V)/PARAMETER!$T$3,"")</f>
        <v/>
      </c>
      <c r="X93" s="71" t="str">
        <f>IF(X$4&lt;=PARAMETER!$X$2,SUMIF('2024'!$F:$F,$B93,'2024'!W:W)/PARAMETER!$T$3,"")</f>
        <v/>
      </c>
      <c r="Y93" s="71" t="str">
        <f>IF(Y$4&lt;=PARAMETER!$X$2,SUMIF('2024'!$F:$F,$B93,'2024'!X:X)/PARAMETER!$T$3,"")</f>
        <v/>
      </c>
      <c r="Z93" s="71" t="str">
        <f>IF(Z$4&lt;=PARAMETER!$X$2,SUMIF('2024'!$F:$F,$B93,'2024'!Y:Y)/PARAMETER!$T$3,"")</f>
        <v/>
      </c>
      <c r="AA93" s="71" t="str">
        <f>IF(AA$4&lt;=PARAMETER!$X$2,SUMIF('2024'!$F:$F,$B93,'2024'!Z:Z)/PARAMETER!$T$3,"")</f>
        <v/>
      </c>
      <c r="AB93" s="71" t="str">
        <f>IF(AB$4&lt;=PARAMETER!$X$2,SUMIF('2024'!$F:$F,$B93,'2024'!AA:AA)/PARAMETER!$T$3,"")</f>
        <v/>
      </c>
      <c r="AC93" s="71" t="str">
        <f>IF(AC$4&lt;=PARAMETER!$X$2,SUMIF('2024'!$F:$F,$B93,'2024'!AB:AB)/PARAMETER!$T$3,"")</f>
        <v/>
      </c>
      <c r="AD93" s="71" t="str">
        <f>IF(AD$4&lt;=PARAMETER!$X$2,SUMIF('2024'!$F:$F,$B93,'2024'!AC:AC)/PARAMETER!$T$3,"")</f>
        <v/>
      </c>
      <c r="AE93" s="71" t="str">
        <f>IF(AE$4&lt;=PARAMETER!$X$2,SUMIF('2024'!$F:$F,$B93,'2024'!AD:AD)/PARAMETER!$T$3,"")</f>
        <v/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>
        <f>IF(U$4&lt;=PARAMETER!$X$2,SUMIF('2026 T'!$F:$F,$B94,'2026 T'!T:T)/PARAMETER!$T$3,"")</f>
        <v>0</v>
      </c>
      <c r="V94" s="25" t="str">
        <f>IF(V$4&lt;=PARAMETER!$X$2,SUMIF('2026 T'!$F:$F,$B94,'2026 T'!U:U)/PARAMETER!$T$3,"")</f>
        <v/>
      </c>
      <c r="W94" s="25" t="str">
        <f>IF(W$4&lt;=PARAMETER!$X$2,SUMIF('2026 T'!$F:$F,$B94,'2026 T'!V:V)/PARAMETER!$T$3,"")</f>
        <v/>
      </c>
      <c r="X94" s="25" t="str">
        <f>IF(X$4&lt;=PARAMETER!$X$2,SUMIF('2026 T'!$F:$F,$B94,'2026 T'!W:W)/PARAMETER!$T$3,"")</f>
        <v/>
      </c>
      <c r="Y94" s="25" t="str">
        <f>IF(Y$4&lt;=PARAMETER!$X$2,SUMIF('2026 T'!$F:$F,$B94,'2026 T'!X:X)/PARAMETER!$T$3,"")</f>
        <v/>
      </c>
      <c r="Z94" s="25" t="str">
        <f>IF(Z$4&lt;=PARAMETER!$X$2,SUMIF('2026 T'!$F:$F,$B94,'2026 T'!Y:Y)/PARAMETER!$T$3,"")</f>
        <v/>
      </c>
      <c r="AA94" s="25" t="str">
        <f>IF(AA$4&lt;=PARAMETER!$X$2,SUMIF('2026 T'!$F:$F,$B94,'2026 T'!Z:Z)/PARAMETER!$T$3,"")</f>
        <v/>
      </c>
      <c r="AB94" s="25" t="str">
        <f>IF(AB$4&lt;=PARAMETER!$X$2,SUMIF('2026 T'!$F:$F,$B94,'2026 T'!AA:AA)/PARAMETER!$T$3,"")</f>
        <v/>
      </c>
      <c r="AC94" s="25" t="str">
        <f>IF(AC$4&lt;=PARAMETER!$X$2,SUMIF('2026 T'!$F:$F,$B94,'2026 T'!AB:AB)/PARAMETER!$T$3,"")</f>
        <v/>
      </c>
      <c r="AD94" s="25" t="str">
        <f>IF(AD$4&lt;=PARAMETER!$X$2,SUMIF('2026 T'!$F:$F,$B94,'2026 T'!AC:AC)/PARAMETER!$T$3,"")</f>
        <v/>
      </c>
      <c r="AE94" s="25" t="str">
        <f>IF(AE$4&lt;=PARAMETER!$X$2,SUMIF('2026 T'!$F:$F,$B94,'2026 T'!AD:AD)/PARAMETER!$T$3,"")</f>
        <v/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>
        <f>IF(U$4&lt;=PARAMETER!$X$2,SUMIF('2026'!$F:$F,$B95,'2026'!T:T)/PARAMETER!$T$3,"")</f>
        <v>0</v>
      </c>
      <c r="V95" s="40" t="str">
        <f>IF(V$4&lt;=PARAMETER!$X$2,SUMIF('2026'!$F:$F,$B95,'2026'!U:U)/PARAMETER!$T$3,"")</f>
        <v/>
      </c>
      <c r="W95" s="40" t="str">
        <f>IF(W$4&lt;=PARAMETER!$X$2,SUMIF('2026'!$F:$F,$B95,'2026'!V:V)/PARAMETER!$T$3,"")</f>
        <v/>
      </c>
      <c r="X95" s="40" t="str">
        <f>IF(X$4&lt;=PARAMETER!$X$2,SUMIF('2026'!$F:$F,$B95,'2026'!W:W)/PARAMETER!$T$3,"")</f>
        <v/>
      </c>
      <c r="Y95" s="40" t="str">
        <f>IF(Y$4&lt;=PARAMETER!$X$2,SUMIF('2026'!$F:$F,$B95,'2026'!X:X)/PARAMETER!$T$3,"")</f>
        <v/>
      </c>
      <c r="Z95" s="40" t="str">
        <f>IF(Z$4&lt;=PARAMETER!$X$2,SUMIF('2026'!$F:$F,$B95,'2026'!Y:Y)/PARAMETER!$T$3,"")</f>
        <v/>
      </c>
      <c r="AA95" s="40" t="str">
        <f>IF(AA$4&lt;=PARAMETER!$X$2,SUMIF('2026'!$F:$F,$B95,'2026'!Z:Z)/PARAMETER!$T$3,"")</f>
        <v/>
      </c>
      <c r="AB95" s="40" t="str">
        <f>IF(AB$4&lt;=PARAMETER!$X$2,SUMIF('2026'!$F:$F,$B95,'2026'!AA:AA)/PARAMETER!$T$3,"")</f>
        <v/>
      </c>
      <c r="AC95" s="40" t="str">
        <f>IF(AC$4&lt;=PARAMETER!$X$2,SUMIF('2026'!$F:$F,$B95,'2026'!AB:AB)/PARAMETER!$T$3,"")</f>
        <v/>
      </c>
      <c r="AD95" s="40" t="str">
        <f>IF(AD$4&lt;=PARAMETER!$X$2,SUMIF('2026'!$F:$F,$B95,'2026'!AC:AC)/PARAMETER!$T$3,"")</f>
        <v/>
      </c>
      <c r="AE95" s="40" t="str">
        <f>IF(AE$4&lt;=PARAMETER!$X$2,SUMIF('2026'!$F:$F,$B95,'2026'!AD:AD)/PARAMETER!$T$3,"")</f>
        <v/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>
        <f>IF(U$4&lt;=PARAMETER!$X$2,SUMIF('2025'!$F:$F,$B96,'2025'!T:T)/PARAMETER!$T$3,"")</f>
        <v>0</v>
      </c>
      <c r="V96" s="40" t="str">
        <f>IF(V$4&lt;=PARAMETER!$X$2,SUMIF('2025'!$F:$F,$B96,'2025'!U:U)/PARAMETER!$T$3,"")</f>
        <v/>
      </c>
      <c r="W96" s="40" t="str">
        <f>IF(W$4&lt;=PARAMETER!$X$2,SUMIF('2025'!$F:$F,$B96,'2025'!V:V)/PARAMETER!$T$3,"")</f>
        <v/>
      </c>
      <c r="X96" s="40" t="str">
        <f>IF(X$4&lt;=PARAMETER!$X$2,SUMIF('2025'!$F:$F,$B96,'2025'!W:W)/PARAMETER!$T$3,"")</f>
        <v/>
      </c>
      <c r="Y96" s="40" t="str">
        <f>IF(Y$4&lt;=PARAMETER!$X$2,SUMIF('2025'!$F:$F,$B96,'2025'!X:X)/PARAMETER!$T$3,"")</f>
        <v/>
      </c>
      <c r="Z96" s="40" t="str">
        <f>IF(Z$4&lt;=PARAMETER!$X$2,SUMIF('2025'!$F:$F,$B96,'2025'!Y:Y)/PARAMETER!$T$3,"")</f>
        <v/>
      </c>
      <c r="AA96" s="40" t="str">
        <f>IF(AA$4&lt;=PARAMETER!$X$2,SUMIF('2025'!$F:$F,$B96,'2025'!Z:Z)/PARAMETER!$T$3,"")</f>
        <v/>
      </c>
      <c r="AB96" s="40" t="str">
        <f>IF(AB$4&lt;=PARAMETER!$X$2,SUMIF('2025'!$F:$F,$B96,'2025'!AA:AA)/PARAMETER!$T$3,"")</f>
        <v/>
      </c>
      <c r="AC96" s="40" t="str">
        <f>IF(AC$4&lt;=PARAMETER!$X$2,SUMIF('2025'!$F:$F,$B96,'2025'!AB:AB)/PARAMETER!$T$3,"")</f>
        <v/>
      </c>
      <c r="AD96" s="40" t="str">
        <f>IF(AD$4&lt;=PARAMETER!$X$2,SUMIF('2025'!$F:$F,$B96,'2025'!AC:AC)/PARAMETER!$T$3,"")</f>
        <v/>
      </c>
      <c r="AE96" s="40" t="str">
        <f>IF(AE$4&lt;=PARAMETER!$X$2,SUMIF('2025'!$F:$F,$B96,'2025'!AD:AD)/PARAMETER!$T$3,"")</f>
        <v/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>
        <f>IF(U$4&lt;=PARAMETER!$X$2,SUMIF('2024'!$F:$F,$B97,'2024'!T:T)/PARAMETER!$T$3,"")</f>
        <v>0</v>
      </c>
      <c r="V97" s="71" t="str">
        <f>IF(V$4&lt;=PARAMETER!$X$2,SUMIF('2024'!$F:$F,$B97,'2024'!U:U)/PARAMETER!$T$3,"")</f>
        <v/>
      </c>
      <c r="W97" s="71" t="str">
        <f>IF(W$4&lt;=PARAMETER!$X$2,SUMIF('2024'!$F:$F,$B97,'2024'!V:V)/PARAMETER!$T$3,"")</f>
        <v/>
      </c>
      <c r="X97" s="71" t="str">
        <f>IF(X$4&lt;=PARAMETER!$X$2,SUMIF('2024'!$F:$F,$B97,'2024'!W:W)/PARAMETER!$T$3,"")</f>
        <v/>
      </c>
      <c r="Y97" s="71" t="str">
        <f>IF(Y$4&lt;=PARAMETER!$X$2,SUMIF('2024'!$F:$F,$B97,'2024'!X:X)/PARAMETER!$T$3,"")</f>
        <v/>
      </c>
      <c r="Z97" s="71" t="str">
        <f>IF(Z$4&lt;=PARAMETER!$X$2,SUMIF('2024'!$F:$F,$B97,'2024'!Y:Y)/PARAMETER!$T$3,"")</f>
        <v/>
      </c>
      <c r="AA97" s="71" t="str">
        <f>IF(AA$4&lt;=PARAMETER!$X$2,SUMIF('2024'!$F:$F,$B97,'2024'!Z:Z)/PARAMETER!$T$3,"")</f>
        <v/>
      </c>
      <c r="AB97" s="71" t="str">
        <f>IF(AB$4&lt;=PARAMETER!$X$2,SUMIF('2024'!$F:$F,$B97,'2024'!AA:AA)/PARAMETER!$T$3,"")</f>
        <v/>
      </c>
      <c r="AC97" s="71" t="str">
        <f>IF(AC$4&lt;=PARAMETER!$X$2,SUMIF('2024'!$F:$F,$B97,'2024'!AB:AB)/PARAMETER!$T$3,"")</f>
        <v/>
      </c>
      <c r="AD97" s="71" t="str">
        <f>IF(AD$4&lt;=PARAMETER!$X$2,SUMIF('2024'!$F:$F,$B97,'2024'!AC:AC)/PARAMETER!$T$3,"")</f>
        <v/>
      </c>
      <c r="AE97" s="71" t="str">
        <f>IF(AE$4&lt;=PARAMETER!$X$2,SUMIF('2024'!$F:$F,$B97,'2024'!AD:AD)/PARAMETER!$T$3,"")</f>
        <v/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>
        <f>IF(U$4&lt;=PARAMETER!$X$2,SUMIF('2026 T'!$F:$F,$B98,'2026 T'!T:T)/PARAMETER!$T$3,"")</f>
        <v>0</v>
      </c>
      <c r="V98" s="25" t="str">
        <f>IF(V$4&lt;=PARAMETER!$X$2,SUMIF('2026 T'!$F:$F,$B98,'2026 T'!U:U)/PARAMETER!$T$3,"")</f>
        <v/>
      </c>
      <c r="W98" s="25" t="str">
        <f>IF(W$4&lt;=PARAMETER!$X$2,SUMIF('2026 T'!$F:$F,$B98,'2026 T'!V:V)/PARAMETER!$T$3,"")</f>
        <v/>
      </c>
      <c r="X98" s="25" t="str">
        <f>IF(X$4&lt;=PARAMETER!$X$2,SUMIF('2026 T'!$F:$F,$B98,'2026 T'!W:W)/PARAMETER!$T$3,"")</f>
        <v/>
      </c>
      <c r="Y98" s="25" t="str">
        <f>IF(Y$4&lt;=PARAMETER!$X$2,SUMIF('2026 T'!$F:$F,$B98,'2026 T'!X:X)/PARAMETER!$T$3,"")</f>
        <v/>
      </c>
      <c r="Z98" s="25" t="str">
        <f>IF(Z$4&lt;=PARAMETER!$X$2,SUMIF('2026 T'!$F:$F,$B98,'2026 T'!Y:Y)/PARAMETER!$T$3,"")</f>
        <v/>
      </c>
      <c r="AA98" s="25" t="str">
        <f>IF(AA$4&lt;=PARAMETER!$X$2,SUMIF('2026 T'!$F:$F,$B98,'2026 T'!Z:Z)/PARAMETER!$T$3,"")</f>
        <v/>
      </c>
      <c r="AB98" s="25" t="str">
        <f>IF(AB$4&lt;=PARAMETER!$X$2,SUMIF('2026 T'!$F:$F,$B98,'2026 T'!AA:AA)/PARAMETER!$T$3,"")</f>
        <v/>
      </c>
      <c r="AC98" s="25" t="str">
        <f>IF(AC$4&lt;=PARAMETER!$X$2,SUMIF('2026 T'!$F:$F,$B98,'2026 T'!AB:AB)/PARAMETER!$T$3,"")</f>
        <v/>
      </c>
      <c r="AD98" s="25" t="str">
        <f>IF(AD$4&lt;=PARAMETER!$X$2,SUMIF('2026 T'!$F:$F,$B98,'2026 T'!AC:AC)/PARAMETER!$T$3,"")</f>
        <v/>
      </c>
      <c r="AE98" s="25" t="str">
        <f>IF(AE$4&lt;=PARAMETER!$X$2,SUMIF('2026 T'!$F:$F,$B98,'2026 T'!AD:AD)/PARAMETER!$T$3,"")</f>
        <v/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>
        <f>IF(U$4&lt;=PARAMETER!$X$2,SUMIF('2026'!$F:$F,$B99,'2026'!T:T)/PARAMETER!$T$3,"")</f>
        <v>0</v>
      </c>
      <c r="V99" s="40" t="str">
        <f>IF(V$4&lt;=PARAMETER!$X$2,SUMIF('2026'!$F:$F,$B99,'2026'!U:U)/PARAMETER!$T$3,"")</f>
        <v/>
      </c>
      <c r="W99" s="40" t="str">
        <f>IF(W$4&lt;=PARAMETER!$X$2,SUMIF('2026'!$F:$F,$B99,'2026'!V:V)/PARAMETER!$T$3,"")</f>
        <v/>
      </c>
      <c r="X99" s="40" t="str">
        <f>IF(X$4&lt;=PARAMETER!$X$2,SUMIF('2026'!$F:$F,$B99,'2026'!W:W)/PARAMETER!$T$3,"")</f>
        <v/>
      </c>
      <c r="Y99" s="40" t="str">
        <f>IF(Y$4&lt;=PARAMETER!$X$2,SUMIF('2026'!$F:$F,$B99,'2026'!X:X)/PARAMETER!$T$3,"")</f>
        <v/>
      </c>
      <c r="Z99" s="40" t="str">
        <f>IF(Z$4&lt;=PARAMETER!$X$2,SUMIF('2026'!$F:$F,$B99,'2026'!Y:Y)/PARAMETER!$T$3,"")</f>
        <v/>
      </c>
      <c r="AA99" s="40" t="str">
        <f>IF(AA$4&lt;=PARAMETER!$X$2,SUMIF('2026'!$F:$F,$B99,'2026'!Z:Z)/PARAMETER!$T$3,"")</f>
        <v/>
      </c>
      <c r="AB99" s="40" t="str">
        <f>IF(AB$4&lt;=PARAMETER!$X$2,SUMIF('2026'!$F:$F,$B99,'2026'!AA:AA)/PARAMETER!$T$3,"")</f>
        <v/>
      </c>
      <c r="AC99" s="40" t="str">
        <f>IF(AC$4&lt;=PARAMETER!$X$2,SUMIF('2026'!$F:$F,$B99,'2026'!AB:AB)/PARAMETER!$T$3,"")</f>
        <v/>
      </c>
      <c r="AD99" s="40" t="str">
        <f>IF(AD$4&lt;=PARAMETER!$X$2,SUMIF('2026'!$F:$F,$B99,'2026'!AC:AC)/PARAMETER!$T$3,"")</f>
        <v/>
      </c>
      <c r="AE99" s="40" t="str">
        <f>IF(AE$4&lt;=PARAMETER!$X$2,SUMIF('2026'!$F:$F,$B99,'2026'!AD:AD)/PARAMETER!$T$3,"")</f>
        <v/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>
        <f>IF(U$4&lt;=PARAMETER!$X$2,SUMIF('2025'!$F:$F,$B100,'2025'!T:T)/PARAMETER!$T$3,"")</f>
        <v>0</v>
      </c>
      <c r="V100" s="40" t="str">
        <f>IF(V$4&lt;=PARAMETER!$X$2,SUMIF('2025'!$F:$F,$B100,'2025'!U:U)/PARAMETER!$T$3,"")</f>
        <v/>
      </c>
      <c r="W100" s="40" t="str">
        <f>IF(W$4&lt;=PARAMETER!$X$2,SUMIF('2025'!$F:$F,$B100,'2025'!V:V)/PARAMETER!$T$3,"")</f>
        <v/>
      </c>
      <c r="X100" s="40" t="str">
        <f>IF(X$4&lt;=PARAMETER!$X$2,SUMIF('2025'!$F:$F,$B100,'2025'!W:W)/PARAMETER!$T$3,"")</f>
        <v/>
      </c>
      <c r="Y100" s="40" t="str">
        <f>IF(Y$4&lt;=PARAMETER!$X$2,SUMIF('2025'!$F:$F,$B100,'2025'!X:X)/PARAMETER!$T$3,"")</f>
        <v/>
      </c>
      <c r="Z100" s="40" t="str">
        <f>IF(Z$4&lt;=PARAMETER!$X$2,SUMIF('2025'!$F:$F,$B100,'2025'!Y:Y)/PARAMETER!$T$3,"")</f>
        <v/>
      </c>
      <c r="AA100" s="40" t="str">
        <f>IF(AA$4&lt;=PARAMETER!$X$2,SUMIF('2025'!$F:$F,$B100,'2025'!Z:Z)/PARAMETER!$T$3,"")</f>
        <v/>
      </c>
      <c r="AB100" s="40" t="str">
        <f>IF(AB$4&lt;=PARAMETER!$X$2,SUMIF('2025'!$F:$F,$B100,'2025'!AA:AA)/PARAMETER!$T$3,"")</f>
        <v/>
      </c>
      <c r="AC100" s="40" t="str">
        <f>IF(AC$4&lt;=PARAMETER!$X$2,SUMIF('2025'!$F:$F,$B100,'2025'!AB:AB)/PARAMETER!$T$3,"")</f>
        <v/>
      </c>
      <c r="AD100" s="40" t="str">
        <f>IF(AD$4&lt;=PARAMETER!$X$2,SUMIF('2025'!$F:$F,$B100,'2025'!AC:AC)/PARAMETER!$T$3,"")</f>
        <v/>
      </c>
      <c r="AE100" s="40" t="str">
        <f>IF(AE$4&lt;=PARAMETER!$X$2,SUMIF('2025'!$F:$F,$B100,'2025'!AD:AD)/PARAMETER!$T$3,"")</f>
        <v/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>
        <f>IF(U$4&lt;=PARAMETER!$X$2,SUMIF('2024'!$F:$F,$B101,'2024'!T:T)/PARAMETER!$T$3,"")</f>
        <v>0</v>
      </c>
      <c r="V101" s="71" t="str">
        <f>IF(V$4&lt;=PARAMETER!$X$2,SUMIF('2024'!$F:$F,$B101,'2024'!U:U)/PARAMETER!$T$3,"")</f>
        <v/>
      </c>
      <c r="W101" s="71" t="str">
        <f>IF(W$4&lt;=PARAMETER!$X$2,SUMIF('2024'!$F:$F,$B101,'2024'!V:V)/PARAMETER!$T$3,"")</f>
        <v/>
      </c>
      <c r="X101" s="71" t="str">
        <f>IF(X$4&lt;=PARAMETER!$X$2,SUMIF('2024'!$F:$F,$B101,'2024'!W:W)/PARAMETER!$T$3,"")</f>
        <v/>
      </c>
      <c r="Y101" s="71" t="str">
        <f>IF(Y$4&lt;=PARAMETER!$X$2,SUMIF('2024'!$F:$F,$B101,'2024'!X:X)/PARAMETER!$T$3,"")</f>
        <v/>
      </c>
      <c r="Z101" s="71" t="str">
        <f>IF(Z$4&lt;=PARAMETER!$X$2,SUMIF('2024'!$F:$F,$B101,'2024'!Y:Y)/PARAMETER!$T$3,"")</f>
        <v/>
      </c>
      <c r="AA101" s="71" t="str">
        <f>IF(AA$4&lt;=PARAMETER!$X$2,SUMIF('2024'!$F:$F,$B101,'2024'!Z:Z)/PARAMETER!$T$3,"")</f>
        <v/>
      </c>
      <c r="AB101" s="71" t="str">
        <f>IF(AB$4&lt;=PARAMETER!$X$2,SUMIF('2024'!$F:$F,$B101,'2024'!AA:AA)/PARAMETER!$T$3,"")</f>
        <v/>
      </c>
      <c r="AC101" s="71" t="str">
        <f>IF(AC$4&lt;=PARAMETER!$X$2,SUMIF('2024'!$F:$F,$B101,'2024'!AB:AB)/PARAMETER!$T$3,"")</f>
        <v/>
      </c>
      <c r="AD101" s="71" t="str">
        <f>IF(AD$4&lt;=PARAMETER!$X$2,SUMIF('2024'!$F:$F,$B101,'2024'!AC:AC)/PARAMETER!$T$3,"")</f>
        <v/>
      </c>
      <c r="AE101" s="71" t="str">
        <f>IF(AE$4&lt;=PARAMETER!$X$2,SUMIF('2024'!$F:$F,$B101,'2024'!AD:AD)/PARAMETER!$T$3,"")</f>
        <v/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288187078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274621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31241491378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32437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29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5171600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71764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886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37969134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1359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906000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1772492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8040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388239948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595331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2420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93942826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21307558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13332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2636116373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35479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178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3790187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1334965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443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201817668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6268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1333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896839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1955064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8406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280631627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19687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38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13124600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222841114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428807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31802071036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15109831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7716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10042232105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30267488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4298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2644775000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10557002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3887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1090543867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9850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1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985000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233155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207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30857077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7257189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2202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4710210839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14560344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1151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1678251500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17000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2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1700000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508581606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459919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102579939787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493045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1481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319038281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87551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543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20745800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30853298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2216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2332375638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468003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7512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108081359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1945222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7335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1295171700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44938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311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20013000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142241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233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21097104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328961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38948138565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407190643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199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31009141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216348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1293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49499625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319459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1875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96447379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508147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360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89522013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734979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95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451985494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1754711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1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45000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450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127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10264100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13738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67206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2733386069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18801879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13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1924230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4195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315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78215812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234330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7165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582886209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3956624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21936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612415117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55772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68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44228860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66344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335847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36289400833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341938526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29448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9772847494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15159900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7333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4609850000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61344663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18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4345000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1605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2133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323706100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2432421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1405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2844527032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4855510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6693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6164589699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47616302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2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3900000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58200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27377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5682829046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37147982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1505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244066060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416845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7079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705619004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5572180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1059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24766232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168009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3031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2220455503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33713694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11666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423229102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2502000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4848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802386300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1218548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5882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458355120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3204130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26393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1647983764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1488931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16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12470850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18706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5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1909600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25746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6257413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26730264592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202582361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40798253351.209984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12933498.714482116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54951215.979707718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337417102.73816091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88875865.467266932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536528275.52832395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2782692691.5037169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1150049.8515694027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524923174.27310508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580299661.58438182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41187690.925371379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38940415151.479706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12037957335.958435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5209725124.5671721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493077.51146819454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5218202697.716363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11390862122.425905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8741965.545076387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544516603.42522705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276155400.71951628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593093839.25844717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3525181185.8537359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544190225.55587304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775175966.20860577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474235134.11527264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247867463.13721862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161098.90374421937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1373957671.7042356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24483380680.668541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407982.53351209982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155.20198457378541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961.64627964488488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2760.6853860394986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296.25288489088979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107.3056551056648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55653.853830074338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11.500498515694028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10498.463485462102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19066.988880629691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51.484613656714217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389404.15151479706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24075.914671916868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10419.450249134343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0.49307751146819456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2609.1013488581816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11390.862122425904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8.741965545076388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4058.8745256892075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1518.8547039573393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5930.9383925844713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3525.1811858537362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10883.80451111746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7170.3776874296036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6165.0567434985442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3540.9637591031233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0.80549451872109679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27479.153434084707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1224169.034033427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428748604.47814018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22840.558729775414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383834.24361825839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1887541.9469993392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690269.22179577325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3313151.5227666553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19216348.163294174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7210.8125693401562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3470529.5667066341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497.39970992947019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61781.536388057066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382572542.43165934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27243770.022415087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65131115.219818018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5633.9332306862798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8305790.5461173179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77844392.353850469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131654.00110885041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2891615.3503822312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431354.73592388432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4885313.9539718293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54123388.630479991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2107104.5533523401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2112354.5079184505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3314903.5874657552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1326799.1205359404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157.87692566933498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5770.6222211577888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180016994.46029714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2757268538</v>
      </c>
      <c r="H2" s="81">
        <f>SUMIF(I$1:BI$1,"&lt;="&amp;PARAMETER!X$2,I2:BI2)</f>
        <v>2757243748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1698182836</v>
      </c>
      <c r="R2">
        <v>562709056</v>
      </c>
      <c r="S2">
        <v>496351856</v>
      </c>
      <c r="T2">
        <v>0</v>
      </c>
      <c r="U2">
        <v>3311</v>
      </c>
      <c r="V2">
        <v>3265</v>
      </c>
      <c r="W2">
        <v>3147</v>
      </c>
      <c r="X2">
        <v>3357</v>
      </c>
      <c r="Y2">
        <v>3046</v>
      </c>
      <c r="Z2">
        <v>0</v>
      </c>
      <c r="AA2">
        <v>3183</v>
      </c>
      <c r="AB2">
        <v>2700</v>
      </c>
      <c r="AC2">
        <v>2781</v>
      </c>
      <c r="AD2">
        <v>0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3400602</v>
      </c>
      <c r="H3" s="81">
        <f>SUMIF(I$1:BI$1,"&lt;="&amp;PARAMETER!X$2,I3:BI3)</f>
        <v>3387540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1030965</v>
      </c>
      <c r="R3">
        <v>1109160</v>
      </c>
      <c r="S3">
        <v>1247415</v>
      </c>
      <c r="T3">
        <v>0</v>
      </c>
      <c r="U3">
        <v>1754</v>
      </c>
      <c r="V3">
        <v>0</v>
      </c>
      <c r="W3">
        <v>1851</v>
      </c>
      <c r="X3">
        <v>1766</v>
      </c>
      <c r="Y3">
        <v>1546</v>
      </c>
      <c r="Z3">
        <v>1575</v>
      </c>
      <c r="AA3">
        <v>1488</v>
      </c>
      <c r="AB3">
        <v>0</v>
      </c>
      <c r="AC3">
        <v>1445</v>
      </c>
      <c r="AD3">
        <v>1637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54583</v>
      </c>
      <c r="H4" s="81">
        <f>SUMIF(I$1:BI$1,"&lt;="&amp;PARAMETER!X$2,I4:BI4)</f>
        <v>9870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150</v>
      </c>
      <c r="R4">
        <v>4590</v>
      </c>
      <c r="S4">
        <v>5130</v>
      </c>
      <c r="T4">
        <v>0</v>
      </c>
      <c r="U4">
        <v>4222</v>
      </c>
      <c r="V4">
        <v>4544</v>
      </c>
      <c r="W4">
        <v>3923</v>
      </c>
      <c r="X4">
        <v>5040</v>
      </c>
      <c r="Y4">
        <v>5157</v>
      </c>
      <c r="Z4">
        <v>5031</v>
      </c>
      <c r="AA4">
        <v>4642</v>
      </c>
      <c r="AB4">
        <v>4146</v>
      </c>
      <c r="AC4">
        <v>4066</v>
      </c>
      <c r="AD4">
        <v>3942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27172</v>
      </c>
      <c r="H5" s="81">
        <f>SUMIF(I$1:BI$1,"&lt;="&amp;PARAMETER!X$2,I5:BI5)</f>
        <v>2673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792</v>
      </c>
      <c r="R5">
        <v>1485</v>
      </c>
      <c r="S5">
        <v>396</v>
      </c>
      <c r="T5">
        <v>0</v>
      </c>
      <c r="U5">
        <v>4354</v>
      </c>
      <c r="V5">
        <v>0</v>
      </c>
      <c r="W5">
        <v>3736</v>
      </c>
      <c r="X5">
        <v>0</v>
      </c>
      <c r="Y5">
        <v>0</v>
      </c>
      <c r="Z5">
        <v>3771</v>
      </c>
      <c r="AA5">
        <v>4607</v>
      </c>
      <c r="AB5">
        <v>3910</v>
      </c>
      <c r="AC5">
        <v>0</v>
      </c>
      <c r="AD5">
        <v>4121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238962</v>
      </c>
      <c r="H6" s="81">
        <f>SUMIF(I$1:BI$1,"&lt;="&amp;PARAMETER!X$2,I6:BI6)</f>
        <v>228718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26877</v>
      </c>
      <c r="R6">
        <v>92225</v>
      </c>
      <c r="S6">
        <v>109616</v>
      </c>
      <c r="T6">
        <v>0</v>
      </c>
      <c r="U6">
        <v>0</v>
      </c>
      <c r="V6">
        <v>1132</v>
      </c>
      <c r="W6">
        <v>1131</v>
      </c>
      <c r="X6">
        <v>1202</v>
      </c>
      <c r="Y6">
        <v>1232</v>
      </c>
      <c r="Z6">
        <v>1177</v>
      </c>
      <c r="AA6">
        <v>1218</v>
      </c>
      <c r="AB6">
        <v>1147</v>
      </c>
      <c r="AC6">
        <v>1068</v>
      </c>
      <c r="AD6">
        <v>937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12904</v>
      </c>
      <c r="H7" s="81">
        <f>SUMIF(I$1:BI$1,"&lt;="&amp;PARAMETER!X$2,I7:BI7)</f>
        <v>299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65</v>
      </c>
      <c r="R7">
        <v>104</v>
      </c>
      <c r="S7">
        <v>130</v>
      </c>
      <c r="T7">
        <v>0</v>
      </c>
      <c r="U7">
        <v>1503</v>
      </c>
      <c r="V7">
        <v>1262</v>
      </c>
      <c r="W7">
        <v>1374</v>
      </c>
      <c r="X7">
        <v>1411</v>
      </c>
      <c r="Y7">
        <v>1366</v>
      </c>
      <c r="Z7">
        <v>1218</v>
      </c>
      <c r="AA7">
        <v>1531</v>
      </c>
      <c r="AB7">
        <v>1515</v>
      </c>
      <c r="AC7">
        <v>1425</v>
      </c>
      <c r="AD7">
        <v>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39486</v>
      </c>
      <c r="H8" s="81">
        <f>SUMIF(I$1:BI$1,"&lt;="&amp;PARAMETER!X$2,I8:BI8)</f>
        <v>3060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387</v>
      </c>
      <c r="R8">
        <v>1125</v>
      </c>
      <c r="S8">
        <v>1548</v>
      </c>
      <c r="T8">
        <v>0</v>
      </c>
      <c r="U8">
        <v>3669</v>
      </c>
      <c r="V8">
        <v>3323</v>
      </c>
      <c r="W8">
        <v>4180</v>
      </c>
      <c r="X8">
        <v>3190</v>
      </c>
      <c r="Y8">
        <v>3424</v>
      </c>
      <c r="Z8">
        <v>3933</v>
      </c>
      <c r="AA8">
        <v>3591</v>
      </c>
      <c r="AB8">
        <v>3419</v>
      </c>
      <c r="AC8">
        <v>3652</v>
      </c>
      <c r="AD8">
        <v>4045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27411</v>
      </c>
      <c r="H9" s="81">
        <f>SUMIF(I$1:BI$1,"&lt;="&amp;PARAMETER!X$2,I9:BI9)</f>
        <v>4189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1829</v>
      </c>
      <c r="R9">
        <v>1180</v>
      </c>
      <c r="S9">
        <v>1180</v>
      </c>
      <c r="T9">
        <v>0</v>
      </c>
      <c r="U9">
        <v>2465</v>
      </c>
      <c r="V9">
        <v>2082</v>
      </c>
      <c r="W9">
        <v>1951</v>
      </c>
      <c r="X9">
        <v>2495</v>
      </c>
      <c r="Y9">
        <v>2387</v>
      </c>
      <c r="Z9">
        <v>2540</v>
      </c>
      <c r="AA9">
        <v>2027</v>
      </c>
      <c r="AB9">
        <v>2392</v>
      </c>
      <c r="AC9">
        <v>2498</v>
      </c>
      <c r="AD9">
        <v>2385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40079</v>
      </c>
      <c r="H10" s="81">
        <f>SUMIF(I$1:BI$1,"&lt;="&amp;PARAMETER!X$2,I10:BI10)</f>
        <v>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319</v>
      </c>
      <c r="R10">
        <v>143</v>
      </c>
      <c r="S10">
        <v>132</v>
      </c>
      <c r="T10">
        <v>0</v>
      </c>
      <c r="U10">
        <v>0</v>
      </c>
      <c r="V10">
        <v>5042</v>
      </c>
      <c r="W10">
        <v>4863</v>
      </c>
      <c r="X10">
        <v>4147</v>
      </c>
      <c r="Y10">
        <v>5024</v>
      </c>
      <c r="Z10">
        <v>0</v>
      </c>
      <c r="AA10">
        <v>5284</v>
      </c>
      <c r="AB10">
        <v>5329</v>
      </c>
      <c r="AC10">
        <v>4243</v>
      </c>
      <c r="AD10">
        <v>5553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94366</v>
      </c>
      <c r="H11" s="81">
        <f>SUMIF(I$1:BI$1,"&lt;="&amp;PARAMETER!X$2,I11:BI11)</f>
        <v>53391</v>
      </c>
      <c r="I11">
        <v>4586</v>
      </c>
      <c r="J11">
        <v>3800</v>
      </c>
      <c r="K11">
        <v>3911</v>
      </c>
      <c r="L11">
        <v>4395</v>
      </c>
      <c r="M11">
        <v>4922</v>
      </c>
      <c r="N11">
        <v>4797</v>
      </c>
      <c r="O11">
        <v>4988</v>
      </c>
      <c r="P11">
        <v>4168</v>
      </c>
      <c r="Q11">
        <v>4679</v>
      </c>
      <c r="R11">
        <v>4977</v>
      </c>
      <c r="S11">
        <v>4008</v>
      </c>
      <c r="T11">
        <v>4160</v>
      </c>
      <c r="U11">
        <v>5094</v>
      </c>
      <c r="V11">
        <v>4351</v>
      </c>
      <c r="W11">
        <v>4673</v>
      </c>
      <c r="X11">
        <v>4200</v>
      </c>
      <c r="Y11">
        <v>0</v>
      </c>
      <c r="Z11">
        <v>4441</v>
      </c>
      <c r="AA11">
        <v>5059</v>
      </c>
      <c r="AB11">
        <v>3825</v>
      </c>
      <c r="AC11">
        <v>4720</v>
      </c>
      <c r="AD11">
        <v>4612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29441</v>
      </c>
      <c r="H12" s="81">
        <f>SUMIF(I$1:BI$1,"&lt;="&amp;PARAMETER!X$2,I12:BI12)</f>
        <v>17507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1763</v>
      </c>
      <c r="R12">
        <v>8200</v>
      </c>
      <c r="S12">
        <v>7544</v>
      </c>
      <c r="T12">
        <v>0</v>
      </c>
      <c r="U12">
        <v>0</v>
      </c>
      <c r="V12">
        <v>1396</v>
      </c>
      <c r="W12">
        <v>1391</v>
      </c>
      <c r="X12">
        <v>1566</v>
      </c>
      <c r="Y12">
        <v>1521</v>
      </c>
      <c r="Z12">
        <v>1740</v>
      </c>
      <c r="AA12">
        <v>1378</v>
      </c>
      <c r="AB12">
        <v>1411</v>
      </c>
      <c r="AC12">
        <v>1531</v>
      </c>
      <c r="AD12">
        <v>0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30086</v>
      </c>
      <c r="H13" s="81">
        <f>SUMIF(I$1:BI$1,"&lt;="&amp;PARAMETER!X$2,I13:BI13)</f>
        <v>8000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3248</v>
      </c>
      <c r="R13">
        <v>2608</v>
      </c>
      <c r="S13">
        <v>2144</v>
      </c>
      <c r="T13">
        <v>0</v>
      </c>
      <c r="U13">
        <v>0</v>
      </c>
      <c r="V13">
        <v>2904</v>
      </c>
      <c r="W13">
        <v>3104</v>
      </c>
      <c r="X13">
        <v>3473</v>
      </c>
      <c r="Y13">
        <v>2836</v>
      </c>
      <c r="Z13">
        <v>0</v>
      </c>
      <c r="AA13">
        <v>3132</v>
      </c>
      <c r="AB13">
        <v>3223</v>
      </c>
      <c r="AC13">
        <v>0</v>
      </c>
      <c r="AD13">
        <v>3414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15869</v>
      </c>
      <c r="H14" s="81">
        <f>SUMIF(I$1:BI$1,"&lt;="&amp;PARAMETER!X$2,I14:BI14)</f>
        <v>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10</v>
      </c>
      <c r="S14">
        <v>2</v>
      </c>
      <c r="T14">
        <v>0</v>
      </c>
      <c r="U14">
        <v>1678</v>
      </c>
      <c r="V14">
        <v>1788</v>
      </c>
      <c r="W14">
        <v>1853</v>
      </c>
      <c r="X14">
        <v>0</v>
      </c>
      <c r="Y14">
        <v>1550</v>
      </c>
      <c r="Z14">
        <v>1998</v>
      </c>
      <c r="AA14">
        <v>1723</v>
      </c>
      <c r="AB14">
        <v>1747</v>
      </c>
      <c r="AC14">
        <v>1823</v>
      </c>
      <c r="AD14">
        <v>1695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45034</v>
      </c>
      <c r="H15" s="81">
        <f>SUMIF(I$1:BI$1,"&lt;="&amp;PARAMETER!X$2,I15:BI15)</f>
        <v>32469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5530</v>
      </c>
      <c r="R15">
        <v>13825</v>
      </c>
      <c r="S15">
        <v>13114</v>
      </c>
      <c r="T15">
        <v>0</v>
      </c>
      <c r="U15">
        <v>0</v>
      </c>
      <c r="V15">
        <v>1568</v>
      </c>
      <c r="W15">
        <v>1680</v>
      </c>
      <c r="X15">
        <v>1598</v>
      </c>
      <c r="Y15">
        <v>1691</v>
      </c>
      <c r="Z15">
        <v>1422</v>
      </c>
      <c r="AA15">
        <v>0</v>
      </c>
      <c r="AB15">
        <v>1730</v>
      </c>
      <c r="AC15">
        <v>1394</v>
      </c>
      <c r="AD15">
        <v>1482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699509</v>
      </c>
      <c r="H16" s="81">
        <f>SUMIF(I$1:BI$1,"&lt;="&amp;PARAMETER!X$2,I16:BI16)</f>
        <v>687705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34544</v>
      </c>
      <c r="R16">
        <v>108585</v>
      </c>
      <c r="S16">
        <v>544576</v>
      </c>
      <c r="T16">
        <v>0</v>
      </c>
      <c r="U16">
        <v>1697</v>
      </c>
      <c r="V16">
        <v>1564</v>
      </c>
      <c r="W16">
        <v>1331</v>
      </c>
      <c r="X16">
        <v>0</v>
      </c>
      <c r="Y16">
        <v>0</v>
      </c>
      <c r="Z16">
        <v>1481</v>
      </c>
      <c r="AA16">
        <v>1381</v>
      </c>
      <c r="AB16">
        <v>1311</v>
      </c>
      <c r="AC16">
        <v>1479</v>
      </c>
      <c r="AD16">
        <v>1560</v>
      </c>
    </row>
    <row r="17" spans="1:30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20192</v>
      </c>
      <c r="H17" s="81">
        <f>SUMIF(I$1:BI$1,"&lt;="&amp;PARAMETER!X$2,I17:BI17)</f>
        <v>3451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3451</v>
      </c>
      <c r="R17">
        <v>0</v>
      </c>
      <c r="S17">
        <v>0</v>
      </c>
      <c r="T17">
        <v>0</v>
      </c>
      <c r="U17">
        <v>1596</v>
      </c>
      <c r="V17">
        <v>2042</v>
      </c>
      <c r="W17">
        <v>2102</v>
      </c>
      <c r="X17">
        <v>0</v>
      </c>
      <c r="Y17">
        <v>1860</v>
      </c>
      <c r="Z17">
        <v>2052</v>
      </c>
      <c r="AA17">
        <v>1751</v>
      </c>
      <c r="AB17">
        <v>1678</v>
      </c>
      <c r="AC17">
        <v>2029</v>
      </c>
      <c r="AD17">
        <v>1631</v>
      </c>
    </row>
    <row r="18" spans="1:30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2691456817</v>
      </c>
      <c r="H18" s="81">
        <f>SUMIF(I$1:BI$1,"&lt;="&amp;PARAMETER!X$2,I18:BI18)</f>
        <v>2691414506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1783777282</v>
      </c>
      <c r="R18">
        <v>475841250</v>
      </c>
      <c r="S18">
        <v>431795974</v>
      </c>
      <c r="T18">
        <v>0</v>
      </c>
      <c r="U18">
        <v>0</v>
      </c>
      <c r="V18">
        <v>4836</v>
      </c>
      <c r="W18">
        <v>4433</v>
      </c>
      <c r="X18">
        <v>4690</v>
      </c>
      <c r="Y18">
        <v>4173</v>
      </c>
      <c r="Z18">
        <v>5000</v>
      </c>
      <c r="AA18">
        <v>4976</v>
      </c>
      <c r="AB18">
        <v>4537</v>
      </c>
      <c r="AC18">
        <v>4328</v>
      </c>
      <c r="AD18">
        <v>5338</v>
      </c>
    </row>
    <row r="19" spans="1:30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7771024</v>
      </c>
      <c r="H19" s="81">
        <f>SUMIF(I$1:BI$1,"&lt;="&amp;PARAMETER!X$2,I19:BI19)</f>
        <v>7757269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5383222</v>
      </c>
      <c r="R19">
        <v>1152450</v>
      </c>
      <c r="S19">
        <v>1221597</v>
      </c>
      <c r="T19">
        <v>0</v>
      </c>
      <c r="U19">
        <v>0</v>
      </c>
      <c r="V19">
        <v>1860</v>
      </c>
      <c r="W19">
        <v>1424</v>
      </c>
      <c r="X19">
        <v>1507</v>
      </c>
      <c r="Y19">
        <v>1845</v>
      </c>
      <c r="Z19">
        <v>1900</v>
      </c>
      <c r="AA19">
        <v>1644</v>
      </c>
      <c r="AB19">
        <v>0</v>
      </c>
      <c r="AC19">
        <v>1832</v>
      </c>
      <c r="AD19">
        <v>1743</v>
      </c>
    </row>
    <row r="20" spans="1:30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18677</v>
      </c>
      <c r="H20" s="81">
        <f>SUMIF(I$1:BI$1,"&lt;="&amp;PARAMETER!X$2,I20:BI20)</f>
        <v>13260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4680</v>
      </c>
      <c r="R20">
        <v>4410</v>
      </c>
      <c r="S20">
        <v>4170</v>
      </c>
      <c r="T20">
        <v>0</v>
      </c>
      <c r="U20">
        <v>662</v>
      </c>
      <c r="V20">
        <v>715</v>
      </c>
      <c r="W20">
        <v>661</v>
      </c>
      <c r="X20">
        <v>669</v>
      </c>
      <c r="Y20">
        <v>585</v>
      </c>
      <c r="Z20">
        <v>0</v>
      </c>
      <c r="AA20">
        <v>753</v>
      </c>
      <c r="AB20">
        <v>671</v>
      </c>
      <c r="AC20">
        <v>701</v>
      </c>
      <c r="AD20">
        <v>0</v>
      </c>
    </row>
    <row r="21" spans="1:30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32381</v>
      </c>
      <c r="H21" s="81">
        <f>SUMIF(I$1:BI$1,"&lt;="&amp;PARAMETER!X$2,I21:BI21)</f>
        <v>15435</v>
      </c>
      <c r="I21">
        <v>2019</v>
      </c>
      <c r="J21">
        <v>0</v>
      </c>
      <c r="K21">
        <v>0</v>
      </c>
      <c r="L21">
        <v>0</v>
      </c>
      <c r="M21">
        <v>2168</v>
      </c>
      <c r="N21">
        <v>1912</v>
      </c>
      <c r="O21">
        <v>0</v>
      </c>
      <c r="P21">
        <v>1657</v>
      </c>
      <c r="Q21">
        <v>2163</v>
      </c>
      <c r="R21">
        <v>1672</v>
      </c>
      <c r="S21">
        <v>1906</v>
      </c>
      <c r="T21">
        <v>1938</v>
      </c>
      <c r="U21">
        <v>0</v>
      </c>
      <c r="V21">
        <v>1717</v>
      </c>
      <c r="W21">
        <v>1991</v>
      </c>
      <c r="X21">
        <v>2123</v>
      </c>
      <c r="Y21">
        <v>1924</v>
      </c>
      <c r="Z21">
        <v>1749</v>
      </c>
      <c r="AA21">
        <v>1922</v>
      </c>
      <c r="AB21">
        <v>1777</v>
      </c>
      <c r="AC21">
        <v>1670</v>
      </c>
      <c r="AD21">
        <v>2073</v>
      </c>
    </row>
    <row r="22" spans="1:30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300675</v>
      </c>
      <c r="H22" s="81">
        <f>SUMIF(I$1:BI$1,"&lt;="&amp;PARAMETER!X$2,I22:BI22)</f>
        <v>253680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249088</v>
      </c>
      <c r="R22">
        <v>3808</v>
      </c>
      <c r="S22">
        <v>784</v>
      </c>
      <c r="T22">
        <v>0</v>
      </c>
      <c r="U22">
        <v>4622</v>
      </c>
      <c r="V22">
        <v>4704</v>
      </c>
      <c r="W22">
        <v>4474</v>
      </c>
      <c r="X22">
        <v>5206</v>
      </c>
      <c r="Y22">
        <v>4580</v>
      </c>
      <c r="Z22">
        <v>4867</v>
      </c>
      <c r="AA22">
        <v>5283</v>
      </c>
      <c r="AB22">
        <v>4126</v>
      </c>
      <c r="AC22">
        <v>4218</v>
      </c>
      <c r="AD22">
        <v>4915</v>
      </c>
    </row>
    <row r="23" spans="1:30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42748</v>
      </c>
      <c r="H23" s="81">
        <f>SUMIF(I$1:BI$1,"&lt;="&amp;PARAMETER!X$2,I23:BI23)</f>
        <v>6930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2268</v>
      </c>
      <c r="R23">
        <v>2835</v>
      </c>
      <c r="S23">
        <v>1827</v>
      </c>
      <c r="T23">
        <v>0</v>
      </c>
      <c r="U23">
        <v>4133</v>
      </c>
      <c r="V23">
        <v>3802</v>
      </c>
      <c r="W23">
        <v>3595</v>
      </c>
      <c r="X23">
        <v>3700</v>
      </c>
      <c r="Y23">
        <v>3620</v>
      </c>
      <c r="Z23">
        <v>4586</v>
      </c>
      <c r="AA23">
        <v>3688</v>
      </c>
      <c r="AB23">
        <v>3933</v>
      </c>
      <c r="AC23">
        <v>0</v>
      </c>
      <c r="AD23">
        <v>4761</v>
      </c>
    </row>
    <row r="24" spans="1:30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48375178</v>
      </c>
      <c r="H24" s="81">
        <f>SUMIF(I$1:BI$1,"&lt;="&amp;PARAMETER!X$2,I24:BI24)</f>
        <v>48341300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38676750</v>
      </c>
      <c r="R24">
        <v>5313250</v>
      </c>
      <c r="S24">
        <v>4351300</v>
      </c>
      <c r="T24">
        <v>0</v>
      </c>
      <c r="U24">
        <v>3574</v>
      </c>
      <c r="V24">
        <v>3567</v>
      </c>
      <c r="W24">
        <v>0</v>
      </c>
      <c r="X24">
        <v>3462</v>
      </c>
      <c r="Y24">
        <v>3613</v>
      </c>
      <c r="Z24">
        <v>4478</v>
      </c>
      <c r="AA24">
        <v>3834</v>
      </c>
      <c r="AB24">
        <v>4214</v>
      </c>
      <c r="AC24">
        <v>3507</v>
      </c>
      <c r="AD24">
        <v>3629</v>
      </c>
    </row>
    <row r="25" spans="1:30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151553</v>
      </c>
      <c r="H25" s="81">
        <f>SUMIF(I$1:BI$1,"&lt;="&amp;PARAMETER!X$2,I25:BI25)</f>
        <v>113240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92245</v>
      </c>
      <c r="R25">
        <v>11590</v>
      </c>
      <c r="S25">
        <v>9405</v>
      </c>
      <c r="T25">
        <v>0</v>
      </c>
      <c r="U25">
        <v>4623</v>
      </c>
      <c r="V25">
        <v>4683</v>
      </c>
      <c r="W25">
        <v>3583</v>
      </c>
      <c r="X25">
        <v>4283</v>
      </c>
      <c r="Y25">
        <v>4743</v>
      </c>
      <c r="Z25">
        <v>4494</v>
      </c>
      <c r="AA25">
        <v>3925</v>
      </c>
      <c r="AB25">
        <v>3968</v>
      </c>
      <c r="AC25">
        <v>0</v>
      </c>
      <c r="AD25">
        <v>4011</v>
      </c>
    </row>
    <row r="26" spans="1:30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30588</v>
      </c>
      <c r="H26" s="81">
        <f>SUMIF(I$1:BI$1,"&lt;="&amp;PARAMETER!X$2,I26:BI26)</f>
        <v>16808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16808</v>
      </c>
      <c r="R26">
        <v>0</v>
      </c>
      <c r="S26">
        <v>0</v>
      </c>
      <c r="T26">
        <v>0</v>
      </c>
      <c r="U26">
        <v>1207</v>
      </c>
      <c r="V26">
        <v>1185</v>
      </c>
      <c r="W26">
        <v>1349</v>
      </c>
      <c r="X26">
        <v>1513</v>
      </c>
      <c r="Y26">
        <v>1419</v>
      </c>
      <c r="Z26">
        <v>1165</v>
      </c>
      <c r="AA26">
        <v>1475</v>
      </c>
      <c r="AB26">
        <v>1450</v>
      </c>
      <c r="AC26">
        <v>1489</v>
      </c>
      <c r="AD26">
        <v>1528</v>
      </c>
    </row>
    <row r="27" spans="1:30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15872</v>
      </c>
      <c r="H27" s="81">
        <f>SUMIF(I$1:BI$1,"&lt;="&amp;PARAMETER!X$2,I27:BI27)</f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</v>
      </c>
      <c r="T27">
        <v>0</v>
      </c>
      <c r="U27">
        <v>1776</v>
      </c>
      <c r="V27">
        <v>0</v>
      </c>
      <c r="W27">
        <v>0</v>
      </c>
      <c r="X27">
        <v>2035</v>
      </c>
      <c r="Y27">
        <v>1792</v>
      </c>
      <c r="Z27">
        <v>2042</v>
      </c>
      <c r="AA27">
        <v>1913</v>
      </c>
      <c r="AB27">
        <v>2013</v>
      </c>
      <c r="AC27">
        <v>2229</v>
      </c>
      <c r="AD27">
        <v>2067</v>
      </c>
    </row>
    <row r="28" spans="1:30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10169780</v>
      </c>
      <c r="H28" s="81">
        <f>SUMIF(I$1:BI$1,"&lt;="&amp;PARAMETER!X$2,I28:BI28)</f>
        <v>10156324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3078704</v>
      </c>
      <c r="R28">
        <v>3805890</v>
      </c>
      <c r="S28">
        <v>3271730</v>
      </c>
      <c r="T28">
        <v>0</v>
      </c>
      <c r="U28">
        <v>1394</v>
      </c>
      <c r="V28">
        <v>1794</v>
      </c>
      <c r="W28">
        <v>1347</v>
      </c>
      <c r="X28">
        <v>1400</v>
      </c>
      <c r="Y28">
        <v>1349</v>
      </c>
      <c r="Z28">
        <v>1377</v>
      </c>
      <c r="AA28">
        <v>1386</v>
      </c>
      <c r="AB28">
        <v>1623</v>
      </c>
      <c r="AC28">
        <v>1786</v>
      </c>
      <c r="AD28">
        <v>0</v>
      </c>
    </row>
    <row r="29" spans="1:30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168639</v>
      </c>
      <c r="H29" s="81">
        <f>SUMIF(I$1:BI$1,"&lt;="&amp;PARAMETER!X$2,I29:BI29)</f>
        <v>162426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51612</v>
      </c>
      <c r="R29">
        <v>58696</v>
      </c>
      <c r="S29">
        <v>52118</v>
      </c>
      <c r="T29">
        <v>0</v>
      </c>
      <c r="U29">
        <v>721</v>
      </c>
      <c r="V29">
        <v>726</v>
      </c>
      <c r="W29">
        <v>707</v>
      </c>
      <c r="X29">
        <v>824</v>
      </c>
      <c r="Y29">
        <v>917</v>
      </c>
      <c r="Z29">
        <v>0</v>
      </c>
      <c r="AA29">
        <v>755</v>
      </c>
      <c r="AB29">
        <v>795</v>
      </c>
      <c r="AC29">
        <v>768</v>
      </c>
      <c r="AD29">
        <v>0</v>
      </c>
    </row>
    <row r="30" spans="1:30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17663</v>
      </c>
      <c r="H30" s="81">
        <f>SUMIF(I$1:BI$1,"&lt;="&amp;PARAMETER!X$2,I30:BI30)</f>
        <v>496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155</v>
      </c>
      <c r="S30">
        <v>341</v>
      </c>
      <c r="T30">
        <v>0</v>
      </c>
      <c r="U30">
        <v>2092</v>
      </c>
      <c r="V30">
        <v>1999</v>
      </c>
      <c r="W30">
        <v>0</v>
      </c>
      <c r="X30">
        <v>2066</v>
      </c>
      <c r="Y30">
        <v>0</v>
      </c>
      <c r="Z30">
        <v>2035</v>
      </c>
      <c r="AA30">
        <v>2268</v>
      </c>
      <c r="AB30">
        <v>2318</v>
      </c>
      <c r="AC30">
        <v>2085</v>
      </c>
      <c r="AD30">
        <v>2304</v>
      </c>
    </row>
    <row r="31" spans="1:30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43784</v>
      </c>
      <c r="H31" s="81">
        <f>SUMIF(I$1:BI$1,"&lt;="&amp;PARAMETER!X$2,I31:BI31)</f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4655</v>
      </c>
      <c r="V31">
        <v>4619</v>
      </c>
      <c r="W31">
        <v>3954</v>
      </c>
      <c r="X31">
        <v>4387</v>
      </c>
      <c r="Y31">
        <v>4570</v>
      </c>
      <c r="Z31">
        <v>4108</v>
      </c>
      <c r="AA31">
        <v>4686</v>
      </c>
      <c r="AB31">
        <v>4510</v>
      </c>
      <c r="AC31">
        <v>3751</v>
      </c>
      <c r="AD31">
        <v>4544</v>
      </c>
    </row>
    <row r="32" spans="1:30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33887</v>
      </c>
      <c r="H32" s="81">
        <f>SUMIF(I$1:BI$1,"&lt;="&amp;PARAMETER!X$2,I32:BI32)</f>
        <v>6517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1957</v>
      </c>
      <c r="R32">
        <v>2603</v>
      </c>
      <c r="S32">
        <v>1957</v>
      </c>
      <c r="T32">
        <v>0</v>
      </c>
      <c r="U32">
        <v>3210</v>
      </c>
      <c r="V32">
        <v>3208</v>
      </c>
      <c r="W32">
        <v>3356</v>
      </c>
      <c r="X32">
        <v>2658</v>
      </c>
      <c r="Y32">
        <v>2726</v>
      </c>
      <c r="Z32">
        <v>0</v>
      </c>
      <c r="AA32">
        <v>3072</v>
      </c>
      <c r="AB32">
        <v>3014</v>
      </c>
      <c r="AC32">
        <v>2933</v>
      </c>
      <c r="AD32">
        <v>3193</v>
      </c>
    </row>
    <row r="33" spans="1:30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151273</v>
      </c>
      <c r="H33" s="81">
        <f>SUMIF(I$1:BI$1,"&lt;="&amp;PARAMETER!X$2,I33:BI33)</f>
        <v>146320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38704</v>
      </c>
      <c r="R33">
        <v>62304</v>
      </c>
      <c r="S33">
        <v>45312</v>
      </c>
      <c r="T33">
        <v>0</v>
      </c>
      <c r="U33">
        <v>595</v>
      </c>
      <c r="V33">
        <v>570</v>
      </c>
      <c r="W33">
        <v>607</v>
      </c>
      <c r="X33">
        <v>550</v>
      </c>
      <c r="Y33">
        <v>0</v>
      </c>
      <c r="Z33">
        <v>487</v>
      </c>
      <c r="AA33">
        <v>545</v>
      </c>
      <c r="AB33">
        <v>621</v>
      </c>
      <c r="AC33">
        <v>478</v>
      </c>
      <c r="AD33">
        <v>500</v>
      </c>
    </row>
    <row r="34" spans="1:30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2851517</v>
      </c>
      <c r="H34" s="81">
        <f>SUMIF(I$1:BI$1,"&lt;="&amp;PARAMETER!X$2,I34:BI34)</f>
        <v>2807262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1994852</v>
      </c>
      <c r="R34">
        <v>333266</v>
      </c>
      <c r="S34">
        <v>479144</v>
      </c>
      <c r="T34">
        <v>0</v>
      </c>
      <c r="U34">
        <v>4999</v>
      </c>
      <c r="V34">
        <v>4937</v>
      </c>
      <c r="W34">
        <v>5037</v>
      </c>
      <c r="X34">
        <v>4395</v>
      </c>
      <c r="Y34">
        <v>4155</v>
      </c>
      <c r="Z34">
        <v>5092</v>
      </c>
      <c r="AA34">
        <v>0</v>
      </c>
      <c r="AB34">
        <v>4796</v>
      </c>
      <c r="AC34">
        <v>5424</v>
      </c>
      <c r="AD34">
        <v>5420</v>
      </c>
    </row>
    <row r="35" spans="1:30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68590</v>
      </c>
      <c r="H35" s="81">
        <f>SUMIF(I$1:BI$1,"&lt;="&amp;PARAMETER!X$2,I35:BI35)</f>
        <v>22764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2604</v>
      </c>
      <c r="R35">
        <v>10752</v>
      </c>
      <c r="S35">
        <v>9408</v>
      </c>
      <c r="T35">
        <v>0</v>
      </c>
      <c r="U35">
        <v>5078</v>
      </c>
      <c r="V35">
        <v>4307</v>
      </c>
      <c r="W35">
        <v>4080</v>
      </c>
      <c r="X35">
        <v>5075</v>
      </c>
      <c r="Y35">
        <v>4555</v>
      </c>
      <c r="Z35">
        <v>4341</v>
      </c>
      <c r="AA35">
        <v>5096</v>
      </c>
      <c r="AB35">
        <v>4161</v>
      </c>
      <c r="AC35">
        <v>4826</v>
      </c>
      <c r="AD35">
        <v>4307</v>
      </c>
    </row>
    <row r="36" spans="1:30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671909</v>
      </c>
      <c r="H36" s="81">
        <f>SUMIF(I$1:BI$1,"&lt;="&amp;PARAMETER!X$2,I36:BI36)</f>
        <v>634590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156750</v>
      </c>
      <c r="R36">
        <v>225390</v>
      </c>
      <c r="S36">
        <v>252450</v>
      </c>
      <c r="T36">
        <v>0</v>
      </c>
      <c r="U36">
        <v>0</v>
      </c>
      <c r="V36">
        <v>0</v>
      </c>
      <c r="W36">
        <v>5016</v>
      </c>
      <c r="X36">
        <v>0</v>
      </c>
      <c r="Y36">
        <v>5710</v>
      </c>
      <c r="Z36">
        <v>5357</v>
      </c>
      <c r="AA36">
        <v>5068</v>
      </c>
      <c r="AB36">
        <v>5380</v>
      </c>
      <c r="AC36">
        <v>5359</v>
      </c>
      <c r="AD36">
        <v>5429</v>
      </c>
    </row>
    <row r="37" spans="1:30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21536</v>
      </c>
      <c r="H37" s="81">
        <f>SUMIF(I$1:BI$1,"&lt;="&amp;PARAMETER!X$2,I37:BI37)</f>
        <v>12744</v>
      </c>
      <c r="I37">
        <v>1122</v>
      </c>
      <c r="J37">
        <v>1088</v>
      </c>
      <c r="K37">
        <v>0</v>
      </c>
      <c r="L37">
        <v>1274</v>
      </c>
      <c r="M37">
        <v>1013</v>
      </c>
      <c r="N37">
        <v>1224</v>
      </c>
      <c r="O37">
        <v>1041</v>
      </c>
      <c r="P37">
        <v>1261</v>
      </c>
      <c r="Q37">
        <v>1197</v>
      </c>
      <c r="R37">
        <v>1002</v>
      </c>
      <c r="S37">
        <v>1291</v>
      </c>
      <c r="T37">
        <v>1231</v>
      </c>
      <c r="U37">
        <v>1144</v>
      </c>
      <c r="V37">
        <v>1228</v>
      </c>
      <c r="W37">
        <v>1012</v>
      </c>
      <c r="X37">
        <v>1017</v>
      </c>
      <c r="Y37">
        <v>1143</v>
      </c>
      <c r="Z37">
        <v>1051</v>
      </c>
      <c r="AA37">
        <v>0</v>
      </c>
      <c r="AB37">
        <v>0</v>
      </c>
      <c r="AC37">
        <v>974</v>
      </c>
      <c r="AD37">
        <v>1223</v>
      </c>
    </row>
    <row r="38" spans="1:30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986579</v>
      </c>
      <c r="H38" s="81">
        <f>SUMIF(I$1:BI$1,"&lt;="&amp;PARAMETER!X$2,I38:BI38)</f>
        <v>968935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357475</v>
      </c>
      <c r="R38">
        <v>297830</v>
      </c>
      <c r="S38">
        <v>313630</v>
      </c>
      <c r="T38">
        <v>0</v>
      </c>
      <c r="U38">
        <v>1522</v>
      </c>
      <c r="V38">
        <v>1676</v>
      </c>
      <c r="W38">
        <v>1836</v>
      </c>
      <c r="X38">
        <v>1820</v>
      </c>
      <c r="Y38">
        <v>1608</v>
      </c>
      <c r="Z38">
        <v>1948</v>
      </c>
      <c r="AA38">
        <v>1931</v>
      </c>
      <c r="AB38">
        <v>1752</v>
      </c>
      <c r="AC38">
        <v>1761</v>
      </c>
      <c r="AD38">
        <v>1790</v>
      </c>
    </row>
    <row r="39" spans="1:30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338154173659952</v>
      </c>
      <c r="H39" s="81">
        <f>SUMIF(I$1:BI$1,"&lt;="&amp;PARAMETER!X$2,I39:BI39)</f>
        <v>338150658647732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205431692098360</v>
      </c>
      <c r="R39">
        <v>72131896893868</v>
      </c>
      <c r="S39">
        <v>60587069655504</v>
      </c>
      <c r="T39">
        <v>0</v>
      </c>
      <c r="U39">
        <v>469418581</v>
      </c>
      <c r="V39">
        <v>462914822</v>
      </c>
      <c r="W39">
        <v>446244595</v>
      </c>
      <c r="X39">
        <v>476074301</v>
      </c>
      <c r="Y39">
        <v>431843749</v>
      </c>
      <c r="Z39">
        <v>0</v>
      </c>
      <c r="AA39">
        <v>451282692</v>
      </c>
      <c r="AB39">
        <v>382834747</v>
      </c>
      <c r="AC39">
        <v>394398733</v>
      </c>
      <c r="AD39">
        <v>0</v>
      </c>
    </row>
    <row r="40" spans="1:30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427995880779</v>
      </c>
      <c r="H40" s="81">
        <f>SUMIF(I$1:BI$1,"&lt;="&amp;PARAMETER!X$2,I40:BI40)</f>
        <v>426326293185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158667094755</v>
      </c>
      <c r="R40">
        <v>121976168340</v>
      </c>
      <c r="S40">
        <v>145683030090</v>
      </c>
      <c r="T40">
        <v>0</v>
      </c>
      <c r="U40">
        <v>224177431</v>
      </c>
      <c r="V40">
        <v>0</v>
      </c>
      <c r="W40">
        <v>236532077</v>
      </c>
      <c r="X40">
        <v>225787738</v>
      </c>
      <c r="Y40">
        <v>197567772</v>
      </c>
      <c r="Z40">
        <v>201291815</v>
      </c>
      <c r="AA40">
        <v>190264298</v>
      </c>
      <c r="AB40">
        <v>0</v>
      </c>
      <c r="AC40">
        <v>184725894</v>
      </c>
      <c r="AD40">
        <v>209240569</v>
      </c>
    </row>
    <row r="41" spans="1:30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9739757784</v>
      </c>
      <c r="H41" s="81">
        <f>SUMIF(I$1:BI$1,"&lt;="&amp;PARAMETER!X$2,I41:BI41)</f>
        <v>674669730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7458000</v>
      </c>
      <c r="R41">
        <v>315134340</v>
      </c>
      <c r="S41">
        <v>352077390</v>
      </c>
      <c r="T41">
        <v>0</v>
      </c>
      <c r="U41">
        <v>856056537</v>
      </c>
      <c r="V41">
        <v>921200777</v>
      </c>
      <c r="W41">
        <v>795401563</v>
      </c>
      <c r="X41">
        <v>1021681666</v>
      </c>
      <c r="Y41">
        <v>1045553549</v>
      </c>
      <c r="Z41">
        <v>1020017927</v>
      </c>
      <c r="AA41">
        <v>941079934</v>
      </c>
      <c r="AB41">
        <v>840466462</v>
      </c>
      <c r="AC41">
        <v>824397722</v>
      </c>
      <c r="AD41">
        <v>799231917</v>
      </c>
    </row>
    <row r="42" spans="1:30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4211915549</v>
      </c>
      <c r="H42" s="81">
        <f>SUMIF(I$1:BI$1,"&lt;="&amp;PARAMETER!X$2,I42:BI42)</f>
        <v>1140559398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92664099</v>
      </c>
      <c r="R42">
        <v>499752099</v>
      </c>
      <c r="S42">
        <v>548143200</v>
      </c>
      <c r="T42">
        <v>0</v>
      </c>
      <c r="U42">
        <v>545866822</v>
      </c>
      <c r="V42">
        <v>0</v>
      </c>
      <c r="W42">
        <v>468408680</v>
      </c>
      <c r="X42">
        <v>0</v>
      </c>
      <c r="Y42">
        <v>0</v>
      </c>
      <c r="Z42">
        <v>472777037</v>
      </c>
      <c r="AA42">
        <v>577596749</v>
      </c>
      <c r="AB42">
        <v>490126139</v>
      </c>
      <c r="AC42">
        <v>0</v>
      </c>
      <c r="AD42">
        <v>516580724</v>
      </c>
    </row>
    <row r="43" spans="1:30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42218005707</v>
      </c>
      <c r="H43" s="81">
        <f>SUMIF(I$1:BI$1,"&lt;="&amp;PARAMETER!X$2,I43:BI43)</f>
        <v>39377567007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4127697461</v>
      </c>
      <c r="R43">
        <v>12766084890</v>
      </c>
      <c r="S43">
        <v>22483784656</v>
      </c>
      <c r="T43">
        <v>0</v>
      </c>
      <c r="U43">
        <v>0</v>
      </c>
      <c r="V43">
        <v>313913736</v>
      </c>
      <c r="W43">
        <v>313656167</v>
      </c>
      <c r="X43">
        <v>333243379</v>
      </c>
      <c r="Y43">
        <v>341485328</v>
      </c>
      <c r="Z43">
        <v>326375905</v>
      </c>
      <c r="AA43">
        <v>337774033</v>
      </c>
      <c r="AB43">
        <v>318094192</v>
      </c>
      <c r="AC43">
        <v>296182171</v>
      </c>
      <c r="AD43">
        <v>259713789</v>
      </c>
    </row>
    <row r="44" spans="1:30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3875211301</v>
      </c>
      <c r="H44" s="81">
        <f>SUMIF(I$1:BI$1,"&lt;="&amp;PARAMETER!X$2,I44:BI44)</f>
        <v>103740000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19318000</v>
      </c>
      <c r="R44">
        <v>43225000</v>
      </c>
      <c r="S44">
        <v>41197000</v>
      </c>
      <c r="T44">
        <v>0</v>
      </c>
      <c r="U44">
        <v>449704070</v>
      </c>
      <c r="V44">
        <v>377485075</v>
      </c>
      <c r="W44">
        <v>410990554</v>
      </c>
      <c r="X44">
        <v>422148139</v>
      </c>
      <c r="Y44">
        <v>408649034</v>
      </c>
      <c r="Z44">
        <v>364579149</v>
      </c>
      <c r="AA44">
        <v>458199903</v>
      </c>
      <c r="AB44">
        <v>453415289</v>
      </c>
      <c r="AC44">
        <v>426300088</v>
      </c>
      <c r="AD44">
        <v>0</v>
      </c>
    </row>
    <row r="45" spans="1:30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7541529988</v>
      </c>
      <c r="H45" s="81">
        <f>SUMIF(I$1:BI$1,"&lt;="&amp;PARAMETER!X$2,I45:BI45)</f>
        <v>721828854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99238536</v>
      </c>
      <c r="R45">
        <v>237538836</v>
      </c>
      <c r="S45">
        <v>385051482</v>
      </c>
      <c r="T45">
        <v>0</v>
      </c>
      <c r="U45">
        <v>686931717</v>
      </c>
      <c r="V45">
        <v>622077507</v>
      </c>
      <c r="W45">
        <v>782597389</v>
      </c>
      <c r="X45">
        <v>597202062</v>
      </c>
      <c r="Y45">
        <v>641108298</v>
      </c>
      <c r="Z45">
        <v>736279042</v>
      </c>
      <c r="AA45">
        <v>672324722</v>
      </c>
      <c r="AB45">
        <v>640137955</v>
      </c>
      <c r="AC45">
        <v>683769878</v>
      </c>
      <c r="AD45">
        <v>757272564</v>
      </c>
    </row>
    <row r="46" spans="1:30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33402647988</v>
      </c>
      <c r="H46" s="81">
        <f>SUMIF(I$1:BI$1,"&lt;="&amp;PARAMETER!X$2,I46:BI46)</f>
        <v>31178314000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24885846000</v>
      </c>
      <c r="R46">
        <v>3352439000</v>
      </c>
      <c r="S46">
        <v>2940029000</v>
      </c>
      <c r="T46">
        <v>0</v>
      </c>
      <c r="U46">
        <v>236079984</v>
      </c>
      <c r="V46">
        <v>199468402</v>
      </c>
      <c r="W46">
        <v>186918086</v>
      </c>
      <c r="X46">
        <v>238982825</v>
      </c>
      <c r="Y46">
        <v>228594780</v>
      </c>
      <c r="Z46">
        <v>243252388</v>
      </c>
      <c r="AA46">
        <v>194190946</v>
      </c>
      <c r="AB46">
        <v>229101103</v>
      </c>
      <c r="AC46">
        <v>239285464</v>
      </c>
      <c r="AD46">
        <v>228460010</v>
      </c>
    </row>
    <row r="47" spans="1:30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7337082994</v>
      </c>
      <c r="H47" s="81">
        <f>SUMIF(I$1:BI$1,"&lt;="&amp;PARAMETER!X$2,I47:BI47)</f>
        <v>755206672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466382257</v>
      </c>
      <c r="R47">
        <v>221392270</v>
      </c>
      <c r="S47">
        <v>67432145</v>
      </c>
      <c r="T47">
        <v>0</v>
      </c>
      <c r="U47">
        <v>0</v>
      </c>
      <c r="V47">
        <v>840551493</v>
      </c>
      <c r="W47">
        <v>810564410</v>
      </c>
      <c r="X47">
        <v>691215685</v>
      </c>
      <c r="Y47">
        <v>837478426</v>
      </c>
      <c r="Z47">
        <v>0</v>
      </c>
      <c r="AA47">
        <v>880835095</v>
      </c>
      <c r="AB47">
        <v>888261852</v>
      </c>
      <c r="AC47">
        <v>707358538</v>
      </c>
      <c r="AD47">
        <v>925610823</v>
      </c>
    </row>
    <row r="48" spans="1:30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9616002894</v>
      </c>
      <c r="H48" s="81">
        <f>SUMIF(I$1:BI$1,"&lt;="&amp;PARAMETER!X$2,I48:BI48)</f>
        <v>5440552031</v>
      </c>
      <c r="I48">
        <v>467265228</v>
      </c>
      <c r="J48">
        <v>387196173</v>
      </c>
      <c r="K48">
        <v>398586889</v>
      </c>
      <c r="L48">
        <v>447883381</v>
      </c>
      <c r="M48">
        <v>501597075</v>
      </c>
      <c r="N48">
        <v>488763004</v>
      </c>
      <c r="O48">
        <v>508232222</v>
      </c>
      <c r="P48">
        <v>424753687</v>
      </c>
      <c r="Q48">
        <v>476761621</v>
      </c>
      <c r="R48">
        <v>507140041</v>
      </c>
      <c r="S48">
        <v>408436839</v>
      </c>
      <c r="T48">
        <v>423935871</v>
      </c>
      <c r="U48">
        <v>519064664</v>
      </c>
      <c r="V48">
        <v>443378170</v>
      </c>
      <c r="W48">
        <v>476202855</v>
      </c>
      <c r="X48">
        <v>427986751</v>
      </c>
      <c r="Y48">
        <v>0</v>
      </c>
      <c r="Z48">
        <v>452492211</v>
      </c>
      <c r="AA48">
        <v>515543296</v>
      </c>
      <c r="AB48">
        <v>389812695</v>
      </c>
      <c r="AC48">
        <v>481004252</v>
      </c>
      <c r="AD48">
        <v>469965969</v>
      </c>
    </row>
    <row r="49" spans="1:30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2457497563</v>
      </c>
      <c r="H49" s="81">
        <f>SUMIF(I$1:BI$1,"&lt;="&amp;PARAMETER!X$2,I49:BI49)</f>
        <v>779377036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47929000</v>
      </c>
      <c r="R49">
        <v>249361836</v>
      </c>
      <c r="S49">
        <v>482086200</v>
      </c>
      <c r="T49">
        <v>0</v>
      </c>
      <c r="U49">
        <v>0</v>
      </c>
      <c r="V49">
        <v>196340953</v>
      </c>
      <c r="W49">
        <v>195621044</v>
      </c>
      <c r="X49">
        <v>220149905</v>
      </c>
      <c r="Y49">
        <v>213904836</v>
      </c>
      <c r="Z49">
        <v>244688824</v>
      </c>
      <c r="AA49">
        <v>193764814</v>
      </c>
      <c r="AB49">
        <v>198345711</v>
      </c>
      <c r="AC49">
        <v>215304440</v>
      </c>
      <c r="AD49">
        <v>0</v>
      </c>
    </row>
    <row r="50" spans="1:30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8453812212</v>
      </c>
      <c r="H50" s="81">
        <f>SUMIF(I$1:BI$1,"&lt;="&amp;PARAMETER!X$2,I50:BI50)</f>
        <v>2478917648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1181825264</v>
      </c>
      <c r="R50">
        <v>720318688</v>
      </c>
      <c r="S50">
        <v>576773696</v>
      </c>
      <c r="T50">
        <v>0</v>
      </c>
      <c r="U50">
        <v>0</v>
      </c>
      <c r="V50">
        <v>785702091</v>
      </c>
      <c r="W50">
        <v>839707769</v>
      </c>
      <c r="X50">
        <v>939534749</v>
      </c>
      <c r="Y50">
        <v>767248495</v>
      </c>
      <c r="Z50">
        <v>0</v>
      </c>
      <c r="AA50">
        <v>847280810</v>
      </c>
      <c r="AB50">
        <v>871866493</v>
      </c>
      <c r="AC50">
        <v>0</v>
      </c>
      <c r="AD50">
        <v>923554157</v>
      </c>
    </row>
    <row r="51" spans="1:30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4428119314</v>
      </c>
      <c r="H51" s="81">
        <f>SUMIF(I$1:BI$1,"&lt;="&amp;PARAMETER!X$2,I51:BI51)</f>
        <v>236000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72000</v>
      </c>
      <c r="R51">
        <v>124000</v>
      </c>
      <c r="S51">
        <v>40000</v>
      </c>
      <c r="T51">
        <v>0</v>
      </c>
      <c r="U51">
        <v>468745958</v>
      </c>
      <c r="V51">
        <v>499249962</v>
      </c>
      <c r="W51">
        <v>517428402</v>
      </c>
      <c r="X51">
        <v>0</v>
      </c>
      <c r="Y51">
        <v>433016547</v>
      </c>
      <c r="Z51">
        <v>557898433</v>
      </c>
      <c r="AA51">
        <v>481090797</v>
      </c>
      <c r="AB51">
        <v>487973005</v>
      </c>
      <c r="AC51">
        <v>508991019</v>
      </c>
      <c r="AD51">
        <v>473489191</v>
      </c>
    </row>
    <row r="52" spans="1:30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4969275034</v>
      </c>
      <c r="H52" s="81">
        <f>SUMIF(I$1:BI$1,"&lt;="&amp;PARAMETER!X$2,I52:BI52)</f>
        <v>2635477446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491945245</v>
      </c>
      <c r="R52">
        <v>1017190649</v>
      </c>
      <c r="S52">
        <v>1126341552</v>
      </c>
      <c r="T52">
        <v>0</v>
      </c>
      <c r="U52">
        <v>0</v>
      </c>
      <c r="V52">
        <v>291148350</v>
      </c>
      <c r="W52">
        <v>312100651</v>
      </c>
      <c r="X52">
        <v>296867449</v>
      </c>
      <c r="Y52">
        <v>314069157</v>
      </c>
      <c r="Z52">
        <v>264096114</v>
      </c>
      <c r="AA52">
        <v>0</v>
      </c>
      <c r="AB52">
        <v>321290169</v>
      </c>
      <c r="AC52">
        <v>259015089</v>
      </c>
      <c r="AD52">
        <v>275210609</v>
      </c>
    </row>
    <row r="53" spans="1:30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18830394194</v>
      </c>
      <c r="H53" s="81">
        <f>SUMIF(I$1:BI$1,"&lt;="&amp;PARAMETER!X$2,I53:BI53)</f>
        <v>17269466223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1354582000</v>
      </c>
      <c r="R53">
        <v>4285361000</v>
      </c>
      <c r="S53">
        <v>11629523223</v>
      </c>
      <c r="T53">
        <v>0</v>
      </c>
      <c r="U53">
        <v>224364895</v>
      </c>
      <c r="V53">
        <v>206817009</v>
      </c>
      <c r="W53">
        <v>175969658</v>
      </c>
      <c r="X53">
        <v>0</v>
      </c>
      <c r="Y53">
        <v>0</v>
      </c>
      <c r="Z53">
        <v>195869139</v>
      </c>
      <c r="AA53">
        <v>182582911</v>
      </c>
      <c r="AB53">
        <v>173439742</v>
      </c>
      <c r="AC53">
        <v>195594752</v>
      </c>
      <c r="AD53">
        <v>206289865</v>
      </c>
    </row>
    <row r="54" spans="1:30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2513580068</v>
      </c>
      <c r="H54" s="81">
        <f>SUMIF(I$1:BI$1,"&lt;="&amp;PARAMETER!X$2,I54:BI54)</f>
        <v>697191675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423488785</v>
      </c>
      <c r="R54">
        <v>214625850</v>
      </c>
      <c r="S54">
        <v>59077040</v>
      </c>
      <c r="T54">
        <v>0</v>
      </c>
      <c r="U54">
        <v>173167391</v>
      </c>
      <c r="V54">
        <v>221536625</v>
      </c>
      <c r="W54">
        <v>228077747</v>
      </c>
      <c r="X54">
        <v>0</v>
      </c>
      <c r="Y54">
        <v>201762427</v>
      </c>
      <c r="Z54">
        <v>222599570</v>
      </c>
      <c r="AA54">
        <v>190041207</v>
      </c>
      <c r="AB54">
        <v>182038514</v>
      </c>
      <c r="AC54">
        <v>220165959</v>
      </c>
      <c r="AD54">
        <v>176998953</v>
      </c>
    </row>
    <row r="55" spans="1:30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335482598960297</v>
      </c>
      <c r="H55" s="81">
        <f>SUMIF(I$1:BI$1,"&lt;="&amp;PARAMETER!X$2,I55:BI55)</f>
        <v>335474108798084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228355448551024</v>
      </c>
      <c r="R55">
        <v>56124914917656</v>
      </c>
      <c r="S55">
        <v>50993745329404</v>
      </c>
      <c r="T55">
        <v>0</v>
      </c>
      <c r="U55">
        <v>0</v>
      </c>
      <c r="V55">
        <v>970471461</v>
      </c>
      <c r="W55">
        <v>889560423</v>
      </c>
      <c r="X55">
        <v>941106930</v>
      </c>
      <c r="Y55">
        <v>837283067</v>
      </c>
      <c r="Z55">
        <v>1003215714</v>
      </c>
      <c r="AA55">
        <v>998409178</v>
      </c>
      <c r="AB55">
        <v>910400749</v>
      </c>
      <c r="AC55">
        <v>868518177</v>
      </c>
      <c r="AD55">
        <v>1071196514</v>
      </c>
    </row>
    <row r="56" spans="1:30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11445247900273</v>
      </c>
      <c r="H56" s="81">
        <f>SUMIF(I$1:BI$1,"&lt;="&amp;PARAMETER!X$2,I56:BI56)</f>
        <v>11442145147017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7345974190139</v>
      </c>
      <c r="R56">
        <v>1968669278199</v>
      </c>
      <c r="S56">
        <v>2127501678679</v>
      </c>
      <c r="T56">
        <v>0</v>
      </c>
      <c r="U56">
        <v>0</v>
      </c>
      <c r="V56">
        <v>419563636</v>
      </c>
      <c r="W56">
        <v>321138909</v>
      </c>
      <c r="X56">
        <v>339876092</v>
      </c>
      <c r="Y56">
        <v>416158424</v>
      </c>
      <c r="Z56">
        <v>428661628</v>
      </c>
      <c r="AA56">
        <v>370867941</v>
      </c>
      <c r="AB56">
        <v>0</v>
      </c>
      <c r="AC56">
        <v>413311072</v>
      </c>
      <c r="AD56">
        <v>393175554</v>
      </c>
    </row>
    <row r="57" spans="1:30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10884943379</v>
      </c>
      <c r="H57" s="81">
        <f>SUMIF(I$1:BI$1,"&lt;="&amp;PARAMETER!X$2,I57:BI57)</f>
        <v>10384400000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3691200000</v>
      </c>
      <c r="R57">
        <v>3502100000</v>
      </c>
      <c r="S57">
        <v>3191100000</v>
      </c>
      <c r="T57">
        <v>0</v>
      </c>
      <c r="U57">
        <v>61156062</v>
      </c>
      <c r="V57">
        <v>66038272</v>
      </c>
      <c r="W57">
        <v>61094888</v>
      </c>
      <c r="X57">
        <v>61831899</v>
      </c>
      <c r="Y57">
        <v>54024534</v>
      </c>
      <c r="Z57">
        <v>0</v>
      </c>
      <c r="AA57">
        <v>69609843</v>
      </c>
      <c r="AB57">
        <v>61982135</v>
      </c>
      <c r="AC57">
        <v>64805746</v>
      </c>
      <c r="AD57">
        <v>0</v>
      </c>
    </row>
    <row r="58" spans="1:30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2502374091</v>
      </c>
      <c r="H58" s="81">
        <f>SUMIF(I$1:BI$1,"&lt;="&amp;PARAMETER!X$2,I58:BI58)</f>
        <v>1192894269</v>
      </c>
      <c r="I58">
        <v>156049834</v>
      </c>
      <c r="J58">
        <v>0</v>
      </c>
      <c r="K58">
        <v>0</v>
      </c>
      <c r="L58">
        <v>0</v>
      </c>
      <c r="M58">
        <v>167563520</v>
      </c>
      <c r="N58">
        <v>147792625</v>
      </c>
      <c r="O58">
        <v>0</v>
      </c>
      <c r="P58">
        <v>128047536</v>
      </c>
      <c r="Q58">
        <v>167166339</v>
      </c>
      <c r="R58">
        <v>129195624</v>
      </c>
      <c r="S58">
        <v>147278953</v>
      </c>
      <c r="T58">
        <v>149799838</v>
      </c>
      <c r="U58">
        <v>0</v>
      </c>
      <c r="V58">
        <v>132670687</v>
      </c>
      <c r="W58">
        <v>153892292</v>
      </c>
      <c r="X58">
        <v>164080151</v>
      </c>
      <c r="Y58">
        <v>148670483</v>
      </c>
      <c r="Z58">
        <v>135140332</v>
      </c>
      <c r="AA58">
        <v>148512597</v>
      </c>
      <c r="AB58">
        <v>137320273</v>
      </c>
      <c r="AC58">
        <v>129027641</v>
      </c>
      <c r="AD58">
        <v>160165366</v>
      </c>
    </row>
    <row r="59" spans="1:30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310991311784</v>
      </c>
      <c r="H59" s="81">
        <f>SUMIF(I$1:BI$1,"&lt;="&amp;PARAMETER!X$2,I59:BI59)</f>
        <v>298473541968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295095046400</v>
      </c>
      <c r="R59">
        <v>1835561168</v>
      </c>
      <c r="S59">
        <v>1542934400</v>
      </c>
      <c r="T59">
        <v>0</v>
      </c>
      <c r="U59">
        <v>1231205563</v>
      </c>
      <c r="V59">
        <v>1252988319</v>
      </c>
      <c r="W59">
        <v>1191643337</v>
      </c>
      <c r="X59">
        <v>1386695714</v>
      </c>
      <c r="Y59">
        <v>1219906829</v>
      </c>
      <c r="Z59">
        <v>1296324792</v>
      </c>
      <c r="AA59">
        <v>1407321188</v>
      </c>
      <c r="AB59">
        <v>1098992710</v>
      </c>
      <c r="AC59">
        <v>1123589090</v>
      </c>
      <c r="AD59">
        <v>1309102274</v>
      </c>
    </row>
    <row r="60" spans="1:30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10878206800</v>
      </c>
      <c r="H60" s="81">
        <f>SUMIF(I$1:BI$1,"&lt;="&amp;PARAMETER!X$2,I60:BI60)</f>
        <v>612716769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165734163</v>
      </c>
      <c r="R60">
        <v>198211923</v>
      </c>
      <c r="S60">
        <v>248770683</v>
      </c>
      <c r="T60">
        <v>0</v>
      </c>
      <c r="U60">
        <v>1184543619</v>
      </c>
      <c r="V60">
        <v>1089586299</v>
      </c>
      <c r="W60">
        <v>1030449996</v>
      </c>
      <c r="X60">
        <v>1060504042</v>
      </c>
      <c r="Y60">
        <v>1037386816</v>
      </c>
      <c r="Z60">
        <v>1314377972</v>
      </c>
      <c r="AA60">
        <v>1057010626</v>
      </c>
      <c r="AB60">
        <v>1127280938</v>
      </c>
      <c r="AC60">
        <v>0</v>
      </c>
      <c r="AD60">
        <v>1364349723</v>
      </c>
    </row>
    <row r="61" spans="1:30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29291640993593</v>
      </c>
      <c r="H61" s="81">
        <f>SUMIF(I$1:BI$1,"&lt;="&amp;PARAMETER!X$2,I61:BI61)</f>
        <v>29289413664500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27457005211300</v>
      </c>
      <c r="R61">
        <v>1139776893200</v>
      </c>
      <c r="S61">
        <v>692631560000</v>
      </c>
      <c r="T61">
        <v>0</v>
      </c>
      <c r="U61">
        <v>234979016</v>
      </c>
      <c r="V61">
        <v>234531707</v>
      </c>
      <c r="W61">
        <v>0</v>
      </c>
      <c r="X61">
        <v>227587565</v>
      </c>
      <c r="Y61">
        <v>237539128</v>
      </c>
      <c r="Z61">
        <v>294415200</v>
      </c>
      <c r="AA61">
        <v>252083794</v>
      </c>
      <c r="AB61">
        <v>277063292</v>
      </c>
      <c r="AC61">
        <v>230552408</v>
      </c>
      <c r="AD61">
        <v>238576983</v>
      </c>
    </row>
    <row r="62" spans="1:30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252665307409</v>
      </c>
      <c r="H62" s="81">
        <f>SUMIF(I$1:BI$1,"&lt;="&amp;PARAMETER!X$2,I62:BI62)</f>
        <v>248455678350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248079620850</v>
      </c>
      <c r="R62">
        <v>213085000</v>
      </c>
      <c r="S62">
        <v>162972500</v>
      </c>
      <c r="T62">
        <v>0</v>
      </c>
      <c r="U62">
        <v>507987220</v>
      </c>
      <c r="V62">
        <v>514488988</v>
      </c>
      <c r="W62">
        <v>393701311</v>
      </c>
      <c r="X62">
        <v>470576529</v>
      </c>
      <c r="Y62">
        <v>521163914</v>
      </c>
      <c r="Z62">
        <v>493826870</v>
      </c>
      <c r="AA62">
        <v>431220971</v>
      </c>
      <c r="AB62">
        <v>435969537</v>
      </c>
      <c r="AC62">
        <v>0</v>
      </c>
      <c r="AD62">
        <v>440693719</v>
      </c>
    </row>
    <row r="63" spans="1:30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26511826981</v>
      </c>
      <c r="H63" s="81">
        <f>SUMIF(I$1:BI$1,"&lt;="&amp;PARAMETER!X$2,I63:BI63)</f>
        <v>24514468000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24514468000</v>
      </c>
      <c r="R63">
        <v>0</v>
      </c>
      <c r="S63">
        <v>0</v>
      </c>
      <c r="T63">
        <v>0</v>
      </c>
      <c r="U63">
        <v>174940766</v>
      </c>
      <c r="V63">
        <v>171718850</v>
      </c>
      <c r="W63">
        <v>195586208</v>
      </c>
      <c r="X63">
        <v>219290760</v>
      </c>
      <c r="Y63">
        <v>205711564</v>
      </c>
      <c r="Z63">
        <v>168819534</v>
      </c>
      <c r="AA63">
        <v>213844977</v>
      </c>
      <c r="AB63">
        <v>210203508</v>
      </c>
      <c r="AC63">
        <v>215792256</v>
      </c>
      <c r="AD63">
        <v>221450558</v>
      </c>
    </row>
    <row r="64" spans="1:30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3268294744</v>
      </c>
      <c r="H64" s="81">
        <f>SUMIF(I$1:BI$1,"&lt;="&amp;PARAMETER!X$2,I64:BI64)</f>
        <v>25000000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25000000</v>
      </c>
      <c r="T64">
        <v>0</v>
      </c>
      <c r="U64">
        <v>363080351</v>
      </c>
      <c r="V64">
        <v>0</v>
      </c>
      <c r="W64">
        <v>0</v>
      </c>
      <c r="X64">
        <v>415901613</v>
      </c>
      <c r="Y64">
        <v>366314398</v>
      </c>
      <c r="Z64">
        <v>417381352</v>
      </c>
      <c r="AA64">
        <v>391078161</v>
      </c>
      <c r="AB64">
        <v>411423091</v>
      </c>
      <c r="AC64">
        <v>455674480</v>
      </c>
      <c r="AD64">
        <v>422441298</v>
      </c>
    </row>
    <row r="65" spans="1:30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1408820357813</v>
      </c>
      <c r="H65" s="81">
        <f>SUMIF(I$1:BI$1,"&lt;="&amp;PARAMETER!X$2,I65:BI65)</f>
        <v>1407203545679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431915559713</v>
      </c>
      <c r="R65">
        <v>528677787843</v>
      </c>
      <c r="S65">
        <v>446610198123</v>
      </c>
      <c r="T65">
        <v>0</v>
      </c>
      <c r="U65">
        <v>167528106</v>
      </c>
      <c r="V65">
        <v>215507304</v>
      </c>
      <c r="W65">
        <v>161824612</v>
      </c>
      <c r="X65">
        <v>168257400</v>
      </c>
      <c r="Y65">
        <v>162151475</v>
      </c>
      <c r="Z65">
        <v>165496929</v>
      </c>
      <c r="AA65">
        <v>166575881</v>
      </c>
      <c r="AB65">
        <v>194945764</v>
      </c>
      <c r="AC65">
        <v>214524663</v>
      </c>
      <c r="AD65">
        <v>0</v>
      </c>
    </row>
    <row r="66" spans="1:30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10655730804</v>
      </c>
      <c r="H66" s="81">
        <f>SUMIF(I$1:BI$1,"&lt;="&amp;PARAMETER!X$2,I66:BI66)</f>
        <v>9567740974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8458336480</v>
      </c>
      <c r="R66">
        <v>583924000</v>
      </c>
      <c r="S66">
        <v>525480494</v>
      </c>
      <c r="T66">
        <v>0</v>
      </c>
      <c r="U66">
        <v>126234853</v>
      </c>
      <c r="V66">
        <v>127194561</v>
      </c>
      <c r="W66">
        <v>123775746</v>
      </c>
      <c r="X66">
        <v>144305207</v>
      </c>
      <c r="Y66">
        <v>160518161</v>
      </c>
      <c r="Z66">
        <v>0</v>
      </c>
      <c r="AA66">
        <v>132242095</v>
      </c>
      <c r="AB66">
        <v>139205082</v>
      </c>
      <c r="AC66">
        <v>134514125</v>
      </c>
      <c r="AD66">
        <v>0</v>
      </c>
    </row>
    <row r="67" spans="1:30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1115222804</v>
      </c>
      <c r="H67" s="81">
        <f>SUMIF(I$1:BI$1,"&lt;="&amp;PARAMETER!X$2,I67:BI67)</f>
        <v>43555000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11780000</v>
      </c>
      <c r="S67">
        <v>31775000</v>
      </c>
      <c r="T67">
        <v>0</v>
      </c>
      <c r="U67">
        <v>130606887</v>
      </c>
      <c r="V67">
        <v>124782795</v>
      </c>
      <c r="W67">
        <v>0</v>
      </c>
      <c r="X67">
        <v>128978302</v>
      </c>
      <c r="Y67">
        <v>0</v>
      </c>
      <c r="Z67">
        <v>127016511</v>
      </c>
      <c r="AA67">
        <v>141603527</v>
      </c>
      <c r="AB67">
        <v>144706908</v>
      </c>
      <c r="AC67">
        <v>130132850</v>
      </c>
      <c r="AD67">
        <v>143840024</v>
      </c>
    </row>
    <row r="68" spans="1:30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7770255991</v>
      </c>
      <c r="H68" s="81">
        <f>SUMIF(I$1:BI$1,"&lt;="&amp;PARAMETER!X$2,I68:BI68)</f>
        <v>27774736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27774736</v>
      </c>
      <c r="S68">
        <v>0</v>
      </c>
      <c r="T68">
        <v>0</v>
      </c>
      <c r="U68">
        <v>823182600</v>
      </c>
      <c r="V68">
        <v>816841949</v>
      </c>
      <c r="W68">
        <v>699168016</v>
      </c>
      <c r="X68">
        <v>775780150</v>
      </c>
      <c r="Y68">
        <v>808150109</v>
      </c>
      <c r="Z68">
        <v>726386860</v>
      </c>
      <c r="AA68">
        <v>828607849</v>
      </c>
      <c r="AB68">
        <v>797503397</v>
      </c>
      <c r="AC68">
        <v>663248290</v>
      </c>
      <c r="AD68">
        <v>803612035</v>
      </c>
    </row>
    <row r="69" spans="1:30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4294739375</v>
      </c>
      <c r="H69" s="81">
        <f>SUMIF(I$1:BI$1,"&lt;="&amp;PARAMETER!X$2,I69:BI69)</f>
        <v>2600388108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830031454</v>
      </c>
      <c r="R69">
        <v>807998541</v>
      </c>
      <c r="S69">
        <v>962358113</v>
      </c>
      <c r="T69">
        <v>0</v>
      </c>
      <c r="U69">
        <v>198719439</v>
      </c>
      <c r="V69">
        <v>198591906</v>
      </c>
      <c r="W69">
        <v>207763655</v>
      </c>
      <c r="X69">
        <v>164560573</v>
      </c>
      <c r="Y69">
        <v>168776573</v>
      </c>
      <c r="Z69">
        <v>0</v>
      </c>
      <c r="AA69">
        <v>190182818</v>
      </c>
      <c r="AB69">
        <v>186572494</v>
      </c>
      <c r="AC69">
        <v>181543006</v>
      </c>
      <c r="AD69">
        <v>197640803</v>
      </c>
    </row>
    <row r="70" spans="1:30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24077628076</v>
      </c>
      <c r="H70" s="81">
        <f>SUMIF(I$1:BI$1,"&lt;="&amp;PARAMETER!X$2,I70:BI70)</f>
        <v>22631928944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4046456944</v>
      </c>
      <c r="R70">
        <v>9503720000</v>
      </c>
      <c r="S70">
        <v>9081752000</v>
      </c>
      <c r="T70">
        <v>0</v>
      </c>
      <c r="U70">
        <v>173687619</v>
      </c>
      <c r="V70">
        <v>166396099</v>
      </c>
      <c r="W70">
        <v>177339943</v>
      </c>
      <c r="X70">
        <v>160598397</v>
      </c>
      <c r="Y70">
        <v>0</v>
      </c>
      <c r="Z70">
        <v>142077520</v>
      </c>
      <c r="AA70">
        <v>159022052</v>
      </c>
      <c r="AB70">
        <v>181179910</v>
      </c>
      <c r="AC70">
        <v>139436293</v>
      </c>
      <c r="AD70">
        <v>145961299</v>
      </c>
    </row>
    <row r="71" spans="1:30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1127316525624</v>
      </c>
      <c r="H71" s="81">
        <f>SUMIF(I$1:BI$1,"&lt;="&amp;PARAMETER!X$2,I71:BI71)</f>
        <v>1118684109454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395178485220</v>
      </c>
      <c r="R71">
        <v>323948844486</v>
      </c>
      <c r="S71">
        <v>399556779748</v>
      </c>
      <c r="T71">
        <v>0</v>
      </c>
      <c r="U71">
        <v>975146199</v>
      </c>
      <c r="V71">
        <v>963079946</v>
      </c>
      <c r="W71">
        <v>982580578</v>
      </c>
      <c r="X71">
        <v>857208299</v>
      </c>
      <c r="Y71">
        <v>810428528</v>
      </c>
      <c r="Z71">
        <v>993150701</v>
      </c>
      <c r="AA71">
        <v>0</v>
      </c>
      <c r="AB71">
        <v>935576474</v>
      </c>
      <c r="AC71">
        <v>1057986037</v>
      </c>
      <c r="AD71">
        <v>1057259408</v>
      </c>
    </row>
    <row r="72" spans="1:30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15336932666</v>
      </c>
      <c r="H72" s="81">
        <f>SUMIF(I$1:BI$1,"&lt;="&amp;PARAMETER!X$2,I72:BI72)</f>
        <v>2118221196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223188000</v>
      </c>
      <c r="R72">
        <v>940381428</v>
      </c>
      <c r="S72">
        <v>954651768</v>
      </c>
      <c r="T72">
        <v>0</v>
      </c>
      <c r="U72">
        <v>1464708196</v>
      </c>
      <c r="V72">
        <v>1242343092</v>
      </c>
      <c r="W72">
        <v>1176894519</v>
      </c>
      <c r="X72">
        <v>1463849787</v>
      </c>
      <c r="Y72">
        <v>1313899223</v>
      </c>
      <c r="Z72">
        <v>1252214401</v>
      </c>
      <c r="AA72">
        <v>1470013286</v>
      </c>
      <c r="AB72">
        <v>1200259882</v>
      </c>
      <c r="AC72">
        <v>1392001655</v>
      </c>
      <c r="AD72">
        <v>1242527429</v>
      </c>
    </row>
    <row r="73" spans="1:30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53222920300</v>
      </c>
      <c r="H73" s="81">
        <f>SUMIF(I$1:BI$1,"&lt;="&amp;PARAMETER!X$2,I73:BI73)</f>
        <v>46490575230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10855050690</v>
      </c>
      <c r="R73">
        <v>18773869620</v>
      </c>
      <c r="S73">
        <v>16861654920</v>
      </c>
      <c r="T73">
        <v>0</v>
      </c>
      <c r="U73">
        <v>0</v>
      </c>
      <c r="V73">
        <v>0</v>
      </c>
      <c r="W73">
        <v>904904458</v>
      </c>
      <c r="X73">
        <v>0</v>
      </c>
      <c r="Y73">
        <v>1030124179</v>
      </c>
      <c r="Z73">
        <v>966338492</v>
      </c>
      <c r="AA73">
        <v>914342157</v>
      </c>
      <c r="AB73">
        <v>970577061</v>
      </c>
      <c r="AC73">
        <v>966710133</v>
      </c>
      <c r="AD73">
        <v>979348590</v>
      </c>
    </row>
    <row r="74" spans="1:30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3522154429</v>
      </c>
      <c r="H74" s="81">
        <f>SUMIF(I$1:BI$1,"&lt;="&amp;PARAMETER!X$2,I74:BI74)</f>
        <v>2084300881</v>
      </c>
      <c r="I74">
        <v>183582265</v>
      </c>
      <c r="J74">
        <v>177940414</v>
      </c>
      <c r="K74">
        <v>0</v>
      </c>
      <c r="L74">
        <v>208350625</v>
      </c>
      <c r="M74">
        <v>165623525</v>
      </c>
      <c r="N74">
        <v>200195940</v>
      </c>
      <c r="O74">
        <v>170308308</v>
      </c>
      <c r="P74">
        <v>206234379</v>
      </c>
      <c r="Q74">
        <v>195771244</v>
      </c>
      <c r="R74">
        <v>163912056</v>
      </c>
      <c r="S74">
        <v>211089793</v>
      </c>
      <c r="T74">
        <v>201292332</v>
      </c>
      <c r="U74">
        <v>187075515</v>
      </c>
      <c r="V74">
        <v>200760754</v>
      </c>
      <c r="W74">
        <v>165571703</v>
      </c>
      <c r="X74">
        <v>166340275</v>
      </c>
      <c r="Y74">
        <v>186910998</v>
      </c>
      <c r="Z74">
        <v>171947481</v>
      </c>
      <c r="AA74">
        <v>0</v>
      </c>
      <c r="AB74">
        <v>0</v>
      </c>
      <c r="AC74">
        <v>159301961</v>
      </c>
      <c r="AD74">
        <v>199944861</v>
      </c>
    </row>
    <row r="75" spans="1:30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150626477435</v>
      </c>
      <c r="H75" s="81">
        <f>SUMIF(I$1:BI$1,"&lt;="&amp;PARAMETER!X$2,I75:BI75)</f>
        <v>146888098185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51680813685</v>
      </c>
      <c r="R75">
        <v>46235737500</v>
      </c>
      <c r="S75">
        <v>48971547000</v>
      </c>
      <c r="T75">
        <v>0</v>
      </c>
      <c r="U75">
        <v>322597341</v>
      </c>
      <c r="V75">
        <v>355133779</v>
      </c>
      <c r="W75">
        <v>389037142</v>
      </c>
      <c r="X75">
        <v>385653432</v>
      </c>
      <c r="Y75">
        <v>340628079</v>
      </c>
      <c r="Z75">
        <v>412679424</v>
      </c>
      <c r="AA75">
        <v>409135613</v>
      </c>
      <c r="AB75">
        <v>371258557</v>
      </c>
      <c r="AC75">
        <v>373094852</v>
      </c>
      <c r="AD75">
        <v>379161031</v>
      </c>
    </row>
    <row r="76" spans="1:30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3078731734151</v>
      </c>
      <c r="H76" s="81">
        <f>SUMIF(I$1:BI$1,"&lt;="&amp;PARAMETER!X$2,I76:BI76)</f>
        <v>3078717813598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1653456398748</v>
      </c>
      <c r="R76">
        <v>778404461744</v>
      </c>
      <c r="S76">
        <v>646856953106</v>
      </c>
      <c r="T76">
        <v>0</v>
      </c>
      <c r="U76">
        <v>1859045</v>
      </c>
      <c r="V76">
        <v>1833288</v>
      </c>
      <c r="W76">
        <v>1767269</v>
      </c>
      <c r="X76">
        <v>1885404</v>
      </c>
      <c r="Y76">
        <v>1710237</v>
      </c>
      <c r="Z76">
        <v>0</v>
      </c>
      <c r="AA76">
        <v>1787221</v>
      </c>
      <c r="AB76">
        <v>1516146</v>
      </c>
      <c r="AC76">
        <v>1561943</v>
      </c>
      <c r="AD76">
        <v>0</v>
      </c>
    </row>
    <row r="77" spans="1:30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3015353409</v>
      </c>
      <c r="H77" s="81">
        <f>SUMIF(I$1:BI$1,"&lt;="&amp;PARAMETER!X$2,I77:BI77)</f>
        <v>3012314175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1092743925</v>
      </c>
      <c r="R77">
        <v>875580420</v>
      </c>
      <c r="S77">
        <v>1043989830</v>
      </c>
      <c r="T77">
        <v>0</v>
      </c>
      <c r="U77">
        <v>408081</v>
      </c>
      <c r="V77">
        <v>0</v>
      </c>
      <c r="W77">
        <v>430571</v>
      </c>
      <c r="X77">
        <v>411013</v>
      </c>
      <c r="Y77">
        <v>359642</v>
      </c>
      <c r="Z77">
        <v>366422</v>
      </c>
      <c r="AA77">
        <v>346348</v>
      </c>
      <c r="AB77">
        <v>0</v>
      </c>
      <c r="AC77">
        <v>336266</v>
      </c>
      <c r="AD77">
        <v>380891</v>
      </c>
    </row>
    <row r="78" spans="1:30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41284246</v>
      </c>
      <c r="H78" s="81">
        <f>SUMIF(I$1:BI$1,"&lt;="&amp;PARAMETER!X$2,I78:BI78)</f>
        <v>4722720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52200</v>
      </c>
      <c r="R78">
        <v>2205930</v>
      </c>
      <c r="S78">
        <v>2464590</v>
      </c>
      <c r="T78">
        <v>0</v>
      </c>
      <c r="U78">
        <v>3452667</v>
      </c>
      <c r="V78">
        <v>3715409</v>
      </c>
      <c r="W78">
        <v>3208032</v>
      </c>
      <c r="X78">
        <v>4120671</v>
      </c>
      <c r="Y78">
        <v>4216951</v>
      </c>
      <c r="Z78">
        <v>4113960</v>
      </c>
      <c r="AA78">
        <v>3795586</v>
      </c>
      <c r="AB78">
        <v>3389789</v>
      </c>
      <c r="AC78">
        <v>3324980</v>
      </c>
      <c r="AD78">
        <v>3223481</v>
      </c>
    </row>
    <row r="79" spans="1:30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18346825</v>
      </c>
      <c r="H79" s="81">
        <f>SUMIF(I$1:BI$1,"&lt;="&amp;PARAMETER!X$2,I79:BI79)</f>
        <v>7849908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514701</v>
      </c>
      <c r="R79">
        <v>3498264</v>
      </c>
      <c r="S79">
        <v>3836943</v>
      </c>
      <c r="T79">
        <v>0</v>
      </c>
      <c r="U79">
        <v>1865599</v>
      </c>
      <c r="V79">
        <v>0</v>
      </c>
      <c r="W79">
        <v>1600872</v>
      </c>
      <c r="X79">
        <v>0</v>
      </c>
      <c r="Y79">
        <v>0</v>
      </c>
      <c r="Z79">
        <v>1615801</v>
      </c>
      <c r="AA79">
        <v>1974042</v>
      </c>
      <c r="AB79">
        <v>1675095</v>
      </c>
      <c r="AC79">
        <v>0</v>
      </c>
      <c r="AD79">
        <v>1765508</v>
      </c>
    </row>
    <row r="80" spans="1:30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202013059</v>
      </c>
      <c r="H80" s="81">
        <f>SUMIF(I$1:BI$1,"&lt;="&amp;PARAMETER!X$2,I80:BI80)</f>
        <v>198977282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26755263</v>
      </c>
      <c r="R80">
        <v>51426768</v>
      </c>
      <c r="S80">
        <v>120795251</v>
      </c>
      <c r="T80">
        <v>0</v>
      </c>
      <c r="U80">
        <v>0</v>
      </c>
      <c r="V80">
        <v>335502</v>
      </c>
      <c r="W80">
        <v>335226</v>
      </c>
      <c r="X80">
        <v>356161</v>
      </c>
      <c r="Y80">
        <v>364969</v>
      </c>
      <c r="Z80">
        <v>348821</v>
      </c>
      <c r="AA80">
        <v>361003</v>
      </c>
      <c r="AB80">
        <v>339970</v>
      </c>
      <c r="AC80">
        <v>316551</v>
      </c>
      <c r="AD80">
        <v>277574</v>
      </c>
    </row>
    <row r="81" spans="1:30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10950410</v>
      </c>
      <c r="H81" s="81">
        <f>SUMIF(I$1:BI$1,"&lt;="&amp;PARAMETER!X$2,I81:BI81)</f>
        <v>777959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155116</v>
      </c>
      <c r="R81">
        <v>302575</v>
      </c>
      <c r="S81">
        <v>320268</v>
      </c>
      <c r="T81">
        <v>0</v>
      </c>
      <c r="U81">
        <v>1212946</v>
      </c>
      <c r="V81">
        <v>1018157</v>
      </c>
      <c r="W81">
        <v>1108528</v>
      </c>
      <c r="X81">
        <v>1138622</v>
      </c>
      <c r="Y81">
        <v>1102212</v>
      </c>
      <c r="Z81">
        <v>983347</v>
      </c>
      <c r="AA81">
        <v>1235862</v>
      </c>
      <c r="AB81">
        <v>1222956</v>
      </c>
      <c r="AC81">
        <v>1149821</v>
      </c>
      <c r="AD81">
        <v>0</v>
      </c>
    </row>
    <row r="82" spans="1:30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17920209</v>
      </c>
      <c r="H82" s="81">
        <f>SUMIF(I$1:BI$1,"&lt;="&amp;PARAMETER!X$2,I82:BI82)</f>
        <v>5101605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694665</v>
      </c>
      <c r="R82">
        <v>1662768</v>
      </c>
      <c r="S82">
        <v>2744172</v>
      </c>
      <c r="T82">
        <v>0</v>
      </c>
      <c r="U82">
        <v>1291186</v>
      </c>
      <c r="V82">
        <v>1169284</v>
      </c>
      <c r="W82">
        <v>1471004</v>
      </c>
      <c r="X82">
        <v>1122527</v>
      </c>
      <c r="Y82">
        <v>1205055</v>
      </c>
      <c r="Z82">
        <v>1383942</v>
      </c>
      <c r="AA82">
        <v>1263730</v>
      </c>
      <c r="AB82">
        <v>1203231</v>
      </c>
      <c r="AC82">
        <v>1285243</v>
      </c>
      <c r="AD82">
        <v>1423402</v>
      </c>
    </row>
    <row r="83" spans="1:30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97614398</v>
      </c>
      <c r="H83" s="81">
        <f>SUMIF(I$1:BI$1,"&lt;="&amp;PARAMETER!X$2,I83:BI83)</f>
        <v>86716666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42669390</v>
      </c>
      <c r="R83">
        <v>23467073</v>
      </c>
      <c r="S83">
        <v>20580203</v>
      </c>
      <c r="T83">
        <v>0</v>
      </c>
      <c r="U83">
        <v>1156632</v>
      </c>
      <c r="V83">
        <v>977260</v>
      </c>
      <c r="W83">
        <v>915772</v>
      </c>
      <c r="X83">
        <v>1170854</v>
      </c>
      <c r="Y83">
        <v>1119960</v>
      </c>
      <c r="Z83">
        <v>1191772</v>
      </c>
      <c r="AA83">
        <v>951404</v>
      </c>
      <c r="AB83">
        <v>1122441</v>
      </c>
      <c r="AC83">
        <v>1172337</v>
      </c>
      <c r="AD83">
        <v>1119300</v>
      </c>
    </row>
    <row r="84" spans="1:30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30359809</v>
      </c>
      <c r="H84" s="81">
        <f>SUMIF(I$1:BI$1,"&lt;="&amp;PARAMETER!X$2,I84:BI84)</f>
        <v>8687481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5542471</v>
      </c>
      <c r="R84">
        <v>2410595</v>
      </c>
      <c r="S84">
        <v>734415</v>
      </c>
      <c r="T84">
        <v>0</v>
      </c>
      <c r="U84">
        <v>0</v>
      </c>
      <c r="V84">
        <v>2767707</v>
      </c>
      <c r="W84">
        <v>2668968</v>
      </c>
      <c r="X84">
        <v>2275985</v>
      </c>
      <c r="Y84">
        <v>2757589</v>
      </c>
      <c r="Z84">
        <v>0</v>
      </c>
      <c r="AA84">
        <v>2900350</v>
      </c>
      <c r="AB84">
        <v>2924805</v>
      </c>
      <c r="AC84">
        <v>2329139</v>
      </c>
      <c r="AD84">
        <v>3047785</v>
      </c>
    </row>
    <row r="85" spans="1:30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19888195</v>
      </c>
      <c r="H85" s="81">
        <f>SUMIF(I$1:BI$1,"&lt;="&amp;PARAMETER!X$2,I85:BI85)</f>
        <v>11252363</v>
      </c>
      <c r="I85">
        <v>966416</v>
      </c>
      <c r="J85">
        <v>800814</v>
      </c>
      <c r="K85">
        <v>824373</v>
      </c>
      <c r="L85">
        <v>926330</v>
      </c>
      <c r="M85">
        <v>1037423</v>
      </c>
      <c r="N85">
        <v>1010879</v>
      </c>
      <c r="O85">
        <v>1051146</v>
      </c>
      <c r="P85">
        <v>878492</v>
      </c>
      <c r="Q85">
        <v>986057</v>
      </c>
      <c r="R85">
        <v>1048887</v>
      </c>
      <c r="S85">
        <v>844745</v>
      </c>
      <c r="T85">
        <v>876801</v>
      </c>
      <c r="U85">
        <v>1073550</v>
      </c>
      <c r="V85">
        <v>917012</v>
      </c>
      <c r="W85">
        <v>984902</v>
      </c>
      <c r="X85">
        <v>885179</v>
      </c>
      <c r="Y85">
        <v>0</v>
      </c>
      <c r="Z85">
        <v>935862</v>
      </c>
      <c r="AA85">
        <v>1066267</v>
      </c>
      <c r="AB85">
        <v>806226</v>
      </c>
      <c r="AC85">
        <v>994832</v>
      </c>
      <c r="AD85">
        <v>972002</v>
      </c>
    </row>
    <row r="86" spans="1:30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2731625</v>
      </c>
      <c r="H86" s="81">
        <f>SUMIF(I$1:BI$1,"&lt;="&amp;PARAMETER!X$2,I86:BI86)</f>
        <v>565800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565800</v>
      </c>
      <c r="T86">
        <v>0</v>
      </c>
      <c r="U86">
        <v>0</v>
      </c>
      <c r="V86">
        <v>253403</v>
      </c>
      <c r="W86">
        <v>252473</v>
      </c>
      <c r="X86">
        <v>284131</v>
      </c>
      <c r="Y86">
        <v>276071</v>
      </c>
      <c r="Z86">
        <v>315802</v>
      </c>
      <c r="AA86">
        <v>250078</v>
      </c>
      <c r="AB86">
        <v>255990</v>
      </c>
      <c r="AC86">
        <v>277877</v>
      </c>
      <c r="AD86">
        <v>0</v>
      </c>
    </row>
    <row r="87" spans="1:30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24332372</v>
      </c>
      <c r="H87" s="81">
        <f>SUMIF(I$1:BI$1,"&lt;="&amp;PARAMETER!X$2,I87:BI87)</f>
        <v>3860320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1788672</v>
      </c>
      <c r="R87">
        <v>1175440</v>
      </c>
      <c r="S87">
        <v>896208</v>
      </c>
      <c r="T87">
        <v>0</v>
      </c>
      <c r="U87">
        <v>0</v>
      </c>
      <c r="V87">
        <v>2692087</v>
      </c>
      <c r="W87">
        <v>2877129</v>
      </c>
      <c r="X87">
        <v>3219170</v>
      </c>
      <c r="Y87">
        <v>2628858</v>
      </c>
      <c r="Z87">
        <v>0</v>
      </c>
      <c r="AA87">
        <v>2903077</v>
      </c>
      <c r="AB87">
        <v>2987316</v>
      </c>
      <c r="AC87">
        <v>0</v>
      </c>
      <c r="AD87">
        <v>3164415</v>
      </c>
    </row>
    <row r="88" spans="1:30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16386833</v>
      </c>
      <c r="H88" s="81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1734748</v>
      </c>
      <c r="V88">
        <v>1847638</v>
      </c>
      <c r="W88">
        <v>1914913</v>
      </c>
      <c r="X88">
        <v>0</v>
      </c>
      <c r="Y88">
        <v>1602520</v>
      </c>
      <c r="Z88">
        <v>2064686</v>
      </c>
      <c r="AA88">
        <v>1780434</v>
      </c>
      <c r="AB88">
        <v>1805904</v>
      </c>
      <c r="AC88">
        <v>1883688</v>
      </c>
      <c r="AD88">
        <v>1752302</v>
      </c>
    </row>
    <row r="89" spans="1:30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26157192</v>
      </c>
      <c r="H89" s="81">
        <f>SUMIF(I$1:BI$1,"&lt;="&amp;PARAMETER!X$2,I89:BI89)</f>
        <v>18718497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4857394</v>
      </c>
      <c r="R89">
        <v>6376169</v>
      </c>
      <c r="S89">
        <v>7484934</v>
      </c>
      <c r="T89">
        <v>0</v>
      </c>
      <c r="U89">
        <v>0</v>
      </c>
      <c r="V89">
        <v>928000</v>
      </c>
      <c r="W89">
        <v>994783</v>
      </c>
      <c r="X89">
        <v>946229</v>
      </c>
      <c r="Y89">
        <v>1001057</v>
      </c>
      <c r="Z89">
        <v>841774</v>
      </c>
      <c r="AA89">
        <v>0</v>
      </c>
      <c r="AB89">
        <v>1024073</v>
      </c>
      <c r="AC89">
        <v>825579</v>
      </c>
      <c r="AD89">
        <v>877200</v>
      </c>
    </row>
    <row r="90" spans="1:30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7254803</v>
      </c>
      <c r="H90" s="81">
        <f>SUMIF(I$1:BI$1,"&lt;="&amp;PARAMETER!X$2,I90:BI90)</f>
        <v>216027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216027</v>
      </c>
      <c r="T90">
        <v>0</v>
      </c>
      <c r="U90">
        <v>1011741</v>
      </c>
      <c r="V90">
        <v>932611</v>
      </c>
      <c r="W90">
        <v>793509</v>
      </c>
      <c r="X90">
        <v>0</v>
      </c>
      <c r="Y90">
        <v>0</v>
      </c>
      <c r="Z90">
        <v>883243</v>
      </c>
      <c r="AA90">
        <v>823331</v>
      </c>
      <c r="AB90">
        <v>782101</v>
      </c>
      <c r="AC90">
        <v>882006</v>
      </c>
      <c r="AD90">
        <v>930234</v>
      </c>
    </row>
    <row r="91" spans="1:30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10344260</v>
      </c>
      <c r="H91" s="81">
        <f>SUMIF(I$1:BI$1,"&lt;="&amp;PARAMETER!X$2,I91:BI91)</f>
        <v>2766019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850119</v>
      </c>
      <c r="R91">
        <v>1502375</v>
      </c>
      <c r="S91">
        <v>413525</v>
      </c>
      <c r="T91">
        <v>0</v>
      </c>
      <c r="U91">
        <v>722480</v>
      </c>
      <c r="V91">
        <v>924284</v>
      </c>
      <c r="W91">
        <v>951574</v>
      </c>
      <c r="X91">
        <v>0</v>
      </c>
      <c r="Y91">
        <v>841783</v>
      </c>
      <c r="Z91">
        <v>928718</v>
      </c>
      <c r="AA91">
        <v>792880</v>
      </c>
      <c r="AB91">
        <v>759491</v>
      </c>
      <c r="AC91">
        <v>918565</v>
      </c>
      <c r="AD91">
        <v>738466</v>
      </c>
    </row>
    <row r="92" spans="1:30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2990911122150</v>
      </c>
      <c r="H92" s="81">
        <f>SUMIF(I$1:BI$1,"&lt;="&amp;PARAMETER!X$2,I92:BI92)</f>
        <v>2990899655212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1757069433508</v>
      </c>
      <c r="R92">
        <v>646828620776</v>
      </c>
      <c r="S92">
        <v>587001600928</v>
      </c>
      <c r="T92">
        <v>0</v>
      </c>
      <c r="U92">
        <v>0</v>
      </c>
      <c r="V92">
        <v>1310733</v>
      </c>
      <c r="W92">
        <v>1201453</v>
      </c>
      <c r="X92">
        <v>1271073</v>
      </c>
      <c r="Y92">
        <v>1130847</v>
      </c>
      <c r="Z92">
        <v>1354958</v>
      </c>
      <c r="AA92">
        <v>1348466</v>
      </c>
      <c r="AB92">
        <v>1229601</v>
      </c>
      <c r="AC92">
        <v>1173033</v>
      </c>
      <c r="AD92">
        <v>1446774</v>
      </c>
    </row>
    <row r="93" spans="1:30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43719131248</v>
      </c>
      <c r="H93" s="81">
        <f>SUMIF(I$1:BI$1,"&lt;="&amp;PARAMETER!X$2,I93:BI93)</f>
        <v>43709511521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15582148400</v>
      </c>
      <c r="R93">
        <v>13515464937</v>
      </c>
      <c r="S93">
        <v>14611898184</v>
      </c>
      <c r="T93">
        <v>0</v>
      </c>
      <c r="U93">
        <v>0</v>
      </c>
      <c r="V93">
        <v>1300809</v>
      </c>
      <c r="W93">
        <v>995654</v>
      </c>
      <c r="X93">
        <v>1053746</v>
      </c>
      <c r="Y93">
        <v>1290251</v>
      </c>
      <c r="Z93">
        <v>1329016</v>
      </c>
      <c r="AA93">
        <v>1149833</v>
      </c>
      <c r="AB93">
        <v>0</v>
      </c>
      <c r="AC93">
        <v>1281423</v>
      </c>
      <c r="AD93">
        <v>1218995</v>
      </c>
    </row>
    <row r="94" spans="1:30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104151128</v>
      </c>
      <c r="H94" s="81">
        <f>SUMIF(I$1:BI$1,"&lt;="&amp;PARAMETER!X$2,I94:BI94)</f>
        <v>102398000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45757250</v>
      </c>
      <c r="R94">
        <v>30136300</v>
      </c>
      <c r="S94">
        <v>26504450</v>
      </c>
      <c r="T94">
        <v>0</v>
      </c>
      <c r="U94">
        <v>214196</v>
      </c>
      <c r="V94">
        <v>231296</v>
      </c>
      <c r="W94">
        <v>213982</v>
      </c>
      <c r="X94">
        <v>216563</v>
      </c>
      <c r="Y94">
        <v>189218</v>
      </c>
      <c r="Z94">
        <v>0</v>
      </c>
      <c r="AA94">
        <v>243805</v>
      </c>
      <c r="AB94">
        <v>217089</v>
      </c>
      <c r="AC94">
        <v>226979</v>
      </c>
      <c r="AD94">
        <v>0</v>
      </c>
    </row>
    <row r="95" spans="1:30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10754190</v>
      </c>
      <c r="H95" s="81">
        <f>SUMIF(I$1:BI$1,"&lt;="&amp;PARAMETER!X$2,I95:BI95)</f>
        <v>5126575</v>
      </c>
      <c r="I95">
        <v>670639</v>
      </c>
      <c r="J95">
        <v>0</v>
      </c>
      <c r="K95">
        <v>0</v>
      </c>
      <c r="L95">
        <v>0</v>
      </c>
      <c r="M95">
        <v>720120</v>
      </c>
      <c r="N95">
        <v>635153</v>
      </c>
      <c r="O95">
        <v>0</v>
      </c>
      <c r="P95">
        <v>550296</v>
      </c>
      <c r="Q95">
        <v>718413</v>
      </c>
      <c r="R95">
        <v>555230</v>
      </c>
      <c r="S95">
        <v>632945</v>
      </c>
      <c r="T95">
        <v>643779</v>
      </c>
      <c r="U95">
        <v>0</v>
      </c>
      <c r="V95">
        <v>570165</v>
      </c>
      <c r="W95">
        <v>661367</v>
      </c>
      <c r="X95">
        <v>705150</v>
      </c>
      <c r="Y95">
        <v>638926</v>
      </c>
      <c r="Z95">
        <v>580778</v>
      </c>
      <c r="AA95">
        <v>638247</v>
      </c>
      <c r="AB95">
        <v>590147</v>
      </c>
      <c r="AC95">
        <v>554509</v>
      </c>
      <c r="AD95">
        <v>688326</v>
      </c>
    </row>
    <row r="96" spans="1:30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515009460</v>
      </c>
      <c r="H96" s="81">
        <f>SUMIF(I$1:BI$1,"&lt;="&amp;PARAMETER!X$2,I96:BI96)</f>
        <v>469031136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443420656</v>
      </c>
      <c r="R96">
        <v>4213104</v>
      </c>
      <c r="S96">
        <v>21397376</v>
      </c>
      <c r="T96">
        <v>0</v>
      </c>
      <c r="U96">
        <v>4522273</v>
      </c>
      <c r="V96">
        <v>4602282</v>
      </c>
      <c r="W96">
        <v>4376959</v>
      </c>
      <c r="X96">
        <v>5093395</v>
      </c>
      <c r="Y96">
        <v>4480772</v>
      </c>
      <c r="Z96">
        <v>4761458</v>
      </c>
      <c r="AA96">
        <v>5169153</v>
      </c>
      <c r="AB96">
        <v>4036649</v>
      </c>
      <c r="AC96">
        <v>4126992</v>
      </c>
      <c r="AD96">
        <v>4808391</v>
      </c>
    </row>
    <row r="97" spans="1:30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28169063</v>
      </c>
      <c r="H97" s="81">
        <f>SUMIF(I$1:BI$1,"&lt;="&amp;PARAMETER!X$2,I97:BI97)</f>
        <v>5144580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1294335</v>
      </c>
      <c r="R97">
        <v>1399986</v>
      </c>
      <c r="S97">
        <v>2450259</v>
      </c>
      <c r="T97">
        <v>0</v>
      </c>
      <c r="U97">
        <v>2656815</v>
      </c>
      <c r="V97">
        <v>2443835</v>
      </c>
      <c r="W97">
        <v>2311198</v>
      </c>
      <c r="X97">
        <v>2378606</v>
      </c>
      <c r="Y97">
        <v>2326756</v>
      </c>
      <c r="Z97">
        <v>2948020</v>
      </c>
      <c r="AA97">
        <v>2370771</v>
      </c>
      <c r="AB97">
        <v>2528380</v>
      </c>
      <c r="AC97">
        <v>0</v>
      </c>
      <c r="AD97">
        <v>3060102</v>
      </c>
    </row>
    <row r="98" spans="1:30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286620497406</v>
      </c>
      <c r="H98" s="81">
        <f>SUMIF(I$1:BI$1,"&lt;="&amp;PARAMETER!X$2,I98:BI98)</f>
        <v>286610315400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266216326150</v>
      </c>
      <c r="R98">
        <v>13075879100</v>
      </c>
      <c r="S98">
        <v>7318110150</v>
      </c>
      <c r="T98">
        <v>0</v>
      </c>
      <c r="U98">
        <v>1074182</v>
      </c>
      <c r="V98">
        <v>1072138</v>
      </c>
      <c r="W98">
        <v>0</v>
      </c>
      <c r="X98">
        <v>1040393</v>
      </c>
      <c r="Y98">
        <v>1085886</v>
      </c>
      <c r="Z98">
        <v>1345889</v>
      </c>
      <c r="AA98">
        <v>1152375</v>
      </c>
      <c r="AB98">
        <v>1266566</v>
      </c>
      <c r="AC98">
        <v>1053947</v>
      </c>
      <c r="AD98">
        <v>1090630</v>
      </c>
    </row>
    <row r="99" spans="1:30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377676284</v>
      </c>
      <c r="H99" s="81">
        <f>SUMIF(I$1:BI$1,"&lt;="&amp;PARAMETER!X$2,I99:BI99)</f>
        <v>372020095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372020095</v>
      </c>
      <c r="R99">
        <v>0</v>
      </c>
      <c r="S99">
        <v>0</v>
      </c>
      <c r="T99">
        <v>0</v>
      </c>
      <c r="U99">
        <v>682548</v>
      </c>
      <c r="V99">
        <v>691284</v>
      </c>
      <c r="W99">
        <v>528989</v>
      </c>
      <c r="X99">
        <v>632281</v>
      </c>
      <c r="Y99">
        <v>700252</v>
      </c>
      <c r="Z99">
        <v>663521</v>
      </c>
      <c r="AA99">
        <v>579402</v>
      </c>
      <c r="AB99">
        <v>585782</v>
      </c>
      <c r="AC99">
        <v>0</v>
      </c>
      <c r="AD99">
        <v>592130</v>
      </c>
    </row>
    <row r="100" spans="1:30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46053086</v>
      </c>
      <c r="H100" s="81">
        <f>SUMIF(I$1:BI$1,"&lt;="&amp;PARAMETER!X$2,I100:BI100)</f>
        <v>36771702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36771702</v>
      </c>
      <c r="R100">
        <v>0</v>
      </c>
      <c r="S100">
        <v>0</v>
      </c>
      <c r="T100">
        <v>0</v>
      </c>
      <c r="U100">
        <v>812920</v>
      </c>
      <c r="V100">
        <v>797948</v>
      </c>
      <c r="W100">
        <v>908855</v>
      </c>
      <c r="X100">
        <v>1019006</v>
      </c>
      <c r="Y100">
        <v>955906</v>
      </c>
      <c r="Z100">
        <v>784475</v>
      </c>
      <c r="AA100">
        <v>993701</v>
      </c>
      <c r="AB100">
        <v>976780</v>
      </c>
      <c r="AC100">
        <v>1002750</v>
      </c>
      <c r="AD100">
        <v>1029043</v>
      </c>
    </row>
    <row r="101" spans="1:30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13152855</v>
      </c>
      <c r="H101" s="81">
        <f>SUMIF(I$1:BI$1,"&lt;="&amp;PARAMETER!X$2,I101:BI101)</f>
        <v>450000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450000</v>
      </c>
      <c r="T101">
        <v>0</v>
      </c>
      <c r="U101">
        <v>1422059</v>
      </c>
      <c r="V101">
        <v>0</v>
      </c>
      <c r="W101">
        <v>0</v>
      </c>
      <c r="X101">
        <v>1628942</v>
      </c>
      <c r="Y101">
        <v>1434726</v>
      </c>
      <c r="Z101">
        <v>1634737</v>
      </c>
      <c r="AA101">
        <v>1531717</v>
      </c>
      <c r="AB101">
        <v>1611401</v>
      </c>
      <c r="AC101">
        <v>1784718</v>
      </c>
      <c r="AD101">
        <v>1654555</v>
      </c>
    </row>
    <row r="102" spans="1:30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7404334288</v>
      </c>
      <c r="H102" s="81">
        <f>SUMIF(I$1:BI$1,"&lt;="&amp;PARAMETER!X$2,I102:BI102)</f>
        <v>7396800024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2859991581</v>
      </c>
      <c r="R102">
        <v>2360703124</v>
      </c>
      <c r="S102">
        <v>2176105319</v>
      </c>
      <c r="T102">
        <v>0</v>
      </c>
      <c r="U102">
        <v>780673</v>
      </c>
      <c r="V102">
        <v>1004253</v>
      </c>
      <c r="W102">
        <v>754095</v>
      </c>
      <c r="X102">
        <v>784071</v>
      </c>
      <c r="Y102">
        <v>755618</v>
      </c>
      <c r="Z102">
        <v>771207</v>
      </c>
      <c r="AA102">
        <v>776235</v>
      </c>
      <c r="AB102">
        <v>908438</v>
      </c>
      <c r="AC102">
        <v>999674</v>
      </c>
      <c r="AD102">
        <v>0</v>
      </c>
    </row>
    <row r="103" spans="1:30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14279031</v>
      </c>
      <c r="H103" s="81">
        <f>SUMIF(I$1:BI$1,"&lt;="&amp;PARAMETER!X$2,I103:BI103)</f>
        <v>12622676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12420276</v>
      </c>
      <c r="R103">
        <v>0</v>
      </c>
      <c r="S103">
        <v>202400</v>
      </c>
      <c r="T103">
        <v>0</v>
      </c>
      <c r="U103">
        <v>192180</v>
      </c>
      <c r="V103">
        <v>193641</v>
      </c>
      <c r="W103">
        <v>188436</v>
      </c>
      <c r="X103">
        <v>219690</v>
      </c>
      <c r="Y103">
        <v>244373</v>
      </c>
      <c r="Z103">
        <v>0</v>
      </c>
      <c r="AA103">
        <v>201325</v>
      </c>
      <c r="AB103">
        <v>211926</v>
      </c>
      <c r="AC103">
        <v>204784</v>
      </c>
      <c r="AD103">
        <v>0</v>
      </c>
    </row>
    <row r="104" spans="1:30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4114781</v>
      </c>
      <c r="H104" s="81">
        <f>SUMIF(I$1:BI$1,"&lt;="&amp;PARAMETER!X$2,I104:BI104)</f>
        <v>304885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82460</v>
      </c>
      <c r="S104">
        <v>222425</v>
      </c>
      <c r="T104">
        <v>0</v>
      </c>
      <c r="U104">
        <v>464322</v>
      </c>
      <c r="V104">
        <v>443616</v>
      </c>
      <c r="W104">
        <v>0</v>
      </c>
      <c r="X104">
        <v>458532</v>
      </c>
      <c r="Y104">
        <v>0</v>
      </c>
      <c r="Z104">
        <v>451558</v>
      </c>
      <c r="AA104">
        <v>503416</v>
      </c>
      <c r="AB104">
        <v>514449</v>
      </c>
      <c r="AC104">
        <v>462636</v>
      </c>
      <c r="AD104">
        <v>511367</v>
      </c>
    </row>
    <row r="105" spans="1:30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31118408</v>
      </c>
      <c r="H105" s="81">
        <f>SUMIF(I$1:BI$1,"&lt;="&amp;PARAMETER!X$2,I105:BI105)</f>
        <v>194480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194480</v>
      </c>
      <c r="S105">
        <v>0</v>
      </c>
      <c r="T105">
        <v>0</v>
      </c>
      <c r="U105">
        <v>3287840</v>
      </c>
      <c r="V105">
        <v>3262515</v>
      </c>
      <c r="W105">
        <v>2792518</v>
      </c>
      <c r="X105">
        <v>3098512</v>
      </c>
      <c r="Y105">
        <v>3227799</v>
      </c>
      <c r="Z105">
        <v>2901232</v>
      </c>
      <c r="AA105">
        <v>3309509</v>
      </c>
      <c r="AB105">
        <v>3185276</v>
      </c>
      <c r="AC105">
        <v>2649053</v>
      </c>
      <c r="AD105">
        <v>3209674</v>
      </c>
    </row>
    <row r="106" spans="1:30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17564946</v>
      </c>
      <c r="H106" s="81">
        <f>SUMIF(I$1:BI$1,"&lt;="&amp;PARAMETER!X$2,I106:BI106)</f>
        <v>10543214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3555983</v>
      </c>
      <c r="R106">
        <v>2432589</v>
      </c>
      <c r="S106">
        <v>4554642</v>
      </c>
      <c r="T106">
        <v>0</v>
      </c>
      <c r="U106">
        <v>823533</v>
      </c>
      <c r="V106">
        <v>823005</v>
      </c>
      <c r="W106">
        <v>861014</v>
      </c>
      <c r="X106">
        <v>681972</v>
      </c>
      <c r="Y106">
        <v>699444</v>
      </c>
      <c r="Z106">
        <v>0</v>
      </c>
      <c r="AA106">
        <v>788156</v>
      </c>
      <c r="AB106">
        <v>773194</v>
      </c>
      <c r="AC106">
        <v>752351</v>
      </c>
      <c r="AD106">
        <v>819063</v>
      </c>
    </row>
    <row r="107" spans="1:30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148283889</v>
      </c>
      <c r="H107" s="81">
        <f>SUMIF(I$1:BI$1,"&lt;="&amp;PARAMETER!X$2,I107:BI107)</f>
        <v>142372192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21290032</v>
      </c>
      <c r="R107">
        <v>60258352</v>
      </c>
      <c r="S107">
        <v>60823808</v>
      </c>
      <c r="T107">
        <v>0</v>
      </c>
      <c r="U107">
        <v>710237</v>
      </c>
      <c r="V107">
        <v>680420</v>
      </c>
      <c r="W107">
        <v>725172</v>
      </c>
      <c r="X107">
        <v>656713</v>
      </c>
      <c r="Y107">
        <v>0</v>
      </c>
      <c r="Z107">
        <v>580978</v>
      </c>
      <c r="AA107">
        <v>650267</v>
      </c>
      <c r="AB107">
        <v>740874</v>
      </c>
      <c r="AC107">
        <v>570177</v>
      </c>
      <c r="AD107">
        <v>596859</v>
      </c>
    </row>
    <row r="108" spans="1:30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6492500916</v>
      </c>
      <c r="H108" s="81">
        <f>SUMIF(I$1:BI$1,"&lt;="&amp;PARAMETER!X$2,I108:BI108)</f>
        <v>6453080556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1374592976</v>
      </c>
      <c r="R108">
        <v>2269144150</v>
      </c>
      <c r="S108">
        <v>2809343430</v>
      </c>
      <c r="T108">
        <v>0</v>
      </c>
      <c r="U108">
        <v>4453054</v>
      </c>
      <c r="V108">
        <v>4397953</v>
      </c>
      <c r="W108">
        <v>4487003</v>
      </c>
      <c r="X108">
        <v>3914485</v>
      </c>
      <c r="Y108">
        <v>3700862</v>
      </c>
      <c r="Z108">
        <v>4535272</v>
      </c>
      <c r="AA108">
        <v>0</v>
      </c>
      <c r="AB108">
        <v>4272357</v>
      </c>
      <c r="AC108">
        <v>4831346</v>
      </c>
      <c r="AD108">
        <v>4828028</v>
      </c>
    </row>
    <row r="109" spans="1:30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46790134</v>
      </c>
      <c r="H109" s="81">
        <f>SUMIF(I$1:BI$1,"&lt;="&amp;PARAMETER!X$2,I109:BI109)</f>
        <v>15061368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1562316</v>
      </c>
      <c r="R109">
        <v>6600804</v>
      </c>
      <c r="S109">
        <v>6898248</v>
      </c>
      <c r="T109">
        <v>0</v>
      </c>
      <c r="U109">
        <v>3515727</v>
      </c>
      <c r="V109">
        <v>2981986</v>
      </c>
      <c r="W109">
        <v>2824890</v>
      </c>
      <c r="X109">
        <v>3513667</v>
      </c>
      <c r="Y109">
        <v>3153742</v>
      </c>
      <c r="Z109">
        <v>3005680</v>
      </c>
      <c r="AA109">
        <v>3528461</v>
      </c>
      <c r="AB109">
        <v>2880974</v>
      </c>
      <c r="AC109">
        <v>3341210</v>
      </c>
      <c r="AD109">
        <v>2982429</v>
      </c>
    </row>
    <row r="110" spans="1:30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87163045</v>
      </c>
      <c r="H110" s="81">
        <f>SUMIF(I$1:BI$1,"&lt;="&amp;PARAMETER!X$2,I110:BI110)</f>
        <v>70426290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11000550</v>
      </c>
      <c r="R110">
        <v>41824530</v>
      </c>
      <c r="S110">
        <v>17601210</v>
      </c>
      <c r="T110">
        <v>0</v>
      </c>
      <c r="U110">
        <v>0</v>
      </c>
      <c r="V110">
        <v>0</v>
      </c>
      <c r="W110">
        <v>2249612</v>
      </c>
      <c r="X110">
        <v>0</v>
      </c>
      <c r="Y110">
        <v>2560911</v>
      </c>
      <c r="Z110">
        <v>2402338</v>
      </c>
      <c r="AA110">
        <v>2273074</v>
      </c>
      <c r="AB110">
        <v>2412876</v>
      </c>
      <c r="AC110">
        <v>2403262</v>
      </c>
      <c r="AD110">
        <v>2434682</v>
      </c>
    </row>
    <row r="111" spans="1:30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10653926</v>
      </c>
      <c r="H111" s="81">
        <f>SUMIF(I$1:BI$1,"&lt;="&amp;PARAMETER!X$2,I111:BI111)</f>
        <v>6304660</v>
      </c>
      <c r="I111">
        <v>555306</v>
      </c>
      <c r="J111">
        <v>538240</v>
      </c>
      <c r="K111">
        <v>0</v>
      </c>
      <c r="L111">
        <v>630226</v>
      </c>
      <c r="M111">
        <v>500983</v>
      </c>
      <c r="N111">
        <v>605559</v>
      </c>
      <c r="O111">
        <v>515154</v>
      </c>
      <c r="P111">
        <v>623824</v>
      </c>
      <c r="Q111">
        <v>592175</v>
      </c>
      <c r="R111">
        <v>495806</v>
      </c>
      <c r="S111">
        <v>638511</v>
      </c>
      <c r="T111">
        <v>608876</v>
      </c>
      <c r="U111">
        <v>565872</v>
      </c>
      <c r="V111">
        <v>607268</v>
      </c>
      <c r="W111">
        <v>500827</v>
      </c>
      <c r="X111">
        <v>503151</v>
      </c>
      <c r="Y111">
        <v>565374</v>
      </c>
      <c r="Z111">
        <v>520112</v>
      </c>
      <c r="AA111">
        <v>0</v>
      </c>
      <c r="AB111">
        <v>0</v>
      </c>
      <c r="AC111">
        <v>481862</v>
      </c>
      <c r="AD111">
        <v>604800</v>
      </c>
    </row>
    <row r="112" spans="1:30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966995737</v>
      </c>
      <c r="H112" s="81">
        <f>SUMIF(I$1:BI$1,"&lt;="&amp;PARAMETER!X$2,I112:BI112)</f>
        <v>956856690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290319470</v>
      </c>
      <c r="R112">
        <v>323648780</v>
      </c>
      <c r="S112">
        <v>342888440</v>
      </c>
      <c r="T112">
        <v>0</v>
      </c>
      <c r="U112">
        <v>874933</v>
      </c>
      <c r="V112">
        <v>963176</v>
      </c>
      <c r="W112">
        <v>1055127</v>
      </c>
      <c r="X112">
        <v>1045950</v>
      </c>
      <c r="Y112">
        <v>923835</v>
      </c>
      <c r="Z112">
        <v>1119249</v>
      </c>
      <c r="AA112">
        <v>1109637</v>
      </c>
      <c r="AB112">
        <v>1006909</v>
      </c>
      <c r="AC112">
        <v>1011889</v>
      </c>
      <c r="AD112">
        <v>1028342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12</v>
      </c>
      <c r="Y2" t="str">
        <f>VLOOKUP(X2,V2:W54,2,0)</f>
        <v>Week-12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2026-04-01T08:19:01Z</dcterms:modified>
</cp:coreProperties>
</file>