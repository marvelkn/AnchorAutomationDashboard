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UMN\Semester 6 Magang\17 mar\"/>
    </mc:Choice>
  </mc:AlternateContent>
  <xr:revisionPtr revIDLastSave="0" documentId="13_ncr:1_{0C76BBED-7668-40F9-95D2-4C9852454B8B}" xr6:coauthVersionLast="47" xr6:coauthVersionMax="47" xr10:uidLastSave="{00000000-0000-0000-0000-000000000000}"/>
  <bookViews>
    <workbookView xWindow="3165" yWindow="1200" windowWidth="21180" windowHeight="13710" xr2:uid="{240645E3-8A17-0C44-A4AF-1EA738D86500}"/>
  </bookViews>
  <sheets>
    <sheet name="PerPM" sheetId="13" r:id="rId1"/>
    <sheet name="PerMerchant" sheetId="14" r:id="rId2"/>
    <sheet name="2024" sheetId="16" r:id="rId3"/>
    <sheet name="2025" sheetId="18" r:id="rId4"/>
    <sheet name="2025 T" sheetId="17" r:id="rId5"/>
    <sheet name="2026" sheetId="20" r:id="rId6"/>
    <sheet name="2026 T" sheetId="21" r:id="rId7"/>
    <sheet name="PARAMETER" sheetId="19" r:id="rId8"/>
    <sheet name="SUM" sheetId="8" state="hidden" r:id="rId9"/>
    <sheet name="Edit Target" sheetId="4" state="hidden" r:id="rId10"/>
  </sheets>
  <externalReferences>
    <externalReference r:id="rId11"/>
    <externalReference r:id="rId12"/>
  </externalReferences>
  <definedNames>
    <definedName name="_xlnm._FilterDatabase" localSheetId="2" hidden="1">'2024'!$A$1:$BI$106</definedName>
    <definedName name="_xlnm._FilterDatabase" localSheetId="3" hidden="1">'2025'!$A$1:$BI$1</definedName>
    <definedName name="_xlnm._FilterDatabase" localSheetId="4" hidden="1">'2025 T'!$A$1:$DS$133</definedName>
    <definedName name="_xlnm._FilterDatabase" localSheetId="5" hidden="1">'2026'!$A$1:$BI$114</definedName>
    <definedName name="_xlnm._FilterDatabase" localSheetId="6" hidden="1">'2026 T'!$A$1:$BI$2</definedName>
    <definedName name="_xlnm._FilterDatabase" localSheetId="7" hidden="1">PARAMETER!$A$1:$E$40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6" i="21" l="1"/>
  <c r="G136" i="21"/>
  <c r="D136" i="21"/>
  <c r="H135" i="21"/>
  <c r="G135" i="21"/>
  <c r="D135" i="21"/>
  <c r="H134" i="21"/>
  <c r="G134" i="21"/>
  <c r="D134" i="21"/>
  <c r="H133" i="21"/>
  <c r="G133" i="21"/>
  <c r="D133" i="21"/>
  <c r="H132" i="21"/>
  <c r="G132" i="21"/>
  <c r="D132" i="21"/>
  <c r="H131" i="21"/>
  <c r="G131" i="21"/>
  <c r="D131" i="21"/>
  <c r="H130" i="21"/>
  <c r="G130" i="21"/>
  <c r="D130" i="21"/>
  <c r="H129" i="21"/>
  <c r="G129" i="21"/>
  <c r="D129" i="21"/>
  <c r="H128" i="21"/>
  <c r="G128" i="21"/>
  <c r="D128" i="21"/>
  <c r="H127" i="21"/>
  <c r="G127" i="21"/>
  <c r="D127" i="21"/>
  <c r="H126" i="21"/>
  <c r="G126" i="21"/>
  <c r="D126" i="21"/>
  <c r="H125" i="21"/>
  <c r="G125" i="21"/>
  <c r="D125" i="21"/>
  <c r="H124" i="21"/>
  <c r="G124" i="21"/>
  <c r="H123" i="21"/>
  <c r="G123" i="21"/>
  <c r="H122" i="21"/>
  <c r="G122" i="21"/>
  <c r="H121" i="21"/>
  <c r="G121" i="21"/>
  <c r="H120" i="21"/>
  <c r="G120" i="21"/>
  <c r="H119" i="21"/>
  <c r="G119" i="21"/>
  <c r="H118" i="21"/>
  <c r="G118" i="21"/>
  <c r="H117" i="21"/>
  <c r="G117" i="21"/>
  <c r="H116" i="21"/>
  <c r="G116" i="21"/>
  <c r="H115" i="21"/>
  <c r="G115" i="21"/>
  <c r="H114" i="21"/>
  <c r="G114" i="21"/>
  <c r="H113" i="21"/>
  <c r="G113" i="21"/>
  <c r="H112" i="21"/>
  <c r="G112" i="21"/>
  <c r="H111" i="21"/>
  <c r="G111" i="21"/>
  <c r="H110" i="21"/>
  <c r="G110" i="21"/>
  <c r="H109" i="21"/>
  <c r="G109" i="21"/>
  <c r="H108" i="21"/>
  <c r="G108" i="21"/>
  <c r="H107" i="21"/>
  <c r="G107" i="21"/>
  <c r="H106" i="21"/>
  <c r="G106" i="21"/>
  <c r="H105" i="21"/>
  <c r="G105" i="21"/>
  <c r="H104" i="21"/>
  <c r="G104" i="21"/>
  <c r="H103" i="21"/>
  <c r="G103" i="21"/>
  <c r="H102" i="21"/>
  <c r="G102" i="21"/>
  <c r="H101" i="21"/>
  <c r="G101" i="21"/>
  <c r="H100" i="21"/>
  <c r="G100" i="21"/>
  <c r="H99" i="21"/>
  <c r="G99" i="21"/>
  <c r="H98" i="21"/>
  <c r="G98" i="21"/>
  <c r="H97" i="21"/>
  <c r="G97" i="21"/>
  <c r="H96" i="21"/>
  <c r="G96" i="21"/>
  <c r="H95" i="21"/>
  <c r="G95" i="21"/>
  <c r="H94" i="21"/>
  <c r="G94" i="21"/>
  <c r="H93" i="21"/>
  <c r="G93" i="21"/>
  <c r="H92" i="21"/>
  <c r="G92" i="21"/>
  <c r="H91" i="21"/>
  <c r="G91" i="21"/>
  <c r="H90" i="21"/>
  <c r="G90" i="21"/>
  <c r="H89" i="21"/>
  <c r="G89" i="21"/>
  <c r="H88" i="21"/>
  <c r="G88" i="21"/>
  <c r="H87" i="21"/>
  <c r="G87" i="21"/>
  <c r="H86" i="21"/>
  <c r="G86" i="21"/>
  <c r="H85" i="21"/>
  <c r="G85" i="21"/>
  <c r="H84" i="21"/>
  <c r="G84" i="21"/>
  <c r="H83" i="21"/>
  <c r="G83" i="21"/>
  <c r="H82" i="21"/>
  <c r="G82" i="21"/>
  <c r="H81" i="21"/>
  <c r="G81" i="21"/>
  <c r="H80" i="21"/>
  <c r="G80" i="21"/>
  <c r="H79" i="21"/>
  <c r="G79" i="21"/>
  <c r="H78" i="21"/>
  <c r="G78" i="21"/>
  <c r="H77" i="21"/>
  <c r="G77" i="21"/>
  <c r="H76" i="21"/>
  <c r="G76" i="21"/>
  <c r="H75" i="21"/>
  <c r="G75" i="21"/>
  <c r="H74" i="21"/>
  <c r="G74" i="21"/>
  <c r="H73" i="21"/>
  <c r="G73" i="21"/>
  <c r="H72" i="21"/>
  <c r="G72" i="21"/>
  <c r="H71" i="21"/>
  <c r="G71" i="21"/>
  <c r="H70" i="21"/>
  <c r="G70" i="21"/>
  <c r="H69" i="21"/>
  <c r="G69" i="21"/>
  <c r="H68" i="21"/>
  <c r="G68" i="21"/>
  <c r="H67" i="21"/>
  <c r="G67" i="21"/>
  <c r="H66" i="21"/>
  <c r="G66" i="21"/>
  <c r="H65" i="21"/>
  <c r="G65" i="21"/>
  <c r="H64" i="21"/>
  <c r="G64" i="21"/>
  <c r="H63" i="21"/>
  <c r="G63" i="21"/>
  <c r="H62" i="21"/>
  <c r="G62" i="21"/>
  <c r="H61" i="21"/>
  <c r="G61" i="21"/>
  <c r="H60" i="21"/>
  <c r="G60" i="21"/>
  <c r="H59" i="21"/>
  <c r="G59" i="21"/>
  <c r="H58" i="21"/>
  <c r="G58" i="21"/>
  <c r="H57" i="21"/>
  <c r="G57" i="21"/>
  <c r="H56" i="21"/>
  <c r="G56" i="21"/>
  <c r="H55" i="21"/>
  <c r="G55" i="21"/>
  <c r="H54" i="21"/>
  <c r="G54" i="21"/>
  <c r="H53" i="21"/>
  <c r="G53" i="21"/>
  <c r="H52" i="21"/>
  <c r="G52" i="21"/>
  <c r="H51" i="21"/>
  <c r="G51" i="21"/>
  <c r="H50" i="21"/>
  <c r="G50" i="21"/>
  <c r="H49" i="21"/>
  <c r="G49" i="21"/>
  <c r="H48" i="21"/>
  <c r="G48" i="21"/>
  <c r="H47" i="21"/>
  <c r="G47" i="21"/>
  <c r="H46" i="21"/>
  <c r="G46" i="21"/>
  <c r="H45" i="21"/>
  <c r="G45" i="21"/>
  <c r="H44" i="21"/>
  <c r="G44" i="21"/>
  <c r="H43" i="21"/>
  <c r="G43" i="21"/>
  <c r="H42" i="21"/>
  <c r="G42" i="21"/>
  <c r="H41" i="21"/>
  <c r="G41" i="21"/>
  <c r="H40" i="21"/>
  <c r="G40" i="21"/>
  <c r="H39" i="21"/>
  <c r="G39" i="21"/>
  <c r="H38" i="21"/>
  <c r="G38" i="21"/>
  <c r="H37" i="21"/>
  <c r="G37" i="21"/>
  <c r="H36" i="21"/>
  <c r="G36" i="21"/>
  <c r="H35" i="21"/>
  <c r="G35" i="21"/>
  <c r="H34" i="21"/>
  <c r="G34" i="21"/>
  <c r="H33" i="21"/>
  <c r="G33" i="21"/>
  <c r="H32" i="21"/>
  <c r="G32" i="21"/>
  <c r="H31" i="21"/>
  <c r="G31" i="21"/>
  <c r="H30" i="21"/>
  <c r="G30" i="21"/>
  <c r="H29" i="21"/>
  <c r="G29" i="21"/>
  <c r="H28" i="21"/>
  <c r="G28" i="21"/>
  <c r="H27" i="21"/>
  <c r="G27" i="21"/>
  <c r="H26" i="21"/>
  <c r="G26" i="21"/>
  <c r="H25" i="21"/>
  <c r="G25" i="21"/>
  <c r="H24" i="21"/>
  <c r="G24" i="21"/>
  <c r="H23" i="21"/>
  <c r="G23" i="21"/>
  <c r="H22" i="21"/>
  <c r="G22" i="21"/>
  <c r="H21" i="21"/>
  <c r="G21" i="21"/>
  <c r="H20" i="21"/>
  <c r="G20" i="21"/>
  <c r="H19" i="21"/>
  <c r="G19" i="21"/>
  <c r="H18" i="21"/>
  <c r="G18" i="21"/>
  <c r="H17" i="21"/>
  <c r="G17" i="21"/>
  <c r="H16" i="21"/>
  <c r="G16" i="21"/>
  <c r="H15" i="21"/>
  <c r="G15" i="21"/>
  <c r="H14" i="21"/>
  <c r="G14" i="21"/>
  <c r="H13" i="21"/>
  <c r="G13" i="21"/>
  <c r="H12" i="21"/>
  <c r="G12" i="21"/>
  <c r="H11" i="21"/>
  <c r="G11" i="21"/>
  <c r="H10" i="21"/>
  <c r="G10" i="21"/>
  <c r="H9" i="21"/>
  <c r="G9" i="21"/>
  <c r="H8" i="21"/>
  <c r="G8" i="21"/>
  <c r="H7" i="21"/>
  <c r="G7" i="21"/>
  <c r="H6" i="21"/>
  <c r="G6" i="21"/>
  <c r="H5" i="21"/>
  <c r="G5" i="21"/>
  <c r="H4" i="21"/>
  <c r="G4" i="21"/>
  <c r="H3" i="21"/>
  <c r="G3" i="21"/>
  <c r="H2" i="21"/>
  <c r="G2" i="21"/>
  <c r="J2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B42" i="19"/>
  <c r="C42" i="19" s="1"/>
  <c r="B41" i="19"/>
  <c r="C41" i="19"/>
  <c r="E41" i="19"/>
  <c r="AB14" i="19"/>
  <c r="AC14" i="19" s="1"/>
  <c r="AB15" i="19"/>
  <c r="AC15" i="19" s="1"/>
  <c r="AE22" i="19"/>
  <c r="AE21" i="19"/>
  <c r="AE20" i="19"/>
  <c r="AE19" i="19"/>
  <c r="AE18" i="19"/>
  <c r="AE17" i="19"/>
  <c r="AE16" i="19"/>
  <c r="AE15" i="19"/>
  <c r="AE14" i="19"/>
  <c r="AE13" i="19"/>
  <c r="AE12" i="19"/>
  <c r="AB13" i="19"/>
  <c r="AE11" i="19"/>
  <c r="AE10" i="19"/>
  <c r="AE9" i="19"/>
  <c r="AE8" i="19"/>
  <c r="AE7" i="19"/>
  <c r="AE6" i="19"/>
  <c r="AE5" i="19"/>
  <c r="AE4" i="19"/>
  <c r="AE3" i="19"/>
  <c r="AE2" i="19"/>
  <c r="AB2" i="19"/>
  <c r="AB3" i="19" s="1"/>
  <c r="AC3" i="19" s="1"/>
  <c r="B43" i="19" l="1"/>
  <c r="AB4" i="19"/>
  <c r="AC13" i="19"/>
  <c r="AC2" i="19"/>
  <c r="G3" i="16"/>
  <c r="H3" i="16"/>
  <c r="G4" i="16"/>
  <c r="H4" i="16"/>
  <c r="G5" i="16"/>
  <c r="H5" i="16"/>
  <c r="G6" i="16"/>
  <c r="H6" i="16"/>
  <c r="G7" i="16"/>
  <c r="H7" i="16"/>
  <c r="G8" i="16"/>
  <c r="H8" i="16"/>
  <c r="G9" i="16"/>
  <c r="H9" i="16"/>
  <c r="G10" i="16"/>
  <c r="H10" i="16"/>
  <c r="G11" i="16"/>
  <c r="H11" i="16"/>
  <c r="G12" i="16"/>
  <c r="H12" i="16"/>
  <c r="G13" i="16"/>
  <c r="H13" i="16"/>
  <c r="G14" i="16"/>
  <c r="H14" i="16"/>
  <c r="G15" i="16"/>
  <c r="H15" i="16"/>
  <c r="G16" i="16"/>
  <c r="H16" i="16"/>
  <c r="G17" i="16"/>
  <c r="H17" i="16"/>
  <c r="G18" i="16"/>
  <c r="H18" i="16"/>
  <c r="G19" i="16"/>
  <c r="H19" i="16"/>
  <c r="G20" i="16"/>
  <c r="H20" i="16"/>
  <c r="G21" i="16"/>
  <c r="H21" i="16"/>
  <c r="G22" i="16"/>
  <c r="H22" i="16"/>
  <c r="G23" i="16"/>
  <c r="H23" i="16"/>
  <c r="G24" i="16"/>
  <c r="H24" i="16"/>
  <c r="G25" i="16"/>
  <c r="H25" i="16"/>
  <c r="G26" i="16"/>
  <c r="H26" i="16"/>
  <c r="G27" i="16"/>
  <c r="H27" i="16"/>
  <c r="G28" i="16"/>
  <c r="H28" i="16"/>
  <c r="G29" i="16"/>
  <c r="H29" i="16"/>
  <c r="G30" i="16"/>
  <c r="H30" i="16"/>
  <c r="G31" i="16"/>
  <c r="H31" i="16"/>
  <c r="G32" i="16"/>
  <c r="H32" i="16"/>
  <c r="G33" i="16"/>
  <c r="H33" i="16"/>
  <c r="G34" i="16"/>
  <c r="H34" i="16"/>
  <c r="G35" i="16"/>
  <c r="H35" i="16"/>
  <c r="G36" i="16"/>
  <c r="H36" i="16"/>
  <c r="G37" i="16"/>
  <c r="H37" i="16"/>
  <c r="G38" i="16"/>
  <c r="H38" i="16"/>
  <c r="G39" i="16"/>
  <c r="H39" i="16"/>
  <c r="G40" i="16"/>
  <c r="H40" i="16"/>
  <c r="G41" i="16"/>
  <c r="H41" i="16"/>
  <c r="G42" i="16"/>
  <c r="H42" i="16"/>
  <c r="G43" i="16"/>
  <c r="H43" i="16"/>
  <c r="G44" i="16"/>
  <c r="H44" i="16"/>
  <c r="G45" i="16"/>
  <c r="H45" i="16"/>
  <c r="G46" i="16"/>
  <c r="H46" i="16"/>
  <c r="G47" i="16"/>
  <c r="H47" i="16"/>
  <c r="G48" i="16"/>
  <c r="H48" i="16"/>
  <c r="G49" i="16"/>
  <c r="H49" i="16"/>
  <c r="G50" i="16"/>
  <c r="H50" i="16"/>
  <c r="G51" i="16"/>
  <c r="H51" i="16"/>
  <c r="G52" i="16"/>
  <c r="H52" i="16"/>
  <c r="G53" i="16"/>
  <c r="H53" i="16"/>
  <c r="G54" i="16"/>
  <c r="H54" i="16"/>
  <c r="G55" i="16"/>
  <c r="H55" i="16"/>
  <c r="G56" i="16"/>
  <c r="H56" i="16"/>
  <c r="G57" i="16"/>
  <c r="H57" i="16"/>
  <c r="G58" i="16"/>
  <c r="H58" i="16"/>
  <c r="G59" i="16"/>
  <c r="H59" i="16"/>
  <c r="G60" i="16"/>
  <c r="H60" i="16"/>
  <c r="G61" i="16"/>
  <c r="H61" i="16"/>
  <c r="G62" i="16"/>
  <c r="H62" i="16"/>
  <c r="G63" i="16"/>
  <c r="H63" i="16"/>
  <c r="G64" i="16"/>
  <c r="H64" i="16"/>
  <c r="G65" i="16"/>
  <c r="H65" i="16"/>
  <c r="G66" i="16"/>
  <c r="H66" i="16"/>
  <c r="G67" i="16"/>
  <c r="H67" i="16"/>
  <c r="G68" i="16"/>
  <c r="H68" i="16"/>
  <c r="G69" i="16"/>
  <c r="H69" i="16"/>
  <c r="G70" i="16"/>
  <c r="H70" i="16"/>
  <c r="G71" i="16"/>
  <c r="H71" i="16"/>
  <c r="G72" i="16"/>
  <c r="H72" i="16"/>
  <c r="G73" i="16"/>
  <c r="H73" i="16"/>
  <c r="G74" i="16"/>
  <c r="H74" i="16"/>
  <c r="G75" i="16"/>
  <c r="H75" i="16"/>
  <c r="G76" i="16"/>
  <c r="H76" i="16"/>
  <c r="G77" i="16"/>
  <c r="H77" i="16"/>
  <c r="G78" i="16"/>
  <c r="H78" i="16"/>
  <c r="G79" i="16"/>
  <c r="H79" i="16"/>
  <c r="G80" i="16"/>
  <c r="H80" i="16"/>
  <c r="G81" i="16"/>
  <c r="H81" i="16"/>
  <c r="G82" i="16"/>
  <c r="H82" i="16"/>
  <c r="G83" i="16"/>
  <c r="H83" i="16"/>
  <c r="G84" i="16"/>
  <c r="H84" i="16"/>
  <c r="G85" i="16"/>
  <c r="H85" i="16"/>
  <c r="G86" i="16"/>
  <c r="H86" i="16"/>
  <c r="G87" i="16"/>
  <c r="H87" i="16"/>
  <c r="G88" i="16"/>
  <c r="H88" i="16"/>
  <c r="G89" i="16"/>
  <c r="H89" i="16"/>
  <c r="G90" i="16"/>
  <c r="H90" i="16"/>
  <c r="G91" i="16"/>
  <c r="H91" i="16"/>
  <c r="G92" i="16"/>
  <c r="H92" i="16"/>
  <c r="G93" i="16"/>
  <c r="H93" i="16"/>
  <c r="G94" i="16"/>
  <c r="H94" i="16"/>
  <c r="G95" i="16"/>
  <c r="H95" i="16"/>
  <c r="G96" i="16"/>
  <c r="H96" i="16"/>
  <c r="G97" i="16"/>
  <c r="H97" i="16"/>
  <c r="G98" i="16"/>
  <c r="H98" i="16"/>
  <c r="G99" i="16"/>
  <c r="H99" i="16"/>
  <c r="G100" i="16"/>
  <c r="H100" i="16"/>
  <c r="G101" i="16"/>
  <c r="H101" i="16"/>
  <c r="G102" i="16"/>
  <c r="H102" i="16"/>
  <c r="G103" i="16"/>
  <c r="H103" i="16"/>
  <c r="G104" i="16"/>
  <c r="H104" i="16"/>
  <c r="G105" i="16"/>
  <c r="H105" i="16"/>
  <c r="G106" i="16"/>
  <c r="H106" i="16"/>
  <c r="H2" i="16"/>
  <c r="G2" i="16"/>
  <c r="G3" i="18"/>
  <c r="H3" i="18"/>
  <c r="G4" i="18"/>
  <c r="H4" i="18"/>
  <c r="G5" i="18"/>
  <c r="H5" i="18"/>
  <c r="G6" i="18"/>
  <c r="H6" i="18"/>
  <c r="G7" i="18"/>
  <c r="H7" i="18"/>
  <c r="G8" i="18"/>
  <c r="H8" i="18"/>
  <c r="G9" i="18"/>
  <c r="H9" i="18"/>
  <c r="G10" i="18"/>
  <c r="H10" i="18"/>
  <c r="G11" i="18"/>
  <c r="H11" i="18"/>
  <c r="G12" i="18"/>
  <c r="H12" i="18"/>
  <c r="G13" i="18"/>
  <c r="H13" i="18"/>
  <c r="G14" i="18"/>
  <c r="H14" i="18"/>
  <c r="G15" i="18"/>
  <c r="H15" i="18"/>
  <c r="G16" i="18"/>
  <c r="H16" i="18"/>
  <c r="G17" i="18"/>
  <c r="H17" i="18"/>
  <c r="G18" i="18"/>
  <c r="H18" i="18"/>
  <c r="G19" i="18"/>
  <c r="H19" i="18"/>
  <c r="G20" i="18"/>
  <c r="H20" i="18"/>
  <c r="G21" i="18"/>
  <c r="H21" i="18"/>
  <c r="G22" i="18"/>
  <c r="H22" i="18"/>
  <c r="G23" i="18"/>
  <c r="H23" i="18"/>
  <c r="G24" i="18"/>
  <c r="H24" i="18"/>
  <c r="G25" i="18"/>
  <c r="H25" i="18"/>
  <c r="G26" i="18"/>
  <c r="H26" i="18"/>
  <c r="G27" i="18"/>
  <c r="H27" i="18"/>
  <c r="G28" i="18"/>
  <c r="H28" i="18"/>
  <c r="G29" i="18"/>
  <c r="H29" i="18"/>
  <c r="G30" i="18"/>
  <c r="H30" i="18"/>
  <c r="G31" i="18"/>
  <c r="H31" i="18"/>
  <c r="G32" i="18"/>
  <c r="H32" i="18"/>
  <c r="G33" i="18"/>
  <c r="H33" i="18"/>
  <c r="G34" i="18"/>
  <c r="H34" i="18"/>
  <c r="G35" i="18"/>
  <c r="H35" i="18"/>
  <c r="G36" i="18"/>
  <c r="H36" i="18"/>
  <c r="G37" i="18"/>
  <c r="H37" i="18"/>
  <c r="G38" i="18"/>
  <c r="H38" i="18"/>
  <c r="G39" i="18"/>
  <c r="H39" i="18"/>
  <c r="G40" i="18"/>
  <c r="H40" i="18"/>
  <c r="G41" i="18"/>
  <c r="H41" i="18"/>
  <c r="G42" i="18"/>
  <c r="H42" i="18"/>
  <c r="G43" i="18"/>
  <c r="H43" i="18"/>
  <c r="G44" i="18"/>
  <c r="H44" i="18"/>
  <c r="G45" i="18"/>
  <c r="H45" i="18"/>
  <c r="G46" i="18"/>
  <c r="H46" i="18"/>
  <c r="G47" i="18"/>
  <c r="H47" i="18"/>
  <c r="G48" i="18"/>
  <c r="H48" i="18"/>
  <c r="G49" i="18"/>
  <c r="H49" i="18"/>
  <c r="G50" i="18"/>
  <c r="H50" i="18"/>
  <c r="G51" i="18"/>
  <c r="H51" i="18"/>
  <c r="G52" i="18"/>
  <c r="H52" i="18"/>
  <c r="G53" i="18"/>
  <c r="H53" i="18"/>
  <c r="G54" i="18"/>
  <c r="H54" i="18"/>
  <c r="G55" i="18"/>
  <c r="H55" i="18"/>
  <c r="G56" i="18"/>
  <c r="H56" i="18"/>
  <c r="G57" i="18"/>
  <c r="H57" i="18"/>
  <c r="G58" i="18"/>
  <c r="H58" i="18"/>
  <c r="G59" i="18"/>
  <c r="H59" i="18"/>
  <c r="G60" i="18"/>
  <c r="H60" i="18"/>
  <c r="G61" i="18"/>
  <c r="H61" i="18"/>
  <c r="G62" i="18"/>
  <c r="H62" i="18"/>
  <c r="G63" i="18"/>
  <c r="H63" i="18"/>
  <c r="G64" i="18"/>
  <c r="H64" i="18"/>
  <c r="G65" i="18"/>
  <c r="H65" i="18"/>
  <c r="G66" i="18"/>
  <c r="H66" i="18"/>
  <c r="G67" i="18"/>
  <c r="H67" i="18"/>
  <c r="G68" i="18"/>
  <c r="H68" i="18"/>
  <c r="G69" i="18"/>
  <c r="H69" i="18"/>
  <c r="G70" i="18"/>
  <c r="H70" i="18"/>
  <c r="G71" i="18"/>
  <c r="H71" i="18"/>
  <c r="G72" i="18"/>
  <c r="H72" i="18"/>
  <c r="G73" i="18"/>
  <c r="H73" i="18"/>
  <c r="G74" i="18"/>
  <c r="H74" i="18"/>
  <c r="G75" i="18"/>
  <c r="H75" i="18"/>
  <c r="G76" i="18"/>
  <c r="H76" i="18"/>
  <c r="G77" i="18"/>
  <c r="H77" i="18"/>
  <c r="G78" i="18"/>
  <c r="H78" i="18"/>
  <c r="G79" i="18"/>
  <c r="H79" i="18"/>
  <c r="G80" i="18"/>
  <c r="H80" i="18"/>
  <c r="G81" i="18"/>
  <c r="H81" i="18"/>
  <c r="G82" i="18"/>
  <c r="H82" i="18"/>
  <c r="G83" i="18"/>
  <c r="H83" i="18"/>
  <c r="G84" i="18"/>
  <c r="H84" i="18"/>
  <c r="G85" i="18"/>
  <c r="H85" i="18"/>
  <c r="G86" i="18"/>
  <c r="H86" i="18"/>
  <c r="G87" i="18"/>
  <c r="H87" i="18"/>
  <c r="G88" i="18"/>
  <c r="H88" i="18"/>
  <c r="G89" i="18"/>
  <c r="H89" i="18"/>
  <c r="G90" i="18"/>
  <c r="H90" i="18"/>
  <c r="G91" i="18"/>
  <c r="H91" i="18"/>
  <c r="G92" i="18"/>
  <c r="H92" i="18"/>
  <c r="G93" i="18"/>
  <c r="H93" i="18"/>
  <c r="G94" i="18"/>
  <c r="H94" i="18"/>
  <c r="G95" i="18"/>
  <c r="H95" i="18"/>
  <c r="G96" i="18"/>
  <c r="H96" i="18"/>
  <c r="G97" i="18"/>
  <c r="H97" i="18"/>
  <c r="G98" i="18"/>
  <c r="H98" i="18"/>
  <c r="G99" i="18"/>
  <c r="H99" i="18"/>
  <c r="G100" i="18"/>
  <c r="H100" i="18"/>
  <c r="G101" i="18"/>
  <c r="H101" i="18"/>
  <c r="G102" i="18"/>
  <c r="H102" i="18"/>
  <c r="G103" i="18"/>
  <c r="H103" i="18"/>
  <c r="G104" i="18"/>
  <c r="H104" i="18"/>
  <c r="G105" i="18"/>
  <c r="H105" i="18"/>
  <c r="G106" i="18"/>
  <c r="H106" i="18"/>
  <c r="G107" i="18"/>
  <c r="H107" i="18"/>
  <c r="G108" i="18"/>
  <c r="H108" i="18"/>
  <c r="G109" i="18"/>
  <c r="H109" i="18"/>
  <c r="G110" i="18"/>
  <c r="H110" i="18"/>
  <c r="G111" i="18"/>
  <c r="H111" i="18"/>
  <c r="G112" i="18"/>
  <c r="H112" i="18"/>
  <c r="G113" i="18"/>
  <c r="H113" i="18"/>
  <c r="G114" i="18"/>
  <c r="H114" i="18"/>
  <c r="G115" i="18"/>
  <c r="H115" i="18"/>
  <c r="G116" i="18"/>
  <c r="H116" i="18"/>
  <c r="G117" i="18"/>
  <c r="H117" i="18"/>
  <c r="G118" i="18"/>
  <c r="H118" i="18"/>
  <c r="G119" i="18"/>
  <c r="H119" i="18"/>
  <c r="G120" i="18"/>
  <c r="H120" i="18"/>
  <c r="G121" i="18"/>
  <c r="H121" i="18"/>
  <c r="G122" i="18"/>
  <c r="H122" i="18"/>
  <c r="G123" i="18"/>
  <c r="H123" i="18"/>
  <c r="G124" i="18"/>
  <c r="H124" i="18"/>
  <c r="G125" i="18"/>
  <c r="H125" i="18"/>
  <c r="G126" i="18"/>
  <c r="H126" i="18"/>
  <c r="G127" i="18"/>
  <c r="H127" i="18"/>
  <c r="G128" i="18"/>
  <c r="H128" i="18"/>
  <c r="G129" i="18"/>
  <c r="H129" i="18"/>
  <c r="G130" i="18"/>
  <c r="H130" i="18"/>
  <c r="H2" i="18"/>
  <c r="G2" i="18"/>
  <c r="G3" i="20"/>
  <c r="H3" i="20"/>
  <c r="G4" i="20"/>
  <c r="H4" i="20"/>
  <c r="G5" i="20"/>
  <c r="H5" i="20"/>
  <c r="G6" i="20"/>
  <c r="H6" i="20"/>
  <c r="G7" i="20"/>
  <c r="H7" i="20"/>
  <c r="G8" i="20"/>
  <c r="H8" i="20"/>
  <c r="G9" i="20"/>
  <c r="H9" i="20"/>
  <c r="G10" i="20"/>
  <c r="H10" i="20"/>
  <c r="G11" i="20"/>
  <c r="H11" i="20"/>
  <c r="G12" i="20"/>
  <c r="H12" i="20"/>
  <c r="G13" i="20"/>
  <c r="H13" i="20"/>
  <c r="G14" i="20"/>
  <c r="H14" i="20"/>
  <c r="G15" i="20"/>
  <c r="H15" i="20"/>
  <c r="G16" i="20"/>
  <c r="H16" i="20"/>
  <c r="G17" i="20"/>
  <c r="H17" i="20"/>
  <c r="G18" i="20"/>
  <c r="H18" i="20"/>
  <c r="G19" i="20"/>
  <c r="H19" i="20"/>
  <c r="G20" i="20"/>
  <c r="H20" i="20"/>
  <c r="G21" i="20"/>
  <c r="H21" i="20"/>
  <c r="G22" i="20"/>
  <c r="H22" i="20"/>
  <c r="G23" i="20"/>
  <c r="H23" i="20"/>
  <c r="G24" i="20"/>
  <c r="H24" i="20"/>
  <c r="G25" i="20"/>
  <c r="H25" i="20"/>
  <c r="G26" i="20"/>
  <c r="H26" i="20"/>
  <c r="G27" i="20"/>
  <c r="H27" i="20"/>
  <c r="G28" i="20"/>
  <c r="H28" i="20"/>
  <c r="G29" i="20"/>
  <c r="H29" i="20"/>
  <c r="G30" i="20"/>
  <c r="H30" i="20"/>
  <c r="G31" i="20"/>
  <c r="H31" i="20"/>
  <c r="G32" i="20"/>
  <c r="H32" i="20"/>
  <c r="G33" i="20"/>
  <c r="H33" i="20"/>
  <c r="G34" i="20"/>
  <c r="H34" i="20"/>
  <c r="G35" i="20"/>
  <c r="H35" i="20"/>
  <c r="G36" i="20"/>
  <c r="H36" i="20"/>
  <c r="G37" i="20"/>
  <c r="H37" i="20"/>
  <c r="G38" i="20"/>
  <c r="H38" i="20"/>
  <c r="G39" i="20"/>
  <c r="H39" i="20"/>
  <c r="G40" i="20"/>
  <c r="H40" i="20"/>
  <c r="G41" i="20"/>
  <c r="H41" i="20"/>
  <c r="G42" i="20"/>
  <c r="H42" i="20"/>
  <c r="G43" i="20"/>
  <c r="H43" i="20"/>
  <c r="G44" i="20"/>
  <c r="H44" i="20"/>
  <c r="G45" i="20"/>
  <c r="H45" i="20"/>
  <c r="G46" i="20"/>
  <c r="H46" i="20"/>
  <c r="G47" i="20"/>
  <c r="H47" i="20"/>
  <c r="G48" i="20"/>
  <c r="H48" i="20"/>
  <c r="G49" i="20"/>
  <c r="H49" i="20"/>
  <c r="G50" i="20"/>
  <c r="H50" i="20"/>
  <c r="G51" i="20"/>
  <c r="H51" i="20"/>
  <c r="G52" i="20"/>
  <c r="H52" i="20"/>
  <c r="G53" i="20"/>
  <c r="H53" i="20"/>
  <c r="G54" i="20"/>
  <c r="H54" i="20"/>
  <c r="G55" i="20"/>
  <c r="H55" i="20"/>
  <c r="G56" i="20"/>
  <c r="H56" i="20"/>
  <c r="G57" i="20"/>
  <c r="H57" i="20"/>
  <c r="G58" i="20"/>
  <c r="H58" i="20"/>
  <c r="G59" i="20"/>
  <c r="H59" i="20"/>
  <c r="G60" i="20"/>
  <c r="H60" i="20"/>
  <c r="G61" i="20"/>
  <c r="H61" i="20"/>
  <c r="G62" i="20"/>
  <c r="H62" i="20"/>
  <c r="G63" i="20"/>
  <c r="H63" i="20"/>
  <c r="G64" i="20"/>
  <c r="H64" i="20"/>
  <c r="G65" i="20"/>
  <c r="H65" i="20"/>
  <c r="G66" i="20"/>
  <c r="H66" i="20"/>
  <c r="G67" i="20"/>
  <c r="H67" i="20"/>
  <c r="G68" i="20"/>
  <c r="H68" i="20"/>
  <c r="G69" i="20"/>
  <c r="H69" i="20"/>
  <c r="G70" i="20"/>
  <c r="H70" i="20"/>
  <c r="G71" i="20"/>
  <c r="H71" i="20"/>
  <c r="G72" i="20"/>
  <c r="H72" i="20"/>
  <c r="G73" i="20"/>
  <c r="H73" i="20"/>
  <c r="G74" i="20"/>
  <c r="H74" i="20"/>
  <c r="G75" i="20"/>
  <c r="H75" i="20"/>
  <c r="G76" i="20"/>
  <c r="H76" i="20"/>
  <c r="G77" i="20"/>
  <c r="H77" i="20"/>
  <c r="G78" i="20"/>
  <c r="H78" i="20"/>
  <c r="G79" i="20"/>
  <c r="H79" i="20"/>
  <c r="G80" i="20"/>
  <c r="H80" i="20"/>
  <c r="G81" i="20"/>
  <c r="H81" i="20"/>
  <c r="G82" i="20"/>
  <c r="H82" i="20"/>
  <c r="G83" i="20"/>
  <c r="H83" i="20"/>
  <c r="G84" i="20"/>
  <c r="H84" i="20"/>
  <c r="G85" i="20"/>
  <c r="H85" i="20"/>
  <c r="G86" i="20"/>
  <c r="H86" i="20"/>
  <c r="G87" i="20"/>
  <c r="H87" i="20"/>
  <c r="G88" i="20"/>
  <c r="H88" i="20"/>
  <c r="G89" i="20"/>
  <c r="H89" i="20"/>
  <c r="G90" i="20"/>
  <c r="H90" i="20"/>
  <c r="G91" i="20"/>
  <c r="H91" i="20"/>
  <c r="G92" i="20"/>
  <c r="H92" i="20"/>
  <c r="G93" i="20"/>
  <c r="H93" i="20"/>
  <c r="G94" i="20"/>
  <c r="H94" i="20"/>
  <c r="G95" i="20"/>
  <c r="H95" i="20"/>
  <c r="G96" i="20"/>
  <c r="H96" i="20"/>
  <c r="G97" i="20"/>
  <c r="H97" i="20"/>
  <c r="G98" i="20"/>
  <c r="H98" i="20"/>
  <c r="G99" i="20"/>
  <c r="H99" i="20"/>
  <c r="G100" i="20"/>
  <c r="H100" i="20"/>
  <c r="G101" i="20"/>
  <c r="H101" i="20"/>
  <c r="G102" i="20"/>
  <c r="H102" i="20"/>
  <c r="G103" i="20"/>
  <c r="H103" i="20"/>
  <c r="G104" i="20"/>
  <c r="H104" i="20"/>
  <c r="G105" i="20"/>
  <c r="H105" i="20"/>
  <c r="G106" i="20"/>
  <c r="H106" i="20"/>
  <c r="G107" i="20"/>
  <c r="H107" i="20"/>
  <c r="G108" i="20"/>
  <c r="H108" i="20"/>
  <c r="G109" i="20"/>
  <c r="H109" i="20"/>
  <c r="G110" i="20"/>
  <c r="H110" i="20"/>
  <c r="G111" i="20"/>
  <c r="H111" i="20"/>
  <c r="G112" i="20"/>
  <c r="H112" i="20"/>
  <c r="H2" i="20"/>
  <c r="G2" i="20"/>
  <c r="C43" i="19" l="1"/>
  <c r="B44" i="19"/>
  <c r="AC4" i="19"/>
  <c r="AB5" i="19"/>
  <c r="AC5" i="19" s="1"/>
  <c r="B45" i="19" l="1"/>
  <c r="C44" i="19"/>
  <c r="AB16" i="19"/>
  <c r="AB17" i="19" s="1"/>
  <c r="AB6" i="19"/>
  <c r="AB7" i="19" s="1"/>
  <c r="D77" i="20"/>
  <c r="E77" i="20" s="1"/>
  <c r="F77" i="20"/>
  <c r="D78" i="20"/>
  <c r="E78" i="20" s="1"/>
  <c r="F78" i="20"/>
  <c r="D79" i="20"/>
  <c r="E79" i="20"/>
  <c r="F79" i="20"/>
  <c r="D80" i="20"/>
  <c r="E80" i="20" s="1"/>
  <c r="F80" i="20"/>
  <c r="D81" i="20"/>
  <c r="E81" i="20"/>
  <c r="F81" i="20"/>
  <c r="D82" i="20"/>
  <c r="E82" i="20" s="1"/>
  <c r="F82" i="20"/>
  <c r="D83" i="20"/>
  <c r="E83" i="20"/>
  <c r="F83" i="20"/>
  <c r="D84" i="20"/>
  <c r="E84" i="20" s="1"/>
  <c r="F84" i="20"/>
  <c r="D85" i="20"/>
  <c r="E85" i="20"/>
  <c r="F85" i="20"/>
  <c r="D86" i="20"/>
  <c r="E86" i="20" s="1"/>
  <c r="F86" i="20"/>
  <c r="D87" i="20"/>
  <c r="E87" i="20"/>
  <c r="F87" i="20"/>
  <c r="D88" i="20"/>
  <c r="E88" i="20" s="1"/>
  <c r="F88" i="20"/>
  <c r="D89" i="20"/>
  <c r="E89" i="20" s="1"/>
  <c r="F89" i="20"/>
  <c r="D90" i="20"/>
  <c r="E90" i="20" s="1"/>
  <c r="F90" i="20"/>
  <c r="D91" i="20"/>
  <c r="E91" i="20" s="1"/>
  <c r="F91" i="20"/>
  <c r="D92" i="20"/>
  <c r="E92" i="20" s="1"/>
  <c r="F92" i="20"/>
  <c r="D93" i="20"/>
  <c r="E93" i="20" s="1"/>
  <c r="F93" i="20"/>
  <c r="D94" i="20"/>
  <c r="E94" i="20" s="1"/>
  <c r="F94" i="20"/>
  <c r="D95" i="20"/>
  <c r="E95" i="20"/>
  <c r="F95" i="20"/>
  <c r="D96" i="20"/>
  <c r="E96" i="20" s="1"/>
  <c r="F96" i="20"/>
  <c r="D97" i="20"/>
  <c r="E97" i="20"/>
  <c r="F97" i="20"/>
  <c r="D98" i="20"/>
  <c r="E98" i="20" s="1"/>
  <c r="F98" i="20"/>
  <c r="D99" i="20"/>
  <c r="E99" i="20"/>
  <c r="F99" i="20"/>
  <c r="D100" i="20"/>
  <c r="E100" i="20" s="1"/>
  <c r="F100" i="20"/>
  <c r="D101" i="20"/>
  <c r="E101" i="20"/>
  <c r="F101" i="20"/>
  <c r="D102" i="20"/>
  <c r="E102" i="20" s="1"/>
  <c r="F102" i="20"/>
  <c r="D103" i="20"/>
  <c r="E103" i="20" s="1"/>
  <c r="F103" i="20"/>
  <c r="D104" i="20"/>
  <c r="E104" i="20" s="1"/>
  <c r="F104" i="20"/>
  <c r="D105" i="20"/>
  <c r="E105" i="20" s="1"/>
  <c r="F105" i="20"/>
  <c r="D106" i="20"/>
  <c r="E106" i="20" s="1"/>
  <c r="F106" i="20"/>
  <c r="D107" i="20"/>
  <c r="E107" i="20" s="1"/>
  <c r="F107" i="20"/>
  <c r="D108" i="20"/>
  <c r="E108" i="20" s="1"/>
  <c r="F108" i="20"/>
  <c r="D109" i="20"/>
  <c r="E109" i="20"/>
  <c r="F109" i="20"/>
  <c r="D110" i="20"/>
  <c r="E110" i="20" s="1"/>
  <c r="F110" i="20"/>
  <c r="D111" i="20"/>
  <c r="E111" i="20"/>
  <c r="F111" i="20"/>
  <c r="D112" i="20"/>
  <c r="E112" i="20" s="1"/>
  <c r="F112" i="20"/>
  <c r="F76" i="20"/>
  <c r="D76" i="20"/>
  <c r="E76" i="20" s="1"/>
  <c r="D40" i="20"/>
  <c r="E40" i="20" s="1"/>
  <c r="F40" i="20"/>
  <c r="D41" i="20"/>
  <c r="E41" i="20" s="1"/>
  <c r="F41" i="20"/>
  <c r="D42" i="20"/>
  <c r="E42" i="20" s="1"/>
  <c r="F42" i="20"/>
  <c r="D43" i="20"/>
  <c r="E43" i="20" s="1"/>
  <c r="F43" i="20"/>
  <c r="D44" i="20"/>
  <c r="E44" i="20" s="1"/>
  <c r="F44" i="20"/>
  <c r="D45" i="20"/>
  <c r="E45" i="20" s="1"/>
  <c r="F45" i="20"/>
  <c r="D46" i="20"/>
  <c r="E46" i="20" s="1"/>
  <c r="F46" i="20"/>
  <c r="D47" i="20"/>
  <c r="E47" i="20" s="1"/>
  <c r="F47" i="20"/>
  <c r="D48" i="20"/>
  <c r="E48" i="20" s="1"/>
  <c r="F48" i="20"/>
  <c r="D49" i="20"/>
  <c r="E49" i="20" s="1"/>
  <c r="F49" i="20"/>
  <c r="D50" i="20"/>
  <c r="E50" i="20" s="1"/>
  <c r="F50" i="20"/>
  <c r="D51" i="20"/>
  <c r="E51" i="20" s="1"/>
  <c r="F51" i="20"/>
  <c r="D52" i="20"/>
  <c r="E52" i="20" s="1"/>
  <c r="F52" i="20"/>
  <c r="D53" i="20"/>
  <c r="E53" i="20" s="1"/>
  <c r="F53" i="20"/>
  <c r="D54" i="20"/>
  <c r="E54" i="20"/>
  <c r="F54" i="20"/>
  <c r="D55" i="20"/>
  <c r="E55" i="20" s="1"/>
  <c r="F55" i="20"/>
  <c r="D56" i="20"/>
  <c r="E56" i="20" s="1"/>
  <c r="F56" i="20"/>
  <c r="D57" i="20"/>
  <c r="E57" i="20"/>
  <c r="F57" i="20"/>
  <c r="D58" i="20"/>
  <c r="E58" i="20"/>
  <c r="F58" i="20"/>
  <c r="D59" i="20"/>
  <c r="E59" i="20" s="1"/>
  <c r="F59" i="20"/>
  <c r="D60" i="20"/>
  <c r="E60" i="20"/>
  <c r="F60" i="20"/>
  <c r="D61" i="20"/>
  <c r="E61" i="20" s="1"/>
  <c r="F61" i="20"/>
  <c r="D62" i="20"/>
  <c r="E62" i="20" s="1"/>
  <c r="F62" i="20"/>
  <c r="D63" i="20"/>
  <c r="E63" i="20" s="1"/>
  <c r="F63" i="20"/>
  <c r="D64" i="20"/>
  <c r="E64" i="20" s="1"/>
  <c r="F64" i="20"/>
  <c r="D65" i="20"/>
  <c r="E65" i="20" s="1"/>
  <c r="F65" i="20"/>
  <c r="D66" i="20"/>
  <c r="E66" i="20" s="1"/>
  <c r="F66" i="20"/>
  <c r="D67" i="20"/>
  <c r="E67" i="20" s="1"/>
  <c r="F67" i="20"/>
  <c r="D68" i="20"/>
  <c r="E68" i="20" s="1"/>
  <c r="F68" i="20"/>
  <c r="D69" i="20"/>
  <c r="E69" i="20" s="1"/>
  <c r="F69" i="20"/>
  <c r="D70" i="20"/>
  <c r="E70" i="20"/>
  <c r="F70" i="20"/>
  <c r="D71" i="20"/>
  <c r="E71" i="20" s="1"/>
  <c r="F71" i="20"/>
  <c r="D72" i="20"/>
  <c r="E72" i="20" s="1"/>
  <c r="F72" i="20"/>
  <c r="D73" i="20"/>
  <c r="E73" i="20"/>
  <c r="F73" i="20"/>
  <c r="D74" i="20"/>
  <c r="E74" i="20"/>
  <c r="F74" i="20"/>
  <c r="D75" i="20"/>
  <c r="E75" i="20" s="1"/>
  <c r="F75" i="20"/>
  <c r="D39" i="20"/>
  <c r="E39" i="20" s="1"/>
  <c r="F39" i="20"/>
  <c r="D2" i="20"/>
  <c r="E2" i="20" s="1"/>
  <c r="F2" i="20"/>
  <c r="D3" i="20"/>
  <c r="E3" i="20" s="1"/>
  <c r="F3" i="20"/>
  <c r="D4" i="20"/>
  <c r="E4" i="20"/>
  <c r="F4" i="20"/>
  <c r="D5" i="20"/>
  <c r="E5" i="20" s="1"/>
  <c r="F5" i="20"/>
  <c r="D6" i="20"/>
  <c r="E6" i="20" s="1"/>
  <c r="F6" i="20"/>
  <c r="D7" i="20"/>
  <c r="E7" i="20" s="1"/>
  <c r="F7" i="20"/>
  <c r="D8" i="20"/>
  <c r="E8" i="20" s="1"/>
  <c r="F8" i="20"/>
  <c r="D9" i="20"/>
  <c r="E9" i="20" s="1"/>
  <c r="F9" i="20"/>
  <c r="D10" i="20"/>
  <c r="E10" i="20" s="1"/>
  <c r="F10" i="20"/>
  <c r="D11" i="20"/>
  <c r="E11" i="20" s="1"/>
  <c r="F11" i="20"/>
  <c r="D12" i="20"/>
  <c r="E12" i="20" s="1"/>
  <c r="F12" i="20"/>
  <c r="D13" i="20"/>
  <c r="E13" i="20" s="1"/>
  <c r="F13" i="20"/>
  <c r="D14" i="20"/>
  <c r="E14" i="20"/>
  <c r="F14" i="20"/>
  <c r="D15" i="20"/>
  <c r="E15" i="20" s="1"/>
  <c r="F15" i="20"/>
  <c r="D16" i="20"/>
  <c r="E16" i="20" s="1"/>
  <c r="F16" i="20"/>
  <c r="D17" i="20"/>
  <c r="E17" i="20" s="1"/>
  <c r="F17" i="20"/>
  <c r="D18" i="20"/>
  <c r="E18" i="20" s="1"/>
  <c r="F18" i="20"/>
  <c r="D19" i="20"/>
  <c r="E19" i="20" s="1"/>
  <c r="F19" i="20"/>
  <c r="D20" i="20"/>
  <c r="E20" i="20"/>
  <c r="F20" i="20"/>
  <c r="D21" i="20"/>
  <c r="E21" i="20" s="1"/>
  <c r="F21" i="20"/>
  <c r="D22" i="20"/>
  <c r="E22" i="20" s="1"/>
  <c r="F22" i="20"/>
  <c r="D23" i="20"/>
  <c r="E23" i="20" s="1"/>
  <c r="F23" i="20"/>
  <c r="D24" i="20"/>
  <c r="E24" i="20" s="1"/>
  <c r="F24" i="20"/>
  <c r="D25" i="20"/>
  <c r="E25" i="20" s="1"/>
  <c r="F25" i="20"/>
  <c r="D26" i="20"/>
  <c r="E26" i="20" s="1"/>
  <c r="F26" i="20"/>
  <c r="D27" i="20"/>
  <c r="E27" i="20" s="1"/>
  <c r="F27" i="20"/>
  <c r="D28" i="20"/>
  <c r="E28" i="20" s="1"/>
  <c r="F28" i="20"/>
  <c r="D29" i="20"/>
  <c r="E29" i="20" s="1"/>
  <c r="F29" i="20"/>
  <c r="D30" i="20"/>
  <c r="E30" i="20" s="1"/>
  <c r="F30" i="20"/>
  <c r="D31" i="20"/>
  <c r="E31" i="20" s="1"/>
  <c r="F31" i="20"/>
  <c r="D32" i="20"/>
  <c r="E32" i="20" s="1"/>
  <c r="F32" i="20"/>
  <c r="D33" i="20"/>
  <c r="E33" i="20" s="1"/>
  <c r="F33" i="20"/>
  <c r="D34" i="20"/>
  <c r="E34" i="20" s="1"/>
  <c r="F34" i="20"/>
  <c r="D35" i="20"/>
  <c r="E35" i="20" s="1"/>
  <c r="F35" i="20"/>
  <c r="D36" i="20"/>
  <c r="E36" i="20" s="1"/>
  <c r="F36" i="20"/>
  <c r="D37" i="20"/>
  <c r="E37" i="20" s="1"/>
  <c r="F37" i="20"/>
  <c r="D38" i="20"/>
  <c r="E38" i="20" s="1"/>
  <c r="F38" i="20"/>
  <c r="F7" i="18"/>
  <c r="F10" i="18"/>
  <c r="F13" i="18"/>
  <c r="F16" i="18"/>
  <c r="D19" i="18"/>
  <c r="E19" i="18" s="1"/>
  <c r="F19" i="18"/>
  <c r="D22" i="18"/>
  <c r="E22" i="18" s="1"/>
  <c r="F22" i="18"/>
  <c r="F25" i="18"/>
  <c r="F28" i="18"/>
  <c r="D31" i="18"/>
  <c r="E31" i="18" s="1"/>
  <c r="F31" i="18"/>
  <c r="F34" i="18"/>
  <c r="F37" i="18"/>
  <c r="D40" i="18"/>
  <c r="E40" i="18" s="1"/>
  <c r="F40" i="18"/>
  <c r="F43" i="18"/>
  <c r="F46" i="18"/>
  <c r="F49" i="18"/>
  <c r="F52" i="18"/>
  <c r="F55" i="18"/>
  <c r="F58" i="18"/>
  <c r="F61" i="18"/>
  <c r="F64" i="18"/>
  <c r="D67" i="18"/>
  <c r="E67" i="18" s="1"/>
  <c r="F67" i="18"/>
  <c r="F70" i="18"/>
  <c r="F73" i="18"/>
  <c r="F76" i="18"/>
  <c r="F79" i="18"/>
  <c r="D82" i="18"/>
  <c r="E82" i="18" s="1"/>
  <c r="F82" i="18"/>
  <c r="F85" i="18"/>
  <c r="F88" i="18"/>
  <c r="F91" i="18"/>
  <c r="F94" i="18"/>
  <c r="F97" i="18"/>
  <c r="F100" i="18"/>
  <c r="F103" i="18"/>
  <c r="F106" i="18"/>
  <c r="F109" i="18"/>
  <c r="F112" i="18"/>
  <c r="F115" i="18"/>
  <c r="F118" i="18"/>
  <c r="F121" i="18"/>
  <c r="F124" i="18"/>
  <c r="F127" i="18"/>
  <c r="F130" i="18"/>
  <c r="F4" i="18"/>
  <c r="F3" i="18"/>
  <c r="F6" i="18"/>
  <c r="F9" i="18"/>
  <c r="F12" i="18"/>
  <c r="F15" i="18"/>
  <c r="D18" i="18"/>
  <c r="E18" i="18" s="1"/>
  <c r="F18" i="18"/>
  <c r="D21" i="18"/>
  <c r="E21" i="18" s="1"/>
  <c r="F21" i="18"/>
  <c r="F24" i="18"/>
  <c r="F27" i="18"/>
  <c r="D30" i="18"/>
  <c r="E30" i="18" s="1"/>
  <c r="F30" i="18"/>
  <c r="F33" i="18"/>
  <c r="F36" i="18"/>
  <c r="D39" i="18"/>
  <c r="E39" i="18" s="1"/>
  <c r="F39" i="18"/>
  <c r="F42" i="18"/>
  <c r="F45" i="18"/>
  <c r="F48" i="18"/>
  <c r="F51" i="18"/>
  <c r="F54" i="18"/>
  <c r="F57" i="18"/>
  <c r="F60" i="18"/>
  <c r="F63" i="18"/>
  <c r="D66" i="18"/>
  <c r="E66" i="18" s="1"/>
  <c r="F66" i="18"/>
  <c r="F69" i="18"/>
  <c r="F72" i="18"/>
  <c r="F75" i="18"/>
  <c r="F78" i="18"/>
  <c r="D81" i="18"/>
  <c r="E81" i="18" s="1"/>
  <c r="F81" i="18"/>
  <c r="F84" i="18"/>
  <c r="F87" i="18"/>
  <c r="F90" i="18"/>
  <c r="F93" i="18"/>
  <c r="F96" i="18"/>
  <c r="F99" i="18"/>
  <c r="F102" i="18"/>
  <c r="F105" i="18"/>
  <c r="F108" i="18"/>
  <c r="F111" i="18"/>
  <c r="F114" i="18"/>
  <c r="F117" i="18"/>
  <c r="F120" i="18"/>
  <c r="F123" i="18"/>
  <c r="F126" i="18"/>
  <c r="F129" i="18"/>
  <c r="F2" i="18"/>
  <c r="F5" i="18"/>
  <c r="F8" i="18"/>
  <c r="F11" i="18"/>
  <c r="F14" i="18"/>
  <c r="D17" i="18"/>
  <c r="E17" i="18" s="1"/>
  <c r="F17" i="18"/>
  <c r="D20" i="18"/>
  <c r="E20" i="18" s="1"/>
  <c r="F20" i="18"/>
  <c r="F23" i="18"/>
  <c r="F26" i="18"/>
  <c r="D29" i="18"/>
  <c r="E29" i="18" s="1"/>
  <c r="F29" i="18"/>
  <c r="F32" i="18"/>
  <c r="F35" i="18"/>
  <c r="D38" i="18"/>
  <c r="E38" i="18" s="1"/>
  <c r="F38" i="18"/>
  <c r="F41" i="18"/>
  <c r="F44" i="18"/>
  <c r="F47" i="18"/>
  <c r="F50" i="18"/>
  <c r="F53" i="18"/>
  <c r="F56" i="18"/>
  <c r="F59" i="18"/>
  <c r="F62" i="18"/>
  <c r="D65" i="18"/>
  <c r="E65" i="18" s="1"/>
  <c r="F65" i="18"/>
  <c r="F68" i="18"/>
  <c r="F71" i="18"/>
  <c r="F74" i="18"/>
  <c r="F77" i="18"/>
  <c r="D80" i="18"/>
  <c r="E80" i="18" s="1"/>
  <c r="F80" i="18"/>
  <c r="F83" i="18"/>
  <c r="F86" i="18"/>
  <c r="F89" i="18"/>
  <c r="F92" i="18"/>
  <c r="F95" i="18"/>
  <c r="F98" i="18"/>
  <c r="F101" i="18"/>
  <c r="F104" i="18"/>
  <c r="F107" i="18"/>
  <c r="F110" i="18"/>
  <c r="F113" i="18"/>
  <c r="F116" i="18"/>
  <c r="F119" i="18"/>
  <c r="F122" i="18"/>
  <c r="F125" i="18"/>
  <c r="F128" i="18"/>
  <c r="F5" i="16"/>
  <c r="F8" i="16"/>
  <c r="F11" i="16"/>
  <c r="F14" i="16"/>
  <c r="D17" i="16"/>
  <c r="E17" i="16" s="1"/>
  <c r="F17" i="16"/>
  <c r="F20" i="16"/>
  <c r="D23" i="16"/>
  <c r="E23" i="16" s="1"/>
  <c r="F23" i="16"/>
  <c r="F26" i="16"/>
  <c r="F29" i="16"/>
  <c r="D32" i="16"/>
  <c r="E32" i="16" s="1"/>
  <c r="F32" i="16"/>
  <c r="F35" i="16"/>
  <c r="F38" i="16"/>
  <c r="F41" i="16"/>
  <c r="F44" i="16"/>
  <c r="F47" i="16"/>
  <c r="F50" i="16"/>
  <c r="F53" i="16"/>
  <c r="D56" i="16"/>
  <c r="E56" i="16" s="1"/>
  <c r="F56" i="16"/>
  <c r="F59" i="16"/>
  <c r="F62" i="16"/>
  <c r="F65" i="16"/>
  <c r="F68" i="16"/>
  <c r="F71" i="16"/>
  <c r="F74" i="16"/>
  <c r="F77" i="16"/>
  <c r="F80" i="16"/>
  <c r="F83" i="16"/>
  <c r="F86" i="16"/>
  <c r="F89" i="16"/>
  <c r="F92" i="16"/>
  <c r="F95" i="16"/>
  <c r="F98" i="16"/>
  <c r="F101" i="16"/>
  <c r="F104" i="16"/>
  <c r="F2" i="16"/>
  <c r="F4" i="16"/>
  <c r="F7" i="16"/>
  <c r="F10" i="16"/>
  <c r="F13" i="16"/>
  <c r="F16" i="16"/>
  <c r="D19" i="16"/>
  <c r="E19" i="16" s="1"/>
  <c r="F19" i="16"/>
  <c r="F22" i="16"/>
  <c r="D25" i="16"/>
  <c r="E25" i="16" s="1"/>
  <c r="F25" i="16"/>
  <c r="F28" i="16"/>
  <c r="F31" i="16"/>
  <c r="D34" i="16"/>
  <c r="E34" i="16" s="1"/>
  <c r="F34" i="16"/>
  <c r="F37" i="16"/>
  <c r="F40" i="16"/>
  <c r="F43" i="16"/>
  <c r="F46" i="16"/>
  <c r="F49" i="16"/>
  <c r="F52" i="16"/>
  <c r="F55" i="16"/>
  <c r="D58" i="16"/>
  <c r="E58" i="16" s="1"/>
  <c r="F58" i="16"/>
  <c r="F61" i="16"/>
  <c r="F64" i="16"/>
  <c r="F67" i="16"/>
  <c r="F70" i="16"/>
  <c r="F73" i="16"/>
  <c r="F76" i="16"/>
  <c r="F79" i="16"/>
  <c r="F82" i="16"/>
  <c r="F85" i="16"/>
  <c r="F88" i="16"/>
  <c r="F91" i="16"/>
  <c r="F94" i="16"/>
  <c r="F97" i="16"/>
  <c r="F100" i="16"/>
  <c r="F103" i="16"/>
  <c r="F106" i="16"/>
  <c r="F39" i="16"/>
  <c r="F42" i="16"/>
  <c r="F45" i="16"/>
  <c r="F48" i="16"/>
  <c r="F51" i="16"/>
  <c r="F54" i="16"/>
  <c r="D57" i="16"/>
  <c r="E57" i="16" s="1"/>
  <c r="F57" i="16"/>
  <c r="F60" i="16"/>
  <c r="F63" i="16"/>
  <c r="F66" i="16"/>
  <c r="F69" i="16"/>
  <c r="F72" i="16"/>
  <c r="F75" i="16"/>
  <c r="F78" i="16"/>
  <c r="F81" i="16"/>
  <c r="F84" i="16"/>
  <c r="F87" i="16"/>
  <c r="F90" i="16"/>
  <c r="F93" i="16"/>
  <c r="F96" i="16"/>
  <c r="F99" i="16"/>
  <c r="F102" i="16"/>
  <c r="F105" i="16"/>
  <c r="F3" i="16"/>
  <c r="F6" i="16"/>
  <c r="F9" i="16"/>
  <c r="F12" i="16"/>
  <c r="F15" i="16"/>
  <c r="D18" i="16"/>
  <c r="E18" i="16" s="1"/>
  <c r="F18" i="16"/>
  <c r="F21" i="16"/>
  <c r="D24" i="16"/>
  <c r="E24" i="16" s="1"/>
  <c r="F24" i="16"/>
  <c r="F27" i="16"/>
  <c r="F30" i="16"/>
  <c r="D33" i="16"/>
  <c r="E33" i="16" s="1"/>
  <c r="F33" i="16"/>
  <c r="F36" i="16"/>
  <c r="B46" i="19" l="1"/>
  <c r="C45" i="19"/>
  <c r="AC7" i="19"/>
  <c r="AB8" i="19"/>
  <c r="AC17" i="19"/>
  <c r="AB18" i="19"/>
  <c r="AC6" i="19"/>
  <c r="AC16" i="19"/>
  <c r="F10" i="13"/>
  <c r="G22" i="14"/>
  <c r="G23" i="14"/>
  <c r="G24" i="14"/>
  <c r="G25" i="14"/>
  <c r="G26" i="14"/>
  <c r="G30" i="14" s="1"/>
  <c r="G34" i="14" s="1"/>
  <c r="G38" i="14" s="1"/>
  <c r="G42" i="14" s="1"/>
  <c r="G46" i="14" s="1"/>
  <c r="G50" i="14" s="1"/>
  <c r="G54" i="14" s="1"/>
  <c r="G58" i="14" s="1"/>
  <c r="G62" i="14" s="1"/>
  <c r="G66" i="14" s="1"/>
  <c r="G70" i="14" s="1"/>
  <c r="G74" i="14" s="1"/>
  <c r="G78" i="14" s="1"/>
  <c r="G82" i="14" s="1"/>
  <c r="G86" i="14" s="1"/>
  <c r="G90" i="14" s="1"/>
  <c r="G94" i="14" s="1"/>
  <c r="G98" i="14" s="1"/>
  <c r="G27" i="14"/>
  <c r="G31" i="14" s="1"/>
  <c r="G35" i="14" s="1"/>
  <c r="G39" i="14" s="1"/>
  <c r="G43" i="14" s="1"/>
  <c r="G47" i="14" s="1"/>
  <c r="G51" i="14" s="1"/>
  <c r="G55" i="14" s="1"/>
  <c r="G59" i="14" s="1"/>
  <c r="G63" i="14" s="1"/>
  <c r="G67" i="14" s="1"/>
  <c r="G71" i="14" s="1"/>
  <c r="G75" i="14" s="1"/>
  <c r="G79" i="14" s="1"/>
  <c r="G83" i="14" s="1"/>
  <c r="G87" i="14" s="1"/>
  <c r="G91" i="14" s="1"/>
  <c r="G95" i="14" s="1"/>
  <c r="G99" i="14" s="1"/>
  <c r="G28" i="14"/>
  <c r="G32" i="14" s="1"/>
  <c r="G36" i="14" s="1"/>
  <c r="G40" i="14" s="1"/>
  <c r="G44" i="14" s="1"/>
  <c r="G48" i="14" s="1"/>
  <c r="G52" i="14" s="1"/>
  <c r="G56" i="14" s="1"/>
  <c r="G60" i="14" s="1"/>
  <c r="G64" i="14" s="1"/>
  <c r="G68" i="14" s="1"/>
  <c r="G72" i="14" s="1"/>
  <c r="G76" i="14" s="1"/>
  <c r="G80" i="14" s="1"/>
  <c r="G84" i="14" s="1"/>
  <c r="G88" i="14" s="1"/>
  <c r="G92" i="14" s="1"/>
  <c r="G96" i="14" s="1"/>
  <c r="G100" i="14" s="1"/>
  <c r="G29" i="14"/>
  <c r="G33" i="14" s="1"/>
  <c r="G37" i="14" s="1"/>
  <c r="G41" i="14" s="1"/>
  <c r="G45" i="14" s="1"/>
  <c r="G49" i="14" s="1"/>
  <c r="G53" i="14" s="1"/>
  <c r="G57" i="14" s="1"/>
  <c r="G61" i="14" s="1"/>
  <c r="G65" i="14" s="1"/>
  <c r="G69" i="14" s="1"/>
  <c r="G73" i="14" s="1"/>
  <c r="G77" i="14" s="1"/>
  <c r="G81" i="14" s="1"/>
  <c r="G85" i="14" s="1"/>
  <c r="G89" i="14" s="1"/>
  <c r="G93" i="14" s="1"/>
  <c r="G97" i="14" s="1"/>
  <c r="G101" i="14" s="1"/>
  <c r="G21" i="14"/>
  <c r="G20" i="14"/>
  <c r="G19" i="14"/>
  <c r="G18" i="14"/>
  <c r="A95" i="14"/>
  <c r="A96" i="14" s="1"/>
  <c r="A99" i="14"/>
  <c r="A100" i="14" s="1"/>
  <c r="A101" i="14"/>
  <c r="A79" i="14"/>
  <c r="A80" i="14" s="1"/>
  <c r="A81" i="14"/>
  <c r="A83" i="14"/>
  <c r="A84" i="14" s="1"/>
  <c r="A87" i="14"/>
  <c r="A88" i="14"/>
  <c r="A89" i="14"/>
  <c r="A91" i="14"/>
  <c r="A19" i="14"/>
  <c r="A21" i="14" s="1"/>
  <c r="A20" i="14"/>
  <c r="A23" i="14"/>
  <c r="A27" i="14"/>
  <c r="A29" i="14" s="1"/>
  <c r="A28" i="14"/>
  <c r="A31" i="14"/>
  <c r="A33" i="14" s="1"/>
  <c r="A35" i="14"/>
  <c r="A36" i="14" s="1"/>
  <c r="A37" i="14"/>
  <c r="A39" i="14"/>
  <c r="A40" i="14" s="1"/>
  <c r="A43" i="14"/>
  <c r="A44" i="14" s="1"/>
  <c r="A47" i="14"/>
  <c r="A48" i="14" s="1"/>
  <c r="A49" i="14"/>
  <c r="A51" i="14"/>
  <c r="A53" i="14" s="1"/>
  <c r="A52" i="14"/>
  <c r="A55" i="14"/>
  <c r="A56" i="14" s="1"/>
  <c r="A57" i="14"/>
  <c r="A59" i="14"/>
  <c r="A61" i="14" s="1"/>
  <c r="A63" i="14"/>
  <c r="A67" i="14"/>
  <c r="A68" i="14"/>
  <c r="A69" i="14"/>
  <c r="A71" i="14"/>
  <c r="A73" i="14" s="1"/>
  <c r="A75" i="14"/>
  <c r="B2" i="19"/>
  <c r="C2" i="19" s="1"/>
  <c r="E2" i="19"/>
  <c r="E3" i="19"/>
  <c r="E4" i="19"/>
  <c r="E5" i="19"/>
  <c r="E6" i="19"/>
  <c r="E7" i="19"/>
  <c r="E8" i="19"/>
  <c r="E9" i="19"/>
  <c r="E10" i="19"/>
  <c r="E11" i="19"/>
  <c r="B12" i="19"/>
  <c r="B13" i="19" s="1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B33" i="19"/>
  <c r="C33" i="19" s="1"/>
  <c r="E33" i="19"/>
  <c r="E34" i="19"/>
  <c r="E35" i="19"/>
  <c r="E36" i="19"/>
  <c r="E37" i="19"/>
  <c r="E38" i="19"/>
  <c r="E39" i="19"/>
  <c r="E40" i="19"/>
  <c r="C46" i="19" l="1"/>
  <c r="B47" i="19"/>
  <c r="AC18" i="19"/>
  <c r="AB19" i="19"/>
  <c r="AC8" i="19"/>
  <c r="AB9" i="19"/>
  <c r="D128" i="18"/>
  <c r="E128" i="18" s="1"/>
  <c r="D129" i="18"/>
  <c r="E129" i="18" s="1"/>
  <c r="D130" i="18"/>
  <c r="E130" i="18" s="1"/>
  <c r="D87" i="16"/>
  <c r="E87" i="16" s="1"/>
  <c r="D86" i="16"/>
  <c r="E86" i="16" s="1"/>
  <c r="D88" i="16"/>
  <c r="E88" i="16" s="1"/>
  <c r="D105" i="18"/>
  <c r="E105" i="18" s="1"/>
  <c r="D104" i="18"/>
  <c r="E104" i="18" s="1"/>
  <c r="D106" i="18"/>
  <c r="E106" i="18" s="1"/>
  <c r="D125" i="18"/>
  <c r="E125" i="18" s="1"/>
  <c r="D127" i="18"/>
  <c r="E127" i="18" s="1"/>
  <c r="D126" i="18"/>
  <c r="E126" i="18" s="1"/>
  <c r="D104" i="16"/>
  <c r="E104" i="16" s="1"/>
  <c r="D106" i="16"/>
  <c r="E106" i="16" s="1"/>
  <c r="D105" i="16"/>
  <c r="E105" i="16" s="1"/>
  <c r="D96" i="18"/>
  <c r="E96" i="18" s="1"/>
  <c r="D95" i="18"/>
  <c r="E95" i="18" s="1"/>
  <c r="D82" i="16"/>
  <c r="E82" i="16" s="1"/>
  <c r="D97" i="18"/>
  <c r="E97" i="18" s="1"/>
  <c r="D80" i="16"/>
  <c r="E80" i="16" s="1"/>
  <c r="D81" i="16"/>
  <c r="E81" i="16" s="1"/>
  <c r="D36" i="18"/>
  <c r="E36" i="18" s="1"/>
  <c r="D30" i="16"/>
  <c r="E30" i="16" s="1"/>
  <c r="D35" i="18"/>
  <c r="E35" i="18" s="1"/>
  <c r="D29" i="16"/>
  <c r="E29" i="16" s="1"/>
  <c r="D37" i="18"/>
  <c r="E37" i="18" s="1"/>
  <c r="D31" i="16"/>
  <c r="E31" i="16" s="1"/>
  <c r="D43" i="18"/>
  <c r="E43" i="18" s="1"/>
  <c r="D35" i="16"/>
  <c r="E35" i="16" s="1"/>
  <c r="D37" i="16"/>
  <c r="E37" i="16" s="1"/>
  <c r="D41" i="18"/>
  <c r="E41" i="18" s="1"/>
  <c r="D42" i="18"/>
  <c r="E42" i="18" s="1"/>
  <c r="D36" i="16"/>
  <c r="E36" i="16" s="1"/>
  <c r="D75" i="16"/>
  <c r="E75" i="16" s="1"/>
  <c r="D74" i="16"/>
  <c r="E74" i="16" s="1"/>
  <c r="D76" i="16"/>
  <c r="E76" i="16" s="1"/>
  <c r="D89" i="18"/>
  <c r="E89" i="18" s="1"/>
  <c r="D91" i="18"/>
  <c r="E91" i="18" s="1"/>
  <c r="D90" i="18"/>
  <c r="E90" i="18" s="1"/>
  <c r="D27" i="18"/>
  <c r="E27" i="18" s="1"/>
  <c r="D28" i="18"/>
  <c r="E28" i="18" s="1"/>
  <c r="D26" i="18"/>
  <c r="E26" i="18" s="1"/>
  <c r="D83" i="16"/>
  <c r="E83" i="16" s="1"/>
  <c r="D85" i="16"/>
  <c r="E85" i="16" s="1"/>
  <c r="D101" i="18"/>
  <c r="E101" i="18" s="1"/>
  <c r="D103" i="18"/>
  <c r="E103" i="18" s="1"/>
  <c r="D102" i="18"/>
  <c r="E102" i="18" s="1"/>
  <c r="D84" i="16"/>
  <c r="E84" i="16" s="1"/>
  <c r="D78" i="16"/>
  <c r="E78" i="16" s="1"/>
  <c r="D93" i="18"/>
  <c r="E93" i="18" s="1"/>
  <c r="D77" i="16"/>
  <c r="E77" i="16" s="1"/>
  <c r="D92" i="18"/>
  <c r="E92" i="18" s="1"/>
  <c r="D94" i="18"/>
  <c r="E94" i="18" s="1"/>
  <c r="D79" i="16"/>
  <c r="E79" i="16" s="1"/>
  <c r="D72" i="18"/>
  <c r="E72" i="18" s="1"/>
  <c r="D71" i="18"/>
  <c r="E71" i="18" s="1"/>
  <c r="D73" i="18"/>
  <c r="E73" i="18" s="1"/>
  <c r="D14" i="16"/>
  <c r="E14" i="16" s="1"/>
  <c r="D16" i="16"/>
  <c r="E16" i="16" s="1"/>
  <c r="D15" i="18"/>
  <c r="E15" i="18" s="1"/>
  <c r="D16" i="18"/>
  <c r="E16" i="18" s="1"/>
  <c r="D15" i="16"/>
  <c r="E15" i="16" s="1"/>
  <c r="D14" i="18"/>
  <c r="E14" i="18" s="1"/>
  <c r="D84" i="18"/>
  <c r="E84" i="18" s="1"/>
  <c r="D83" i="18"/>
  <c r="E83" i="18" s="1"/>
  <c r="D85" i="18"/>
  <c r="E85" i="18" s="1"/>
  <c r="D68" i="16"/>
  <c r="E68" i="16" s="1"/>
  <c r="D70" i="16"/>
  <c r="E70" i="16" s="1"/>
  <c r="D69" i="16"/>
  <c r="E69" i="16" s="1"/>
  <c r="D60" i="18"/>
  <c r="E60" i="18" s="1"/>
  <c r="D51" i="16"/>
  <c r="E51" i="16" s="1"/>
  <c r="D50" i="16"/>
  <c r="E50" i="16" s="1"/>
  <c r="D52" i="16"/>
  <c r="E52" i="16" s="1"/>
  <c r="D59" i="18"/>
  <c r="E59" i="18" s="1"/>
  <c r="D61" i="18"/>
  <c r="E61" i="18" s="1"/>
  <c r="D88" i="18"/>
  <c r="E88" i="18" s="1"/>
  <c r="D87" i="18"/>
  <c r="E87" i="18" s="1"/>
  <c r="D71" i="16"/>
  <c r="E71" i="16" s="1"/>
  <c r="D73" i="16"/>
  <c r="E73" i="16" s="1"/>
  <c r="D86" i="18"/>
  <c r="E86" i="18" s="1"/>
  <c r="D72" i="16"/>
  <c r="E72" i="16" s="1"/>
  <c r="D100" i="18"/>
  <c r="E100" i="18" s="1"/>
  <c r="D99" i="18"/>
  <c r="E99" i="18" s="1"/>
  <c r="D98" i="18"/>
  <c r="E98" i="18" s="1"/>
  <c r="D79" i="18"/>
  <c r="E79" i="18" s="1"/>
  <c r="D66" i="16"/>
  <c r="E66" i="16" s="1"/>
  <c r="D65" i="16"/>
  <c r="E65" i="16" s="1"/>
  <c r="D77" i="18"/>
  <c r="E77" i="18" s="1"/>
  <c r="D78" i="18"/>
  <c r="E78" i="18" s="1"/>
  <c r="D67" i="16"/>
  <c r="E67" i="16" s="1"/>
  <c r="D76" i="18"/>
  <c r="E76" i="18" s="1"/>
  <c r="D63" i="16"/>
  <c r="E63" i="16" s="1"/>
  <c r="D62" i="16"/>
  <c r="E62" i="16" s="1"/>
  <c r="D64" i="16"/>
  <c r="E64" i="16" s="1"/>
  <c r="D75" i="18"/>
  <c r="E75" i="18" s="1"/>
  <c r="D74" i="18"/>
  <c r="E74" i="18" s="1"/>
  <c r="D102" i="16"/>
  <c r="E102" i="16" s="1"/>
  <c r="D124" i="18"/>
  <c r="E124" i="18" s="1"/>
  <c r="D123" i="18"/>
  <c r="E123" i="18" s="1"/>
  <c r="D122" i="18"/>
  <c r="E122" i="18" s="1"/>
  <c r="D103" i="16"/>
  <c r="E103" i="16" s="1"/>
  <c r="D101" i="16"/>
  <c r="E101" i="16" s="1"/>
  <c r="D59" i="16"/>
  <c r="E59" i="16" s="1"/>
  <c r="D61" i="16"/>
  <c r="E61" i="16" s="1"/>
  <c r="D70" i="18"/>
  <c r="E70" i="18" s="1"/>
  <c r="D68" i="18"/>
  <c r="E68" i="18" s="1"/>
  <c r="D69" i="18"/>
  <c r="E69" i="18" s="1"/>
  <c r="D60" i="16"/>
  <c r="E60" i="16" s="1"/>
  <c r="D51" i="18"/>
  <c r="E51" i="18" s="1"/>
  <c r="D42" i="16"/>
  <c r="E42" i="16" s="1"/>
  <c r="D41" i="16"/>
  <c r="E41" i="16" s="1"/>
  <c r="D52" i="18"/>
  <c r="E52" i="18" s="1"/>
  <c r="D43" i="16"/>
  <c r="E43" i="16" s="1"/>
  <c r="D50" i="18"/>
  <c r="E50" i="18" s="1"/>
  <c r="D24" i="18"/>
  <c r="E24" i="18" s="1"/>
  <c r="D21" i="16"/>
  <c r="E21" i="16" s="1"/>
  <c r="D23" i="18"/>
  <c r="E23" i="18" s="1"/>
  <c r="D25" i="18"/>
  <c r="E25" i="18" s="1"/>
  <c r="D20" i="16"/>
  <c r="E20" i="16" s="1"/>
  <c r="D22" i="16"/>
  <c r="E22" i="16" s="1"/>
  <c r="D95" i="16"/>
  <c r="E95" i="16" s="1"/>
  <c r="D97" i="16"/>
  <c r="E97" i="16" s="1"/>
  <c r="D113" i="18"/>
  <c r="E113" i="18" s="1"/>
  <c r="D115" i="18"/>
  <c r="E115" i="18" s="1"/>
  <c r="D114" i="18"/>
  <c r="E114" i="18" s="1"/>
  <c r="D96" i="16"/>
  <c r="E96" i="16" s="1"/>
  <c r="D48" i="18"/>
  <c r="E48" i="18" s="1"/>
  <c r="D39" i="16"/>
  <c r="E39" i="16" s="1"/>
  <c r="D38" i="16"/>
  <c r="E38" i="16" s="1"/>
  <c r="D40" i="16"/>
  <c r="E40" i="16" s="1"/>
  <c r="D47" i="18"/>
  <c r="E47" i="18" s="1"/>
  <c r="D49" i="18"/>
  <c r="E49" i="18" s="1"/>
  <c r="D47" i="16"/>
  <c r="E47" i="16" s="1"/>
  <c r="D49" i="16"/>
  <c r="E49" i="16" s="1"/>
  <c r="D58" i="18"/>
  <c r="E58" i="18" s="1"/>
  <c r="D56" i="18"/>
  <c r="E56" i="18" s="1"/>
  <c r="D57" i="18"/>
  <c r="E57" i="18" s="1"/>
  <c r="D48" i="16"/>
  <c r="E48" i="16" s="1"/>
  <c r="D109" i="18"/>
  <c r="E109" i="18" s="1"/>
  <c r="D90" i="16"/>
  <c r="E90" i="16" s="1"/>
  <c r="D107" i="18"/>
  <c r="E107" i="18" s="1"/>
  <c r="D89" i="16"/>
  <c r="E89" i="16" s="1"/>
  <c r="D91" i="16"/>
  <c r="E91" i="16" s="1"/>
  <c r="D108" i="18"/>
  <c r="E108" i="18" s="1"/>
  <c r="D117" i="18"/>
  <c r="E117" i="18" s="1"/>
  <c r="D116" i="18"/>
  <c r="E116" i="18" s="1"/>
  <c r="D118" i="18"/>
  <c r="E118" i="18" s="1"/>
  <c r="D12" i="18"/>
  <c r="E12" i="18" s="1"/>
  <c r="D11" i="16"/>
  <c r="E11" i="16" s="1"/>
  <c r="D13" i="16"/>
  <c r="E13" i="16" s="1"/>
  <c r="D11" i="18"/>
  <c r="E11" i="18" s="1"/>
  <c r="D13" i="18"/>
  <c r="E13" i="18" s="1"/>
  <c r="D12" i="16"/>
  <c r="E12" i="16" s="1"/>
  <c r="D64" i="18"/>
  <c r="E64" i="18" s="1"/>
  <c r="D63" i="18"/>
  <c r="E63" i="18" s="1"/>
  <c r="D54" i="16"/>
  <c r="E54" i="16" s="1"/>
  <c r="D53" i="16"/>
  <c r="E53" i="16" s="1"/>
  <c r="D62" i="18"/>
  <c r="E62" i="18" s="1"/>
  <c r="D55" i="16"/>
  <c r="E55" i="16" s="1"/>
  <c r="D9" i="16"/>
  <c r="E9" i="16" s="1"/>
  <c r="D10" i="18"/>
  <c r="E10" i="18" s="1"/>
  <c r="D8" i="18"/>
  <c r="E8" i="18" s="1"/>
  <c r="D9" i="18"/>
  <c r="E9" i="18" s="1"/>
  <c r="D8" i="16"/>
  <c r="E8" i="16" s="1"/>
  <c r="D10" i="16"/>
  <c r="E10" i="16" s="1"/>
  <c r="D34" i="18"/>
  <c r="E34" i="18" s="1"/>
  <c r="D26" i="16"/>
  <c r="E26" i="16" s="1"/>
  <c r="D28" i="16"/>
  <c r="E28" i="16" s="1"/>
  <c r="D32" i="18"/>
  <c r="E32" i="18" s="1"/>
  <c r="D33" i="18"/>
  <c r="E33" i="18" s="1"/>
  <c r="D27" i="16"/>
  <c r="E27" i="16" s="1"/>
  <c r="D4" i="18"/>
  <c r="E4" i="18" s="1"/>
  <c r="D3" i="18"/>
  <c r="E3" i="18" s="1"/>
  <c r="D2" i="16"/>
  <c r="E2" i="16" s="1"/>
  <c r="D4" i="16"/>
  <c r="E4" i="16" s="1"/>
  <c r="D3" i="16"/>
  <c r="E3" i="16" s="1"/>
  <c r="D2" i="18"/>
  <c r="E2" i="18" s="1"/>
  <c r="D7" i="18"/>
  <c r="E7" i="18" s="1"/>
  <c r="D5" i="18"/>
  <c r="E5" i="18" s="1"/>
  <c r="D6" i="16"/>
  <c r="E6" i="16" s="1"/>
  <c r="D5" i="16"/>
  <c r="E5" i="16" s="1"/>
  <c r="D6" i="18"/>
  <c r="E6" i="18" s="1"/>
  <c r="D7" i="16"/>
  <c r="E7" i="16" s="1"/>
  <c r="D112" i="18"/>
  <c r="E112" i="18" s="1"/>
  <c r="D111" i="18"/>
  <c r="E111" i="18" s="1"/>
  <c r="D92" i="16"/>
  <c r="E92" i="16" s="1"/>
  <c r="D110" i="18"/>
  <c r="E110" i="18" s="1"/>
  <c r="D93" i="16"/>
  <c r="E93" i="16" s="1"/>
  <c r="D94" i="16"/>
  <c r="E94" i="16" s="1"/>
  <c r="D46" i="18"/>
  <c r="E46" i="18" s="1"/>
  <c r="D44" i="18"/>
  <c r="E44" i="18" s="1"/>
  <c r="D45" i="18"/>
  <c r="E45" i="18" s="1"/>
  <c r="D121" i="18"/>
  <c r="E121" i="18" s="1"/>
  <c r="D99" i="16"/>
  <c r="E99" i="16" s="1"/>
  <c r="D98" i="16"/>
  <c r="E98" i="16" s="1"/>
  <c r="D100" i="16"/>
  <c r="E100" i="16" s="1"/>
  <c r="D119" i="18"/>
  <c r="E119" i="18" s="1"/>
  <c r="D120" i="18"/>
  <c r="E120" i="18" s="1"/>
  <c r="D55" i="18"/>
  <c r="E55" i="18" s="1"/>
  <c r="D53" i="18"/>
  <c r="E53" i="18" s="1"/>
  <c r="D54" i="18"/>
  <c r="E54" i="18" s="1"/>
  <c r="D45" i="16"/>
  <c r="E45" i="16" s="1"/>
  <c r="D46" i="16"/>
  <c r="E46" i="16" s="1"/>
  <c r="D44" i="16"/>
  <c r="E44" i="16" s="1"/>
  <c r="B34" i="19"/>
  <c r="C12" i="19"/>
  <c r="B3" i="19"/>
  <c r="A76" i="14"/>
  <c r="A77" i="14"/>
  <c r="A64" i="14"/>
  <c r="A65" i="14"/>
  <c r="A92" i="14"/>
  <c r="A93" i="14"/>
  <c r="A32" i="14"/>
  <c r="A97" i="14"/>
  <c r="A45" i="14"/>
  <c r="A41" i="14"/>
  <c r="A85" i="14"/>
  <c r="A72" i="14"/>
  <c r="A60" i="14"/>
  <c r="A24" i="14"/>
  <c r="A25" i="14"/>
  <c r="B14" i="19"/>
  <c r="C13" i="19"/>
  <c r="C47" i="19" l="1"/>
  <c r="B48" i="19"/>
  <c r="AC9" i="19"/>
  <c r="AB10" i="19"/>
  <c r="AB20" i="19"/>
  <c r="AC19" i="19"/>
  <c r="B35" i="19"/>
  <c r="C34" i="19"/>
  <c r="C3" i="19"/>
  <c r="B4" i="19"/>
  <c r="C14" i="19"/>
  <c r="B15" i="19"/>
  <c r="B16" i="19" s="1"/>
  <c r="C48" i="19" l="1"/>
  <c r="B49" i="19"/>
  <c r="AC20" i="19"/>
  <c r="AB21" i="19"/>
  <c r="AB11" i="19"/>
  <c r="AC10" i="19"/>
  <c r="C16" i="19"/>
  <c r="B17" i="19"/>
  <c r="B5" i="19"/>
  <c r="C4" i="19"/>
  <c r="B36" i="19"/>
  <c r="C35" i="19"/>
  <c r="C15" i="19"/>
  <c r="B50" i="19" l="1"/>
  <c r="C49" i="19"/>
  <c r="AC11" i="19"/>
  <c r="AB12" i="19"/>
  <c r="AC12" i="19" s="1"/>
  <c r="AC21" i="19"/>
  <c r="AB22" i="19"/>
  <c r="AC22" i="19" s="1"/>
  <c r="C17" i="19"/>
  <c r="B18" i="19"/>
  <c r="B37" i="19"/>
  <c r="C36" i="19"/>
  <c r="C5" i="19"/>
  <c r="B6" i="19"/>
  <c r="C50" i="19" l="1"/>
  <c r="B51" i="19"/>
  <c r="C18" i="19"/>
  <c r="B19" i="19"/>
  <c r="C6" i="19"/>
  <c r="B7" i="19"/>
  <c r="C37" i="19"/>
  <c r="B38" i="19"/>
  <c r="C51" i="19" l="1"/>
  <c r="B52" i="19"/>
  <c r="C19" i="19"/>
  <c r="B20" i="19"/>
  <c r="C38" i="19"/>
  <c r="B39" i="19"/>
  <c r="C7" i="19"/>
  <c r="B8" i="19"/>
  <c r="B53" i="19" l="1"/>
  <c r="C52" i="19"/>
  <c r="C20" i="19"/>
  <c r="B21" i="19"/>
  <c r="C8" i="19"/>
  <c r="B9" i="19"/>
  <c r="B40" i="19"/>
  <c r="C40" i="19" s="1"/>
  <c r="C39" i="19"/>
  <c r="B54" i="19" l="1"/>
  <c r="C53" i="19"/>
  <c r="B22" i="19"/>
  <c r="C21" i="19"/>
  <c r="B10" i="19"/>
  <c r="C9" i="19"/>
  <c r="C54" i="19" l="1"/>
  <c r="B55" i="19"/>
  <c r="C22" i="19"/>
  <c r="B23" i="19"/>
  <c r="C10" i="19"/>
  <c r="B11" i="19"/>
  <c r="C11" i="19" s="1"/>
  <c r="C55" i="19" l="1"/>
  <c r="B56" i="19"/>
  <c r="B24" i="19"/>
  <c r="C23" i="19"/>
  <c r="K6" i="14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G6" i="14" s="1"/>
  <c r="AH6" i="14" s="1"/>
  <c r="AI6" i="14" s="1"/>
  <c r="AJ6" i="14" s="1"/>
  <c r="AK6" i="14" s="1"/>
  <c r="AL6" i="14" s="1"/>
  <c r="AM6" i="14" s="1"/>
  <c r="AN6" i="14" s="1"/>
  <c r="AO6" i="14" s="1"/>
  <c r="AP6" i="14" s="1"/>
  <c r="AQ6" i="14" s="1"/>
  <c r="AR6" i="14" s="1"/>
  <c r="AS6" i="14" s="1"/>
  <c r="AT6" i="14" s="1"/>
  <c r="AU6" i="14" s="1"/>
  <c r="AV6" i="14" s="1"/>
  <c r="AW6" i="14" s="1"/>
  <c r="AX6" i="14" s="1"/>
  <c r="AY6" i="14" s="1"/>
  <c r="AZ6" i="14" s="1"/>
  <c r="BA6" i="14" s="1"/>
  <c r="BB6" i="14" s="1"/>
  <c r="BC6" i="14" s="1"/>
  <c r="BD6" i="14" s="1"/>
  <c r="BE6" i="14" s="1"/>
  <c r="BF6" i="14" s="1"/>
  <c r="BG6" i="14" s="1"/>
  <c r="BH6" i="14" s="1"/>
  <c r="BI6" i="14" s="1"/>
  <c r="BJ6" i="14" s="1"/>
  <c r="J13" i="13"/>
  <c r="K13" i="13" s="1"/>
  <c r="L13" i="13" s="1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AF13" i="13" s="1"/>
  <c r="AG13" i="13" s="1"/>
  <c r="AH13" i="13" s="1"/>
  <c r="AI13" i="13" s="1"/>
  <c r="AJ13" i="13" s="1"/>
  <c r="AK13" i="13" s="1"/>
  <c r="AL13" i="13" s="1"/>
  <c r="AM13" i="13" s="1"/>
  <c r="AN13" i="13" s="1"/>
  <c r="AO13" i="13" s="1"/>
  <c r="AP13" i="13" s="1"/>
  <c r="AQ13" i="13" s="1"/>
  <c r="AR13" i="13" s="1"/>
  <c r="AS13" i="13" s="1"/>
  <c r="AT13" i="13" s="1"/>
  <c r="AU13" i="13" s="1"/>
  <c r="AV13" i="13" s="1"/>
  <c r="AW13" i="13" s="1"/>
  <c r="AX13" i="13" s="1"/>
  <c r="AY13" i="13" s="1"/>
  <c r="AZ13" i="13" s="1"/>
  <c r="BA13" i="13" s="1"/>
  <c r="BB13" i="13" s="1"/>
  <c r="BC13" i="13" s="1"/>
  <c r="BD13" i="13" s="1"/>
  <c r="BE13" i="13" s="1"/>
  <c r="BF13" i="13" s="1"/>
  <c r="BG13" i="13" s="1"/>
  <c r="BH13" i="13" s="1"/>
  <c r="BI13" i="13" s="1"/>
  <c r="J6" i="13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AG6" i="13" s="1"/>
  <c r="AH6" i="13" s="1"/>
  <c r="AI6" i="13" s="1"/>
  <c r="AJ6" i="13" s="1"/>
  <c r="AK6" i="13" s="1"/>
  <c r="AL6" i="13" s="1"/>
  <c r="AM6" i="13" s="1"/>
  <c r="AN6" i="13" s="1"/>
  <c r="AO6" i="13" s="1"/>
  <c r="AP6" i="13" s="1"/>
  <c r="AQ6" i="13" s="1"/>
  <c r="AR6" i="13" s="1"/>
  <c r="AS6" i="13" s="1"/>
  <c r="AT6" i="13" s="1"/>
  <c r="AU6" i="13" s="1"/>
  <c r="AV6" i="13" s="1"/>
  <c r="AW6" i="13" s="1"/>
  <c r="AX6" i="13" s="1"/>
  <c r="AY6" i="13" s="1"/>
  <c r="AZ6" i="13" s="1"/>
  <c r="BA6" i="13" s="1"/>
  <c r="BB6" i="13" s="1"/>
  <c r="BC6" i="13" s="1"/>
  <c r="BD6" i="13" s="1"/>
  <c r="BE6" i="13" s="1"/>
  <c r="BF6" i="13" s="1"/>
  <c r="BG6" i="13" s="1"/>
  <c r="BH6" i="13" s="1"/>
  <c r="BI6" i="13" s="1"/>
  <c r="C56" i="19" l="1"/>
  <c r="B57" i="19"/>
  <c r="C24" i="19"/>
  <c r="B25" i="19"/>
  <c r="B18" i="13"/>
  <c r="B19" i="13" s="1"/>
  <c r="G16" i="14"/>
  <c r="G10" i="14"/>
  <c r="F24" i="13"/>
  <c r="F15" i="13"/>
  <c r="F16" i="13"/>
  <c r="F20" i="13" s="1"/>
  <c r="C57" i="19" l="1"/>
  <c r="B58" i="19"/>
  <c r="C25" i="19"/>
  <c r="B26" i="19"/>
  <c r="B20" i="13"/>
  <c r="B21" i="13"/>
  <c r="C58" i="19" l="1"/>
  <c r="B59" i="19"/>
  <c r="C26" i="19"/>
  <c r="B27" i="19"/>
  <c r="O13" i="14"/>
  <c r="N4" i="13"/>
  <c r="B60" i="19" l="1"/>
  <c r="C59" i="19"/>
  <c r="B28" i="19"/>
  <c r="C27" i="19"/>
  <c r="P13" i="14"/>
  <c r="O4" i="13"/>
  <c r="C60" i="19" l="1"/>
  <c r="B61" i="19"/>
  <c r="C61" i="19" s="1"/>
  <c r="C28" i="19"/>
  <c r="B29" i="19"/>
  <c r="Q13" i="14"/>
  <c r="P4" i="13"/>
  <c r="C29" i="19" l="1"/>
  <c r="B30" i="19"/>
  <c r="R13" i="14"/>
  <c r="Q4" i="13"/>
  <c r="C30" i="19" l="1"/>
  <c r="B31" i="19"/>
  <c r="S13" i="14"/>
  <c r="R4" i="13"/>
  <c r="B32" i="19" l="1"/>
  <c r="C32" i="19" s="1"/>
  <c r="C31" i="19"/>
  <c r="T13" i="14"/>
  <c r="S4" i="13"/>
  <c r="U13" i="14" l="1"/>
  <c r="T4" i="13"/>
  <c r="V13" i="14" l="1"/>
  <c r="U4" i="13"/>
  <c r="W13" i="14" l="1"/>
  <c r="V4" i="13"/>
  <c r="X13" i="14" l="1"/>
  <c r="W4" i="13"/>
  <c r="Y13" i="14" l="1"/>
  <c r="X4" i="13"/>
  <c r="Z13" i="14" l="1"/>
  <c r="Y4" i="13"/>
  <c r="AA13" i="14" l="1"/>
  <c r="Z4" i="13"/>
  <c r="AB13" i="14" l="1"/>
  <c r="AA4" i="13"/>
  <c r="AC13" i="14" l="1"/>
  <c r="AB4" i="13"/>
  <c r="AD13" i="14" l="1"/>
  <c r="AC4" i="13"/>
  <c r="AE13" i="14" l="1"/>
  <c r="AD4" i="13"/>
  <c r="AF13" i="14" l="1"/>
  <c r="AE4" i="13"/>
  <c r="AG13" i="14" l="1"/>
  <c r="AF4" i="13"/>
  <c r="AH13" i="14" l="1"/>
  <c r="AG4" i="13"/>
  <c r="AI13" i="14" l="1"/>
  <c r="AH4" i="13"/>
  <c r="AJ13" i="14" l="1"/>
  <c r="AI4" i="13"/>
  <c r="AK13" i="14" l="1"/>
  <c r="AJ4" i="13"/>
  <c r="AL13" i="14" l="1"/>
  <c r="AK4" i="13"/>
  <c r="AM13" i="14" l="1"/>
  <c r="AL4" i="13"/>
  <c r="AN13" i="14" l="1"/>
  <c r="AM4" i="13"/>
  <c r="AO13" i="14" l="1"/>
  <c r="AN4" i="13"/>
  <c r="AP13" i="14" l="1"/>
  <c r="AO4" i="13"/>
  <c r="AQ13" i="14" l="1"/>
  <c r="AP4" i="13"/>
  <c r="AR13" i="14" l="1"/>
  <c r="AQ4" i="13"/>
  <c r="AS13" i="14" l="1"/>
  <c r="AR4" i="13"/>
  <c r="AT13" i="14" l="1"/>
  <c r="AS4" i="13"/>
  <c r="AU13" i="14" l="1"/>
  <c r="AT4" i="13"/>
  <c r="AV13" i="14" l="1"/>
  <c r="AU4" i="13"/>
  <c r="AW13" i="14" l="1"/>
  <c r="AV4" i="13"/>
  <c r="AX13" i="14" l="1"/>
  <c r="AW4" i="13"/>
  <c r="AY13" i="14" l="1"/>
  <c r="AX4" i="13"/>
  <c r="AZ13" i="14" l="1"/>
  <c r="AY4" i="13"/>
  <c r="BA13" i="14" l="1"/>
  <c r="AZ4" i="13"/>
  <c r="BB13" i="14" l="1"/>
  <c r="BA4" i="13"/>
  <c r="BC13" i="14" l="1"/>
  <c r="BB4" i="13"/>
  <c r="BD13" i="14" l="1"/>
  <c r="BC4" i="13"/>
  <c r="BE13" i="14" l="1"/>
  <c r="BD4" i="13"/>
  <c r="BF13" i="14" l="1"/>
  <c r="BE4" i="13"/>
  <c r="BG13" i="14" l="1"/>
  <c r="BF4" i="13"/>
  <c r="BH13" i="14" l="1"/>
  <c r="BG4" i="13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2" i="4"/>
  <c r="M3" i="4"/>
  <c r="N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N2" i="4"/>
  <c r="M2" i="4"/>
  <c r="F17" i="13"/>
  <c r="F21" i="13" s="1"/>
  <c r="F25" i="13" s="1"/>
  <c r="F19" i="13"/>
  <c r="F23" i="13" s="1"/>
  <c r="F14" i="13"/>
  <c r="F18" i="13" s="1"/>
  <c r="F22" i="13" s="1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B10" i="13"/>
  <c r="B8" i="13"/>
  <c r="I2" i="4" l="1"/>
  <c r="J2" i="4" s="1"/>
  <c r="BI13" i="14"/>
  <c r="BJ13" i="14"/>
  <c r="BH4" i="13"/>
  <c r="BI4" i="13" l="1"/>
  <c r="AC31" i="4" l="1"/>
  <c r="AC29" i="4"/>
  <c r="AC7" i="4"/>
  <c r="AC6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6" i="4"/>
  <c r="AB35" i="4"/>
  <c r="AB34" i="4"/>
  <c r="AB33" i="4"/>
  <c r="AB32" i="4"/>
  <c r="AB30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2" i="4"/>
  <c r="AB11" i="4"/>
  <c r="AB10" i="4"/>
  <c r="AB9" i="4"/>
  <c r="AB8" i="4"/>
  <c r="AB5" i="4"/>
  <c r="AB4" i="4"/>
  <c r="AB3" i="4"/>
  <c r="AB2" i="4"/>
  <c r="G34" i="4"/>
  <c r="G3" i="4"/>
  <c r="G4" i="4"/>
  <c r="G5" i="4"/>
  <c r="G6" i="4"/>
  <c r="G7" i="4"/>
  <c r="G8" i="4"/>
  <c r="G9" i="4"/>
  <c r="G10" i="4"/>
  <c r="G11" i="4"/>
  <c r="G12" i="4"/>
  <c r="G15" i="4"/>
  <c r="G17" i="4"/>
  <c r="G18" i="4"/>
  <c r="G19" i="4"/>
  <c r="G20" i="4"/>
  <c r="G21" i="4"/>
  <c r="G22" i="4"/>
  <c r="G23" i="4"/>
  <c r="G24" i="4"/>
  <c r="G26" i="4"/>
  <c r="G27" i="4"/>
  <c r="G28" i="4"/>
  <c r="G29" i="4"/>
  <c r="G30" i="4"/>
  <c r="G32" i="4"/>
  <c r="G33" i="4"/>
  <c r="G35" i="4"/>
  <c r="G36" i="4"/>
  <c r="G39" i="4"/>
  <c r="G40" i="4"/>
  <c r="G41" i="4"/>
  <c r="G42" i="4"/>
  <c r="G44" i="4"/>
  <c r="G45" i="4"/>
  <c r="G47" i="4"/>
  <c r="G48" i="4"/>
  <c r="G2" i="4"/>
  <c r="H2" i="4" s="1"/>
  <c r="H50" i="4" s="1"/>
  <c r="R3" i="4"/>
  <c r="S3" i="4" s="1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10" i="4"/>
  <c r="S10" i="4" s="1"/>
  <c r="R11" i="4"/>
  <c r="S11" i="4" s="1"/>
  <c r="R12" i="4"/>
  <c r="S12" i="4" s="1"/>
  <c r="R13" i="4"/>
  <c r="S13" i="4" s="1"/>
  <c r="R14" i="4"/>
  <c r="S14" i="4" s="1"/>
  <c r="R15" i="4"/>
  <c r="S15" i="4" s="1"/>
  <c r="R16" i="4"/>
  <c r="S16" i="4" s="1"/>
  <c r="R17" i="4"/>
  <c r="S17" i="4" s="1"/>
  <c r="R18" i="4"/>
  <c r="S18" i="4" s="1"/>
  <c r="R19" i="4"/>
  <c r="S19" i="4" s="1"/>
  <c r="R20" i="4"/>
  <c r="S20" i="4" s="1"/>
  <c r="R21" i="4"/>
  <c r="S21" i="4" s="1"/>
  <c r="R22" i="4"/>
  <c r="S22" i="4" s="1"/>
  <c r="R23" i="4"/>
  <c r="S23" i="4" s="1"/>
  <c r="R24" i="4"/>
  <c r="S24" i="4" s="1"/>
  <c r="R25" i="4"/>
  <c r="S25" i="4" s="1"/>
  <c r="R26" i="4"/>
  <c r="S26" i="4" s="1"/>
  <c r="R27" i="4"/>
  <c r="S27" i="4" s="1"/>
  <c r="R28" i="4"/>
  <c r="S28" i="4" s="1"/>
  <c r="R29" i="4"/>
  <c r="S29" i="4" s="1"/>
  <c r="R30" i="4"/>
  <c r="S30" i="4" s="1"/>
  <c r="R31" i="4"/>
  <c r="S31" i="4" s="1"/>
  <c r="R32" i="4"/>
  <c r="S3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R39" i="4"/>
  <c r="S39" i="4" s="1"/>
  <c r="R40" i="4"/>
  <c r="S40" i="4" s="1"/>
  <c r="R41" i="4"/>
  <c r="S41" i="4" s="1"/>
  <c r="R42" i="4"/>
  <c r="S42" i="4" s="1"/>
  <c r="R43" i="4"/>
  <c r="S43" i="4" s="1"/>
  <c r="R44" i="4"/>
  <c r="S44" i="4" s="1"/>
  <c r="R45" i="4"/>
  <c r="S45" i="4" s="1"/>
  <c r="R46" i="4"/>
  <c r="S46" i="4" s="1"/>
  <c r="R47" i="4"/>
  <c r="S47" i="4" s="1"/>
  <c r="R48" i="4"/>
  <c r="S48" i="4" s="1"/>
  <c r="R49" i="4"/>
  <c r="S49" i="4" s="1"/>
  <c r="R2" i="4"/>
  <c r="S2" i="4" s="1"/>
  <c r="D50" i="4"/>
  <c r="D52" i="4" s="1"/>
  <c r="D53" i="4" s="1"/>
  <c r="I3" i="4"/>
  <c r="J3" i="4" s="1"/>
  <c r="K3" i="4" s="1"/>
  <c r="L3" i="4" s="1"/>
  <c r="P3" i="4"/>
  <c r="P4" i="4"/>
  <c r="P5" i="4"/>
  <c r="P6" i="4"/>
  <c r="I7" i="4"/>
  <c r="J7" i="4" s="1"/>
  <c r="K7" i="4" s="1"/>
  <c r="L7" i="4" s="1"/>
  <c r="P7" i="4"/>
  <c r="P8" i="4"/>
  <c r="P9" i="4"/>
  <c r="Q10" i="4"/>
  <c r="I11" i="4"/>
  <c r="J11" i="4" s="1"/>
  <c r="K11" i="4" s="1"/>
  <c r="L11" i="4" s="1"/>
  <c r="P11" i="4"/>
  <c r="P12" i="4"/>
  <c r="Q13" i="4"/>
  <c r="P14" i="4"/>
  <c r="I15" i="4"/>
  <c r="J15" i="4" s="1"/>
  <c r="K15" i="4" s="1"/>
  <c r="L15" i="4" s="1"/>
  <c r="P15" i="4"/>
  <c r="P16" i="4"/>
  <c r="P17" i="4"/>
  <c r="P18" i="4"/>
  <c r="I19" i="4"/>
  <c r="J19" i="4" s="1"/>
  <c r="K19" i="4" s="1"/>
  <c r="L19" i="4" s="1"/>
  <c r="P19" i="4"/>
  <c r="P20" i="4"/>
  <c r="P21" i="4"/>
  <c r="P22" i="4"/>
  <c r="I23" i="4"/>
  <c r="J23" i="4" s="1"/>
  <c r="K23" i="4" s="1"/>
  <c r="L23" i="4" s="1"/>
  <c r="P23" i="4"/>
  <c r="Q24" i="4"/>
  <c r="P25" i="4"/>
  <c r="Q26" i="4"/>
  <c r="I27" i="4"/>
  <c r="J27" i="4" s="1"/>
  <c r="K27" i="4" s="1"/>
  <c r="L27" i="4" s="1"/>
  <c r="P27" i="4"/>
  <c r="P28" i="4"/>
  <c r="Q29" i="4"/>
  <c r="P30" i="4"/>
  <c r="I31" i="4"/>
  <c r="J31" i="4" s="1"/>
  <c r="K31" i="4" s="1"/>
  <c r="L31" i="4" s="1"/>
  <c r="P31" i="4"/>
  <c r="Q32" i="4"/>
  <c r="P33" i="4"/>
  <c r="Q34" i="4"/>
  <c r="I35" i="4"/>
  <c r="J35" i="4" s="1"/>
  <c r="K35" i="4" s="1"/>
  <c r="L35" i="4" s="1"/>
  <c r="P35" i="4"/>
  <c r="P36" i="4"/>
  <c r="Q37" i="4"/>
  <c r="P38" i="4"/>
  <c r="I39" i="4"/>
  <c r="J39" i="4" s="1"/>
  <c r="K39" i="4" s="1"/>
  <c r="L39" i="4" s="1"/>
  <c r="P39" i="4"/>
  <c r="P40" i="4"/>
  <c r="P41" i="4"/>
  <c r="Q42" i="4"/>
  <c r="I43" i="4"/>
  <c r="J43" i="4" s="1"/>
  <c r="K43" i="4" s="1"/>
  <c r="L43" i="4" s="1"/>
  <c r="P43" i="4"/>
  <c r="P44" i="4"/>
  <c r="P45" i="4"/>
  <c r="P46" i="4"/>
  <c r="I47" i="4"/>
  <c r="J47" i="4" s="1"/>
  <c r="K47" i="4" s="1"/>
  <c r="L47" i="4" s="1"/>
  <c r="P47" i="4"/>
  <c r="Q48" i="4"/>
  <c r="P49" i="4"/>
  <c r="Q2" i="4"/>
  <c r="C50" i="4"/>
  <c r="I40" i="4" l="1"/>
  <c r="J40" i="4" s="1"/>
  <c r="K40" i="4" s="1"/>
  <c r="L40" i="4" s="1"/>
  <c r="I24" i="4"/>
  <c r="J24" i="4" s="1"/>
  <c r="K24" i="4" s="1"/>
  <c r="L24" i="4" s="1"/>
  <c r="I16" i="4"/>
  <c r="J16" i="4" s="1"/>
  <c r="K16" i="4" s="1"/>
  <c r="L16" i="4" s="1"/>
  <c r="I8" i="4"/>
  <c r="J8" i="4" s="1"/>
  <c r="K8" i="4" s="1"/>
  <c r="L8" i="4" s="1"/>
  <c r="I48" i="4"/>
  <c r="J48" i="4" s="1"/>
  <c r="K48" i="4" s="1"/>
  <c r="L48" i="4" s="1"/>
  <c r="I32" i="4"/>
  <c r="J32" i="4" s="1"/>
  <c r="K32" i="4" s="1"/>
  <c r="L32" i="4" s="1"/>
  <c r="I42" i="4"/>
  <c r="J42" i="4" s="1"/>
  <c r="K42" i="4" s="1"/>
  <c r="L42" i="4" s="1"/>
  <c r="I34" i="4"/>
  <c r="J34" i="4" s="1"/>
  <c r="K34" i="4" s="1"/>
  <c r="L34" i="4" s="1"/>
  <c r="I26" i="4"/>
  <c r="J26" i="4" s="1"/>
  <c r="K26" i="4" s="1"/>
  <c r="L26" i="4" s="1"/>
  <c r="I18" i="4"/>
  <c r="J18" i="4" s="1"/>
  <c r="K18" i="4" s="1"/>
  <c r="L18" i="4" s="1"/>
  <c r="I10" i="4"/>
  <c r="J10" i="4" s="1"/>
  <c r="K10" i="4" s="1"/>
  <c r="L10" i="4" s="1"/>
  <c r="I36" i="4"/>
  <c r="J36" i="4" s="1"/>
  <c r="K36" i="4" s="1"/>
  <c r="L36" i="4" s="1"/>
  <c r="I12" i="4"/>
  <c r="J12" i="4" s="1"/>
  <c r="K12" i="4" s="1"/>
  <c r="L12" i="4" s="1"/>
  <c r="I4" i="4"/>
  <c r="J4" i="4" s="1"/>
  <c r="K4" i="4" s="1"/>
  <c r="L4" i="4" s="1"/>
  <c r="I44" i="4"/>
  <c r="J44" i="4" s="1"/>
  <c r="K44" i="4" s="1"/>
  <c r="L44" i="4" s="1"/>
  <c r="I28" i="4"/>
  <c r="J28" i="4" s="1"/>
  <c r="K28" i="4" s="1"/>
  <c r="L28" i="4" s="1"/>
  <c r="I20" i="4"/>
  <c r="J20" i="4" s="1"/>
  <c r="K20" i="4" s="1"/>
  <c r="L20" i="4" s="1"/>
  <c r="I46" i="4"/>
  <c r="J46" i="4" s="1"/>
  <c r="K46" i="4" s="1"/>
  <c r="L46" i="4" s="1"/>
  <c r="I38" i="4"/>
  <c r="J38" i="4" s="1"/>
  <c r="K38" i="4" s="1"/>
  <c r="L38" i="4" s="1"/>
  <c r="I30" i="4"/>
  <c r="J30" i="4" s="1"/>
  <c r="K30" i="4" s="1"/>
  <c r="L30" i="4" s="1"/>
  <c r="I22" i="4"/>
  <c r="J22" i="4" s="1"/>
  <c r="K22" i="4" s="1"/>
  <c r="L22" i="4" s="1"/>
  <c r="I14" i="4"/>
  <c r="J14" i="4" s="1"/>
  <c r="K14" i="4" s="1"/>
  <c r="L14" i="4" s="1"/>
  <c r="I6" i="4"/>
  <c r="J6" i="4" s="1"/>
  <c r="K6" i="4" s="1"/>
  <c r="L6" i="4" s="1"/>
  <c r="I49" i="4"/>
  <c r="J49" i="4" s="1"/>
  <c r="K49" i="4" s="1"/>
  <c r="L49" i="4" s="1"/>
  <c r="I17" i="4"/>
  <c r="J17" i="4" s="1"/>
  <c r="K17" i="4" s="1"/>
  <c r="L17" i="4" s="1"/>
  <c r="I45" i="4"/>
  <c r="J45" i="4" s="1"/>
  <c r="K45" i="4" s="1"/>
  <c r="L45" i="4" s="1"/>
  <c r="I37" i="4"/>
  <c r="J37" i="4" s="1"/>
  <c r="K37" i="4" s="1"/>
  <c r="L37" i="4" s="1"/>
  <c r="I29" i="4"/>
  <c r="J29" i="4" s="1"/>
  <c r="K29" i="4" s="1"/>
  <c r="L29" i="4" s="1"/>
  <c r="I21" i="4"/>
  <c r="J21" i="4" s="1"/>
  <c r="K21" i="4" s="1"/>
  <c r="L21" i="4" s="1"/>
  <c r="I13" i="4"/>
  <c r="J13" i="4" s="1"/>
  <c r="K13" i="4" s="1"/>
  <c r="L13" i="4" s="1"/>
  <c r="I5" i="4"/>
  <c r="J5" i="4" s="1"/>
  <c r="K5" i="4" s="1"/>
  <c r="L5" i="4" s="1"/>
  <c r="I41" i="4"/>
  <c r="J41" i="4" s="1"/>
  <c r="K41" i="4" s="1"/>
  <c r="L41" i="4" s="1"/>
  <c r="I33" i="4"/>
  <c r="J33" i="4" s="1"/>
  <c r="K33" i="4" s="1"/>
  <c r="L33" i="4" s="1"/>
  <c r="I9" i="4"/>
  <c r="J9" i="4" s="1"/>
  <c r="K9" i="4" s="1"/>
  <c r="L9" i="4" s="1"/>
  <c r="I25" i="4"/>
  <c r="J25" i="4" s="1"/>
  <c r="K25" i="4" s="1"/>
  <c r="L25" i="4" s="1"/>
  <c r="E34" i="4"/>
  <c r="G50" i="4"/>
  <c r="E2" i="4"/>
  <c r="E26" i="4"/>
  <c r="E18" i="4"/>
  <c r="Q14" i="4"/>
  <c r="E30" i="4"/>
  <c r="E22" i="4"/>
  <c r="E46" i="4"/>
  <c r="E14" i="4"/>
  <c r="Q46" i="4"/>
  <c r="E42" i="4"/>
  <c r="E10" i="4"/>
  <c r="Q6" i="4"/>
  <c r="Q30" i="4"/>
  <c r="E38" i="4"/>
  <c r="E6" i="4"/>
  <c r="E49" i="4"/>
  <c r="E41" i="4"/>
  <c r="E33" i="4"/>
  <c r="E25" i="4"/>
  <c r="E17" i="4"/>
  <c r="E9" i="4"/>
  <c r="P48" i="4"/>
  <c r="Q40" i="4"/>
  <c r="Q12" i="4"/>
  <c r="E48" i="4"/>
  <c r="E40" i="4"/>
  <c r="E32" i="4"/>
  <c r="E24" i="4"/>
  <c r="E16" i="4"/>
  <c r="E8" i="4"/>
  <c r="P32" i="4"/>
  <c r="Q38" i="4"/>
  <c r="Q8" i="4"/>
  <c r="E47" i="4"/>
  <c r="E39" i="4"/>
  <c r="E31" i="4"/>
  <c r="E23" i="4"/>
  <c r="E15" i="4"/>
  <c r="E7" i="4"/>
  <c r="P24" i="4"/>
  <c r="E45" i="4"/>
  <c r="E37" i="4"/>
  <c r="E29" i="4"/>
  <c r="E21" i="4"/>
  <c r="E5" i="4"/>
  <c r="Q16" i="4"/>
  <c r="E44" i="4"/>
  <c r="E36" i="4"/>
  <c r="E28" i="4"/>
  <c r="E20" i="4"/>
  <c r="E12" i="4"/>
  <c r="E4" i="4"/>
  <c r="Q4" i="4"/>
  <c r="E13" i="4"/>
  <c r="Q22" i="4"/>
  <c r="E43" i="4"/>
  <c r="E35" i="4"/>
  <c r="E27" i="4"/>
  <c r="E19" i="4"/>
  <c r="E11" i="4"/>
  <c r="E3" i="4"/>
  <c r="P37" i="4"/>
  <c r="P34" i="4"/>
  <c r="P13" i="4"/>
  <c r="Q47" i="4"/>
  <c r="Q39" i="4"/>
  <c r="Q31" i="4"/>
  <c r="Q23" i="4"/>
  <c r="Q15" i="4"/>
  <c r="Q7" i="4"/>
  <c r="P10" i="4"/>
  <c r="M50" i="4"/>
  <c r="P2" i="4"/>
  <c r="P29" i="4"/>
  <c r="Q45" i="4"/>
  <c r="Q21" i="4"/>
  <c r="Q5" i="4"/>
  <c r="N50" i="4"/>
  <c r="P26" i="4"/>
  <c r="Q44" i="4"/>
  <c r="Q36" i="4"/>
  <c r="Q28" i="4"/>
  <c r="Q20" i="4"/>
  <c r="P42" i="4"/>
  <c r="Q18" i="4"/>
  <c r="Q43" i="4"/>
  <c r="Q35" i="4"/>
  <c r="Q27" i="4"/>
  <c r="Q19" i="4"/>
  <c r="Q11" i="4"/>
  <c r="Q3" i="4"/>
  <c r="Q49" i="4"/>
  <c r="Q41" i="4"/>
  <c r="Q33" i="4"/>
  <c r="Q25" i="4"/>
  <c r="Q17" i="4"/>
  <c r="Q9" i="4"/>
  <c r="O50" i="4"/>
  <c r="I50" i="4" l="1"/>
  <c r="K2" i="4" l="1"/>
  <c r="J50" i="4"/>
  <c r="L2" i="4" l="1"/>
  <c r="L50" i="4" s="1"/>
  <c r="K50" i="4"/>
  <c r="C7" i="14" l="1"/>
  <c r="L2" i="19"/>
  <c r="M2" i="19" s="1"/>
  <c r="C14" i="14" s="1"/>
  <c r="C15" i="14" s="1"/>
  <c r="C8" i="14" l="1"/>
  <c r="C10" i="14"/>
  <c r="C16" i="14" l="1"/>
  <c r="C17" i="14" l="1"/>
  <c r="F89" i="17" l="1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90" i="17"/>
  <c r="A15" i="14"/>
  <c r="G15" i="14"/>
  <c r="G14" i="14"/>
  <c r="J13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G17" i="14"/>
  <c r="L13" i="14"/>
  <c r="K4" i="14"/>
  <c r="G30" i="17"/>
  <c r="D54" i="17"/>
  <c r="E54" i="17" s="1"/>
  <c r="D107" i="17"/>
  <c r="E107" i="17" s="1"/>
  <c r="D20" i="17"/>
  <c r="E20" i="17" s="1"/>
  <c r="D70" i="17"/>
  <c r="E70" i="17" s="1"/>
  <c r="D71" i="17"/>
  <c r="E71" i="17" s="1"/>
  <c r="D116" i="17"/>
  <c r="E116" i="17" s="1"/>
  <c r="D79" i="17"/>
  <c r="E79" i="17" s="1"/>
  <c r="D53" i="17"/>
  <c r="E53" i="17" s="1"/>
  <c r="D126" i="17"/>
  <c r="E126" i="17" s="1"/>
  <c r="D87" i="17"/>
  <c r="E87" i="17" s="1"/>
  <c r="D132" i="17"/>
  <c r="E132" i="17" s="1"/>
  <c r="D101" i="17"/>
  <c r="E101" i="17" s="1"/>
  <c r="D21" i="17"/>
  <c r="E21" i="17" s="1"/>
  <c r="D30" i="17"/>
  <c r="E30" i="17" s="1"/>
  <c r="D125" i="17"/>
  <c r="E125" i="17" s="1"/>
  <c r="D47" i="17"/>
  <c r="E47" i="17" s="1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H2" i="17"/>
  <c r="J4" i="13"/>
  <c r="T3" i="19"/>
  <c r="B22" i="13"/>
  <c r="B23" i="13" s="1"/>
  <c r="B14" i="13"/>
  <c r="B15" i="13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V3" i="19"/>
  <c r="T2" i="19"/>
  <c r="K3" i="19"/>
  <c r="B24" i="13" l="1"/>
  <c r="A24" i="13" s="1"/>
  <c r="B25" i="13"/>
  <c r="A25" i="13" s="1"/>
  <c r="L3" i="19"/>
  <c r="M3" i="19" s="1"/>
  <c r="C18" i="14" s="1"/>
  <c r="C19" i="14" s="1"/>
  <c r="C20" i="14" s="1"/>
  <c r="C21" i="14" s="1"/>
  <c r="B21" i="14" s="1"/>
  <c r="A23" i="13"/>
  <c r="B14" i="14"/>
  <c r="B15" i="14"/>
  <c r="B16" i="14"/>
  <c r="J16" i="14" s="1"/>
  <c r="B17" i="14"/>
  <c r="K17" i="14" s="1"/>
  <c r="A17" i="14"/>
  <c r="A16" i="14"/>
  <c r="V4" i="19"/>
  <c r="V5" i="19" s="1"/>
  <c r="K4" i="19"/>
  <c r="B16" i="13"/>
  <c r="A16" i="13" s="1"/>
  <c r="B17" i="13"/>
  <c r="A17" i="13" s="1"/>
  <c r="D52" i="17"/>
  <c r="E52" i="17" s="1"/>
  <c r="D39" i="17"/>
  <c r="E39" i="17" s="1"/>
  <c r="D37" i="17"/>
  <c r="E37" i="17" s="1"/>
  <c r="D127" i="17"/>
  <c r="E127" i="17" s="1"/>
  <c r="D22" i="17"/>
  <c r="E22" i="17" s="1"/>
  <c r="D91" i="17"/>
  <c r="E91" i="17" s="1"/>
  <c r="D23" i="17"/>
  <c r="E23" i="17" s="1"/>
  <c r="D131" i="17"/>
  <c r="E131" i="17" s="1"/>
  <c r="D115" i="17"/>
  <c r="E115" i="17" s="1"/>
  <c r="D94" i="17"/>
  <c r="E94" i="17" s="1"/>
  <c r="D38" i="17"/>
  <c r="E38" i="17" s="1"/>
  <c r="D110" i="17"/>
  <c r="E110" i="17" s="1"/>
  <c r="D89" i="17"/>
  <c r="E89" i="17" s="1"/>
  <c r="D41" i="17"/>
  <c r="E41" i="17" s="1"/>
  <c r="D16" i="17"/>
  <c r="E16" i="17" s="1"/>
  <c r="D109" i="17"/>
  <c r="E109" i="17" s="1"/>
  <c r="D63" i="17"/>
  <c r="E63" i="17" s="1"/>
  <c r="D35" i="17"/>
  <c r="E35" i="17" s="1"/>
  <c r="D19" i="17"/>
  <c r="E19" i="17" s="1"/>
  <c r="D40" i="17"/>
  <c r="E40" i="17" s="1"/>
  <c r="D8" i="17"/>
  <c r="E8" i="17" s="1"/>
  <c r="D108" i="17"/>
  <c r="E108" i="17" s="1"/>
  <c r="D86" i="17"/>
  <c r="E86" i="17" s="1"/>
  <c r="D62" i="17"/>
  <c r="E62" i="17" s="1"/>
  <c r="D46" i="17"/>
  <c r="E46" i="17" s="1"/>
  <c r="D15" i="17"/>
  <c r="E15" i="17" s="1"/>
  <c r="D123" i="17"/>
  <c r="E123" i="17" s="1"/>
  <c r="D85" i="17"/>
  <c r="E85" i="17" s="1"/>
  <c r="D61" i="17"/>
  <c r="E61" i="17" s="1"/>
  <c r="D45" i="17"/>
  <c r="E45" i="17" s="1"/>
  <c r="D29" i="17"/>
  <c r="E29" i="17" s="1"/>
  <c r="D13" i="17"/>
  <c r="E13" i="17" s="1"/>
  <c r="D2" i="17"/>
  <c r="E2" i="17" s="1"/>
  <c r="D118" i="17"/>
  <c r="E118" i="17" s="1"/>
  <c r="D105" i="17"/>
  <c r="E105" i="17" s="1"/>
  <c r="D84" i="17"/>
  <c r="E84" i="17" s="1"/>
  <c r="D60" i="17"/>
  <c r="E60" i="17" s="1"/>
  <c r="D44" i="17"/>
  <c r="E44" i="17" s="1"/>
  <c r="D28" i="17"/>
  <c r="E28" i="17" s="1"/>
  <c r="D6" i="17"/>
  <c r="E6" i="17" s="1"/>
  <c r="D133" i="17"/>
  <c r="E133" i="17" s="1"/>
  <c r="D117" i="17"/>
  <c r="E117" i="17" s="1"/>
  <c r="D103" i="17"/>
  <c r="E103" i="17" s="1"/>
  <c r="D83" i="17"/>
  <c r="E83" i="17" s="1"/>
  <c r="D59" i="17"/>
  <c r="E59" i="17" s="1"/>
  <c r="D43" i="17"/>
  <c r="E43" i="17" s="1"/>
  <c r="D27" i="17"/>
  <c r="E27" i="17" s="1"/>
  <c r="D3" i="17"/>
  <c r="E3" i="17" s="1"/>
  <c r="D14" i="17"/>
  <c r="E14" i="17" s="1"/>
  <c r="D102" i="17"/>
  <c r="E102" i="17" s="1"/>
  <c r="D58" i="17"/>
  <c r="E58" i="17" s="1"/>
  <c r="A19" i="13"/>
  <c r="A21" i="13"/>
  <c r="A20" i="13"/>
  <c r="A18" i="13"/>
  <c r="A14" i="13"/>
  <c r="H14" i="13" s="1"/>
  <c r="A15" i="13"/>
  <c r="D119" i="17"/>
  <c r="E119" i="17" s="1"/>
  <c r="D111" i="17"/>
  <c r="E111" i="17" s="1"/>
  <c r="D95" i="17"/>
  <c r="E95" i="17" s="1"/>
  <c r="D55" i="17"/>
  <c r="E55" i="17" s="1"/>
  <c r="D31" i="17"/>
  <c r="E31" i="17" s="1"/>
  <c r="D7" i="17"/>
  <c r="E7" i="17" s="1"/>
  <c r="D78" i="17"/>
  <c r="E78" i="17" s="1"/>
  <c r="D124" i="17"/>
  <c r="E124" i="17" s="1"/>
  <c r="D100" i="17"/>
  <c r="E100" i="17" s="1"/>
  <c r="D92" i="17"/>
  <c r="E92" i="17" s="1"/>
  <c r="D76" i="17"/>
  <c r="E76" i="17" s="1"/>
  <c r="D68" i="17"/>
  <c r="E68" i="17" s="1"/>
  <c r="D36" i="17"/>
  <c r="E36" i="17" s="1"/>
  <c r="D12" i="17"/>
  <c r="E12" i="17" s="1"/>
  <c r="D4" i="17"/>
  <c r="E4" i="17" s="1"/>
  <c r="D93" i="17"/>
  <c r="E93" i="17" s="1"/>
  <c r="D77" i="17"/>
  <c r="E77" i="17" s="1"/>
  <c r="D69" i="17"/>
  <c r="E69" i="17" s="1"/>
  <c r="D5" i="17"/>
  <c r="E5" i="17" s="1"/>
  <c r="D99" i="17"/>
  <c r="E99" i="17" s="1"/>
  <c r="D75" i="17"/>
  <c r="E75" i="17" s="1"/>
  <c r="D67" i="17"/>
  <c r="E67" i="17" s="1"/>
  <c r="D51" i="17"/>
  <c r="E51" i="17" s="1"/>
  <c r="D11" i="17"/>
  <c r="E11" i="17" s="1"/>
  <c r="D130" i="17"/>
  <c r="E130" i="17" s="1"/>
  <c r="D122" i="17"/>
  <c r="E122" i="17" s="1"/>
  <c r="D114" i="17"/>
  <c r="E114" i="17" s="1"/>
  <c r="D106" i="17"/>
  <c r="E106" i="17" s="1"/>
  <c r="D98" i="17"/>
  <c r="E98" i="17" s="1"/>
  <c r="D90" i="17"/>
  <c r="E90" i="17" s="1"/>
  <c r="D82" i="17"/>
  <c r="E82" i="17" s="1"/>
  <c r="D74" i="17"/>
  <c r="E74" i="17" s="1"/>
  <c r="D66" i="17"/>
  <c r="E66" i="17" s="1"/>
  <c r="D50" i="17"/>
  <c r="E50" i="17" s="1"/>
  <c r="D42" i="17"/>
  <c r="E42" i="17" s="1"/>
  <c r="D34" i="17"/>
  <c r="E34" i="17" s="1"/>
  <c r="D26" i="17"/>
  <c r="E26" i="17" s="1"/>
  <c r="D18" i="17"/>
  <c r="E18" i="17" s="1"/>
  <c r="D10" i="17"/>
  <c r="E10" i="17" s="1"/>
  <c r="D129" i="17"/>
  <c r="E129" i="17" s="1"/>
  <c r="D121" i="17"/>
  <c r="E121" i="17" s="1"/>
  <c r="D113" i="17"/>
  <c r="E113" i="17" s="1"/>
  <c r="D97" i="17"/>
  <c r="E97" i="17" s="1"/>
  <c r="D81" i="17"/>
  <c r="E81" i="17" s="1"/>
  <c r="D73" i="17"/>
  <c r="E73" i="17" s="1"/>
  <c r="D65" i="17"/>
  <c r="E65" i="17" s="1"/>
  <c r="D57" i="17"/>
  <c r="E57" i="17" s="1"/>
  <c r="D49" i="17"/>
  <c r="E49" i="17" s="1"/>
  <c r="D33" i="17"/>
  <c r="E33" i="17" s="1"/>
  <c r="D25" i="17"/>
  <c r="E25" i="17" s="1"/>
  <c r="D17" i="17"/>
  <c r="E17" i="17" s="1"/>
  <c r="D9" i="17"/>
  <c r="E9" i="17" s="1"/>
  <c r="D128" i="17"/>
  <c r="E128" i="17" s="1"/>
  <c r="D120" i="17"/>
  <c r="E120" i="17" s="1"/>
  <c r="D112" i="17"/>
  <c r="E112" i="17" s="1"/>
  <c r="D104" i="17"/>
  <c r="E104" i="17" s="1"/>
  <c r="D96" i="17"/>
  <c r="E96" i="17" s="1"/>
  <c r="D88" i="17"/>
  <c r="E88" i="17" s="1"/>
  <c r="D80" i="17"/>
  <c r="E80" i="17" s="1"/>
  <c r="D72" i="17"/>
  <c r="E72" i="17" s="1"/>
  <c r="D64" i="17"/>
  <c r="E64" i="17" s="1"/>
  <c r="D56" i="17"/>
  <c r="E56" i="17" s="1"/>
  <c r="D48" i="17"/>
  <c r="E48" i="17" s="1"/>
  <c r="D32" i="17"/>
  <c r="E32" i="17" s="1"/>
  <c r="D24" i="17"/>
  <c r="E24" i="17" s="1"/>
  <c r="K13" i="14"/>
  <c r="L4" i="14"/>
  <c r="A22" i="13"/>
  <c r="K4" i="13"/>
  <c r="B20" i="14" l="1"/>
  <c r="O20" i="14" s="1"/>
  <c r="B19" i="14"/>
  <c r="I19" i="14" s="1"/>
  <c r="B18" i="14"/>
  <c r="I18" i="14" s="1"/>
  <c r="H16" i="14"/>
  <c r="G16" i="13"/>
  <c r="K15" i="14"/>
  <c r="J15" i="14"/>
  <c r="K5" i="19"/>
  <c r="K6" i="19" s="1"/>
  <c r="L4" i="19"/>
  <c r="M4" i="19" s="1"/>
  <c r="C22" i="14" s="1"/>
  <c r="G14" i="13"/>
  <c r="G15" i="13"/>
  <c r="K16" i="14"/>
  <c r="I16" i="14"/>
  <c r="AQ14" i="13"/>
  <c r="AG14" i="13"/>
  <c r="AU14" i="13"/>
  <c r="V14" i="13"/>
  <c r="AK14" i="13"/>
  <c r="L14" i="13"/>
  <c r="BC14" i="13"/>
  <c r="AP14" i="13"/>
  <c r="AI14" i="13"/>
  <c r="Y14" i="13"/>
  <c r="AM14" i="13"/>
  <c r="N14" i="13"/>
  <c r="AC14" i="13"/>
  <c r="K14" i="13"/>
  <c r="AN14" i="13"/>
  <c r="O14" i="13"/>
  <c r="BB14" i="13"/>
  <c r="X14" i="13"/>
  <c r="AO14" i="13"/>
  <c r="AA14" i="13"/>
  <c r="Q14" i="13"/>
  <c r="BD14" i="13"/>
  <c r="AE14" i="13"/>
  <c r="AZ14" i="13"/>
  <c r="U14" i="13"/>
  <c r="AR14" i="13"/>
  <c r="AH14" i="13"/>
  <c r="BA14" i="13"/>
  <c r="AS14" i="13"/>
  <c r="S14" i="13"/>
  <c r="BF14" i="13"/>
  <c r="I14" i="13"/>
  <c r="AV14" i="13"/>
  <c r="W14" i="13"/>
  <c r="AB14" i="13"/>
  <c r="M14" i="13"/>
  <c r="T14" i="13"/>
  <c r="Z14" i="13"/>
  <c r="AJ14" i="13"/>
  <c r="AY14" i="13"/>
  <c r="P14" i="13"/>
  <c r="AD14" i="13"/>
  <c r="R14" i="13"/>
  <c r="BE14" i="13"/>
  <c r="AF14" i="13"/>
  <c r="AX14" i="13"/>
  <c r="AT14" i="13"/>
  <c r="BH14" i="13"/>
  <c r="BI14" i="13"/>
  <c r="BG14" i="13"/>
  <c r="J14" i="13"/>
  <c r="AW14" i="13"/>
  <c r="AL14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X17" i="13"/>
  <c r="AY17" i="13"/>
  <c r="AZ17" i="13"/>
  <c r="BA17" i="13"/>
  <c r="BB17" i="13"/>
  <c r="BC17" i="13"/>
  <c r="BD17" i="13"/>
  <c r="BE17" i="13"/>
  <c r="BF17" i="13"/>
  <c r="BG17" i="13"/>
  <c r="BH17" i="13"/>
  <c r="BI17" i="13"/>
  <c r="J17" i="14"/>
  <c r="H17" i="14"/>
  <c r="I17" i="14"/>
  <c r="H14" i="14"/>
  <c r="J14" i="14"/>
  <c r="I14" i="14"/>
  <c r="BI22" i="13"/>
  <c r="AJ22" i="13"/>
  <c r="AY22" i="13"/>
  <c r="Z22" i="13"/>
  <c r="AN22" i="13"/>
  <c r="BC22" i="13"/>
  <c r="W22" i="13"/>
  <c r="G22" i="13"/>
  <c r="BG22" i="13"/>
  <c r="BA22" i="13"/>
  <c r="AB22" i="13"/>
  <c r="AQ22" i="13"/>
  <c r="R22" i="13"/>
  <c r="BE22" i="13"/>
  <c r="AF22" i="13"/>
  <c r="AU22" i="13"/>
  <c r="BB22" i="13"/>
  <c r="I22" i="13"/>
  <c r="AS22" i="13"/>
  <c r="T22" i="13"/>
  <c r="AI22" i="13"/>
  <c r="J22" i="13"/>
  <c r="AW22" i="13"/>
  <c r="X22" i="13"/>
  <c r="AD22" i="13"/>
  <c r="AM22" i="13"/>
  <c r="AC22" i="13"/>
  <c r="AG22" i="13"/>
  <c r="H22" i="13"/>
  <c r="BD22" i="13"/>
  <c r="AR22" i="13"/>
  <c r="AV22" i="13"/>
  <c r="AK22" i="13"/>
  <c r="L22" i="13"/>
  <c r="AA22" i="13"/>
  <c r="AO22" i="13"/>
  <c r="P22" i="13"/>
  <c r="AE22" i="13"/>
  <c r="S22" i="13"/>
  <c r="BF22" i="13"/>
  <c r="Q22" i="13"/>
  <c r="U22" i="13"/>
  <c r="BH22" i="13"/>
  <c r="K22" i="13"/>
  <c r="AX22" i="13"/>
  <c r="Y22" i="13"/>
  <c r="O22" i="13"/>
  <c r="AL22" i="13"/>
  <c r="M22" i="13"/>
  <c r="AZ22" i="13"/>
  <c r="AP22" i="13"/>
  <c r="AT22" i="13"/>
  <c r="V22" i="13"/>
  <c r="AH22" i="13"/>
  <c r="N22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AX25" i="13"/>
  <c r="AY25" i="13"/>
  <c r="AZ25" i="13"/>
  <c r="BA25" i="13"/>
  <c r="BB25" i="13"/>
  <c r="BC25" i="13"/>
  <c r="BD25" i="13"/>
  <c r="BE25" i="13"/>
  <c r="BF25" i="13"/>
  <c r="BG25" i="13"/>
  <c r="BH25" i="13"/>
  <c r="BI25" i="13"/>
  <c r="AZ18" i="13"/>
  <c r="AA18" i="13"/>
  <c r="AP18" i="13"/>
  <c r="Q18" i="13"/>
  <c r="BD18" i="13"/>
  <c r="AS18" i="13"/>
  <c r="AE18" i="13"/>
  <c r="AT18" i="13"/>
  <c r="AC18" i="13"/>
  <c r="J18" i="13"/>
  <c r="H18" i="13"/>
  <c r="AR18" i="13"/>
  <c r="S18" i="13"/>
  <c r="AH18" i="13"/>
  <c r="I18" i="13"/>
  <c r="AV18" i="13"/>
  <c r="U18" i="13"/>
  <c r="W18" i="13"/>
  <c r="AL18" i="13"/>
  <c r="M18" i="13"/>
  <c r="BG18" i="13"/>
  <c r="AU18" i="13"/>
  <c r="BH18" i="13"/>
  <c r="AM18" i="13"/>
  <c r="BA18" i="13"/>
  <c r="AJ18" i="13"/>
  <c r="K18" i="13"/>
  <c r="Z18" i="13"/>
  <c r="AN18" i="13"/>
  <c r="O18" i="13"/>
  <c r="AD18" i="13"/>
  <c r="AW18" i="13"/>
  <c r="N18" i="13"/>
  <c r="AG18" i="13"/>
  <c r="Y18" i="13"/>
  <c r="AB18" i="13"/>
  <c r="R18" i="13"/>
  <c r="BE18" i="13"/>
  <c r="AF18" i="13"/>
  <c r="G18" i="13"/>
  <c r="BI18" i="13"/>
  <c r="V18" i="13"/>
  <c r="T18" i="13"/>
  <c r="X18" i="13"/>
  <c r="AK18" i="13"/>
  <c r="AX18" i="13"/>
  <c r="L18" i="13"/>
  <c r="AY18" i="13"/>
  <c r="AO18" i="13"/>
  <c r="P18" i="13"/>
  <c r="BC18" i="13"/>
  <c r="AQ18" i="13"/>
  <c r="BF18" i="13"/>
  <c r="AI18" i="13"/>
  <c r="BB18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AY21" i="13"/>
  <c r="AZ21" i="13"/>
  <c r="BA21" i="13"/>
  <c r="BB21" i="13"/>
  <c r="BC21" i="13"/>
  <c r="BD21" i="13"/>
  <c r="BE21" i="13"/>
  <c r="BF21" i="13"/>
  <c r="BG21" i="13"/>
  <c r="BH21" i="13"/>
  <c r="BI21" i="13"/>
  <c r="K14" i="14"/>
  <c r="S20" i="14"/>
  <c r="AA20" i="14"/>
  <c r="AH20" i="14"/>
  <c r="AM20" i="14"/>
  <c r="AB20" i="14"/>
  <c r="AJ20" i="14"/>
  <c r="AQ20" i="14"/>
  <c r="BF20" i="14"/>
  <c r="BB20" i="14"/>
  <c r="T20" i="14"/>
  <c r="V20" i="14"/>
  <c r="AS20" i="14"/>
  <c r="AZ20" i="14"/>
  <c r="AC20" i="14"/>
  <c r="AV20" i="14"/>
  <c r="BI20" i="14"/>
  <c r="AD20" i="14"/>
  <c r="BJ20" i="14"/>
  <c r="AT20" i="14"/>
  <c r="Z20" i="14"/>
  <c r="AR20" i="14"/>
  <c r="AW20" i="14"/>
  <c r="BD20" i="14"/>
  <c r="AN20" i="14"/>
  <c r="AK20" i="14"/>
  <c r="AF20" i="14"/>
  <c r="AE20" i="14"/>
  <c r="AL20" i="14"/>
  <c r="BA20" i="14"/>
  <c r="AY20" i="14"/>
  <c r="AI20" i="14"/>
  <c r="BH20" i="14"/>
  <c r="AU20" i="14"/>
  <c r="W20" i="14"/>
  <c r="BE20" i="14"/>
  <c r="R20" i="14"/>
  <c r="AP20" i="14"/>
  <c r="X20" i="14"/>
  <c r="U20" i="14"/>
  <c r="AO20" i="14"/>
  <c r="BC20" i="14"/>
  <c r="Y20" i="14"/>
  <c r="AG20" i="14"/>
  <c r="AX20" i="14"/>
  <c r="BG20" i="14"/>
  <c r="AY19" i="14"/>
  <c r="AB19" i="14"/>
  <c r="BB19" i="14"/>
  <c r="T19" i="14"/>
  <c r="BH19" i="14"/>
  <c r="AU19" i="14"/>
  <c r="S19" i="14"/>
  <c r="AK19" i="14"/>
  <c r="AL19" i="14"/>
  <c r="W19" i="14"/>
  <c r="AA19" i="14"/>
  <c r="AF19" i="14"/>
  <c r="L19" i="14"/>
  <c r="AT19" i="14"/>
  <c r="AW19" i="14"/>
  <c r="AQ19" i="14"/>
  <c r="Y19" i="14"/>
  <c r="AH19" i="14"/>
  <c r="AP19" i="14"/>
  <c r="U19" i="14"/>
  <c r="BC19" i="14"/>
  <c r="AV19" i="14"/>
  <c r="BA19" i="14"/>
  <c r="AZ19" i="14"/>
  <c r="AD19" i="14"/>
  <c r="BF19" i="14"/>
  <c r="AR19" i="14"/>
  <c r="AE19" i="14"/>
  <c r="AI19" i="14"/>
  <c r="BI19" i="14"/>
  <c r="AM19" i="14"/>
  <c r="Z19" i="14"/>
  <c r="V19" i="14"/>
  <c r="BJ19" i="14"/>
  <c r="BD19" i="14"/>
  <c r="BG19" i="14"/>
  <c r="AJ19" i="14"/>
  <c r="AX19" i="14"/>
  <c r="AS19" i="14"/>
  <c r="X19" i="14"/>
  <c r="AO19" i="14"/>
  <c r="AN19" i="14"/>
  <c r="AC19" i="14"/>
  <c r="Q19" i="14"/>
  <c r="BE19" i="14"/>
  <c r="AG19" i="14"/>
  <c r="J19" i="14"/>
  <c r="H15" i="14"/>
  <c r="I15" i="14"/>
  <c r="K16" i="13"/>
  <c r="S16" i="13"/>
  <c r="AA16" i="13"/>
  <c r="AI16" i="13"/>
  <c r="AQ16" i="13"/>
  <c r="AY16" i="13"/>
  <c r="BH16" i="13"/>
  <c r="P16" i="13"/>
  <c r="Y16" i="13"/>
  <c r="Z16" i="13"/>
  <c r="L16" i="13"/>
  <c r="T16" i="13"/>
  <c r="AB16" i="13"/>
  <c r="AJ16" i="13"/>
  <c r="AR16" i="13"/>
  <c r="AZ16" i="13"/>
  <c r="BG16" i="13"/>
  <c r="AS16" i="13"/>
  <c r="BB16" i="13"/>
  <c r="AV16" i="13"/>
  <c r="H16" i="13"/>
  <c r="AW16" i="13"/>
  <c r="R16" i="13"/>
  <c r="BF16" i="13"/>
  <c r="M16" i="13"/>
  <c r="U16" i="13"/>
  <c r="AC16" i="13"/>
  <c r="AK16" i="13"/>
  <c r="BA16" i="13"/>
  <c r="AF16" i="13"/>
  <c r="Q16" i="13"/>
  <c r="BE16" i="13"/>
  <c r="AP16" i="13"/>
  <c r="N16" i="13"/>
  <c r="V16" i="13"/>
  <c r="AD16" i="13"/>
  <c r="AL16" i="13"/>
  <c r="AT16" i="13"/>
  <c r="AN16" i="13"/>
  <c r="AO16" i="13"/>
  <c r="AH16" i="13"/>
  <c r="O16" i="13"/>
  <c r="W16" i="13"/>
  <c r="AE16" i="13"/>
  <c r="AM16" i="13"/>
  <c r="AU16" i="13"/>
  <c r="BC16" i="13"/>
  <c r="X16" i="13"/>
  <c r="BD16" i="13"/>
  <c r="AG16" i="13"/>
  <c r="J16" i="13"/>
  <c r="AX16" i="13"/>
  <c r="BI16" i="13"/>
  <c r="AW21" i="14"/>
  <c r="BE21" i="14"/>
  <c r="R21" i="14"/>
  <c r="M21" i="14"/>
  <c r="V21" i="14"/>
  <c r="BA21" i="14"/>
  <c r="AX21" i="14"/>
  <c r="K21" i="14"/>
  <c r="S21" i="14"/>
  <c r="AI21" i="14"/>
  <c r="X21" i="14"/>
  <c r="AP21" i="14"/>
  <c r="AR21" i="14"/>
  <c r="W21" i="14"/>
  <c r="AS21" i="14"/>
  <c r="AC21" i="14"/>
  <c r="L21" i="14"/>
  <c r="BG21" i="14"/>
  <c r="AA21" i="14"/>
  <c r="AG21" i="14"/>
  <c r="BH21" i="14"/>
  <c r="AJ21" i="14"/>
  <c r="BI21" i="14"/>
  <c r="AM21" i="14"/>
  <c r="T21" i="14"/>
  <c r="N21" i="14"/>
  <c r="AB21" i="14"/>
  <c r="BC21" i="14"/>
  <c r="U21" i="14"/>
  <c r="BF21" i="14"/>
  <c r="AU21" i="14"/>
  <c r="J21" i="14"/>
  <c r="P21" i="14"/>
  <c r="AK21" i="14"/>
  <c r="AZ21" i="14"/>
  <c r="AL21" i="14"/>
  <c r="H21" i="14"/>
  <c r="AY21" i="14"/>
  <c r="AN21" i="14"/>
  <c r="Z21" i="14"/>
  <c r="AD21" i="14"/>
  <c r="BB21" i="14"/>
  <c r="AQ21" i="14"/>
  <c r="AF21" i="14"/>
  <c r="AT21" i="14"/>
  <c r="O21" i="14"/>
  <c r="AO21" i="14"/>
  <c r="AV21" i="14"/>
  <c r="Q21" i="14"/>
  <c r="BD21" i="14"/>
  <c r="AE21" i="14"/>
  <c r="Y21" i="14"/>
  <c r="BJ21" i="14"/>
  <c r="AH21" i="14"/>
  <c r="I21" i="14"/>
  <c r="AV18" i="14"/>
  <c r="AI18" i="14"/>
  <c r="AB18" i="14"/>
  <c r="BC18" i="14"/>
  <c r="BA18" i="14"/>
  <c r="Z18" i="14"/>
  <c r="BF18" i="14"/>
  <c r="BE18" i="14"/>
  <c r="AR18" i="14"/>
  <c r="AG18" i="14"/>
  <c r="AY18" i="14"/>
  <c r="X18" i="14"/>
  <c r="L18" i="14"/>
  <c r="AJ18" i="14"/>
  <c r="AE18" i="14"/>
  <c r="AH18" i="14"/>
  <c r="T18" i="14"/>
  <c r="AP18" i="14"/>
  <c r="S18" i="14"/>
  <c r="AQ18" i="14"/>
  <c r="W18" i="14"/>
  <c r="BD18" i="14"/>
  <c r="AL18" i="14"/>
  <c r="BI18" i="14"/>
  <c r="AD18" i="14"/>
  <c r="AA18" i="14"/>
  <c r="AN18" i="14"/>
  <c r="R18" i="14"/>
  <c r="V18" i="14"/>
  <c r="AO18" i="14"/>
  <c r="U18" i="14"/>
  <c r="J18" i="14"/>
  <c r="AS18" i="14"/>
  <c r="BJ18" i="14"/>
  <c r="AX18" i="14"/>
  <c r="AC18" i="14"/>
  <c r="AF18" i="14"/>
  <c r="BB18" i="14"/>
  <c r="K18" i="14"/>
  <c r="Y18" i="14"/>
  <c r="AZ18" i="14"/>
  <c r="BG18" i="14"/>
  <c r="AM18" i="14"/>
  <c r="AW18" i="14"/>
  <c r="AT18" i="14"/>
  <c r="AK18" i="14"/>
  <c r="BH18" i="14"/>
  <c r="AU18" i="14"/>
  <c r="H24" i="13"/>
  <c r="Q24" i="13"/>
  <c r="AI24" i="13"/>
  <c r="L24" i="13"/>
  <c r="AZ24" i="13"/>
  <c r="R24" i="13"/>
  <c r="AJ24" i="13"/>
  <c r="AA24" i="13"/>
  <c r="BC24" i="13"/>
  <c r="AR24" i="13"/>
  <c r="G24" i="13"/>
  <c r="P24" i="13"/>
  <c r="Y24" i="13"/>
  <c r="AT24" i="13"/>
  <c r="Z24" i="13"/>
  <c r="N24" i="13"/>
  <c r="AC24" i="13"/>
  <c r="AV24" i="13"/>
  <c r="AU24" i="13"/>
  <c r="AD24" i="13"/>
  <c r="BI24" i="13"/>
  <c r="O24" i="13"/>
  <c r="X24" i="13"/>
  <c r="AG24" i="13"/>
  <c r="BH24" i="13"/>
  <c r="AK24" i="13"/>
  <c r="AB24" i="13"/>
  <c r="AQ24" i="13"/>
  <c r="AM24" i="13"/>
  <c r="S24" i="13"/>
  <c r="J24" i="13"/>
  <c r="AS24" i="13"/>
  <c r="AL24" i="13"/>
  <c r="W24" i="13"/>
  <c r="AF24" i="13"/>
  <c r="AO24" i="13"/>
  <c r="K24" i="13"/>
  <c r="AY24" i="13"/>
  <c r="AP24" i="13"/>
  <c r="BB24" i="13"/>
  <c r="M24" i="13"/>
  <c r="AH24" i="13"/>
  <c r="BD24" i="13"/>
  <c r="I24" i="13"/>
  <c r="BG24" i="13"/>
  <c r="AE24" i="13"/>
  <c r="AN24" i="13"/>
  <c r="AW24" i="13"/>
  <c r="V24" i="13"/>
  <c r="BF24" i="13"/>
  <c r="BA24" i="13"/>
  <c r="T24" i="13"/>
  <c r="BE24" i="13"/>
  <c r="AX24" i="13"/>
  <c r="U24" i="13"/>
  <c r="BH20" i="13"/>
  <c r="N20" i="13"/>
  <c r="V20" i="13"/>
  <c r="AD20" i="13"/>
  <c r="AL20" i="13"/>
  <c r="AT20" i="13"/>
  <c r="BB20" i="13"/>
  <c r="S20" i="13"/>
  <c r="T20" i="13"/>
  <c r="AK20" i="13"/>
  <c r="G20" i="13"/>
  <c r="O20" i="13"/>
  <c r="W20" i="13"/>
  <c r="AE20" i="13"/>
  <c r="AM20" i="13"/>
  <c r="AU20" i="13"/>
  <c r="BC20" i="13"/>
  <c r="AA20" i="13"/>
  <c r="BG20" i="13"/>
  <c r="AJ20" i="13"/>
  <c r="AC20" i="13"/>
  <c r="H20" i="13"/>
  <c r="P20" i="13"/>
  <c r="X20" i="13"/>
  <c r="AF20" i="13"/>
  <c r="AN20" i="13"/>
  <c r="AV20" i="13"/>
  <c r="BD20" i="13"/>
  <c r="K20" i="13"/>
  <c r="AY20" i="13"/>
  <c r="AR20" i="13"/>
  <c r="U20" i="13"/>
  <c r="BA20" i="13"/>
  <c r="I20" i="13"/>
  <c r="Q20" i="13"/>
  <c r="Y20" i="13"/>
  <c r="AG20" i="13"/>
  <c r="AO20" i="13"/>
  <c r="AW20" i="13"/>
  <c r="BE20" i="13"/>
  <c r="AQ20" i="13"/>
  <c r="L20" i="13"/>
  <c r="AZ20" i="13"/>
  <c r="AS20" i="13"/>
  <c r="J20" i="13"/>
  <c r="R20" i="13"/>
  <c r="Z20" i="13"/>
  <c r="AH20" i="13"/>
  <c r="AP20" i="13"/>
  <c r="AX20" i="13"/>
  <c r="BF20" i="13"/>
  <c r="AI20" i="13"/>
  <c r="AB20" i="13"/>
  <c r="M20" i="13"/>
  <c r="BI20" i="13"/>
  <c r="L14" i="14"/>
  <c r="L17" i="14"/>
  <c r="L15" i="14"/>
  <c r="V6" i="19"/>
  <c r="I16" i="13"/>
  <c r="BE15" i="13"/>
  <c r="AW15" i="13"/>
  <c r="AO15" i="13"/>
  <c r="AG15" i="13"/>
  <c r="Y15" i="13"/>
  <c r="Q15" i="13"/>
  <c r="I15" i="13"/>
  <c r="BD15" i="13"/>
  <c r="AV15" i="13"/>
  <c r="AN15" i="13"/>
  <c r="AF15" i="13"/>
  <c r="X15" i="13"/>
  <c r="P15" i="13"/>
  <c r="H15" i="13"/>
  <c r="G17" i="13"/>
  <c r="BC15" i="13"/>
  <c r="AU15" i="13"/>
  <c r="AM15" i="13"/>
  <c r="AE15" i="13"/>
  <c r="W15" i="13"/>
  <c r="O15" i="13"/>
  <c r="BB15" i="13"/>
  <c r="AT15" i="13"/>
  <c r="AL15" i="13"/>
  <c r="AD15" i="13"/>
  <c r="V15" i="13"/>
  <c r="N15" i="13"/>
  <c r="BI15" i="13"/>
  <c r="BA15" i="13"/>
  <c r="AS15" i="13"/>
  <c r="AK15" i="13"/>
  <c r="AC15" i="13"/>
  <c r="U15" i="13"/>
  <c r="M15" i="13"/>
  <c r="BH15" i="13"/>
  <c r="AZ15" i="13"/>
  <c r="AR15" i="13"/>
  <c r="AJ15" i="13"/>
  <c r="AB15" i="13"/>
  <c r="T15" i="13"/>
  <c r="L15" i="13"/>
  <c r="AX15" i="13"/>
  <c r="R15" i="13"/>
  <c r="AQ15" i="13"/>
  <c r="K15" i="13"/>
  <c r="AP15" i="13"/>
  <c r="J15" i="13"/>
  <c r="AY15" i="13"/>
  <c r="AI15" i="13"/>
  <c r="S15" i="13"/>
  <c r="AH15" i="13"/>
  <c r="BF15" i="13"/>
  <c r="Z15" i="13"/>
  <c r="BG15" i="13"/>
  <c r="AA15" i="13"/>
  <c r="BG23" i="13"/>
  <c r="AY23" i="13"/>
  <c r="AQ23" i="13"/>
  <c r="AI23" i="13"/>
  <c r="BF23" i="13"/>
  <c r="AX23" i="13"/>
  <c r="AP23" i="13"/>
  <c r="AH23" i="13"/>
  <c r="Z23" i="13"/>
  <c r="R23" i="13"/>
  <c r="J23" i="13"/>
  <c r="BE23" i="13"/>
  <c r="AW23" i="13"/>
  <c r="AO23" i="13"/>
  <c r="AG23" i="13"/>
  <c r="Y23" i="13"/>
  <c r="Q23" i="13"/>
  <c r="I23" i="13"/>
  <c r="BC23" i="13"/>
  <c r="AR23" i="13"/>
  <c r="AD23" i="13"/>
  <c r="T23" i="13"/>
  <c r="H23" i="13"/>
  <c r="BB23" i="13"/>
  <c r="AN23" i="13"/>
  <c r="AC23" i="13"/>
  <c r="S23" i="13"/>
  <c r="BA23" i="13"/>
  <c r="AM23" i="13"/>
  <c r="AB23" i="13"/>
  <c r="P23" i="13"/>
  <c r="AZ23" i="13"/>
  <c r="AL23" i="13"/>
  <c r="AA23" i="13"/>
  <c r="O23" i="13"/>
  <c r="G23" i="13"/>
  <c r="AV23" i="13"/>
  <c r="AK23" i="13"/>
  <c r="X23" i="13"/>
  <c r="N23" i="13"/>
  <c r="BI23" i="13"/>
  <c r="AU23" i="13"/>
  <c r="AJ23" i="13"/>
  <c r="W23" i="13"/>
  <c r="M23" i="13"/>
  <c r="BD23" i="13"/>
  <c r="K23" i="13"/>
  <c r="L23" i="13"/>
  <c r="AT23" i="13"/>
  <c r="AS23" i="13"/>
  <c r="AF23" i="13"/>
  <c r="BH23" i="13"/>
  <c r="AE23" i="13"/>
  <c r="U23" i="13"/>
  <c r="V23" i="13"/>
  <c r="BE19" i="13"/>
  <c r="AW19" i="13"/>
  <c r="AO19" i="13"/>
  <c r="BD19" i="13"/>
  <c r="AV19" i="13"/>
  <c r="AN19" i="13"/>
  <c r="AF19" i="13"/>
  <c r="X19" i="13"/>
  <c r="BA19" i="13"/>
  <c r="AQ19" i="13"/>
  <c r="AG19" i="13"/>
  <c r="W19" i="13"/>
  <c r="O19" i="13"/>
  <c r="G19" i="13"/>
  <c r="AZ19" i="13"/>
  <c r="AP19" i="13"/>
  <c r="AE19" i="13"/>
  <c r="V19" i="13"/>
  <c r="N19" i="13"/>
  <c r="BI19" i="13"/>
  <c r="AY19" i="13"/>
  <c r="AM19" i="13"/>
  <c r="AD19" i="13"/>
  <c r="U19" i="13"/>
  <c r="M19" i="13"/>
  <c r="BH19" i="13"/>
  <c r="AX19" i="13"/>
  <c r="AL19" i="13"/>
  <c r="AC19" i="13"/>
  <c r="T19" i="13"/>
  <c r="L19" i="13"/>
  <c r="BG19" i="13"/>
  <c r="AU19" i="13"/>
  <c r="AK19" i="13"/>
  <c r="AB19" i="13"/>
  <c r="S19" i="13"/>
  <c r="K19" i="13"/>
  <c r="BF19" i="13"/>
  <c r="AT19" i="13"/>
  <c r="AJ19" i="13"/>
  <c r="AA19" i="13"/>
  <c r="R19" i="13"/>
  <c r="J19" i="13"/>
  <c r="Y19" i="13"/>
  <c r="BC19" i="13"/>
  <c r="Q19" i="13"/>
  <c r="BB19" i="13"/>
  <c r="P19" i="13"/>
  <c r="AS19" i="13"/>
  <c r="I19" i="13"/>
  <c r="Z19" i="13"/>
  <c r="AR19" i="13"/>
  <c r="H19" i="13"/>
  <c r="AH19" i="13"/>
  <c r="AI19" i="13"/>
  <c r="L16" i="14"/>
  <c r="M4" i="14"/>
  <c r="M13" i="14"/>
  <c r="L21" i="13"/>
  <c r="I21" i="13"/>
  <c r="K21" i="13"/>
  <c r="J21" i="13"/>
  <c r="H21" i="13"/>
  <c r="G21" i="13"/>
  <c r="J17" i="13"/>
  <c r="K17" i="13"/>
  <c r="I17" i="13"/>
  <c r="H17" i="13"/>
  <c r="K25" i="13"/>
  <c r="J25" i="13"/>
  <c r="I25" i="13"/>
  <c r="H25" i="13"/>
  <c r="G25" i="13"/>
  <c r="L4" i="13"/>
  <c r="R19" i="14" l="1"/>
  <c r="K19" i="14"/>
  <c r="P20" i="14"/>
  <c r="N19" i="14"/>
  <c r="K20" i="14"/>
  <c r="O19" i="14"/>
  <c r="M19" i="14"/>
  <c r="P19" i="14"/>
  <c r="Q20" i="14"/>
  <c r="H20" i="14"/>
  <c r="H19" i="14"/>
  <c r="N18" i="14"/>
  <c r="O18" i="14"/>
  <c r="H18" i="14"/>
  <c r="Q18" i="14"/>
  <c r="P18" i="14"/>
  <c r="M18" i="14"/>
  <c r="M20" i="14"/>
  <c r="N20" i="14"/>
  <c r="I20" i="14"/>
  <c r="E19" i="14" s="1"/>
  <c r="F19" i="14" s="1"/>
  <c r="J20" i="14"/>
  <c r="L20" i="14"/>
  <c r="D23" i="13"/>
  <c r="E23" i="13" s="1"/>
  <c r="H7" i="13"/>
  <c r="D24" i="13"/>
  <c r="E24" i="13" s="1"/>
  <c r="G7" i="13"/>
  <c r="H10" i="13"/>
  <c r="G10" i="13"/>
  <c r="H9" i="13"/>
  <c r="H8" i="13"/>
  <c r="G9" i="13"/>
  <c r="G8" i="13"/>
  <c r="K7" i="19"/>
  <c r="L6" i="19"/>
  <c r="M6" i="19" s="1"/>
  <c r="D22" i="13"/>
  <c r="E22" i="13" s="1"/>
  <c r="D15" i="13"/>
  <c r="E15" i="13" s="1"/>
  <c r="D14" i="13"/>
  <c r="E14" i="13" s="1"/>
  <c r="D19" i="13"/>
  <c r="E19" i="13" s="1"/>
  <c r="D18" i="13"/>
  <c r="E18" i="13" s="1"/>
  <c r="V7" i="19"/>
  <c r="V8" i="19" s="1"/>
  <c r="D20" i="13"/>
  <c r="E20" i="13" s="1"/>
  <c r="D16" i="13"/>
  <c r="E16" i="13" s="1"/>
  <c r="E15" i="14"/>
  <c r="F15" i="14" s="1"/>
  <c r="J7" i="13"/>
  <c r="C23" i="14"/>
  <c r="B22" i="14"/>
  <c r="I7" i="13"/>
  <c r="L5" i="19"/>
  <c r="M5" i="19" s="1"/>
  <c r="C26" i="14" s="1"/>
  <c r="AM9" i="13"/>
  <c r="BA9" i="13"/>
  <c r="AB9" i="13"/>
  <c r="AE9" i="13"/>
  <c r="AK9" i="13"/>
  <c r="T9" i="13"/>
  <c r="AG9" i="13"/>
  <c r="E16" i="14"/>
  <c r="F16" i="14" s="1"/>
  <c r="AS9" i="13"/>
  <c r="W9" i="13"/>
  <c r="AC9" i="13"/>
  <c r="L9" i="13"/>
  <c r="O9" i="13"/>
  <c r="U9" i="13"/>
  <c r="Z9" i="13"/>
  <c r="AH9" i="13"/>
  <c r="M9" i="13"/>
  <c r="Y9" i="13"/>
  <c r="AO9" i="13"/>
  <c r="BF9" i="13"/>
  <c r="P9" i="13"/>
  <c r="I10" i="13"/>
  <c r="AN9" i="13"/>
  <c r="R9" i="13"/>
  <c r="BH9" i="13"/>
  <c r="I9" i="13"/>
  <c r="AT9" i="13"/>
  <c r="AW9" i="13"/>
  <c r="AY9" i="13"/>
  <c r="BI9" i="13"/>
  <c r="AL9" i="13"/>
  <c r="AQ9" i="13"/>
  <c r="AX9" i="13"/>
  <c r="AD9" i="13"/>
  <c r="AV9" i="13"/>
  <c r="AI9" i="13"/>
  <c r="J9" i="13"/>
  <c r="V9" i="13"/>
  <c r="BB9" i="13"/>
  <c r="AA9" i="13"/>
  <c r="S9" i="13"/>
  <c r="N9" i="13"/>
  <c r="BD9" i="13"/>
  <c r="AP9" i="13"/>
  <c r="BG9" i="13"/>
  <c r="K9" i="13"/>
  <c r="X9" i="13"/>
  <c r="BE9" i="13"/>
  <c r="AZ9" i="13"/>
  <c r="BC9" i="13"/>
  <c r="Q9" i="13"/>
  <c r="AR9" i="13"/>
  <c r="AU9" i="13"/>
  <c r="AF9" i="13"/>
  <c r="AJ9" i="13"/>
  <c r="AW7" i="13"/>
  <c r="AF7" i="13"/>
  <c r="AK7" i="13"/>
  <c r="AS7" i="13"/>
  <c r="AC7" i="13"/>
  <c r="AX8" i="13"/>
  <c r="BG7" i="13"/>
  <c r="R7" i="13"/>
  <c r="AH7" i="13"/>
  <c r="AU7" i="13"/>
  <c r="AM8" i="13"/>
  <c r="AV8" i="13"/>
  <c r="AY8" i="13"/>
  <c r="BD8" i="13"/>
  <c r="AC8" i="13"/>
  <c r="BC8" i="13"/>
  <c r="AB8" i="13"/>
  <c r="T8" i="13"/>
  <c r="BE8" i="13"/>
  <c r="AS8" i="13"/>
  <c r="BB8" i="13"/>
  <c r="BG10" i="13"/>
  <c r="AY10" i="13"/>
  <c r="AQ10" i="13"/>
  <c r="AI10" i="13"/>
  <c r="AA10" i="13"/>
  <c r="S10" i="13"/>
  <c r="T7" i="13"/>
  <c r="Q7" i="13"/>
  <c r="AA8" i="13"/>
  <c r="AK8" i="13"/>
  <c r="AT8" i="13"/>
  <c r="BF10" i="13"/>
  <c r="AX10" i="13"/>
  <c r="AP10" i="13"/>
  <c r="AH10" i="13"/>
  <c r="Z10" i="13"/>
  <c r="R10" i="13"/>
  <c r="BE7" i="13"/>
  <c r="M7" i="13"/>
  <c r="BA7" i="13"/>
  <c r="AA7" i="13"/>
  <c r="N7" i="13"/>
  <c r="V7" i="13"/>
  <c r="BG8" i="13"/>
  <c r="BE10" i="13"/>
  <c r="AW10" i="13"/>
  <c r="AO10" i="13"/>
  <c r="AG10" i="13"/>
  <c r="Y10" i="13"/>
  <c r="Q10" i="13"/>
  <c r="AB7" i="13"/>
  <c r="AO7" i="13"/>
  <c r="AM7" i="13"/>
  <c r="AL8" i="13"/>
  <c r="AJ8" i="13"/>
  <c r="P8" i="13"/>
  <c r="E14" i="14"/>
  <c r="F14" i="14" s="1"/>
  <c r="E18" i="14"/>
  <c r="F18" i="14" s="1"/>
  <c r="BD10" i="13"/>
  <c r="AV10" i="13"/>
  <c r="AN10" i="13"/>
  <c r="AF10" i="13"/>
  <c r="X10" i="13"/>
  <c r="P10" i="13"/>
  <c r="BI7" i="13"/>
  <c r="AD7" i="13"/>
  <c r="W7" i="13"/>
  <c r="AR7" i="13"/>
  <c r="X7" i="13"/>
  <c r="Y7" i="13"/>
  <c r="Z8" i="13"/>
  <c r="AR8" i="13"/>
  <c r="O8" i="13"/>
  <c r="BF8" i="13"/>
  <c r="AQ8" i="13"/>
  <c r="AZ8" i="13"/>
  <c r="BI8" i="13"/>
  <c r="W8" i="13"/>
  <c r="X8" i="13"/>
  <c r="Y8" i="13"/>
  <c r="BC10" i="13"/>
  <c r="AU10" i="13"/>
  <c r="AM10" i="13"/>
  <c r="AE10" i="13"/>
  <c r="W10" i="13"/>
  <c r="O10" i="13"/>
  <c r="BH7" i="13"/>
  <c r="P7" i="13"/>
  <c r="AV7" i="13"/>
  <c r="U7" i="13"/>
  <c r="BB7" i="13"/>
  <c r="AI7" i="13"/>
  <c r="AG7" i="13"/>
  <c r="AP8" i="13"/>
  <c r="BA8" i="13"/>
  <c r="Q8" i="13"/>
  <c r="AH8" i="13"/>
  <c r="R8" i="13"/>
  <c r="BH8" i="13"/>
  <c r="N8" i="13"/>
  <c r="AE8" i="13"/>
  <c r="AF8" i="13"/>
  <c r="AG8" i="13"/>
  <c r="BB10" i="13"/>
  <c r="AT10" i="13"/>
  <c r="AL10" i="13"/>
  <c r="AD10" i="13"/>
  <c r="V10" i="13"/>
  <c r="N10" i="13"/>
  <c r="AT7" i="13"/>
  <c r="AY7" i="13"/>
  <c r="AZ7" i="13"/>
  <c r="O7" i="13"/>
  <c r="AP7" i="13"/>
  <c r="AQ7" i="13"/>
  <c r="S8" i="13"/>
  <c r="M8" i="13"/>
  <c r="V8" i="13"/>
  <c r="AN8" i="13"/>
  <c r="AO8" i="13"/>
  <c r="BI10" i="13"/>
  <c r="BA10" i="13"/>
  <c r="AS10" i="13"/>
  <c r="AK10" i="13"/>
  <c r="AC10" i="13"/>
  <c r="U10" i="13"/>
  <c r="M10" i="13"/>
  <c r="AX7" i="13"/>
  <c r="AJ7" i="13"/>
  <c r="BF7" i="13"/>
  <c r="AE7" i="13"/>
  <c r="AN7" i="13"/>
  <c r="BC7" i="13"/>
  <c r="AI8" i="13"/>
  <c r="L8" i="13"/>
  <c r="U8" i="13"/>
  <c r="AD8" i="13"/>
  <c r="AU8" i="13"/>
  <c r="AW8" i="13"/>
  <c r="BH10" i="13"/>
  <c r="AZ10" i="13"/>
  <c r="AR10" i="13"/>
  <c r="AJ10" i="13"/>
  <c r="AB10" i="13"/>
  <c r="T10" i="13"/>
  <c r="AL7" i="13"/>
  <c r="Z7" i="13"/>
  <c r="S7" i="13"/>
  <c r="BD7" i="13"/>
  <c r="L7" i="13"/>
  <c r="M14" i="14"/>
  <c r="M15" i="14"/>
  <c r="M17" i="14"/>
  <c r="V9" i="19"/>
  <c r="M16" i="14"/>
  <c r="L17" i="13"/>
  <c r="L25" i="13"/>
  <c r="J8" i="13"/>
  <c r="J10" i="13"/>
  <c r="I8" i="13"/>
  <c r="K8" i="13"/>
  <c r="K10" i="13"/>
  <c r="N13" i="14"/>
  <c r="N4" i="14"/>
  <c r="K7" i="13"/>
  <c r="M4" i="13"/>
  <c r="D7" i="13" l="1"/>
  <c r="E7" i="13" s="1"/>
  <c r="E20" i="14"/>
  <c r="F20" i="14" s="1"/>
  <c r="D9" i="13"/>
  <c r="E9" i="13" s="1"/>
  <c r="L7" i="19"/>
  <c r="M7" i="19" s="1"/>
  <c r="K8" i="19"/>
  <c r="D8" i="13"/>
  <c r="E8" i="13" s="1"/>
  <c r="C27" i="14"/>
  <c r="B26" i="14"/>
  <c r="BB22" i="14"/>
  <c r="AT22" i="14"/>
  <c r="BE22" i="14"/>
  <c r="AD22" i="14"/>
  <c r="AI22" i="14"/>
  <c r="AV22" i="14"/>
  <c r="H22" i="14"/>
  <c r="AM22" i="14"/>
  <c r="BF22" i="14"/>
  <c r="AZ22" i="14"/>
  <c r="AQ22" i="14"/>
  <c r="BD22" i="14"/>
  <c r="AR22" i="14"/>
  <c r="AK22" i="14"/>
  <c r="X22" i="14"/>
  <c r="AX22" i="14"/>
  <c r="BH22" i="14"/>
  <c r="BI22" i="14"/>
  <c r="BJ22" i="14"/>
  <c r="AB22" i="14"/>
  <c r="AC22" i="14"/>
  <c r="I22" i="14"/>
  <c r="L22" i="14"/>
  <c r="AY22" i="14"/>
  <c r="T22" i="14"/>
  <c r="M22" i="14"/>
  <c r="AN22" i="14"/>
  <c r="W22" i="14"/>
  <c r="AE22" i="14"/>
  <c r="BG22" i="14"/>
  <c r="K22" i="14"/>
  <c r="AG22" i="14"/>
  <c r="AA22" i="14"/>
  <c r="Z22" i="14"/>
  <c r="AU22" i="14"/>
  <c r="R22" i="14"/>
  <c r="AH22" i="14"/>
  <c r="BA22" i="14"/>
  <c r="J22" i="14"/>
  <c r="P22" i="14"/>
  <c r="AF22" i="14"/>
  <c r="AL22" i="14"/>
  <c r="AS22" i="14"/>
  <c r="AP22" i="14"/>
  <c r="N22" i="14"/>
  <c r="AW22" i="14"/>
  <c r="O22" i="14"/>
  <c r="U22" i="14"/>
  <c r="AJ22" i="14"/>
  <c r="V22" i="14"/>
  <c r="AO22" i="14"/>
  <c r="Q22" i="14"/>
  <c r="BC22" i="14"/>
  <c r="Y22" i="14"/>
  <c r="S22" i="14"/>
  <c r="C24" i="14"/>
  <c r="B23" i="14"/>
  <c r="L10" i="13"/>
  <c r="O4" i="14"/>
  <c r="N14" i="14"/>
  <c r="N16" i="14"/>
  <c r="N15" i="14"/>
  <c r="N17" i="14"/>
  <c r="V10" i="19"/>
  <c r="K9" i="19" l="1"/>
  <c r="L8" i="19"/>
  <c r="M8" i="19" s="1"/>
  <c r="V11" i="19"/>
  <c r="V12" i="19" s="1"/>
  <c r="V13" i="19" s="1"/>
  <c r="V14" i="19" s="1"/>
  <c r="V15" i="19" s="1"/>
  <c r="V16" i="19" s="1"/>
  <c r="V17" i="19" s="1"/>
  <c r="V18" i="19" s="1"/>
  <c r="V19" i="19" s="1"/>
  <c r="V20" i="19" s="1"/>
  <c r="V21" i="19" s="1"/>
  <c r="V22" i="19" s="1"/>
  <c r="V23" i="19" s="1"/>
  <c r="V24" i="19" s="1"/>
  <c r="V25" i="19" s="1"/>
  <c r="V26" i="19" s="1"/>
  <c r="V27" i="19" s="1"/>
  <c r="V28" i="19" s="1"/>
  <c r="V29" i="19" s="1"/>
  <c r="V30" i="19" s="1"/>
  <c r="V31" i="19" s="1"/>
  <c r="V32" i="19" s="1"/>
  <c r="V33" i="19" s="1"/>
  <c r="V34" i="19" s="1"/>
  <c r="V35" i="19" s="1"/>
  <c r="V36" i="19" s="1"/>
  <c r="V37" i="19" s="1"/>
  <c r="V38" i="19" s="1"/>
  <c r="V39" i="19" s="1"/>
  <c r="V40" i="19" s="1"/>
  <c r="V41" i="19" s="1"/>
  <c r="V42" i="19" s="1"/>
  <c r="V43" i="19" s="1"/>
  <c r="V44" i="19" s="1"/>
  <c r="V45" i="19" s="1"/>
  <c r="V46" i="19" s="1"/>
  <c r="V47" i="19" s="1"/>
  <c r="V48" i="19" s="1"/>
  <c r="V49" i="19" s="1"/>
  <c r="V50" i="19" s="1"/>
  <c r="V51" i="19" s="1"/>
  <c r="V52" i="19" s="1"/>
  <c r="V53" i="19" s="1"/>
  <c r="V54" i="19" s="1"/>
  <c r="Y2" i="19"/>
  <c r="C25" i="14"/>
  <c r="B25" i="14" s="1"/>
  <c r="B24" i="14"/>
  <c r="AO26" i="14"/>
  <c r="BJ26" i="14"/>
  <c r="O26" i="14"/>
  <c r="AX26" i="14"/>
  <c r="AK26" i="14"/>
  <c r="S26" i="14"/>
  <c r="AG26" i="14"/>
  <c r="Z26" i="14"/>
  <c r="BD26" i="14"/>
  <c r="AJ26" i="14"/>
  <c r="T26" i="14"/>
  <c r="AC26" i="14"/>
  <c r="AM26" i="14"/>
  <c r="U26" i="14"/>
  <c r="BF26" i="14"/>
  <c r="AF26" i="14"/>
  <c r="H26" i="14"/>
  <c r="Q26" i="14"/>
  <c r="AD26" i="14"/>
  <c r="BE26" i="14"/>
  <c r="M26" i="14"/>
  <c r="L26" i="14"/>
  <c r="AL26" i="14"/>
  <c r="P26" i="14"/>
  <c r="BB26" i="14"/>
  <c r="V26" i="14"/>
  <c r="BG26" i="14"/>
  <c r="W26" i="14"/>
  <c r="AA26" i="14"/>
  <c r="AT26" i="14"/>
  <c r="BA26" i="14"/>
  <c r="AB26" i="14"/>
  <c r="AQ26" i="14"/>
  <c r="K26" i="14"/>
  <c r="J26" i="14"/>
  <c r="AZ26" i="14"/>
  <c r="AS26" i="14"/>
  <c r="AV26" i="14"/>
  <c r="I26" i="14"/>
  <c r="AU26" i="14"/>
  <c r="AW26" i="14"/>
  <c r="AH26" i="14"/>
  <c r="BC26" i="14"/>
  <c r="AI26" i="14"/>
  <c r="R26" i="14"/>
  <c r="N26" i="14"/>
  <c r="X26" i="14"/>
  <c r="BH26" i="14"/>
  <c r="BI26" i="14"/>
  <c r="AE26" i="14"/>
  <c r="AN26" i="14"/>
  <c r="AY26" i="14"/>
  <c r="Y26" i="14"/>
  <c r="AR26" i="14"/>
  <c r="AP26" i="14"/>
  <c r="C28" i="14"/>
  <c r="B27" i="14"/>
  <c r="U23" i="14"/>
  <c r="BC23" i="14"/>
  <c r="V23" i="14"/>
  <c r="AH23" i="14"/>
  <c r="AO23" i="14"/>
  <c r="BG23" i="14"/>
  <c r="N23" i="14"/>
  <c r="AY23" i="14"/>
  <c r="AG23" i="14"/>
  <c r="X23" i="14"/>
  <c r="BA23" i="14"/>
  <c r="AU23" i="14"/>
  <c r="J23" i="14"/>
  <c r="AI23" i="14"/>
  <c r="W23" i="14"/>
  <c r="AJ23" i="14"/>
  <c r="AP23" i="14"/>
  <c r="BB23" i="14"/>
  <c r="T23" i="14"/>
  <c r="AB23" i="14"/>
  <c r="O23" i="14"/>
  <c r="BE23" i="14"/>
  <c r="AF23" i="14"/>
  <c r="BI23" i="14"/>
  <c r="AE23" i="14"/>
  <c r="H23" i="14"/>
  <c r="R23" i="14"/>
  <c r="Q23" i="14"/>
  <c r="AR23" i="14"/>
  <c r="AX23" i="14"/>
  <c r="AD23" i="14"/>
  <c r="AM23" i="14"/>
  <c r="Z23" i="14"/>
  <c r="AT23" i="14"/>
  <c r="AZ23" i="14"/>
  <c r="AN23" i="14"/>
  <c r="Y23" i="14"/>
  <c r="AW23" i="14"/>
  <c r="P23" i="14"/>
  <c r="L23" i="14"/>
  <c r="AC23" i="14"/>
  <c r="BD23" i="14"/>
  <c r="AL23" i="14"/>
  <c r="K23" i="14"/>
  <c r="AV23" i="14"/>
  <c r="AS23" i="14"/>
  <c r="I23" i="14"/>
  <c r="AK23" i="14"/>
  <c r="AA23" i="14"/>
  <c r="BJ23" i="14"/>
  <c r="M23" i="14"/>
  <c r="AQ23" i="14"/>
  <c r="BH23" i="14"/>
  <c r="BF23" i="14"/>
  <c r="S23" i="14"/>
  <c r="P4" i="14"/>
  <c r="O14" i="14"/>
  <c r="O16" i="14"/>
  <c r="O15" i="14"/>
  <c r="O17" i="14"/>
  <c r="K10" i="19" l="1"/>
  <c r="L9" i="19"/>
  <c r="M9" i="19" s="1"/>
  <c r="V27" i="14"/>
  <c r="O27" i="14"/>
  <c r="N27" i="14"/>
  <c r="AR27" i="14"/>
  <c r="BD27" i="14"/>
  <c r="AV27" i="14"/>
  <c r="BG27" i="14"/>
  <c r="W27" i="14"/>
  <c r="BC27" i="14"/>
  <c r="AU27" i="14"/>
  <c r="BB27" i="14"/>
  <c r="AG27" i="14"/>
  <c r="L27" i="14"/>
  <c r="AP27" i="14"/>
  <c r="AW27" i="14"/>
  <c r="AY27" i="14"/>
  <c r="P27" i="14"/>
  <c r="K27" i="14"/>
  <c r="Y27" i="14"/>
  <c r="AD27" i="14"/>
  <c r="T27" i="14"/>
  <c r="AC27" i="14"/>
  <c r="AK27" i="14"/>
  <c r="AL27" i="14"/>
  <c r="AT27" i="14"/>
  <c r="BJ27" i="14"/>
  <c r="AS27" i="14"/>
  <c r="BA27" i="14"/>
  <c r="AZ27" i="14"/>
  <c r="AF27" i="14"/>
  <c r="AN27" i="14"/>
  <c r="BF27" i="14"/>
  <c r="AO27" i="14"/>
  <c r="S27" i="14"/>
  <c r="AX27" i="14"/>
  <c r="AH27" i="14"/>
  <c r="Z27" i="14"/>
  <c r="AB27" i="14"/>
  <c r="AI27" i="14"/>
  <c r="Q27" i="14"/>
  <c r="H27" i="14"/>
  <c r="J27" i="14"/>
  <c r="AJ27" i="14"/>
  <c r="U27" i="14"/>
  <c r="M27" i="14"/>
  <c r="BH27" i="14"/>
  <c r="I27" i="14"/>
  <c r="AM27" i="14"/>
  <c r="X27" i="14"/>
  <c r="AQ27" i="14"/>
  <c r="AA27" i="14"/>
  <c r="AE27" i="14"/>
  <c r="BI27" i="14"/>
  <c r="BE27" i="14"/>
  <c r="R27" i="14"/>
  <c r="AJ24" i="14"/>
  <c r="Y24" i="14"/>
  <c r="AM24" i="14"/>
  <c r="AF24" i="14"/>
  <c r="BH24" i="14"/>
  <c r="R24" i="14"/>
  <c r="W24" i="14"/>
  <c r="AH24" i="14"/>
  <c r="Q24" i="14"/>
  <c r="BB24" i="14"/>
  <c r="BA24" i="14"/>
  <c r="AN24" i="14"/>
  <c r="M24" i="14"/>
  <c r="AQ24" i="14"/>
  <c r="BJ24" i="14"/>
  <c r="AE24" i="14"/>
  <c r="BG24" i="14"/>
  <c r="O24" i="14"/>
  <c r="BI24" i="14"/>
  <c r="AI24" i="14"/>
  <c r="T24" i="14"/>
  <c r="L24" i="14"/>
  <c r="AP24" i="14"/>
  <c r="AO24" i="14"/>
  <c r="AL24" i="14"/>
  <c r="BD24" i="14"/>
  <c r="AS24" i="14"/>
  <c r="J24" i="14"/>
  <c r="AK24" i="14"/>
  <c r="S24" i="14"/>
  <c r="AY24" i="14"/>
  <c r="AT24" i="14"/>
  <c r="AD24" i="14"/>
  <c r="AZ24" i="14"/>
  <c r="AC24" i="14"/>
  <c r="BF24" i="14"/>
  <c r="X24" i="14"/>
  <c r="H24" i="14"/>
  <c r="AA24" i="14"/>
  <c r="Z24" i="14"/>
  <c r="AW24" i="14"/>
  <c r="AR24" i="14"/>
  <c r="AV24" i="14"/>
  <c r="U24" i="14"/>
  <c r="BE24" i="14"/>
  <c r="K24" i="14"/>
  <c r="P24" i="14"/>
  <c r="AU24" i="14"/>
  <c r="AG24" i="14"/>
  <c r="AX24" i="14"/>
  <c r="I24" i="14"/>
  <c r="E23" i="14" s="1"/>
  <c r="F23" i="14" s="1"/>
  <c r="V24" i="14"/>
  <c r="N24" i="14"/>
  <c r="BC24" i="14"/>
  <c r="AB24" i="14"/>
  <c r="K25" i="14"/>
  <c r="AN25" i="14"/>
  <c r="M25" i="14"/>
  <c r="AU25" i="14"/>
  <c r="H25" i="14"/>
  <c r="AS25" i="14"/>
  <c r="AX25" i="14"/>
  <c r="BJ25" i="14"/>
  <c r="AD25" i="14"/>
  <c r="AG25" i="14"/>
  <c r="U25" i="14"/>
  <c r="P25" i="14"/>
  <c r="AI25" i="14"/>
  <c r="J25" i="14"/>
  <c r="BG25" i="14"/>
  <c r="BF25" i="14"/>
  <c r="AF25" i="14"/>
  <c r="AC25" i="14"/>
  <c r="AH25" i="14"/>
  <c r="AA25" i="14"/>
  <c r="S25" i="14"/>
  <c r="AL25" i="14"/>
  <c r="BA25" i="14"/>
  <c r="N25" i="14"/>
  <c r="V25" i="14"/>
  <c r="AT25" i="14"/>
  <c r="Z25" i="14"/>
  <c r="AP25" i="14"/>
  <c r="AZ25" i="14"/>
  <c r="AR25" i="14"/>
  <c r="BE25" i="14"/>
  <c r="T25" i="14"/>
  <c r="Y25" i="14"/>
  <c r="AY25" i="14"/>
  <c r="I25" i="14"/>
  <c r="O25" i="14"/>
  <c r="BD25" i="14"/>
  <c r="AO25" i="14"/>
  <c r="AQ25" i="14"/>
  <c r="Q25" i="14"/>
  <c r="R25" i="14"/>
  <c r="AJ25" i="14"/>
  <c r="AW25" i="14"/>
  <c r="BC25" i="14"/>
  <c r="L25" i="14"/>
  <c r="AK25" i="14"/>
  <c r="AE25" i="14"/>
  <c r="BB25" i="14"/>
  <c r="AM25" i="14"/>
  <c r="BI25" i="14"/>
  <c r="AB25" i="14"/>
  <c r="AV25" i="14"/>
  <c r="BH25" i="14"/>
  <c r="W25" i="14"/>
  <c r="X25" i="14"/>
  <c r="C29" i="14"/>
  <c r="B29" i="14" s="1"/>
  <c r="B28" i="14"/>
  <c r="E22" i="14"/>
  <c r="F22" i="14" s="1"/>
  <c r="Q4" i="14"/>
  <c r="P14" i="14"/>
  <c r="P16" i="14"/>
  <c r="P15" i="14"/>
  <c r="P17" i="14"/>
  <c r="K11" i="19" l="1"/>
  <c r="L10" i="19"/>
  <c r="M10" i="19" s="1"/>
  <c r="E26" i="14"/>
  <c r="F26" i="14" s="1"/>
  <c r="AO28" i="14"/>
  <c r="AD28" i="14"/>
  <c r="U28" i="14"/>
  <c r="AA28" i="14"/>
  <c r="P28" i="14"/>
  <c r="AW28" i="14"/>
  <c r="AQ28" i="14"/>
  <c r="Y28" i="14"/>
  <c r="K28" i="14"/>
  <c r="BE28" i="14"/>
  <c r="AS28" i="14"/>
  <c r="AB28" i="14"/>
  <c r="AX28" i="14"/>
  <c r="H28" i="14"/>
  <c r="W28" i="14"/>
  <c r="I28" i="14"/>
  <c r="AI28" i="14"/>
  <c r="L28" i="14"/>
  <c r="BA28" i="14"/>
  <c r="J28" i="14"/>
  <c r="BF28" i="14"/>
  <c r="AN28" i="14"/>
  <c r="N28" i="14"/>
  <c r="O28" i="14"/>
  <c r="AU28" i="14"/>
  <c r="BH28" i="14"/>
  <c r="AY28" i="14"/>
  <c r="AL28" i="14"/>
  <c r="S28" i="14"/>
  <c r="AF28" i="14"/>
  <c r="R28" i="14"/>
  <c r="AG28" i="14"/>
  <c r="T28" i="14"/>
  <c r="AJ28" i="14"/>
  <c r="BI28" i="14"/>
  <c r="AC28" i="14"/>
  <c r="Z28" i="14"/>
  <c r="M28" i="14"/>
  <c r="AH28" i="14"/>
  <c r="AE28" i="14"/>
  <c r="BD28" i="14"/>
  <c r="AR28" i="14"/>
  <c r="BC28" i="14"/>
  <c r="BG28" i="14"/>
  <c r="AT28" i="14"/>
  <c r="AK28" i="14"/>
  <c r="Q28" i="14"/>
  <c r="AP28" i="14"/>
  <c r="BB28" i="14"/>
  <c r="V28" i="14"/>
  <c r="AZ28" i="14"/>
  <c r="X28" i="14"/>
  <c r="AM28" i="14"/>
  <c r="AV28" i="14"/>
  <c r="BJ28" i="14"/>
  <c r="BG29" i="14"/>
  <c r="AF29" i="14"/>
  <c r="L29" i="14"/>
  <c r="M29" i="14"/>
  <c r="AK29" i="14"/>
  <c r="BD29" i="14"/>
  <c r="Y29" i="14"/>
  <c r="AV29" i="14"/>
  <c r="AG29" i="14"/>
  <c r="O29" i="14"/>
  <c r="AT29" i="14"/>
  <c r="BE29" i="14"/>
  <c r="AD29" i="14"/>
  <c r="AH29" i="14"/>
  <c r="AS29" i="14"/>
  <c r="AA29" i="14"/>
  <c r="BB29" i="14"/>
  <c r="AU29" i="14"/>
  <c r="AB29" i="14"/>
  <c r="AM29" i="14"/>
  <c r="AN29" i="14"/>
  <c r="R29" i="14"/>
  <c r="BC29" i="14"/>
  <c r="AX29" i="14"/>
  <c r="AR29" i="14"/>
  <c r="W29" i="14"/>
  <c r="AP29" i="14"/>
  <c r="K29" i="14"/>
  <c r="S29" i="14"/>
  <c r="J29" i="14"/>
  <c r="AL29" i="14"/>
  <c r="T29" i="14"/>
  <c r="I29" i="14"/>
  <c r="BJ29" i="14"/>
  <c r="Q29" i="14"/>
  <c r="AY29" i="14"/>
  <c r="AC29" i="14"/>
  <c r="AW29" i="14"/>
  <c r="AQ29" i="14"/>
  <c r="BH29" i="14"/>
  <c r="X29" i="14"/>
  <c r="AE29" i="14"/>
  <c r="H29" i="14"/>
  <c r="P29" i="14"/>
  <c r="N29" i="14"/>
  <c r="BI29" i="14"/>
  <c r="U29" i="14"/>
  <c r="BA29" i="14"/>
  <c r="AO29" i="14"/>
  <c r="AI29" i="14"/>
  <c r="BF29" i="14"/>
  <c r="Z29" i="14"/>
  <c r="AJ29" i="14"/>
  <c r="AZ29" i="14"/>
  <c r="V29" i="14"/>
  <c r="E24" i="14"/>
  <c r="F24" i="14" s="1"/>
  <c r="R4" i="14"/>
  <c r="Q14" i="14"/>
  <c r="Q17" i="14"/>
  <c r="Q15" i="14"/>
  <c r="Q16" i="14"/>
  <c r="K12" i="19" l="1"/>
  <c r="L11" i="19"/>
  <c r="M11" i="19" s="1"/>
  <c r="E28" i="14"/>
  <c r="F28" i="14" s="1"/>
  <c r="E27" i="14"/>
  <c r="F27" i="14" s="1"/>
  <c r="S4" i="14"/>
  <c r="R14" i="14"/>
  <c r="R15" i="14"/>
  <c r="R17" i="14"/>
  <c r="R16" i="14"/>
  <c r="K13" i="19" l="1"/>
  <c r="L12" i="19"/>
  <c r="M12" i="19" s="1"/>
  <c r="T4" i="14"/>
  <c r="S14" i="14"/>
  <c r="S16" i="14"/>
  <c r="S17" i="14"/>
  <c r="S15" i="14"/>
  <c r="K14" i="19" l="1"/>
  <c r="L13" i="19"/>
  <c r="M13" i="19" s="1"/>
  <c r="U4" i="14"/>
  <c r="T14" i="14"/>
  <c r="T15" i="14"/>
  <c r="T17" i="14"/>
  <c r="T16" i="14"/>
  <c r="K15" i="19" l="1"/>
  <c r="L14" i="19"/>
  <c r="M14" i="19" s="1"/>
  <c r="V4" i="14"/>
  <c r="U14" i="14"/>
  <c r="U17" i="14"/>
  <c r="U15" i="14"/>
  <c r="U16" i="14"/>
  <c r="K16" i="19" l="1"/>
  <c r="L15" i="19"/>
  <c r="M15" i="19" s="1"/>
  <c r="W4" i="14"/>
  <c r="V14" i="14"/>
  <c r="V16" i="14"/>
  <c r="V15" i="14"/>
  <c r="V17" i="14"/>
  <c r="K17" i="19" l="1"/>
  <c r="L16" i="19"/>
  <c r="M16" i="19" s="1"/>
  <c r="X4" i="14"/>
  <c r="W14" i="14"/>
  <c r="W16" i="14"/>
  <c r="W17" i="14"/>
  <c r="W15" i="14"/>
  <c r="K18" i="19" l="1"/>
  <c r="L17" i="19"/>
  <c r="M17" i="19" s="1"/>
  <c r="Y4" i="14"/>
  <c r="X14" i="14"/>
  <c r="X16" i="14"/>
  <c r="X15" i="14"/>
  <c r="X17" i="14"/>
  <c r="K19" i="19" l="1"/>
  <c r="L18" i="19"/>
  <c r="M18" i="19" s="1"/>
  <c r="Z4" i="14"/>
  <c r="Y14" i="14"/>
  <c r="Y16" i="14"/>
  <c r="Y17" i="14"/>
  <c r="Y15" i="14"/>
  <c r="K20" i="19" l="1"/>
  <c r="L19" i="19"/>
  <c r="M19" i="19" s="1"/>
  <c r="AA4" i="14"/>
  <c r="Z14" i="14"/>
  <c r="Z17" i="14"/>
  <c r="Z16" i="14"/>
  <c r="Z15" i="14"/>
  <c r="K21" i="19" l="1"/>
  <c r="L20" i="19"/>
  <c r="M20" i="19" s="1"/>
  <c r="AB4" i="14"/>
  <c r="AA14" i="14"/>
  <c r="AA15" i="14"/>
  <c r="AA17" i="14"/>
  <c r="AA16" i="14"/>
  <c r="K22" i="19" l="1"/>
  <c r="L21" i="19"/>
  <c r="M21" i="19" s="1"/>
  <c r="AC4" i="14"/>
  <c r="AB14" i="14"/>
  <c r="AB15" i="14"/>
  <c r="AB17" i="14"/>
  <c r="AB16" i="14"/>
  <c r="K23" i="19" l="1"/>
  <c r="L23" i="19" s="1"/>
  <c r="M23" i="19" s="1"/>
  <c r="L22" i="19"/>
  <c r="M22" i="19" s="1"/>
  <c r="C94" i="14" s="1"/>
  <c r="C90" i="14"/>
  <c r="C66" i="14"/>
  <c r="C78" i="14"/>
  <c r="C58" i="14"/>
  <c r="AD4" i="14"/>
  <c r="AC14" i="14"/>
  <c r="AC17" i="14"/>
  <c r="AC15" i="14"/>
  <c r="AC16" i="14"/>
  <c r="C59" i="14" l="1"/>
  <c r="B58" i="14"/>
  <c r="C79" i="14"/>
  <c r="B78" i="14"/>
  <c r="C67" i="14"/>
  <c r="B66" i="14"/>
  <c r="C86" i="14"/>
  <c r="C74" i="14"/>
  <c r="C82" i="14"/>
  <c r="C91" i="14"/>
  <c r="B90" i="14"/>
  <c r="C95" i="14"/>
  <c r="B94" i="14"/>
  <c r="AE4" i="14"/>
  <c r="AD14" i="14"/>
  <c r="AD16" i="14"/>
  <c r="AD15" i="14"/>
  <c r="AD17" i="14"/>
  <c r="C83" i="14" l="1"/>
  <c r="B82" i="14"/>
  <c r="C75" i="14"/>
  <c r="B74" i="14"/>
  <c r="C80" i="14"/>
  <c r="B79" i="14"/>
  <c r="C92" i="14"/>
  <c r="B91" i="14"/>
  <c r="C87" i="14"/>
  <c r="B86" i="14"/>
  <c r="BF78" i="14"/>
  <c r="BB78" i="14"/>
  <c r="AO78" i="14"/>
  <c r="AM78" i="14"/>
  <c r="BI78" i="14"/>
  <c r="H78" i="14"/>
  <c r="BA78" i="14"/>
  <c r="AB78" i="14"/>
  <c r="AX78" i="14"/>
  <c r="V78" i="14"/>
  <c r="U78" i="14"/>
  <c r="AU78" i="14"/>
  <c r="AH78" i="14"/>
  <c r="AL78" i="14"/>
  <c r="O78" i="14"/>
  <c r="K78" i="14"/>
  <c r="AT78" i="14"/>
  <c r="BG78" i="14"/>
  <c r="I78" i="14"/>
  <c r="Q78" i="14"/>
  <c r="AQ78" i="14"/>
  <c r="AG78" i="14"/>
  <c r="AI78" i="14"/>
  <c r="J78" i="14"/>
  <c r="AC78" i="14"/>
  <c r="AR78" i="14"/>
  <c r="T78" i="14"/>
  <c r="Y78" i="14"/>
  <c r="BD78" i="14"/>
  <c r="AS78" i="14"/>
  <c r="N78" i="14"/>
  <c r="X78" i="14"/>
  <c r="AV78" i="14"/>
  <c r="W78" i="14"/>
  <c r="P78" i="14"/>
  <c r="S78" i="14"/>
  <c r="AF78" i="14"/>
  <c r="AN78" i="14"/>
  <c r="L78" i="14"/>
  <c r="AE78" i="14"/>
  <c r="BC78" i="14"/>
  <c r="AW78" i="14"/>
  <c r="M78" i="14"/>
  <c r="AD78" i="14"/>
  <c r="AP78" i="14"/>
  <c r="BE78" i="14"/>
  <c r="AJ78" i="14"/>
  <c r="AZ78" i="14"/>
  <c r="Z78" i="14"/>
  <c r="R78" i="14"/>
  <c r="AA78" i="14"/>
  <c r="AY78" i="14"/>
  <c r="BJ78" i="14"/>
  <c r="AK78" i="14"/>
  <c r="BH78" i="14"/>
  <c r="M58" i="14"/>
  <c r="AG58" i="14"/>
  <c r="AA58" i="14"/>
  <c r="AZ58" i="14"/>
  <c r="S58" i="14"/>
  <c r="BI58" i="14"/>
  <c r="H58" i="14"/>
  <c r="AU58" i="14"/>
  <c r="AV58" i="14"/>
  <c r="AM58" i="14"/>
  <c r="BE58" i="14"/>
  <c r="W58" i="14"/>
  <c r="AD58" i="14"/>
  <c r="J58" i="14"/>
  <c r="AI58" i="14"/>
  <c r="BH58" i="14"/>
  <c r="U58" i="14"/>
  <c r="Z58" i="14"/>
  <c r="AW58" i="14"/>
  <c r="BJ58" i="14"/>
  <c r="N58" i="14"/>
  <c r="BC58" i="14"/>
  <c r="AC58" i="14"/>
  <c r="L58" i="14"/>
  <c r="AL58" i="14"/>
  <c r="BG58" i="14"/>
  <c r="Q58" i="14"/>
  <c r="AS58" i="14"/>
  <c r="AK58" i="14"/>
  <c r="AH58" i="14"/>
  <c r="BD58" i="14"/>
  <c r="O58" i="14"/>
  <c r="AN58" i="14"/>
  <c r="AQ58" i="14"/>
  <c r="Y58" i="14"/>
  <c r="AB58" i="14"/>
  <c r="AT58" i="14"/>
  <c r="I58" i="14"/>
  <c r="AR58" i="14"/>
  <c r="P58" i="14"/>
  <c r="X58" i="14"/>
  <c r="AX58" i="14"/>
  <c r="R58" i="14"/>
  <c r="AP58" i="14"/>
  <c r="AY58" i="14"/>
  <c r="K58" i="14"/>
  <c r="AF58" i="14"/>
  <c r="BF58" i="14"/>
  <c r="V58" i="14"/>
  <c r="T58" i="14"/>
  <c r="BA58" i="14"/>
  <c r="AE58" i="14"/>
  <c r="AJ58" i="14"/>
  <c r="BB58" i="14"/>
  <c r="AO58" i="14"/>
  <c r="R90" i="14"/>
  <c r="AL90" i="14"/>
  <c r="AV90" i="14"/>
  <c r="Y90" i="14"/>
  <c r="BA90" i="14"/>
  <c r="AE90" i="14"/>
  <c r="N90" i="14"/>
  <c r="AU90" i="14"/>
  <c r="L90" i="14"/>
  <c r="AO90" i="14"/>
  <c r="AR90" i="14"/>
  <c r="AS90" i="14"/>
  <c r="AZ90" i="14"/>
  <c r="M90" i="14"/>
  <c r="U90" i="14"/>
  <c r="S90" i="14"/>
  <c r="AI90" i="14"/>
  <c r="AB90" i="14"/>
  <c r="AH90" i="14"/>
  <c r="Z90" i="14"/>
  <c r="BF90" i="14"/>
  <c r="AY90" i="14"/>
  <c r="K90" i="14"/>
  <c r="BC90" i="14"/>
  <c r="J90" i="14"/>
  <c r="H90" i="14"/>
  <c r="T90" i="14"/>
  <c r="Q90" i="14"/>
  <c r="BB90" i="14"/>
  <c r="BI90" i="14"/>
  <c r="BH90" i="14"/>
  <c r="AW90" i="14"/>
  <c r="AC90" i="14"/>
  <c r="BJ90" i="14"/>
  <c r="AG90" i="14"/>
  <c r="AJ90" i="14"/>
  <c r="O90" i="14"/>
  <c r="AT90" i="14"/>
  <c r="AQ90" i="14"/>
  <c r="BE90" i="14"/>
  <c r="AX90" i="14"/>
  <c r="P90" i="14"/>
  <c r="AF90" i="14"/>
  <c r="AA90" i="14"/>
  <c r="X90" i="14"/>
  <c r="I90" i="14"/>
  <c r="AM90" i="14"/>
  <c r="W90" i="14"/>
  <c r="AN90" i="14"/>
  <c r="AP90" i="14"/>
  <c r="AK90" i="14"/>
  <c r="AD90" i="14"/>
  <c r="BG90" i="14"/>
  <c r="V90" i="14"/>
  <c r="BD90" i="14"/>
  <c r="C98" i="14"/>
  <c r="C30" i="14"/>
  <c r="C38" i="14"/>
  <c r="C42" i="14"/>
  <c r="C34" i="14"/>
  <c r="C54" i="14"/>
  <c r="C46" i="14"/>
  <c r="C50" i="14"/>
  <c r="C70" i="14"/>
  <c r="C62" i="14"/>
  <c r="AL66" i="14"/>
  <c r="BF66" i="14"/>
  <c r="BJ66" i="14"/>
  <c r="W66" i="14"/>
  <c r="BG66" i="14"/>
  <c r="AV66" i="14"/>
  <c r="K66" i="14"/>
  <c r="BI66" i="14"/>
  <c r="I66" i="14"/>
  <c r="AD66" i="14"/>
  <c r="T66" i="14"/>
  <c r="AI66" i="14"/>
  <c r="AB66" i="14"/>
  <c r="R66" i="14"/>
  <c r="H66" i="14"/>
  <c r="U66" i="14"/>
  <c r="BB66" i="14"/>
  <c r="AZ66" i="14"/>
  <c r="O66" i="14"/>
  <c r="BE66" i="14"/>
  <c r="Y66" i="14"/>
  <c r="BA66" i="14"/>
  <c r="BD66" i="14"/>
  <c r="AU66" i="14"/>
  <c r="AO66" i="14"/>
  <c r="AG66" i="14"/>
  <c r="Z66" i="14"/>
  <c r="V66" i="14"/>
  <c r="AY66" i="14"/>
  <c r="BH66" i="14"/>
  <c r="AW66" i="14"/>
  <c r="AS66" i="14"/>
  <c r="AM66" i="14"/>
  <c r="N66" i="14"/>
  <c r="AF66" i="14"/>
  <c r="AC66" i="14"/>
  <c r="AR66" i="14"/>
  <c r="AT66" i="14"/>
  <c r="AE66" i="14"/>
  <c r="AN66" i="14"/>
  <c r="Q66" i="14"/>
  <c r="AX66" i="14"/>
  <c r="S66" i="14"/>
  <c r="M66" i="14"/>
  <c r="P66" i="14"/>
  <c r="AH66" i="14"/>
  <c r="L66" i="14"/>
  <c r="AP66" i="14"/>
  <c r="J66" i="14"/>
  <c r="AA66" i="14"/>
  <c r="BC66" i="14"/>
  <c r="AK66" i="14"/>
  <c r="AJ66" i="14"/>
  <c r="AQ66" i="14"/>
  <c r="X66" i="14"/>
  <c r="C60" i="14"/>
  <c r="B59" i="14"/>
  <c r="Q94" i="14"/>
  <c r="W94" i="14"/>
  <c r="X94" i="14"/>
  <c r="AT94" i="14"/>
  <c r="AX94" i="14"/>
  <c r="AK94" i="14"/>
  <c r="AS94" i="14"/>
  <c r="AG94" i="14"/>
  <c r="V94" i="14"/>
  <c r="AI94" i="14"/>
  <c r="AO94" i="14"/>
  <c r="BD94" i="14"/>
  <c r="AL94" i="14"/>
  <c r="L94" i="14"/>
  <c r="K94" i="14"/>
  <c r="Z94" i="14"/>
  <c r="BI94" i="14"/>
  <c r="BA94" i="14"/>
  <c r="BG94" i="14"/>
  <c r="O94" i="14"/>
  <c r="I94" i="14"/>
  <c r="AB94" i="14"/>
  <c r="BJ94" i="14"/>
  <c r="AN94" i="14"/>
  <c r="AM94" i="14"/>
  <c r="AE94" i="14"/>
  <c r="P94" i="14"/>
  <c r="AF94" i="14"/>
  <c r="AP94" i="14"/>
  <c r="AA94" i="14"/>
  <c r="T94" i="14"/>
  <c r="M94" i="14"/>
  <c r="N94" i="14"/>
  <c r="AD94" i="14"/>
  <c r="BE94" i="14"/>
  <c r="AQ94" i="14"/>
  <c r="R94" i="14"/>
  <c r="AU94" i="14"/>
  <c r="BF94" i="14"/>
  <c r="S94" i="14"/>
  <c r="BB94" i="14"/>
  <c r="AY94" i="14"/>
  <c r="AC94" i="14"/>
  <c r="AW94" i="14"/>
  <c r="U94" i="14"/>
  <c r="AV94" i="14"/>
  <c r="H94" i="14"/>
  <c r="BC94" i="14"/>
  <c r="AH94" i="14"/>
  <c r="AZ94" i="14"/>
  <c r="AJ94" i="14"/>
  <c r="AR94" i="14"/>
  <c r="BH94" i="14"/>
  <c r="Y94" i="14"/>
  <c r="J94" i="14"/>
  <c r="C96" i="14"/>
  <c r="B95" i="14"/>
  <c r="C68" i="14"/>
  <c r="B67" i="14"/>
  <c r="AF4" i="14"/>
  <c r="AE14" i="14"/>
  <c r="AE15" i="14"/>
  <c r="AE16" i="14"/>
  <c r="AE17" i="14"/>
  <c r="C69" i="14" l="1"/>
  <c r="B69" i="14" s="1"/>
  <c r="B68" i="14"/>
  <c r="C55" i="14"/>
  <c r="B54" i="14"/>
  <c r="AF67" i="14"/>
  <c r="AG67" i="14"/>
  <c r="AE67" i="14"/>
  <c r="I67" i="14"/>
  <c r="Z67" i="14"/>
  <c r="BC67" i="14"/>
  <c r="AZ67" i="14"/>
  <c r="BA67" i="14"/>
  <c r="K67" i="14"/>
  <c r="V67" i="14"/>
  <c r="AL67" i="14"/>
  <c r="AK67" i="14"/>
  <c r="AR67" i="14"/>
  <c r="H67" i="14"/>
  <c r="T67" i="14"/>
  <c r="BE67" i="14"/>
  <c r="P67" i="14"/>
  <c r="AU67" i="14"/>
  <c r="X67" i="14"/>
  <c r="L67" i="14"/>
  <c r="R67" i="14"/>
  <c r="BB67" i="14"/>
  <c r="AN67" i="14"/>
  <c r="M67" i="14"/>
  <c r="AC67" i="14"/>
  <c r="AB67" i="14"/>
  <c r="AY67" i="14"/>
  <c r="AO67" i="14"/>
  <c r="U67" i="14"/>
  <c r="AT67" i="14"/>
  <c r="S67" i="14"/>
  <c r="O67" i="14"/>
  <c r="BG67" i="14"/>
  <c r="BH67" i="14"/>
  <c r="AW67" i="14"/>
  <c r="AV67" i="14"/>
  <c r="N67" i="14"/>
  <c r="W67" i="14"/>
  <c r="AX67" i="14"/>
  <c r="BD67" i="14"/>
  <c r="AM67" i="14"/>
  <c r="Y67" i="14"/>
  <c r="AA67" i="14"/>
  <c r="AP67" i="14"/>
  <c r="AJ67" i="14"/>
  <c r="AI67" i="14"/>
  <c r="AD67" i="14"/>
  <c r="BF67" i="14"/>
  <c r="J67" i="14"/>
  <c r="BJ67" i="14"/>
  <c r="AQ67" i="14"/>
  <c r="Q67" i="14"/>
  <c r="AH67" i="14"/>
  <c r="BI67" i="14"/>
  <c r="AS67" i="14"/>
  <c r="AE95" i="14"/>
  <c r="J95" i="14"/>
  <c r="P95" i="14"/>
  <c r="BF95" i="14"/>
  <c r="O95" i="14"/>
  <c r="AL95" i="14"/>
  <c r="U95" i="14"/>
  <c r="W95" i="14"/>
  <c r="AK95" i="14"/>
  <c r="R95" i="14"/>
  <c r="AV95" i="14"/>
  <c r="S95" i="14"/>
  <c r="N95" i="14"/>
  <c r="AQ95" i="14"/>
  <c r="BJ95" i="14"/>
  <c r="AN95" i="14"/>
  <c r="Z95" i="14"/>
  <c r="L95" i="14"/>
  <c r="AJ95" i="14"/>
  <c r="AW95" i="14"/>
  <c r="AO95" i="14"/>
  <c r="AS95" i="14"/>
  <c r="Q95" i="14"/>
  <c r="BC95" i="14"/>
  <c r="AI95" i="14"/>
  <c r="BA95" i="14"/>
  <c r="AD95" i="14"/>
  <c r="BD95" i="14"/>
  <c r="BE95" i="14"/>
  <c r="AP95" i="14"/>
  <c r="AT95" i="14"/>
  <c r="X95" i="14"/>
  <c r="I95" i="14"/>
  <c r="BH95" i="14"/>
  <c r="T95" i="14"/>
  <c r="AF95" i="14"/>
  <c r="Y95" i="14"/>
  <c r="V95" i="14"/>
  <c r="H95" i="14"/>
  <c r="BG95" i="14"/>
  <c r="AG95" i="14"/>
  <c r="AB95" i="14"/>
  <c r="AZ95" i="14"/>
  <c r="BI95" i="14"/>
  <c r="AU95" i="14"/>
  <c r="AX95" i="14"/>
  <c r="AH95" i="14"/>
  <c r="AC95" i="14"/>
  <c r="K95" i="14"/>
  <c r="M95" i="14"/>
  <c r="AM95" i="14"/>
  <c r="AY95" i="14"/>
  <c r="BB95" i="14"/>
  <c r="AR95" i="14"/>
  <c r="AA95" i="14"/>
  <c r="C35" i="14"/>
  <c r="B34" i="14"/>
  <c r="AD79" i="14"/>
  <c r="Y79" i="14"/>
  <c r="AP79" i="14"/>
  <c r="AG79" i="14"/>
  <c r="T79" i="14"/>
  <c r="K79" i="14"/>
  <c r="AV79" i="14"/>
  <c r="L79" i="14"/>
  <c r="AM79" i="14"/>
  <c r="AU79" i="14"/>
  <c r="H79" i="14"/>
  <c r="AX79" i="14"/>
  <c r="AL79" i="14"/>
  <c r="S79" i="14"/>
  <c r="AZ79" i="14"/>
  <c r="BC79" i="14"/>
  <c r="AI79" i="14"/>
  <c r="AB79" i="14"/>
  <c r="Q79" i="14"/>
  <c r="BE79" i="14"/>
  <c r="AN79" i="14"/>
  <c r="AY79" i="14"/>
  <c r="BG79" i="14"/>
  <c r="P79" i="14"/>
  <c r="M79" i="14"/>
  <c r="U79" i="14"/>
  <c r="BD79" i="14"/>
  <c r="BH79" i="14"/>
  <c r="R79" i="14"/>
  <c r="N79" i="14"/>
  <c r="AJ79" i="14"/>
  <c r="AC79" i="14"/>
  <c r="AS79" i="14"/>
  <c r="BJ79" i="14"/>
  <c r="O79" i="14"/>
  <c r="J79" i="14"/>
  <c r="X79" i="14"/>
  <c r="Z79" i="14"/>
  <c r="BF79" i="14"/>
  <c r="AK79" i="14"/>
  <c r="AT79" i="14"/>
  <c r="BI79" i="14"/>
  <c r="AF79" i="14"/>
  <c r="AA79" i="14"/>
  <c r="AH79" i="14"/>
  <c r="BB79" i="14"/>
  <c r="BA79" i="14"/>
  <c r="W79" i="14"/>
  <c r="AQ79" i="14"/>
  <c r="V79" i="14"/>
  <c r="AR79" i="14"/>
  <c r="AE79" i="14"/>
  <c r="AW79" i="14"/>
  <c r="AO79" i="14"/>
  <c r="I79" i="14"/>
  <c r="C97" i="14"/>
  <c r="B97" i="14" s="1"/>
  <c r="B96" i="14"/>
  <c r="C43" i="14"/>
  <c r="B42" i="14"/>
  <c r="C81" i="14"/>
  <c r="B81" i="14" s="1"/>
  <c r="B80" i="14"/>
  <c r="Y59" i="14"/>
  <c r="P59" i="14"/>
  <c r="BB59" i="14"/>
  <c r="AP59" i="14"/>
  <c r="BJ59" i="14"/>
  <c r="AI59" i="14"/>
  <c r="BE59" i="14"/>
  <c r="BF59" i="14"/>
  <c r="I59" i="14"/>
  <c r="BG59" i="14"/>
  <c r="T59" i="14"/>
  <c r="M59" i="14"/>
  <c r="U59" i="14"/>
  <c r="AL59" i="14"/>
  <c r="AN59" i="14"/>
  <c r="AB59" i="14"/>
  <c r="Q59" i="14"/>
  <c r="H59" i="14"/>
  <c r="V59" i="14"/>
  <c r="AX59" i="14"/>
  <c r="AE59" i="14"/>
  <c r="AD59" i="14"/>
  <c r="Z59" i="14"/>
  <c r="AG59" i="14"/>
  <c r="BI59" i="14"/>
  <c r="AV59" i="14"/>
  <c r="AW59" i="14"/>
  <c r="K59" i="14"/>
  <c r="AJ59" i="14"/>
  <c r="O59" i="14"/>
  <c r="AR59" i="14"/>
  <c r="AM59" i="14"/>
  <c r="BH59" i="14"/>
  <c r="BD59" i="14"/>
  <c r="X59" i="14"/>
  <c r="BA59" i="14"/>
  <c r="AC59" i="14"/>
  <c r="AQ59" i="14"/>
  <c r="AF59" i="14"/>
  <c r="BC59" i="14"/>
  <c r="AO59" i="14"/>
  <c r="N59" i="14"/>
  <c r="AT59" i="14"/>
  <c r="AA59" i="14"/>
  <c r="S59" i="14"/>
  <c r="L59" i="14"/>
  <c r="AU59" i="14"/>
  <c r="AY59" i="14"/>
  <c r="AK59" i="14"/>
  <c r="W59" i="14"/>
  <c r="AZ59" i="14"/>
  <c r="R59" i="14"/>
  <c r="AS59" i="14"/>
  <c r="J59" i="14"/>
  <c r="AH59" i="14"/>
  <c r="C39" i="14"/>
  <c r="B38" i="14"/>
  <c r="AN74" i="14"/>
  <c r="AD74" i="14"/>
  <c r="AC74" i="14"/>
  <c r="AY74" i="14"/>
  <c r="Q74" i="14"/>
  <c r="V74" i="14"/>
  <c r="AX74" i="14"/>
  <c r="O74" i="14"/>
  <c r="S74" i="14"/>
  <c r="J74" i="14"/>
  <c r="AR74" i="14"/>
  <c r="I74" i="14"/>
  <c r="K74" i="14"/>
  <c r="AF74" i="14"/>
  <c r="R74" i="14"/>
  <c r="AA74" i="14"/>
  <c r="H74" i="14"/>
  <c r="AL74" i="14"/>
  <c r="Y74" i="14"/>
  <c r="U74" i="14"/>
  <c r="AV74" i="14"/>
  <c r="BE74" i="14"/>
  <c r="AE74" i="14"/>
  <c r="BF74" i="14"/>
  <c r="AI74" i="14"/>
  <c r="AP74" i="14"/>
  <c r="AS74" i="14"/>
  <c r="W74" i="14"/>
  <c r="BB74" i="14"/>
  <c r="AQ74" i="14"/>
  <c r="AZ74" i="14"/>
  <c r="BI74" i="14"/>
  <c r="AJ74" i="14"/>
  <c r="N74" i="14"/>
  <c r="BG74" i="14"/>
  <c r="AK74" i="14"/>
  <c r="AG74" i="14"/>
  <c r="AH74" i="14"/>
  <c r="L74" i="14"/>
  <c r="BA74" i="14"/>
  <c r="BC74" i="14"/>
  <c r="BH74" i="14"/>
  <c r="BJ74" i="14"/>
  <c r="T74" i="14"/>
  <c r="P74" i="14"/>
  <c r="AW74" i="14"/>
  <c r="AT74" i="14"/>
  <c r="BD74" i="14"/>
  <c r="AB74" i="14"/>
  <c r="X74" i="14"/>
  <c r="Z74" i="14"/>
  <c r="AM74" i="14"/>
  <c r="AU74" i="14"/>
  <c r="AO74" i="14"/>
  <c r="M74" i="14"/>
  <c r="C61" i="14"/>
  <c r="B61" i="14" s="1"/>
  <c r="B60" i="14"/>
  <c r="C63" i="14"/>
  <c r="B62" i="14"/>
  <c r="C31" i="14"/>
  <c r="B30" i="14"/>
  <c r="BA86" i="14"/>
  <c r="R86" i="14"/>
  <c r="M86" i="14"/>
  <c r="AS86" i="14"/>
  <c r="AW86" i="14"/>
  <c r="BH86" i="14"/>
  <c r="AQ86" i="14"/>
  <c r="BI86" i="14"/>
  <c r="BB86" i="14"/>
  <c r="AR86" i="14"/>
  <c r="BC86" i="14"/>
  <c r="V86" i="14"/>
  <c r="AH86" i="14"/>
  <c r="AA86" i="14"/>
  <c r="AN86" i="14"/>
  <c r="AK86" i="14"/>
  <c r="BE86" i="14"/>
  <c r="AX86" i="14"/>
  <c r="AZ86" i="14"/>
  <c r="Q86" i="14"/>
  <c r="W86" i="14"/>
  <c r="O86" i="14"/>
  <c r="J86" i="14"/>
  <c r="L86" i="14"/>
  <c r="AB86" i="14"/>
  <c r="AL86" i="14"/>
  <c r="AE86" i="14"/>
  <c r="S86" i="14"/>
  <c r="AI86" i="14"/>
  <c r="AG86" i="14"/>
  <c r="X86" i="14"/>
  <c r="AO86" i="14"/>
  <c r="Z86" i="14"/>
  <c r="AD86" i="14"/>
  <c r="N86" i="14"/>
  <c r="I86" i="14"/>
  <c r="BD86" i="14"/>
  <c r="H86" i="14"/>
  <c r="AC86" i="14"/>
  <c r="U86" i="14"/>
  <c r="AT86" i="14"/>
  <c r="AJ86" i="14"/>
  <c r="Y86" i="14"/>
  <c r="BJ86" i="14"/>
  <c r="AP86" i="14"/>
  <c r="AF86" i="14"/>
  <c r="AV86" i="14"/>
  <c r="T86" i="14"/>
  <c r="AM86" i="14"/>
  <c r="K86" i="14"/>
  <c r="AY86" i="14"/>
  <c r="AU86" i="14"/>
  <c r="BF86" i="14"/>
  <c r="BG86" i="14"/>
  <c r="P86" i="14"/>
  <c r="C76" i="14"/>
  <c r="B75" i="14"/>
  <c r="C71" i="14"/>
  <c r="B70" i="14"/>
  <c r="C99" i="14"/>
  <c r="B98" i="14"/>
  <c r="C88" i="14"/>
  <c r="B87" i="14"/>
  <c r="C51" i="14"/>
  <c r="B50" i="14"/>
  <c r="AT91" i="14"/>
  <c r="AO91" i="14"/>
  <c r="BG91" i="14"/>
  <c r="BE91" i="14"/>
  <c r="AK91" i="14"/>
  <c r="AM91" i="14"/>
  <c r="AB91" i="14"/>
  <c r="AI91" i="14"/>
  <c r="O91" i="14"/>
  <c r="I91" i="14"/>
  <c r="L91" i="14"/>
  <c r="X91" i="14"/>
  <c r="AU91" i="14"/>
  <c r="AF91" i="14"/>
  <c r="Y91" i="14"/>
  <c r="AX91" i="14"/>
  <c r="P91" i="14"/>
  <c r="AG91" i="14"/>
  <c r="BH91" i="14"/>
  <c r="N91" i="14"/>
  <c r="Q91" i="14"/>
  <c r="AE91" i="14"/>
  <c r="R91" i="14"/>
  <c r="J91" i="14"/>
  <c r="AW91" i="14"/>
  <c r="AZ91" i="14"/>
  <c r="AJ91" i="14"/>
  <c r="AA91" i="14"/>
  <c r="BD91" i="14"/>
  <c r="AS91" i="14"/>
  <c r="AY91" i="14"/>
  <c r="AN91" i="14"/>
  <c r="T91" i="14"/>
  <c r="BC91" i="14"/>
  <c r="AP91" i="14"/>
  <c r="BI91" i="14"/>
  <c r="AV91" i="14"/>
  <c r="V91" i="14"/>
  <c r="S91" i="14"/>
  <c r="AL91" i="14"/>
  <c r="AR91" i="14"/>
  <c r="M91" i="14"/>
  <c r="W91" i="14"/>
  <c r="Z91" i="14"/>
  <c r="H91" i="14"/>
  <c r="BB91" i="14"/>
  <c r="BF91" i="14"/>
  <c r="AQ91" i="14"/>
  <c r="BA91" i="14"/>
  <c r="BJ91" i="14"/>
  <c r="U91" i="14"/>
  <c r="AH91" i="14"/>
  <c r="AD91" i="14"/>
  <c r="K91" i="14"/>
  <c r="AC91" i="14"/>
  <c r="BH82" i="14"/>
  <c r="BB82" i="14"/>
  <c r="K82" i="14"/>
  <c r="Q82" i="14"/>
  <c r="J82" i="14"/>
  <c r="AM82" i="14"/>
  <c r="AK82" i="14"/>
  <c r="AS82" i="14"/>
  <c r="L82" i="14"/>
  <c r="R82" i="14"/>
  <c r="AF82" i="14"/>
  <c r="V82" i="14"/>
  <c r="P82" i="14"/>
  <c r="AA82" i="14"/>
  <c r="AC82" i="14"/>
  <c r="O82" i="14"/>
  <c r="AL82" i="14"/>
  <c r="BE82" i="14"/>
  <c r="BF82" i="14"/>
  <c r="N82" i="14"/>
  <c r="AQ82" i="14"/>
  <c r="M82" i="14"/>
  <c r="Z82" i="14"/>
  <c r="AZ82" i="14"/>
  <c r="U82" i="14"/>
  <c r="BI82" i="14"/>
  <c r="H82" i="14"/>
  <c r="BD82" i="14"/>
  <c r="AT82" i="14"/>
  <c r="T82" i="14"/>
  <c r="AG82" i="14"/>
  <c r="BA82" i="14"/>
  <c r="BG82" i="14"/>
  <c r="X82" i="14"/>
  <c r="AJ82" i="14"/>
  <c r="W82" i="14"/>
  <c r="AR82" i="14"/>
  <c r="AV82" i="14"/>
  <c r="AE82" i="14"/>
  <c r="Y82" i="14"/>
  <c r="AH82" i="14"/>
  <c r="I82" i="14"/>
  <c r="S82" i="14"/>
  <c r="AP82" i="14"/>
  <c r="AU82" i="14"/>
  <c r="AW82" i="14"/>
  <c r="AN82" i="14"/>
  <c r="AX82" i="14"/>
  <c r="AB82" i="14"/>
  <c r="AO82" i="14"/>
  <c r="BC82" i="14"/>
  <c r="AD82" i="14"/>
  <c r="BJ82" i="14"/>
  <c r="AI82" i="14"/>
  <c r="AY82" i="14"/>
  <c r="C47" i="14"/>
  <c r="B46" i="14"/>
  <c r="C93" i="14"/>
  <c r="B93" i="14" s="1"/>
  <c r="B92" i="14"/>
  <c r="C84" i="14"/>
  <c r="B83" i="14"/>
  <c r="AG4" i="14"/>
  <c r="AF14" i="14"/>
  <c r="AF17" i="14"/>
  <c r="AF15" i="14"/>
  <c r="AF16" i="14"/>
  <c r="AW83" i="14" l="1"/>
  <c r="BE83" i="14"/>
  <c r="AA83" i="14"/>
  <c r="BJ83" i="14"/>
  <c r="AU83" i="14"/>
  <c r="BG83" i="14"/>
  <c r="V83" i="14"/>
  <c r="AD83" i="14"/>
  <c r="AS83" i="14"/>
  <c r="AC83" i="14"/>
  <c r="BC83" i="14"/>
  <c r="AQ83" i="14"/>
  <c r="Y83" i="14"/>
  <c r="K83" i="14"/>
  <c r="AO83" i="14"/>
  <c r="BH83" i="14"/>
  <c r="AT83" i="14"/>
  <c r="AG83" i="14"/>
  <c r="BA83" i="14"/>
  <c r="N83" i="14"/>
  <c r="AE83" i="14"/>
  <c r="Z83" i="14"/>
  <c r="AK83" i="14"/>
  <c r="X83" i="14"/>
  <c r="R83" i="14"/>
  <c r="U83" i="14"/>
  <c r="L83" i="14"/>
  <c r="AM83" i="14"/>
  <c r="BF83" i="14"/>
  <c r="BI83" i="14"/>
  <c r="W83" i="14"/>
  <c r="BB83" i="14"/>
  <c r="AN83" i="14"/>
  <c r="AY83" i="14"/>
  <c r="Q83" i="14"/>
  <c r="AJ83" i="14"/>
  <c r="AP83" i="14"/>
  <c r="M83" i="14"/>
  <c r="S83" i="14"/>
  <c r="T83" i="14"/>
  <c r="AZ83" i="14"/>
  <c r="AB83" i="14"/>
  <c r="P83" i="14"/>
  <c r="J83" i="14"/>
  <c r="H83" i="14"/>
  <c r="AR83" i="14"/>
  <c r="AL83" i="14"/>
  <c r="AX83" i="14"/>
  <c r="AH83" i="14"/>
  <c r="AI83" i="14"/>
  <c r="BD83" i="14"/>
  <c r="AF83" i="14"/>
  <c r="AV83" i="14"/>
  <c r="O83" i="14"/>
  <c r="I83" i="14"/>
  <c r="BJ98" i="14"/>
  <c r="BF98" i="14"/>
  <c r="AS98" i="14"/>
  <c r="AZ98" i="14"/>
  <c r="K98" i="14"/>
  <c r="AB98" i="14"/>
  <c r="J98" i="14"/>
  <c r="P98" i="14"/>
  <c r="Z98" i="14"/>
  <c r="AM98" i="14"/>
  <c r="W98" i="14"/>
  <c r="U98" i="14"/>
  <c r="AV98" i="14"/>
  <c r="S98" i="14"/>
  <c r="I98" i="14"/>
  <c r="T98" i="14"/>
  <c r="AD98" i="14"/>
  <c r="BA98" i="14"/>
  <c r="AT98" i="14"/>
  <c r="AO98" i="14"/>
  <c r="X98" i="14"/>
  <c r="AG98" i="14"/>
  <c r="AR98" i="14"/>
  <c r="BB98" i="14"/>
  <c r="R98" i="14"/>
  <c r="AQ98" i="14"/>
  <c r="AI98" i="14"/>
  <c r="AY98" i="14"/>
  <c r="BD98" i="14"/>
  <c r="AJ98" i="14"/>
  <c r="AU98" i="14"/>
  <c r="Q98" i="14"/>
  <c r="AA98" i="14"/>
  <c r="BC98" i="14"/>
  <c r="Y98" i="14"/>
  <c r="BH98" i="14"/>
  <c r="O98" i="14"/>
  <c r="BI98" i="14"/>
  <c r="BG98" i="14"/>
  <c r="AK98" i="14"/>
  <c r="AX98" i="14"/>
  <c r="H98" i="14"/>
  <c r="N98" i="14"/>
  <c r="AF98" i="14"/>
  <c r="AL98" i="14"/>
  <c r="AN98" i="14"/>
  <c r="AW98" i="14"/>
  <c r="AH98" i="14"/>
  <c r="BE98" i="14"/>
  <c r="M98" i="14"/>
  <c r="AP98" i="14"/>
  <c r="L98" i="14"/>
  <c r="AE98" i="14"/>
  <c r="V98" i="14"/>
  <c r="AC98" i="14"/>
  <c r="AT62" i="14"/>
  <c r="AN62" i="14"/>
  <c r="AF62" i="14"/>
  <c r="BE62" i="14"/>
  <c r="AL62" i="14"/>
  <c r="BH62" i="14"/>
  <c r="Q62" i="14"/>
  <c r="I62" i="14"/>
  <c r="R62" i="14"/>
  <c r="J62" i="14"/>
  <c r="S62" i="14"/>
  <c r="AV62" i="14"/>
  <c r="AQ62" i="14"/>
  <c r="AI62" i="14"/>
  <c r="AZ62" i="14"/>
  <c r="AM62" i="14"/>
  <c r="BF62" i="14"/>
  <c r="W62" i="14"/>
  <c r="L62" i="14"/>
  <c r="AB62" i="14"/>
  <c r="BC62" i="14"/>
  <c r="AD62" i="14"/>
  <c r="AH62" i="14"/>
  <c r="AS62" i="14"/>
  <c r="O62" i="14"/>
  <c r="AG62" i="14"/>
  <c r="AY62" i="14"/>
  <c r="V62" i="14"/>
  <c r="BI62" i="14"/>
  <c r="AO62" i="14"/>
  <c r="P62" i="14"/>
  <c r="M62" i="14"/>
  <c r="AE62" i="14"/>
  <c r="Y62" i="14"/>
  <c r="BD62" i="14"/>
  <c r="X62" i="14"/>
  <c r="AC62" i="14"/>
  <c r="AU62" i="14"/>
  <c r="AJ62" i="14"/>
  <c r="BG62" i="14"/>
  <c r="U62" i="14"/>
  <c r="AK62" i="14"/>
  <c r="AP62" i="14"/>
  <c r="AX62" i="14"/>
  <c r="AR62" i="14"/>
  <c r="Z62" i="14"/>
  <c r="N62" i="14"/>
  <c r="AA62" i="14"/>
  <c r="AW62" i="14"/>
  <c r="K62" i="14"/>
  <c r="T62" i="14"/>
  <c r="H62" i="14"/>
  <c r="BJ62" i="14"/>
  <c r="BB62" i="14"/>
  <c r="BA62" i="14"/>
  <c r="J81" i="14"/>
  <c r="AF81" i="14"/>
  <c r="O81" i="14"/>
  <c r="BE81" i="14"/>
  <c r="BH81" i="14"/>
  <c r="N81" i="14"/>
  <c r="BD81" i="14"/>
  <c r="AB81" i="14"/>
  <c r="M81" i="14"/>
  <c r="AG81" i="14"/>
  <c r="AX81" i="14"/>
  <c r="W81" i="14"/>
  <c r="AQ81" i="14"/>
  <c r="AD81" i="14"/>
  <c r="AN81" i="14"/>
  <c r="AC81" i="14"/>
  <c r="I81" i="14"/>
  <c r="H81" i="14"/>
  <c r="AA81" i="14"/>
  <c r="AV81" i="14"/>
  <c r="AI81" i="14"/>
  <c r="Y81" i="14"/>
  <c r="AT81" i="14"/>
  <c r="BF81" i="14"/>
  <c r="AK81" i="14"/>
  <c r="AJ81" i="14"/>
  <c r="Q81" i="14"/>
  <c r="AU81" i="14"/>
  <c r="AO81" i="14"/>
  <c r="BI81" i="14"/>
  <c r="P81" i="14"/>
  <c r="AM81" i="14"/>
  <c r="AY81" i="14"/>
  <c r="AS81" i="14"/>
  <c r="AL81" i="14"/>
  <c r="BG81" i="14"/>
  <c r="L81" i="14"/>
  <c r="AW81" i="14"/>
  <c r="BC81" i="14"/>
  <c r="AH81" i="14"/>
  <c r="AZ81" i="14"/>
  <c r="K81" i="14"/>
  <c r="T81" i="14"/>
  <c r="BJ81" i="14"/>
  <c r="U81" i="14"/>
  <c r="AP81" i="14"/>
  <c r="AR81" i="14"/>
  <c r="R81" i="14"/>
  <c r="AE81" i="14"/>
  <c r="Z81" i="14"/>
  <c r="S81" i="14"/>
  <c r="X81" i="14"/>
  <c r="V81" i="14"/>
  <c r="BA81" i="14"/>
  <c r="BB81" i="14"/>
  <c r="E66" i="14"/>
  <c r="F66" i="14" s="1"/>
  <c r="C100" i="14"/>
  <c r="B99" i="14"/>
  <c r="J92" i="14"/>
  <c r="AV92" i="14"/>
  <c r="V92" i="14"/>
  <c r="H92" i="14"/>
  <c r="BH92" i="14"/>
  <c r="AW92" i="14"/>
  <c r="Y92" i="14"/>
  <c r="M92" i="14"/>
  <c r="Q92" i="14"/>
  <c r="BF92" i="14"/>
  <c r="L92" i="14"/>
  <c r="X92" i="14"/>
  <c r="I92" i="14"/>
  <c r="E91" i="14" s="1"/>
  <c r="F91" i="14" s="1"/>
  <c r="AT92" i="14"/>
  <c r="AC92" i="14"/>
  <c r="AU92" i="14"/>
  <c r="AI92" i="14"/>
  <c r="AD92" i="14"/>
  <c r="BE92" i="14"/>
  <c r="S92" i="14"/>
  <c r="BB92" i="14"/>
  <c r="AL92" i="14"/>
  <c r="AK92" i="14"/>
  <c r="AQ92" i="14"/>
  <c r="AF92" i="14"/>
  <c r="Z92" i="14"/>
  <c r="AA92" i="14"/>
  <c r="AZ92" i="14"/>
  <c r="BC92" i="14"/>
  <c r="AM92" i="14"/>
  <c r="R92" i="14"/>
  <c r="W92" i="14"/>
  <c r="AN92" i="14"/>
  <c r="AB92" i="14"/>
  <c r="P92" i="14"/>
  <c r="AX92" i="14"/>
  <c r="K92" i="14"/>
  <c r="BA92" i="14"/>
  <c r="BJ92" i="14"/>
  <c r="AS92" i="14"/>
  <c r="AG92" i="14"/>
  <c r="AJ92" i="14"/>
  <c r="AY92" i="14"/>
  <c r="BD92" i="14"/>
  <c r="U92" i="14"/>
  <c r="N92" i="14"/>
  <c r="AH92" i="14"/>
  <c r="O92" i="14"/>
  <c r="BG92" i="14"/>
  <c r="AE92" i="14"/>
  <c r="AR92" i="14"/>
  <c r="BI92" i="14"/>
  <c r="T92" i="14"/>
  <c r="AP92" i="14"/>
  <c r="AO92" i="14"/>
  <c r="E90" i="14"/>
  <c r="F90" i="14" s="1"/>
  <c r="Y70" i="14"/>
  <c r="AK70" i="14"/>
  <c r="BI70" i="14"/>
  <c r="R70" i="14"/>
  <c r="BC70" i="14"/>
  <c r="J70" i="14"/>
  <c r="AG70" i="14"/>
  <c r="AU70" i="14"/>
  <c r="BH70" i="14"/>
  <c r="H70" i="14"/>
  <c r="AS70" i="14"/>
  <c r="AI70" i="14"/>
  <c r="AQ70" i="14"/>
  <c r="AL70" i="14"/>
  <c r="K70" i="14"/>
  <c r="BD70" i="14"/>
  <c r="BJ70" i="14"/>
  <c r="AX70" i="14"/>
  <c r="AJ70" i="14"/>
  <c r="N70" i="14"/>
  <c r="AE70" i="14"/>
  <c r="O70" i="14"/>
  <c r="AT70" i="14"/>
  <c r="BA70" i="14"/>
  <c r="AO70" i="14"/>
  <c r="BF70" i="14"/>
  <c r="AC70" i="14"/>
  <c r="AW70" i="14"/>
  <c r="T70" i="14"/>
  <c r="L70" i="14"/>
  <c r="I70" i="14"/>
  <c r="M70" i="14"/>
  <c r="S70" i="14"/>
  <c r="AV70" i="14"/>
  <c r="BB70" i="14"/>
  <c r="P70" i="14"/>
  <c r="BG70" i="14"/>
  <c r="X70" i="14"/>
  <c r="BE70" i="14"/>
  <c r="Z70" i="14"/>
  <c r="AD70" i="14"/>
  <c r="V70" i="14"/>
  <c r="AB70" i="14"/>
  <c r="AM70" i="14"/>
  <c r="AP70" i="14"/>
  <c r="AZ70" i="14"/>
  <c r="AR70" i="14"/>
  <c r="AY70" i="14"/>
  <c r="AN70" i="14"/>
  <c r="Q70" i="14"/>
  <c r="W70" i="14"/>
  <c r="AH70" i="14"/>
  <c r="AA70" i="14"/>
  <c r="U70" i="14"/>
  <c r="AF70" i="14"/>
  <c r="AD60" i="14"/>
  <c r="AS60" i="14"/>
  <c r="AZ60" i="14"/>
  <c r="S60" i="14"/>
  <c r="BC60" i="14"/>
  <c r="I60" i="14"/>
  <c r="E59" i="14" s="1"/>
  <c r="F59" i="14" s="1"/>
  <c r="AQ60" i="14"/>
  <c r="O60" i="14"/>
  <c r="AO60" i="14"/>
  <c r="BH60" i="14"/>
  <c r="L60" i="14"/>
  <c r="AW60" i="14"/>
  <c r="P60" i="14"/>
  <c r="AN60" i="14"/>
  <c r="AE60" i="14"/>
  <c r="BE60" i="14"/>
  <c r="R60" i="14"/>
  <c r="AL60" i="14"/>
  <c r="T60" i="14"/>
  <c r="AR60" i="14"/>
  <c r="U60" i="14"/>
  <c r="AB60" i="14"/>
  <c r="AU60" i="14"/>
  <c r="AC60" i="14"/>
  <c r="AA60" i="14"/>
  <c r="J60" i="14"/>
  <c r="V60" i="14"/>
  <c r="AV60" i="14"/>
  <c r="AY60" i="14"/>
  <c r="AG60" i="14"/>
  <c r="BD60" i="14"/>
  <c r="BJ60" i="14"/>
  <c r="AI60" i="14"/>
  <c r="X60" i="14"/>
  <c r="AF60" i="14"/>
  <c r="AH60" i="14"/>
  <c r="BF60" i="14"/>
  <c r="Z60" i="14"/>
  <c r="N60" i="14"/>
  <c r="AM60" i="14"/>
  <c r="K60" i="14"/>
  <c r="M60" i="14"/>
  <c r="BB60" i="14"/>
  <c r="AX60" i="14"/>
  <c r="AK60" i="14"/>
  <c r="H60" i="14"/>
  <c r="Q60" i="14"/>
  <c r="W60" i="14"/>
  <c r="AP60" i="14"/>
  <c r="AJ60" i="14"/>
  <c r="BA60" i="14"/>
  <c r="Y60" i="14"/>
  <c r="BG60" i="14"/>
  <c r="AT60" i="14"/>
  <c r="BI60" i="14"/>
  <c r="C44" i="14"/>
  <c r="B43" i="14"/>
  <c r="AF42" i="14"/>
  <c r="AG42" i="14"/>
  <c r="AV42" i="14"/>
  <c r="J42" i="14"/>
  <c r="AP42" i="14"/>
  <c r="BJ42" i="14"/>
  <c r="AY42" i="14"/>
  <c r="N42" i="14"/>
  <c r="AR42" i="14"/>
  <c r="BE42" i="14"/>
  <c r="V42" i="14"/>
  <c r="AN42" i="14"/>
  <c r="W42" i="14"/>
  <c r="Y42" i="14"/>
  <c r="L42" i="14"/>
  <c r="AX42" i="14"/>
  <c r="AH42" i="14"/>
  <c r="BA42" i="14"/>
  <c r="BB42" i="14"/>
  <c r="AS42" i="14"/>
  <c r="AW42" i="14"/>
  <c r="H42" i="14"/>
  <c r="R42" i="14"/>
  <c r="BH42" i="14"/>
  <c r="O42" i="14"/>
  <c r="AQ42" i="14"/>
  <c r="AD42" i="14"/>
  <c r="AO42" i="14"/>
  <c r="I42" i="14"/>
  <c r="AK42" i="14"/>
  <c r="AE42" i="14"/>
  <c r="AT42" i="14"/>
  <c r="M42" i="14"/>
  <c r="P42" i="14"/>
  <c r="AC42" i="14"/>
  <c r="AM42" i="14"/>
  <c r="Q42" i="14"/>
  <c r="Z42" i="14"/>
  <c r="AU42" i="14"/>
  <c r="BF42" i="14"/>
  <c r="T42" i="14"/>
  <c r="AB42" i="14"/>
  <c r="AL42" i="14"/>
  <c r="BG42" i="14"/>
  <c r="K42" i="14"/>
  <c r="S42" i="14"/>
  <c r="BC42" i="14"/>
  <c r="AA42" i="14"/>
  <c r="AI42" i="14"/>
  <c r="U42" i="14"/>
  <c r="AZ42" i="14"/>
  <c r="X42" i="14"/>
  <c r="AJ42" i="14"/>
  <c r="BD42" i="14"/>
  <c r="BI42" i="14"/>
  <c r="AQ93" i="14"/>
  <c r="BJ93" i="14"/>
  <c r="AZ93" i="14"/>
  <c r="AD93" i="14"/>
  <c r="AX93" i="14"/>
  <c r="N93" i="14"/>
  <c r="BA93" i="14"/>
  <c r="AV93" i="14"/>
  <c r="P93" i="14"/>
  <c r="U93" i="14"/>
  <c r="O93" i="14"/>
  <c r="BH93" i="14"/>
  <c r="BC93" i="14"/>
  <c r="AA93" i="14"/>
  <c r="W93" i="14"/>
  <c r="AK93" i="14"/>
  <c r="BE93" i="14"/>
  <c r="AN93" i="14"/>
  <c r="AL93" i="14"/>
  <c r="AP93" i="14"/>
  <c r="AO93" i="14"/>
  <c r="J93" i="14"/>
  <c r="BB93" i="14"/>
  <c r="AE93" i="14"/>
  <c r="AI93" i="14"/>
  <c r="AH93" i="14"/>
  <c r="V93" i="14"/>
  <c r="I93" i="14"/>
  <c r="S93" i="14"/>
  <c r="AW93" i="14"/>
  <c r="Y93" i="14"/>
  <c r="AR93" i="14"/>
  <c r="T93" i="14"/>
  <c r="AF93" i="14"/>
  <c r="K93" i="14"/>
  <c r="AC93" i="14"/>
  <c r="AY93" i="14"/>
  <c r="AG93" i="14"/>
  <c r="AU93" i="14"/>
  <c r="BG93" i="14"/>
  <c r="BF93" i="14"/>
  <c r="R93" i="14"/>
  <c r="AB93" i="14"/>
  <c r="X93" i="14"/>
  <c r="Q93" i="14"/>
  <c r="AM93" i="14"/>
  <c r="AT93" i="14"/>
  <c r="M93" i="14"/>
  <c r="BI93" i="14"/>
  <c r="AS93" i="14"/>
  <c r="BD93" i="14"/>
  <c r="L93" i="14"/>
  <c r="Z93" i="14"/>
  <c r="AJ93" i="14"/>
  <c r="H93" i="14"/>
  <c r="C72" i="14"/>
  <c r="B71" i="14"/>
  <c r="U61" i="14"/>
  <c r="X61" i="14"/>
  <c r="AT61" i="14"/>
  <c r="AR61" i="14"/>
  <c r="BA61" i="14"/>
  <c r="AB61" i="14"/>
  <c r="AK61" i="14"/>
  <c r="AU61" i="14"/>
  <c r="AN61" i="14"/>
  <c r="AI61" i="14"/>
  <c r="BI61" i="14"/>
  <c r="AO61" i="14"/>
  <c r="AH61" i="14"/>
  <c r="AC61" i="14"/>
  <c r="AL61" i="14"/>
  <c r="BE61" i="14"/>
  <c r="AZ61" i="14"/>
  <c r="AV61" i="14"/>
  <c r="T61" i="14"/>
  <c r="L61" i="14"/>
  <c r="BF61" i="14"/>
  <c r="BB61" i="14"/>
  <c r="AQ61" i="14"/>
  <c r="O61" i="14"/>
  <c r="AX61" i="14"/>
  <c r="W61" i="14"/>
  <c r="AJ61" i="14"/>
  <c r="Q61" i="14"/>
  <c r="AY61" i="14"/>
  <c r="V61" i="14"/>
  <c r="N61" i="14"/>
  <c r="H61" i="14"/>
  <c r="S61" i="14"/>
  <c r="Y61" i="14"/>
  <c r="AG61" i="14"/>
  <c r="AP61" i="14"/>
  <c r="BH61" i="14"/>
  <c r="K61" i="14"/>
  <c r="I61" i="14"/>
  <c r="BD61" i="14"/>
  <c r="AW61" i="14"/>
  <c r="Z61" i="14"/>
  <c r="J61" i="14"/>
  <c r="AD61" i="14"/>
  <c r="BJ61" i="14"/>
  <c r="BC61" i="14"/>
  <c r="AA61" i="14"/>
  <c r="BG61" i="14"/>
  <c r="AF61" i="14"/>
  <c r="AS61" i="14"/>
  <c r="P61" i="14"/>
  <c r="AE61" i="14"/>
  <c r="M61" i="14"/>
  <c r="R61" i="14"/>
  <c r="AM61" i="14"/>
  <c r="AI96" i="14"/>
  <c r="M96" i="14"/>
  <c r="T96" i="14"/>
  <c r="U96" i="14"/>
  <c r="AF96" i="14"/>
  <c r="BE96" i="14"/>
  <c r="BF96" i="14"/>
  <c r="O96" i="14"/>
  <c r="BC96" i="14"/>
  <c r="AU96" i="14"/>
  <c r="AJ96" i="14"/>
  <c r="AB96" i="14"/>
  <c r="L96" i="14"/>
  <c r="AR96" i="14"/>
  <c r="AH96" i="14"/>
  <c r="BD96" i="14"/>
  <c r="AG96" i="14"/>
  <c r="AZ96" i="14"/>
  <c r="AV96" i="14"/>
  <c r="AK96" i="14"/>
  <c r="S96" i="14"/>
  <c r="BI96" i="14"/>
  <c r="BH96" i="14"/>
  <c r="P96" i="14"/>
  <c r="AT96" i="14"/>
  <c r="W96" i="14"/>
  <c r="AY96" i="14"/>
  <c r="BJ96" i="14"/>
  <c r="V96" i="14"/>
  <c r="AL96" i="14"/>
  <c r="AP96" i="14"/>
  <c r="J96" i="14"/>
  <c r="AO96" i="14"/>
  <c r="BA96" i="14"/>
  <c r="Y96" i="14"/>
  <c r="AC96" i="14"/>
  <c r="AN96" i="14"/>
  <c r="BG96" i="14"/>
  <c r="AD96" i="14"/>
  <c r="AS96" i="14"/>
  <c r="Z96" i="14"/>
  <c r="Q96" i="14"/>
  <c r="H96" i="14"/>
  <c r="AW96" i="14"/>
  <c r="AX96" i="14"/>
  <c r="I96" i="14"/>
  <c r="E95" i="14" s="1"/>
  <c r="F95" i="14" s="1"/>
  <c r="AM96" i="14"/>
  <c r="AQ96" i="14"/>
  <c r="AE96" i="14"/>
  <c r="AA96" i="14"/>
  <c r="N96" i="14"/>
  <c r="R96" i="14"/>
  <c r="K96" i="14"/>
  <c r="BB96" i="14"/>
  <c r="X96" i="14"/>
  <c r="C85" i="14"/>
  <c r="B85" i="14" s="1"/>
  <c r="B84" i="14"/>
  <c r="J46" i="14"/>
  <c r="AX46" i="14"/>
  <c r="AJ46" i="14"/>
  <c r="I46" i="14"/>
  <c r="AD46" i="14"/>
  <c r="S46" i="14"/>
  <c r="AW46" i="14"/>
  <c r="AZ46" i="14"/>
  <c r="BD46" i="14"/>
  <c r="M46" i="14"/>
  <c r="BJ46" i="14"/>
  <c r="AB46" i="14"/>
  <c r="BB46" i="14"/>
  <c r="R46" i="14"/>
  <c r="Z46" i="14"/>
  <c r="AN46" i="14"/>
  <c r="AG46" i="14"/>
  <c r="AI46" i="14"/>
  <c r="AA46" i="14"/>
  <c r="AC46" i="14"/>
  <c r="AV46" i="14"/>
  <c r="O46" i="14"/>
  <c r="P46" i="14"/>
  <c r="BH46" i="14"/>
  <c r="AL46" i="14"/>
  <c r="AT46" i="14"/>
  <c r="AF46" i="14"/>
  <c r="BA46" i="14"/>
  <c r="BC46" i="14"/>
  <c r="BF46" i="14"/>
  <c r="AM46" i="14"/>
  <c r="AQ46" i="14"/>
  <c r="Y46" i="14"/>
  <c r="T46" i="14"/>
  <c r="AU46" i="14"/>
  <c r="BE46" i="14"/>
  <c r="Q46" i="14"/>
  <c r="BG46" i="14"/>
  <c r="AK46" i="14"/>
  <c r="U46" i="14"/>
  <c r="N46" i="14"/>
  <c r="X46" i="14"/>
  <c r="AO46" i="14"/>
  <c r="K46" i="14"/>
  <c r="V46" i="14"/>
  <c r="W46" i="14"/>
  <c r="AR46" i="14"/>
  <c r="H46" i="14"/>
  <c r="AH46" i="14"/>
  <c r="AP46" i="14"/>
  <c r="AE46" i="14"/>
  <c r="BI46" i="14"/>
  <c r="AS46" i="14"/>
  <c r="L46" i="14"/>
  <c r="AY46" i="14"/>
  <c r="Y50" i="14"/>
  <c r="AV50" i="14"/>
  <c r="U50" i="14"/>
  <c r="AU50" i="14"/>
  <c r="R50" i="14"/>
  <c r="AX50" i="14"/>
  <c r="O50" i="14"/>
  <c r="H50" i="14"/>
  <c r="L50" i="14"/>
  <c r="AL50" i="14"/>
  <c r="Z50" i="14"/>
  <c r="BF50" i="14"/>
  <c r="AI50" i="14"/>
  <c r="AG50" i="14"/>
  <c r="P50" i="14"/>
  <c r="AC50" i="14"/>
  <c r="BC50" i="14"/>
  <c r="AJ50" i="14"/>
  <c r="AZ50" i="14"/>
  <c r="BI50" i="14"/>
  <c r="AN50" i="14"/>
  <c r="T50" i="14"/>
  <c r="AT50" i="14"/>
  <c r="I50" i="14"/>
  <c r="AQ50" i="14"/>
  <c r="N50" i="14"/>
  <c r="W50" i="14"/>
  <c r="K50" i="14"/>
  <c r="AK50" i="14"/>
  <c r="AA50" i="14"/>
  <c r="AF50" i="14"/>
  <c r="BH50" i="14"/>
  <c r="AE50" i="14"/>
  <c r="AO50" i="14"/>
  <c r="AB50" i="14"/>
  <c r="BJ50" i="14"/>
  <c r="Q50" i="14"/>
  <c r="AY50" i="14"/>
  <c r="V50" i="14"/>
  <c r="AW50" i="14"/>
  <c r="J50" i="14"/>
  <c r="AR50" i="14"/>
  <c r="AH50" i="14"/>
  <c r="BG50" i="14"/>
  <c r="AD50" i="14"/>
  <c r="BE50" i="14"/>
  <c r="BA50" i="14"/>
  <c r="BD50" i="14"/>
  <c r="X50" i="14"/>
  <c r="M50" i="14"/>
  <c r="AM50" i="14"/>
  <c r="AP50" i="14"/>
  <c r="S50" i="14"/>
  <c r="BB50" i="14"/>
  <c r="AS50" i="14"/>
  <c r="AJ97" i="14"/>
  <c r="AA97" i="14"/>
  <c r="P97" i="14"/>
  <c r="AF97" i="14"/>
  <c r="AT97" i="14"/>
  <c r="AZ97" i="14"/>
  <c r="AH97" i="14"/>
  <c r="AY97" i="14"/>
  <c r="K97" i="14"/>
  <c r="BE97" i="14"/>
  <c r="J97" i="14"/>
  <c r="AW97" i="14"/>
  <c r="O97" i="14"/>
  <c r="H97" i="14"/>
  <c r="AC97" i="14"/>
  <c r="BA97" i="14"/>
  <c r="AO97" i="14"/>
  <c r="X97" i="14"/>
  <c r="BC97" i="14"/>
  <c r="BJ97" i="14"/>
  <c r="BD97" i="14"/>
  <c r="AG97" i="14"/>
  <c r="AM97" i="14"/>
  <c r="AQ97" i="14"/>
  <c r="BB97" i="14"/>
  <c r="AN97" i="14"/>
  <c r="Q97" i="14"/>
  <c r="AE97" i="14"/>
  <c r="AI97" i="14"/>
  <c r="AP97" i="14"/>
  <c r="BF97" i="14"/>
  <c r="BH97" i="14"/>
  <c r="T97" i="14"/>
  <c r="R97" i="14"/>
  <c r="BI97" i="14"/>
  <c r="AD97" i="14"/>
  <c r="V97" i="14"/>
  <c r="W97" i="14"/>
  <c r="Y97" i="14"/>
  <c r="S97" i="14"/>
  <c r="AX97" i="14"/>
  <c r="AS97" i="14"/>
  <c r="AR97" i="14"/>
  <c r="I97" i="14"/>
  <c r="AB97" i="14"/>
  <c r="AU97" i="14"/>
  <c r="Z97" i="14"/>
  <c r="BG97" i="14"/>
  <c r="U97" i="14"/>
  <c r="AK97" i="14"/>
  <c r="AL97" i="14"/>
  <c r="L97" i="14"/>
  <c r="N97" i="14"/>
  <c r="M97" i="14"/>
  <c r="AV97" i="14"/>
  <c r="AT34" i="14"/>
  <c r="S34" i="14"/>
  <c r="AF34" i="14"/>
  <c r="AV34" i="14"/>
  <c r="H34" i="14"/>
  <c r="BH34" i="14"/>
  <c r="AW34" i="14"/>
  <c r="R34" i="14"/>
  <c r="AN34" i="14"/>
  <c r="AX34" i="14"/>
  <c r="AI34" i="14"/>
  <c r="AD34" i="14"/>
  <c r="AY34" i="14"/>
  <c r="AP34" i="14"/>
  <c r="X34" i="14"/>
  <c r="AJ34" i="14"/>
  <c r="I34" i="14"/>
  <c r="T34" i="14"/>
  <c r="AK34" i="14"/>
  <c r="BF34" i="14"/>
  <c r="AG34" i="14"/>
  <c r="BC34" i="14"/>
  <c r="K34" i="14"/>
  <c r="AS34" i="14"/>
  <c r="J34" i="14"/>
  <c r="AE34" i="14"/>
  <c r="AA34" i="14"/>
  <c r="BJ34" i="14"/>
  <c r="AB34" i="14"/>
  <c r="Y34" i="14"/>
  <c r="AR34" i="14"/>
  <c r="U34" i="14"/>
  <c r="BI34" i="14"/>
  <c r="M34" i="14"/>
  <c r="W34" i="14"/>
  <c r="BE34" i="14"/>
  <c r="BB34" i="14"/>
  <c r="O34" i="14"/>
  <c r="L34" i="14"/>
  <c r="Q34" i="14"/>
  <c r="Z34" i="14"/>
  <c r="BD34" i="14"/>
  <c r="P34" i="14"/>
  <c r="N34" i="14"/>
  <c r="AL34" i="14"/>
  <c r="AO34" i="14"/>
  <c r="AZ34" i="14"/>
  <c r="AU34" i="14"/>
  <c r="BG34" i="14"/>
  <c r="AC34" i="14"/>
  <c r="AM34" i="14"/>
  <c r="V34" i="14"/>
  <c r="BA34" i="14"/>
  <c r="AH34" i="14"/>
  <c r="AQ34" i="14"/>
  <c r="E94" i="14"/>
  <c r="F94" i="14" s="1"/>
  <c r="AL54" i="14"/>
  <c r="BB54" i="14"/>
  <c r="BC54" i="14"/>
  <c r="BA54" i="14"/>
  <c r="X54" i="14"/>
  <c r="AQ54" i="14"/>
  <c r="I54" i="14"/>
  <c r="AC54" i="14"/>
  <c r="H54" i="14"/>
  <c r="BI54" i="14"/>
  <c r="AF54" i="14"/>
  <c r="BF54" i="14"/>
  <c r="P54" i="14"/>
  <c r="AO54" i="14"/>
  <c r="V54" i="14"/>
  <c r="AZ54" i="14"/>
  <c r="W54" i="14"/>
  <c r="AV54" i="14"/>
  <c r="J54" i="14"/>
  <c r="AY54" i="14"/>
  <c r="K54" i="14"/>
  <c r="BE54" i="14"/>
  <c r="N54" i="14"/>
  <c r="AM54" i="14"/>
  <c r="AT54" i="14"/>
  <c r="M54" i="14"/>
  <c r="Z54" i="14"/>
  <c r="Q54" i="14"/>
  <c r="U54" i="14"/>
  <c r="S54" i="14"/>
  <c r="Y54" i="14"/>
  <c r="AN54" i="14"/>
  <c r="AW54" i="14"/>
  <c r="AH54" i="14"/>
  <c r="AJ54" i="14"/>
  <c r="BG54" i="14"/>
  <c r="AU54" i="14"/>
  <c r="BH54" i="14"/>
  <c r="O54" i="14"/>
  <c r="AE54" i="14"/>
  <c r="BD54" i="14"/>
  <c r="AA54" i="14"/>
  <c r="AX54" i="14"/>
  <c r="AK54" i="14"/>
  <c r="BJ54" i="14"/>
  <c r="AD54" i="14"/>
  <c r="AP54" i="14"/>
  <c r="R54" i="14"/>
  <c r="AG54" i="14"/>
  <c r="AI54" i="14"/>
  <c r="AR54" i="14"/>
  <c r="AS54" i="14"/>
  <c r="L54" i="14"/>
  <c r="AB54" i="14"/>
  <c r="T54" i="14"/>
  <c r="C48" i="14"/>
  <c r="B47" i="14"/>
  <c r="C52" i="14"/>
  <c r="B51" i="14"/>
  <c r="R75" i="14"/>
  <c r="I75" i="14"/>
  <c r="V75" i="14"/>
  <c r="AO75" i="14"/>
  <c r="AI75" i="14"/>
  <c r="AB75" i="14"/>
  <c r="AW75" i="14"/>
  <c r="BH75" i="14"/>
  <c r="Q75" i="14"/>
  <c r="AF75" i="14"/>
  <c r="AL75" i="14"/>
  <c r="P75" i="14"/>
  <c r="K75" i="14"/>
  <c r="AN75" i="14"/>
  <c r="L75" i="14"/>
  <c r="T75" i="14"/>
  <c r="BF75" i="14"/>
  <c r="AU75" i="14"/>
  <c r="BJ75" i="14"/>
  <c r="AD75" i="14"/>
  <c r="AC75" i="14"/>
  <c r="S75" i="14"/>
  <c r="Y75" i="14"/>
  <c r="BC75" i="14"/>
  <c r="AK75" i="14"/>
  <c r="Z75" i="14"/>
  <c r="AQ75" i="14"/>
  <c r="AE75" i="14"/>
  <c r="AA75" i="14"/>
  <c r="AT75" i="14"/>
  <c r="BE75" i="14"/>
  <c r="AV75" i="14"/>
  <c r="W75" i="14"/>
  <c r="AR75" i="14"/>
  <c r="O75" i="14"/>
  <c r="M75" i="14"/>
  <c r="X75" i="14"/>
  <c r="AM75" i="14"/>
  <c r="AZ75" i="14"/>
  <c r="BI75" i="14"/>
  <c r="H75" i="14"/>
  <c r="BB75" i="14"/>
  <c r="AS75" i="14"/>
  <c r="AH75" i="14"/>
  <c r="BD75" i="14"/>
  <c r="AX75" i="14"/>
  <c r="BG75" i="14"/>
  <c r="U75" i="14"/>
  <c r="AY75" i="14"/>
  <c r="N75" i="14"/>
  <c r="J75" i="14"/>
  <c r="BA75" i="14"/>
  <c r="AP75" i="14"/>
  <c r="AG75" i="14"/>
  <c r="AJ75" i="14"/>
  <c r="AY38" i="14"/>
  <c r="L38" i="14"/>
  <c r="BA38" i="14"/>
  <c r="S38" i="14"/>
  <c r="AR38" i="14"/>
  <c r="T38" i="14"/>
  <c r="AZ38" i="14"/>
  <c r="J38" i="14"/>
  <c r="W38" i="14"/>
  <c r="AA38" i="14"/>
  <c r="BE38" i="14"/>
  <c r="AG38" i="14"/>
  <c r="Y38" i="14"/>
  <c r="V38" i="14"/>
  <c r="AX38" i="14"/>
  <c r="M38" i="14"/>
  <c r="BF38" i="14"/>
  <c r="AV38" i="14"/>
  <c r="BG38" i="14"/>
  <c r="Q38" i="14"/>
  <c r="N38" i="14"/>
  <c r="AT38" i="14"/>
  <c r="AB38" i="14"/>
  <c r="AK38" i="14"/>
  <c r="P38" i="14"/>
  <c r="BB38" i="14"/>
  <c r="AN38" i="14"/>
  <c r="AI38" i="14"/>
  <c r="R38" i="14"/>
  <c r="H38" i="14"/>
  <c r="AP38" i="14"/>
  <c r="AJ38" i="14"/>
  <c r="AU38" i="14"/>
  <c r="AM38" i="14"/>
  <c r="AF38" i="14"/>
  <c r="Z38" i="14"/>
  <c r="BJ38" i="14"/>
  <c r="AC38" i="14"/>
  <c r="K38" i="14"/>
  <c r="U38" i="14"/>
  <c r="AE38" i="14"/>
  <c r="AO38" i="14"/>
  <c r="I38" i="14"/>
  <c r="O38" i="14"/>
  <c r="AH38" i="14"/>
  <c r="X38" i="14"/>
  <c r="AL38" i="14"/>
  <c r="AD38" i="14"/>
  <c r="BC38" i="14"/>
  <c r="BI38" i="14"/>
  <c r="BH38" i="14"/>
  <c r="AW38" i="14"/>
  <c r="AS38" i="14"/>
  <c r="BD38" i="14"/>
  <c r="AQ38" i="14"/>
  <c r="E58" i="14"/>
  <c r="F58" i="14" s="1"/>
  <c r="E78" i="14"/>
  <c r="F78" i="14" s="1"/>
  <c r="C36" i="14"/>
  <c r="B35" i="14"/>
  <c r="C56" i="14"/>
  <c r="B55" i="14"/>
  <c r="AI87" i="14"/>
  <c r="R87" i="14"/>
  <c r="AW87" i="14"/>
  <c r="AM87" i="14"/>
  <c r="AQ87" i="14"/>
  <c r="AX87" i="14"/>
  <c r="BB87" i="14"/>
  <c r="AG87" i="14"/>
  <c r="W87" i="14"/>
  <c r="N87" i="14"/>
  <c r="J87" i="14"/>
  <c r="AB87" i="14"/>
  <c r="BI87" i="14"/>
  <c r="I87" i="14"/>
  <c r="AS87" i="14"/>
  <c r="AJ87" i="14"/>
  <c r="AU87" i="14"/>
  <c r="S87" i="14"/>
  <c r="AD87" i="14"/>
  <c r="L87" i="14"/>
  <c r="AF87" i="14"/>
  <c r="BD87" i="14"/>
  <c r="V87" i="14"/>
  <c r="Z87" i="14"/>
  <c r="BH87" i="14"/>
  <c r="AY87" i="14"/>
  <c r="AK87" i="14"/>
  <c r="P87" i="14"/>
  <c r="Y87" i="14"/>
  <c r="AH87" i="14"/>
  <c r="Q87" i="14"/>
  <c r="BJ87" i="14"/>
  <c r="BA87" i="14"/>
  <c r="U87" i="14"/>
  <c r="H87" i="14"/>
  <c r="AV87" i="14"/>
  <c r="BE87" i="14"/>
  <c r="M87" i="14"/>
  <c r="T87" i="14"/>
  <c r="K87" i="14"/>
  <c r="AP87" i="14"/>
  <c r="AN87" i="14"/>
  <c r="AL87" i="14"/>
  <c r="AO87" i="14"/>
  <c r="BG87" i="14"/>
  <c r="BF87" i="14"/>
  <c r="BC87" i="14"/>
  <c r="AE87" i="14"/>
  <c r="O87" i="14"/>
  <c r="AA87" i="14"/>
  <c r="AZ87" i="14"/>
  <c r="AC87" i="14"/>
  <c r="AR87" i="14"/>
  <c r="X87" i="14"/>
  <c r="AT87" i="14"/>
  <c r="C77" i="14"/>
  <c r="B77" i="14" s="1"/>
  <c r="B76" i="14"/>
  <c r="AT30" i="14"/>
  <c r="O30" i="14"/>
  <c r="L30" i="14"/>
  <c r="X30" i="14"/>
  <c r="K30" i="14"/>
  <c r="W30" i="14"/>
  <c r="AI30" i="14"/>
  <c r="BD30" i="14"/>
  <c r="AE30" i="14"/>
  <c r="J30" i="14"/>
  <c r="BF30" i="14"/>
  <c r="AC30" i="14"/>
  <c r="AZ30" i="14"/>
  <c r="BB30" i="14"/>
  <c r="AH30" i="14"/>
  <c r="BA30" i="14"/>
  <c r="BC30" i="14"/>
  <c r="AY30" i="14"/>
  <c r="BJ30" i="14"/>
  <c r="I30" i="14"/>
  <c r="AR30" i="14"/>
  <c r="AN30" i="14"/>
  <c r="AM30" i="14"/>
  <c r="U30" i="14"/>
  <c r="AS30" i="14"/>
  <c r="AA30" i="14"/>
  <c r="BE30" i="14"/>
  <c r="AO30" i="14"/>
  <c r="BH30" i="14"/>
  <c r="V30" i="14"/>
  <c r="R30" i="14"/>
  <c r="S30" i="14"/>
  <c r="AQ30" i="14"/>
  <c r="H30" i="14"/>
  <c r="P30" i="14"/>
  <c r="AV30" i="14"/>
  <c r="AF30" i="14"/>
  <c r="BG30" i="14"/>
  <c r="AK30" i="14"/>
  <c r="T30" i="14"/>
  <c r="N30" i="14"/>
  <c r="Q30" i="14"/>
  <c r="AW30" i="14"/>
  <c r="AP30" i="14"/>
  <c r="BI30" i="14"/>
  <c r="AG30" i="14"/>
  <c r="AX30" i="14"/>
  <c r="AB30" i="14"/>
  <c r="M30" i="14"/>
  <c r="AL30" i="14"/>
  <c r="AJ30" i="14"/>
  <c r="Z30" i="14"/>
  <c r="Y30" i="14"/>
  <c r="AD30" i="14"/>
  <c r="AU30" i="14"/>
  <c r="C40" i="14"/>
  <c r="B39" i="14"/>
  <c r="AI68" i="14"/>
  <c r="H68" i="14"/>
  <c r="AG68" i="14"/>
  <c r="W68" i="14"/>
  <c r="L68" i="14"/>
  <c r="X68" i="14"/>
  <c r="AQ68" i="14"/>
  <c r="AZ68" i="14"/>
  <c r="Y68" i="14"/>
  <c r="N68" i="14"/>
  <c r="K68" i="14"/>
  <c r="I68" i="14"/>
  <c r="E67" i="14" s="1"/>
  <c r="F67" i="14" s="1"/>
  <c r="AW68" i="14"/>
  <c r="AM68" i="14"/>
  <c r="P68" i="14"/>
  <c r="BB68" i="14"/>
  <c r="AE68" i="14"/>
  <c r="AU68" i="14"/>
  <c r="BI68" i="14"/>
  <c r="Z68" i="14"/>
  <c r="BA68" i="14"/>
  <c r="AT68" i="14"/>
  <c r="AK68" i="14"/>
  <c r="AV68" i="14"/>
  <c r="M68" i="14"/>
  <c r="AN68" i="14"/>
  <c r="BH68" i="14"/>
  <c r="AX68" i="14"/>
  <c r="Q68" i="14"/>
  <c r="S68" i="14"/>
  <c r="AD68" i="14"/>
  <c r="BF68" i="14"/>
  <c r="U68" i="14"/>
  <c r="AC68" i="14"/>
  <c r="AH68" i="14"/>
  <c r="J68" i="14"/>
  <c r="AJ68" i="14"/>
  <c r="AO68" i="14"/>
  <c r="T68" i="14"/>
  <c r="AY68" i="14"/>
  <c r="AB68" i="14"/>
  <c r="R68" i="14"/>
  <c r="AR68" i="14"/>
  <c r="AS68" i="14"/>
  <c r="BG68" i="14"/>
  <c r="BJ68" i="14"/>
  <c r="O68" i="14"/>
  <c r="BE68" i="14"/>
  <c r="AF68" i="14"/>
  <c r="V68" i="14"/>
  <c r="AL68" i="14"/>
  <c r="AA68" i="14"/>
  <c r="BC68" i="14"/>
  <c r="AP68" i="14"/>
  <c r="BD68" i="14"/>
  <c r="C64" i="14"/>
  <c r="B63" i="14"/>
  <c r="C89" i="14"/>
  <c r="B89" i="14" s="1"/>
  <c r="B88" i="14"/>
  <c r="C32" i="14"/>
  <c r="B31" i="14"/>
  <c r="BC80" i="14"/>
  <c r="AO80" i="14"/>
  <c r="AR80" i="14"/>
  <c r="U80" i="14"/>
  <c r="AF80" i="14"/>
  <c r="AI80" i="14"/>
  <c r="AX80" i="14"/>
  <c r="AK80" i="14"/>
  <c r="AW80" i="14"/>
  <c r="BD80" i="14"/>
  <c r="BJ80" i="14"/>
  <c r="Q80" i="14"/>
  <c r="O80" i="14"/>
  <c r="AA80" i="14"/>
  <c r="AS80" i="14"/>
  <c r="BE80" i="14"/>
  <c r="X80" i="14"/>
  <c r="AQ80" i="14"/>
  <c r="AN80" i="14"/>
  <c r="AG80" i="14"/>
  <c r="AH80" i="14"/>
  <c r="BA80" i="14"/>
  <c r="AM80" i="14"/>
  <c r="H80" i="14"/>
  <c r="AD80" i="14"/>
  <c r="T80" i="14"/>
  <c r="AY80" i="14"/>
  <c r="N80" i="14"/>
  <c r="P80" i="14"/>
  <c r="AB80" i="14"/>
  <c r="K80" i="14"/>
  <c r="M80" i="14"/>
  <c r="Z80" i="14"/>
  <c r="AV80" i="14"/>
  <c r="L80" i="14"/>
  <c r="AZ80" i="14"/>
  <c r="S80" i="14"/>
  <c r="V80" i="14"/>
  <c r="Y80" i="14"/>
  <c r="J80" i="14"/>
  <c r="BI80" i="14"/>
  <c r="AT80" i="14"/>
  <c r="W80" i="14"/>
  <c r="BF80" i="14"/>
  <c r="AE80" i="14"/>
  <c r="I80" i="14"/>
  <c r="AU80" i="14"/>
  <c r="AC80" i="14"/>
  <c r="BG80" i="14"/>
  <c r="BB80" i="14"/>
  <c r="AP80" i="14"/>
  <c r="R80" i="14"/>
  <c r="AL80" i="14"/>
  <c r="AJ80" i="14"/>
  <c r="BH80" i="14"/>
  <c r="BA69" i="14"/>
  <c r="R69" i="14"/>
  <c r="AV69" i="14"/>
  <c r="T69" i="14"/>
  <c r="AB69" i="14"/>
  <c r="AZ69" i="14"/>
  <c r="J69" i="14"/>
  <c r="I69" i="14"/>
  <c r="O69" i="14"/>
  <c r="AY69" i="14"/>
  <c r="AW69" i="14"/>
  <c r="BE69" i="14"/>
  <c r="Z69" i="14"/>
  <c r="P69" i="14"/>
  <c r="AI69" i="14"/>
  <c r="AP69" i="14"/>
  <c r="AM69" i="14"/>
  <c r="BI69" i="14"/>
  <c r="AU69" i="14"/>
  <c r="AX69" i="14"/>
  <c r="AF69" i="14"/>
  <c r="AG69" i="14"/>
  <c r="AO69" i="14"/>
  <c r="N69" i="14"/>
  <c r="AK69" i="14"/>
  <c r="AT69" i="14"/>
  <c r="X69" i="14"/>
  <c r="BJ69" i="14"/>
  <c r="BH69" i="14"/>
  <c r="AJ69" i="14"/>
  <c r="S69" i="14"/>
  <c r="Q69" i="14"/>
  <c r="AQ69" i="14"/>
  <c r="AC69" i="14"/>
  <c r="AN69" i="14"/>
  <c r="V69" i="14"/>
  <c r="K69" i="14"/>
  <c r="L69" i="14"/>
  <c r="H69" i="14"/>
  <c r="M69" i="14"/>
  <c r="AE69" i="14"/>
  <c r="BD69" i="14"/>
  <c r="AS69" i="14"/>
  <c r="AA69" i="14"/>
  <c r="Y69" i="14"/>
  <c r="AH69" i="14"/>
  <c r="BB69" i="14"/>
  <c r="BG69" i="14"/>
  <c r="U69" i="14"/>
  <c r="AR69" i="14"/>
  <c r="AL69" i="14"/>
  <c r="W69" i="14"/>
  <c r="BF69" i="14"/>
  <c r="AD69" i="14"/>
  <c r="BC69" i="14"/>
  <c r="AH4" i="14"/>
  <c r="AG14" i="14"/>
  <c r="AG15" i="14"/>
  <c r="AG17" i="14"/>
  <c r="AG16" i="14"/>
  <c r="AA7" i="14" l="1"/>
  <c r="E80" i="14"/>
  <c r="F80" i="14" s="1"/>
  <c r="Q7" i="14"/>
  <c r="J7" i="14"/>
  <c r="H7" i="14"/>
  <c r="M7" i="14"/>
  <c r="N7" i="14"/>
  <c r="AE7" i="14"/>
  <c r="AB7" i="14"/>
  <c r="T7" i="14"/>
  <c r="S7" i="14"/>
  <c r="AD7" i="14"/>
  <c r="V7" i="14"/>
  <c r="W7" i="14"/>
  <c r="AG7" i="14"/>
  <c r="Y7" i="14"/>
  <c r="K7" i="14"/>
  <c r="Z7" i="14"/>
  <c r="I7" i="14"/>
  <c r="AC7" i="14"/>
  <c r="X7" i="14"/>
  <c r="P7" i="14"/>
  <c r="L7" i="14"/>
  <c r="O7" i="14"/>
  <c r="U7" i="14"/>
  <c r="R7" i="14"/>
  <c r="AF7" i="14"/>
  <c r="AO89" i="14"/>
  <c r="AF89" i="14"/>
  <c r="AL89" i="14"/>
  <c r="AH89" i="14"/>
  <c r="O89" i="14"/>
  <c r="Q89" i="14"/>
  <c r="AB89" i="14"/>
  <c r="AR89" i="14"/>
  <c r="AG89" i="14"/>
  <c r="BB89" i="14"/>
  <c r="AS89" i="14"/>
  <c r="AI89" i="14"/>
  <c r="BD89" i="14"/>
  <c r="AU89" i="14"/>
  <c r="AM89" i="14"/>
  <c r="AC89" i="14"/>
  <c r="S89" i="14"/>
  <c r="J89" i="14"/>
  <c r="W89" i="14"/>
  <c r="M89" i="14"/>
  <c r="BA89" i="14"/>
  <c r="BJ89" i="14"/>
  <c r="AP89" i="14"/>
  <c r="BI89" i="14"/>
  <c r="AW89" i="14"/>
  <c r="AK89" i="14"/>
  <c r="AT89" i="14"/>
  <c r="Y89" i="14"/>
  <c r="AZ89" i="14"/>
  <c r="R89" i="14"/>
  <c r="V89" i="14"/>
  <c r="L89" i="14"/>
  <c r="X89" i="14"/>
  <c r="H89" i="14"/>
  <c r="K89" i="14"/>
  <c r="T89" i="14"/>
  <c r="AA89" i="14"/>
  <c r="Z89" i="14"/>
  <c r="AV89" i="14"/>
  <c r="AY89" i="14"/>
  <c r="BH89" i="14"/>
  <c r="AE89" i="14"/>
  <c r="BG89" i="14"/>
  <c r="AD89" i="14"/>
  <c r="BC89" i="14"/>
  <c r="BF89" i="14"/>
  <c r="AJ89" i="14"/>
  <c r="AQ89" i="14"/>
  <c r="I89" i="14"/>
  <c r="P89" i="14"/>
  <c r="AX89" i="14"/>
  <c r="BE89" i="14"/>
  <c r="U89" i="14"/>
  <c r="N89" i="14"/>
  <c r="AN89" i="14"/>
  <c r="C37" i="14"/>
  <c r="B37" i="14" s="1"/>
  <c r="B36" i="14"/>
  <c r="C45" i="14"/>
  <c r="B45" i="14" s="1"/>
  <c r="B44" i="14"/>
  <c r="AP99" i="14"/>
  <c r="AU99" i="14"/>
  <c r="Q99" i="14"/>
  <c r="AY99" i="14"/>
  <c r="AQ99" i="14"/>
  <c r="AG99" i="14"/>
  <c r="U99" i="14"/>
  <c r="S99" i="14"/>
  <c r="AI99" i="14"/>
  <c r="I99" i="14"/>
  <c r="AO99" i="14"/>
  <c r="Y99" i="14"/>
  <c r="M99" i="14"/>
  <c r="V99" i="14"/>
  <c r="W99" i="14"/>
  <c r="AS99" i="14"/>
  <c r="BG99" i="14"/>
  <c r="T99" i="14"/>
  <c r="H99" i="14"/>
  <c r="P99" i="14"/>
  <c r="N99" i="14"/>
  <c r="O99" i="14"/>
  <c r="BB99" i="14"/>
  <c r="AJ99" i="14"/>
  <c r="AV99" i="14"/>
  <c r="AD99" i="14"/>
  <c r="AN99" i="14"/>
  <c r="AW99" i="14"/>
  <c r="Z99" i="14"/>
  <c r="L99" i="14"/>
  <c r="AF99" i="14"/>
  <c r="X99" i="14"/>
  <c r="BF99" i="14"/>
  <c r="BA99" i="14"/>
  <c r="BI99" i="14"/>
  <c r="AT99" i="14"/>
  <c r="BH99" i="14"/>
  <c r="K99" i="14"/>
  <c r="AK99" i="14"/>
  <c r="AM99" i="14"/>
  <c r="AZ99" i="14"/>
  <c r="AA99" i="14"/>
  <c r="R99" i="14"/>
  <c r="AE99" i="14"/>
  <c r="AL99" i="14"/>
  <c r="AH99" i="14"/>
  <c r="AX99" i="14"/>
  <c r="BC99" i="14"/>
  <c r="J99" i="14"/>
  <c r="BJ99" i="14"/>
  <c r="BE99" i="14"/>
  <c r="AB99" i="14"/>
  <c r="AC99" i="14"/>
  <c r="BD99" i="14"/>
  <c r="AR99" i="14"/>
  <c r="AB63" i="14"/>
  <c r="BD63" i="14"/>
  <c r="Z63" i="14"/>
  <c r="K63" i="14"/>
  <c r="AG63" i="14"/>
  <c r="X63" i="14"/>
  <c r="U63" i="14"/>
  <c r="AQ63" i="14"/>
  <c r="BE63" i="14"/>
  <c r="J63" i="14"/>
  <c r="BG63" i="14"/>
  <c r="T63" i="14"/>
  <c r="BB63" i="14"/>
  <c r="AW63" i="14"/>
  <c r="S63" i="14"/>
  <c r="M63" i="14"/>
  <c r="Q63" i="14"/>
  <c r="O63" i="14"/>
  <c r="V63" i="14"/>
  <c r="AJ63" i="14"/>
  <c r="AN63" i="14"/>
  <c r="AI63" i="14"/>
  <c r="BJ63" i="14"/>
  <c r="AY63" i="14"/>
  <c r="AZ63" i="14"/>
  <c r="BA63" i="14"/>
  <c r="AE63" i="14"/>
  <c r="AF63" i="14"/>
  <c r="AK63" i="14"/>
  <c r="AR63" i="14"/>
  <c r="AM63" i="14"/>
  <c r="AA63" i="14"/>
  <c r="L63" i="14"/>
  <c r="W63" i="14"/>
  <c r="AC63" i="14"/>
  <c r="BF63" i="14"/>
  <c r="Y63" i="14"/>
  <c r="AP63" i="14"/>
  <c r="AO63" i="14"/>
  <c r="AH63" i="14"/>
  <c r="AL63" i="14"/>
  <c r="AS63" i="14"/>
  <c r="AX63" i="14"/>
  <c r="N63" i="14"/>
  <c r="I63" i="14"/>
  <c r="AT63" i="14"/>
  <c r="AV63" i="14"/>
  <c r="BH63" i="14"/>
  <c r="AD63" i="14"/>
  <c r="R63" i="14"/>
  <c r="AU63" i="14"/>
  <c r="P63" i="14"/>
  <c r="H63" i="14"/>
  <c r="BI63" i="14"/>
  <c r="BC63" i="14"/>
  <c r="E74" i="14"/>
  <c r="F74" i="14" s="1"/>
  <c r="E96" i="14"/>
  <c r="F96" i="14" s="1"/>
  <c r="C101" i="14"/>
  <c r="B101" i="14" s="1"/>
  <c r="B100" i="14"/>
  <c r="E82" i="14"/>
  <c r="F82" i="14" s="1"/>
  <c r="C65" i="14"/>
  <c r="B65" i="14" s="1"/>
  <c r="B64" i="14"/>
  <c r="BI39" i="14"/>
  <c r="J39" i="14"/>
  <c r="AO39" i="14"/>
  <c r="AJ39" i="14"/>
  <c r="Y39" i="14"/>
  <c r="U39" i="14"/>
  <c r="AN39" i="14"/>
  <c r="X39" i="14"/>
  <c r="AE39" i="14"/>
  <c r="H39" i="14"/>
  <c r="AD39" i="14"/>
  <c r="AL39" i="14"/>
  <c r="K39" i="14"/>
  <c r="AU39" i="14"/>
  <c r="BH39" i="14"/>
  <c r="AY39" i="14"/>
  <c r="Z39" i="14"/>
  <c r="S39" i="14"/>
  <c r="BB39" i="14"/>
  <c r="AM39" i="14"/>
  <c r="AX39" i="14"/>
  <c r="N39" i="14"/>
  <c r="AB39" i="14"/>
  <c r="AA39" i="14"/>
  <c r="BF39" i="14"/>
  <c r="L39" i="14"/>
  <c r="O39" i="14"/>
  <c r="V39" i="14"/>
  <c r="AR39" i="14"/>
  <c r="W39" i="14"/>
  <c r="P39" i="14"/>
  <c r="BG39" i="14"/>
  <c r="M39" i="14"/>
  <c r="AP39" i="14"/>
  <c r="BD39" i="14"/>
  <c r="R39" i="14"/>
  <c r="I39" i="14"/>
  <c r="AZ39" i="14"/>
  <c r="BA39" i="14"/>
  <c r="AI39" i="14"/>
  <c r="BE39" i="14"/>
  <c r="AG39" i="14"/>
  <c r="AQ39" i="14"/>
  <c r="AS39" i="14"/>
  <c r="BC39" i="14"/>
  <c r="AC39" i="14"/>
  <c r="AT39" i="14"/>
  <c r="AW39" i="14"/>
  <c r="Q39" i="14"/>
  <c r="AV39" i="14"/>
  <c r="AK39" i="14"/>
  <c r="T39" i="14"/>
  <c r="AF39" i="14"/>
  <c r="AH39" i="14"/>
  <c r="BJ39" i="14"/>
  <c r="E79" i="14"/>
  <c r="F79" i="14" s="1"/>
  <c r="E60" i="14"/>
  <c r="F60" i="14" s="1"/>
  <c r="C41" i="14"/>
  <c r="B41" i="14" s="1"/>
  <c r="B40" i="14"/>
  <c r="V76" i="14"/>
  <c r="AX76" i="14"/>
  <c r="BH76" i="14"/>
  <c r="AK76" i="14"/>
  <c r="O76" i="14"/>
  <c r="AV76" i="14"/>
  <c r="P76" i="14"/>
  <c r="BF76" i="14"/>
  <c r="Y76" i="14"/>
  <c r="X76" i="14"/>
  <c r="AQ76" i="14"/>
  <c r="AR76" i="14"/>
  <c r="U76" i="14"/>
  <c r="AJ76" i="14"/>
  <c r="AI76" i="14"/>
  <c r="Z76" i="14"/>
  <c r="BD76" i="14"/>
  <c r="Q76" i="14"/>
  <c r="AT76" i="14"/>
  <c r="T76" i="14"/>
  <c r="S76" i="14"/>
  <c r="AH76" i="14"/>
  <c r="AW76" i="14"/>
  <c r="M76" i="14"/>
  <c r="BJ76" i="14"/>
  <c r="BA76" i="14"/>
  <c r="AE76" i="14"/>
  <c r="AZ76" i="14"/>
  <c r="AB76" i="14"/>
  <c r="L76" i="14"/>
  <c r="AO76" i="14"/>
  <c r="AS76" i="14"/>
  <c r="W76" i="14"/>
  <c r="K76" i="14"/>
  <c r="AF76" i="14"/>
  <c r="BB76" i="14"/>
  <c r="AP76" i="14"/>
  <c r="BE76" i="14"/>
  <c r="AD76" i="14"/>
  <c r="R76" i="14"/>
  <c r="BG76" i="14"/>
  <c r="AU76" i="14"/>
  <c r="AC76" i="14"/>
  <c r="AM76" i="14"/>
  <c r="AG76" i="14"/>
  <c r="H76" i="14"/>
  <c r="AL76" i="14"/>
  <c r="N76" i="14"/>
  <c r="AN76" i="14"/>
  <c r="BC76" i="14"/>
  <c r="I76" i="14"/>
  <c r="E75" i="14" s="1"/>
  <c r="F75" i="14" s="1"/>
  <c r="J76" i="14"/>
  <c r="AY76" i="14"/>
  <c r="AA76" i="14"/>
  <c r="BI76" i="14"/>
  <c r="Y51" i="14"/>
  <c r="AP51" i="14"/>
  <c r="AC51" i="14"/>
  <c r="BD51" i="14"/>
  <c r="BJ51" i="14"/>
  <c r="AV51" i="14"/>
  <c r="AT51" i="14"/>
  <c r="AG51" i="14"/>
  <c r="AL51" i="14"/>
  <c r="BI51" i="14"/>
  <c r="AR51" i="14"/>
  <c r="P51" i="14"/>
  <c r="AH51" i="14"/>
  <c r="X51" i="14"/>
  <c r="BF51" i="14"/>
  <c r="Q51" i="14"/>
  <c r="N51" i="14"/>
  <c r="T51" i="14"/>
  <c r="BB51" i="14"/>
  <c r="AY51" i="14"/>
  <c r="AW51" i="14"/>
  <c r="O51" i="14"/>
  <c r="AO51" i="14"/>
  <c r="BC51" i="14"/>
  <c r="AZ51" i="14"/>
  <c r="BA51" i="14"/>
  <c r="AS51" i="14"/>
  <c r="W51" i="14"/>
  <c r="AB51" i="14"/>
  <c r="V51" i="14"/>
  <c r="S51" i="14"/>
  <c r="AM51" i="14"/>
  <c r="AU51" i="14"/>
  <c r="BH51" i="14"/>
  <c r="K51" i="14"/>
  <c r="BE51" i="14"/>
  <c r="Z51" i="14"/>
  <c r="AA51" i="14"/>
  <c r="BG51" i="14"/>
  <c r="AE51" i="14"/>
  <c r="M51" i="14"/>
  <c r="AF51" i="14"/>
  <c r="I51" i="14"/>
  <c r="AD51" i="14"/>
  <c r="AJ51" i="14"/>
  <c r="AX51" i="14"/>
  <c r="J51" i="14"/>
  <c r="AN51" i="14"/>
  <c r="AK51" i="14"/>
  <c r="L51" i="14"/>
  <c r="U51" i="14"/>
  <c r="H51" i="14"/>
  <c r="R51" i="14"/>
  <c r="AI51" i="14"/>
  <c r="AQ51" i="14"/>
  <c r="E92" i="14"/>
  <c r="F92" i="14" s="1"/>
  <c r="BB77" i="14"/>
  <c r="AL77" i="14"/>
  <c r="AW77" i="14"/>
  <c r="AN77" i="14"/>
  <c r="AV77" i="14"/>
  <c r="BJ77" i="14"/>
  <c r="BD77" i="14"/>
  <c r="M77" i="14"/>
  <c r="W77" i="14"/>
  <c r="BF77" i="14"/>
  <c r="BA77" i="14"/>
  <c r="AU77" i="14"/>
  <c r="AS77" i="14"/>
  <c r="BE77" i="14"/>
  <c r="S77" i="14"/>
  <c r="Q77" i="14"/>
  <c r="AT77" i="14"/>
  <c r="AM77" i="14"/>
  <c r="AY77" i="14"/>
  <c r="AO77" i="14"/>
  <c r="AX77" i="14"/>
  <c r="AA77" i="14"/>
  <c r="H77" i="14"/>
  <c r="AF77" i="14"/>
  <c r="T77" i="14"/>
  <c r="R77" i="14"/>
  <c r="X77" i="14"/>
  <c r="P77" i="14"/>
  <c r="J77" i="14"/>
  <c r="AQ77" i="14"/>
  <c r="Z77" i="14"/>
  <c r="AG77" i="14"/>
  <c r="O77" i="14"/>
  <c r="AJ77" i="14"/>
  <c r="AR77" i="14"/>
  <c r="N77" i="14"/>
  <c r="AC77" i="14"/>
  <c r="AK77" i="14"/>
  <c r="K77" i="14"/>
  <c r="Y77" i="14"/>
  <c r="AP77" i="14"/>
  <c r="U77" i="14"/>
  <c r="BH77" i="14"/>
  <c r="AB77" i="14"/>
  <c r="I77" i="14"/>
  <c r="AZ77" i="14"/>
  <c r="AE77" i="14"/>
  <c r="BC77" i="14"/>
  <c r="AD77" i="14"/>
  <c r="BI77" i="14"/>
  <c r="AI77" i="14"/>
  <c r="BG77" i="14"/>
  <c r="L77" i="14"/>
  <c r="V77" i="14"/>
  <c r="AH77" i="14"/>
  <c r="C53" i="14"/>
  <c r="B53" i="14" s="1"/>
  <c r="B52" i="14"/>
  <c r="BJ31" i="14"/>
  <c r="AO31" i="14"/>
  <c r="R31" i="14"/>
  <c r="AD31" i="14"/>
  <c r="AJ31" i="14"/>
  <c r="AX31" i="14"/>
  <c r="H31" i="14"/>
  <c r="AV31" i="14"/>
  <c r="L31" i="14"/>
  <c r="U31" i="14"/>
  <c r="BF31" i="14"/>
  <c r="AF31" i="14"/>
  <c r="AQ31" i="14"/>
  <c r="AK31" i="14"/>
  <c r="AM31" i="14"/>
  <c r="AB31" i="14"/>
  <c r="AZ31" i="14"/>
  <c r="V31" i="14"/>
  <c r="X31" i="14"/>
  <c r="BI31" i="14"/>
  <c r="S31" i="14"/>
  <c r="AL31" i="14"/>
  <c r="AT31" i="14"/>
  <c r="AW31" i="14"/>
  <c r="AU31" i="14"/>
  <c r="O31" i="14"/>
  <c r="K31" i="14"/>
  <c r="BE31" i="14"/>
  <c r="AY31" i="14"/>
  <c r="AA31" i="14"/>
  <c r="AC31" i="14"/>
  <c r="M31" i="14"/>
  <c r="N31" i="14"/>
  <c r="J31" i="14"/>
  <c r="I31" i="14"/>
  <c r="BD31" i="14"/>
  <c r="AG31" i="14"/>
  <c r="T31" i="14"/>
  <c r="AR31" i="14"/>
  <c r="Z31" i="14"/>
  <c r="AN31" i="14"/>
  <c r="AE31" i="14"/>
  <c r="BH31" i="14"/>
  <c r="BC31" i="14"/>
  <c r="BA31" i="14"/>
  <c r="AH31" i="14"/>
  <c r="Q31" i="14"/>
  <c r="AI31" i="14"/>
  <c r="W31" i="14"/>
  <c r="AS31" i="14"/>
  <c r="P31" i="14"/>
  <c r="BB31" i="14"/>
  <c r="BG31" i="14"/>
  <c r="Y31" i="14"/>
  <c r="AP31" i="14"/>
  <c r="AX55" i="14"/>
  <c r="K55" i="14"/>
  <c r="AK55" i="14"/>
  <c r="R55" i="14"/>
  <c r="AR55" i="14"/>
  <c r="AS55" i="14"/>
  <c r="AV55" i="14"/>
  <c r="BE55" i="14"/>
  <c r="AB55" i="14"/>
  <c r="I55" i="14"/>
  <c r="AI55" i="14"/>
  <c r="BI55" i="14"/>
  <c r="BF55" i="14"/>
  <c r="AE55" i="14"/>
  <c r="S55" i="14"/>
  <c r="AT55" i="14"/>
  <c r="Z55" i="14"/>
  <c r="AZ55" i="14"/>
  <c r="AD55" i="14"/>
  <c r="BA55" i="14"/>
  <c r="V55" i="14"/>
  <c r="AF55" i="14"/>
  <c r="Q55" i="14"/>
  <c r="AQ55" i="14"/>
  <c r="O55" i="14"/>
  <c r="BB55" i="14"/>
  <c r="N55" i="14"/>
  <c r="AO55" i="14"/>
  <c r="AN55" i="14"/>
  <c r="AH55" i="14"/>
  <c r="BH55" i="14"/>
  <c r="BJ55" i="14"/>
  <c r="AL55" i="14"/>
  <c r="X55" i="14"/>
  <c r="BC55" i="14"/>
  <c r="Y55" i="14"/>
  <c r="AY55" i="14"/>
  <c r="W55" i="14"/>
  <c r="AM55" i="14"/>
  <c r="L55" i="14"/>
  <c r="J55" i="14"/>
  <c r="AG55" i="14"/>
  <c r="BG55" i="14"/>
  <c r="T55" i="14"/>
  <c r="AU55" i="14"/>
  <c r="AA55" i="14"/>
  <c r="AW55" i="14"/>
  <c r="U55" i="14"/>
  <c r="BD55" i="14"/>
  <c r="P55" i="14"/>
  <c r="AP55" i="14"/>
  <c r="M55" i="14"/>
  <c r="AC55" i="14"/>
  <c r="H55" i="14"/>
  <c r="AJ55" i="14"/>
  <c r="J47" i="14"/>
  <c r="AL47" i="14"/>
  <c r="P47" i="14"/>
  <c r="U47" i="14"/>
  <c r="AV47" i="14"/>
  <c r="V47" i="14"/>
  <c r="BI47" i="14"/>
  <c r="BD47" i="14"/>
  <c r="AA47" i="14"/>
  <c r="L47" i="14"/>
  <c r="H47" i="14"/>
  <c r="AK47" i="14"/>
  <c r="W47" i="14"/>
  <c r="R47" i="14"/>
  <c r="AW47" i="14"/>
  <c r="BJ47" i="14"/>
  <c r="AC47" i="14"/>
  <c r="AM47" i="14"/>
  <c r="AE47" i="14"/>
  <c r="BF47" i="14"/>
  <c r="AD47" i="14"/>
  <c r="BB47" i="14"/>
  <c r="AN47" i="14"/>
  <c r="T47" i="14"/>
  <c r="AB47" i="14"/>
  <c r="AX47" i="14"/>
  <c r="BA47" i="14"/>
  <c r="AO47" i="14"/>
  <c r="Z47" i="14"/>
  <c r="AI47" i="14"/>
  <c r="S47" i="14"/>
  <c r="AF47" i="14"/>
  <c r="K47" i="14"/>
  <c r="AQ47" i="14"/>
  <c r="BH47" i="14"/>
  <c r="N47" i="14"/>
  <c r="I47" i="14"/>
  <c r="X47" i="14"/>
  <c r="AY47" i="14"/>
  <c r="Q47" i="14"/>
  <c r="AG47" i="14"/>
  <c r="BG47" i="14"/>
  <c r="AT47" i="14"/>
  <c r="AH47" i="14"/>
  <c r="AR47" i="14"/>
  <c r="BE47" i="14"/>
  <c r="AS47" i="14"/>
  <c r="M47" i="14"/>
  <c r="AJ47" i="14"/>
  <c r="AU47" i="14"/>
  <c r="O47" i="14"/>
  <c r="BC47" i="14"/>
  <c r="AP47" i="14"/>
  <c r="Y47" i="14"/>
  <c r="AZ47" i="14"/>
  <c r="C33" i="14"/>
  <c r="B33" i="14" s="1"/>
  <c r="B32" i="14"/>
  <c r="E68" i="14"/>
  <c r="F68" i="14" s="1"/>
  <c r="E86" i="14"/>
  <c r="F86" i="14" s="1"/>
  <c r="C57" i="14"/>
  <c r="B57" i="14" s="1"/>
  <c r="B56" i="14"/>
  <c r="C49" i="14"/>
  <c r="B49" i="14" s="1"/>
  <c r="B48" i="14"/>
  <c r="W84" i="14"/>
  <c r="AE84" i="14"/>
  <c r="AF84" i="14"/>
  <c r="H84" i="14"/>
  <c r="AO84" i="14"/>
  <c r="X84" i="14"/>
  <c r="BE84" i="14"/>
  <c r="BA84" i="14"/>
  <c r="L84" i="14"/>
  <c r="BD84" i="14"/>
  <c r="BJ84" i="14"/>
  <c r="AP84" i="14"/>
  <c r="T84" i="14"/>
  <c r="S84" i="14"/>
  <c r="BF84" i="14"/>
  <c r="AJ84" i="14"/>
  <c r="Y84" i="14"/>
  <c r="V84" i="14"/>
  <c r="M84" i="14"/>
  <c r="AV84" i="14"/>
  <c r="AI84" i="14"/>
  <c r="AU84" i="14"/>
  <c r="K84" i="14"/>
  <c r="BG84" i="14"/>
  <c r="U84" i="14"/>
  <c r="Q84" i="14"/>
  <c r="AY84" i="14"/>
  <c r="BB84" i="14"/>
  <c r="AQ84" i="14"/>
  <c r="AR84" i="14"/>
  <c r="AW84" i="14"/>
  <c r="AN84" i="14"/>
  <c r="BH84" i="14"/>
  <c r="AC84" i="14"/>
  <c r="I84" i="14"/>
  <c r="AH84" i="14"/>
  <c r="AZ84" i="14"/>
  <c r="AX84" i="14"/>
  <c r="AB84" i="14"/>
  <c r="N84" i="14"/>
  <c r="AK84" i="14"/>
  <c r="AT84" i="14"/>
  <c r="Z84" i="14"/>
  <c r="AL84" i="14"/>
  <c r="BC84" i="14"/>
  <c r="R84" i="14"/>
  <c r="P84" i="14"/>
  <c r="AG84" i="14"/>
  <c r="AM84" i="14"/>
  <c r="AA84" i="14"/>
  <c r="BI84" i="14"/>
  <c r="J84" i="14"/>
  <c r="AD84" i="14"/>
  <c r="O84" i="14"/>
  <c r="AS84" i="14"/>
  <c r="M71" i="14"/>
  <c r="AW71" i="14"/>
  <c r="BG71" i="14"/>
  <c r="AL71" i="14"/>
  <c r="J71" i="14"/>
  <c r="S71" i="14"/>
  <c r="K71" i="14"/>
  <c r="V71" i="14"/>
  <c r="AX71" i="14"/>
  <c r="AF71" i="14"/>
  <c r="I71" i="14"/>
  <c r="AA71" i="14"/>
  <c r="Q71" i="14"/>
  <c r="AC71" i="14"/>
  <c r="AS71" i="14"/>
  <c r="W71" i="14"/>
  <c r="BI71" i="14"/>
  <c r="R71" i="14"/>
  <c r="N71" i="14"/>
  <c r="AH71" i="14"/>
  <c r="BE71" i="14"/>
  <c r="L71" i="14"/>
  <c r="AN71" i="14"/>
  <c r="AD71" i="14"/>
  <c r="Z71" i="14"/>
  <c r="AZ71" i="14"/>
  <c r="AB71" i="14"/>
  <c r="BF71" i="14"/>
  <c r="AE71" i="14"/>
  <c r="U71" i="14"/>
  <c r="H71" i="14"/>
  <c r="AQ71" i="14"/>
  <c r="BH71" i="14"/>
  <c r="Y71" i="14"/>
  <c r="T71" i="14"/>
  <c r="AV71" i="14"/>
  <c r="BA71" i="14"/>
  <c r="AR71" i="14"/>
  <c r="AY71" i="14"/>
  <c r="AJ71" i="14"/>
  <c r="AK71" i="14"/>
  <c r="BD71" i="14"/>
  <c r="AI71" i="14"/>
  <c r="BB71" i="14"/>
  <c r="O71" i="14"/>
  <c r="AT71" i="14"/>
  <c r="AU71" i="14"/>
  <c r="BC71" i="14"/>
  <c r="AP71" i="14"/>
  <c r="X71" i="14"/>
  <c r="P71" i="14"/>
  <c r="AG71" i="14"/>
  <c r="AM71" i="14"/>
  <c r="AO71" i="14"/>
  <c r="BJ71" i="14"/>
  <c r="AZ88" i="14"/>
  <c r="AM88" i="14"/>
  <c r="AW88" i="14"/>
  <c r="T88" i="14"/>
  <c r="U88" i="14"/>
  <c r="BH88" i="14"/>
  <c r="AS88" i="14"/>
  <c r="M88" i="14"/>
  <c r="AN88" i="14"/>
  <c r="K88" i="14"/>
  <c r="AL88" i="14"/>
  <c r="AQ88" i="14"/>
  <c r="AE88" i="14"/>
  <c r="V88" i="14"/>
  <c r="AC88" i="14"/>
  <c r="BE88" i="14"/>
  <c r="AB88" i="14"/>
  <c r="I88" i="14"/>
  <c r="O88" i="14"/>
  <c r="Q88" i="14"/>
  <c r="R88" i="14"/>
  <c r="AV88" i="14"/>
  <c r="S88" i="14"/>
  <c r="BA88" i="14"/>
  <c r="P88" i="14"/>
  <c r="AP88" i="14"/>
  <c r="BG88" i="14"/>
  <c r="Y88" i="14"/>
  <c r="J88" i="14"/>
  <c r="AJ88" i="14"/>
  <c r="W88" i="14"/>
  <c r="AG88" i="14"/>
  <c r="BI88" i="14"/>
  <c r="BD88" i="14"/>
  <c r="AA88" i="14"/>
  <c r="AT88" i="14"/>
  <c r="BB88" i="14"/>
  <c r="X88" i="14"/>
  <c r="AX88" i="14"/>
  <c r="AY88" i="14"/>
  <c r="Z88" i="14"/>
  <c r="AH88" i="14"/>
  <c r="AI88" i="14"/>
  <c r="BJ88" i="14"/>
  <c r="AF88" i="14"/>
  <c r="BF88" i="14"/>
  <c r="AD88" i="14"/>
  <c r="H88" i="14"/>
  <c r="AK88" i="14"/>
  <c r="AR88" i="14"/>
  <c r="BC88" i="14"/>
  <c r="AO88" i="14"/>
  <c r="AU88" i="14"/>
  <c r="L88" i="14"/>
  <c r="N88" i="14"/>
  <c r="AX35" i="14"/>
  <c r="AN35" i="14"/>
  <c r="AC35" i="14"/>
  <c r="AO35" i="14"/>
  <c r="BI35" i="14"/>
  <c r="BD35" i="14"/>
  <c r="AG35" i="14"/>
  <c r="AY35" i="14"/>
  <c r="BB35" i="14"/>
  <c r="AS35" i="14"/>
  <c r="I35" i="14"/>
  <c r="BH35" i="14"/>
  <c r="AU35" i="14"/>
  <c r="AM35" i="14"/>
  <c r="AV35" i="14"/>
  <c r="AJ35" i="14"/>
  <c r="BF35" i="14"/>
  <c r="K35" i="14"/>
  <c r="M35" i="14"/>
  <c r="N35" i="14"/>
  <c r="X35" i="14"/>
  <c r="T35" i="14"/>
  <c r="AL35" i="14"/>
  <c r="O35" i="14"/>
  <c r="L35" i="14"/>
  <c r="AK35" i="14"/>
  <c r="BA35" i="14"/>
  <c r="BE35" i="14"/>
  <c r="AH35" i="14"/>
  <c r="P35" i="14"/>
  <c r="U35" i="14"/>
  <c r="BJ35" i="14"/>
  <c r="S35" i="14"/>
  <c r="BC35" i="14"/>
  <c r="AT35" i="14"/>
  <c r="J35" i="14"/>
  <c r="R35" i="14"/>
  <c r="AP35" i="14"/>
  <c r="AZ35" i="14"/>
  <c r="Y35" i="14"/>
  <c r="AD35" i="14"/>
  <c r="Q35" i="14"/>
  <c r="V35" i="14"/>
  <c r="W35" i="14"/>
  <c r="AB35" i="14"/>
  <c r="AW35" i="14"/>
  <c r="AQ35" i="14"/>
  <c r="H35" i="14"/>
  <c r="Z35" i="14"/>
  <c r="BG35" i="14"/>
  <c r="AR35" i="14"/>
  <c r="AF35" i="14"/>
  <c r="AE35" i="14"/>
  <c r="AA35" i="14"/>
  <c r="AI35" i="14"/>
  <c r="P85" i="14"/>
  <c r="AT85" i="14"/>
  <c r="AN85" i="14"/>
  <c r="BI85" i="14"/>
  <c r="AU85" i="14"/>
  <c r="V85" i="14"/>
  <c r="BF85" i="14"/>
  <c r="Q85" i="14"/>
  <c r="I85" i="14"/>
  <c r="BD85" i="14"/>
  <c r="H85" i="14"/>
  <c r="AL85" i="14"/>
  <c r="AV85" i="14"/>
  <c r="AX85" i="14"/>
  <c r="U85" i="14"/>
  <c r="Z85" i="14"/>
  <c r="R85" i="14"/>
  <c r="BJ85" i="14"/>
  <c r="AD85" i="14"/>
  <c r="BB85" i="14"/>
  <c r="AP85" i="14"/>
  <c r="AZ85" i="14"/>
  <c r="BA85" i="14"/>
  <c r="AK85" i="14"/>
  <c r="AE85" i="14"/>
  <c r="AI85" i="14"/>
  <c r="J85" i="14"/>
  <c r="BE85" i="14"/>
  <c r="AO85" i="14"/>
  <c r="AH85" i="14"/>
  <c r="AC85" i="14"/>
  <c r="T85" i="14"/>
  <c r="N85" i="14"/>
  <c r="AA85" i="14"/>
  <c r="S85" i="14"/>
  <c r="K85" i="14"/>
  <c r="M85" i="14"/>
  <c r="Y85" i="14"/>
  <c r="AS85" i="14"/>
  <c r="AY85" i="14"/>
  <c r="AQ85" i="14"/>
  <c r="BG85" i="14"/>
  <c r="AG85" i="14"/>
  <c r="AR85" i="14"/>
  <c r="AJ85" i="14"/>
  <c r="AB85" i="14"/>
  <c r="BH85" i="14"/>
  <c r="X85" i="14"/>
  <c r="AM85" i="14"/>
  <c r="W85" i="14"/>
  <c r="O85" i="14"/>
  <c r="L85" i="14"/>
  <c r="BC85" i="14"/>
  <c r="AW85" i="14"/>
  <c r="AF85" i="14"/>
  <c r="C73" i="14"/>
  <c r="B73" i="14" s="1"/>
  <c r="B72" i="14"/>
  <c r="AD43" i="14"/>
  <c r="AK43" i="14"/>
  <c r="BE43" i="14"/>
  <c r="V43" i="14"/>
  <c r="BB43" i="14"/>
  <c r="AY43" i="14"/>
  <c r="AS43" i="14"/>
  <c r="AH43" i="14"/>
  <c r="BD43" i="14"/>
  <c r="H43" i="14"/>
  <c r="O43" i="14"/>
  <c r="AZ43" i="14"/>
  <c r="I43" i="14"/>
  <c r="AG43" i="14"/>
  <c r="U43" i="14"/>
  <c r="AR43" i="14"/>
  <c r="T43" i="14"/>
  <c r="AL43" i="14"/>
  <c r="BF43" i="14"/>
  <c r="Y43" i="14"/>
  <c r="W43" i="14"/>
  <c r="BA43" i="14"/>
  <c r="BH43" i="14"/>
  <c r="S43" i="14"/>
  <c r="Q43" i="14"/>
  <c r="AP43" i="14"/>
  <c r="K43" i="14"/>
  <c r="L43" i="14"/>
  <c r="AO43" i="14"/>
  <c r="BG43" i="14"/>
  <c r="AU43" i="14"/>
  <c r="AQ43" i="14"/>
  <c r="AC43" i="14"/>
  <c r="BI43" i="14"/>
  <c r="X43" i="14"/>
  <c r="AN43" i="14"/>
  <c r="AB43" i="14"/>
  <c r="AA43" i="14"/>
  <c r="R43" i="14"/>
  <c r="AE43" i="14"/>
  <c r="AF43" i="14"/>
  <c r="AV43" i="14"/>
  <c r="BJ43" i="14"/>
  <c r="AI43" i="14"/>
  <c r="Z43" i="14"/>
  <c r="P43" i="14"/>
  <c r="AT43" i="14"/>
  <c r="AM43" i="14"/>
  <c r="AX43" i="14"/>
  <c r="N43" i="14"/>
  <c r="J43" i="14"/>
  <c r="BC43" i="14"/>
  <c r="M43" i="14"/>
  <c r="AW43" i="14"/>
  <c r="AJ43" i="14"/>
  <c r="AI4" i="14"/>
  <c r="AH14" i="14"/>
  <c r="AH7" i="14" s="1"/>
  <c r="AH17" i="14"/>
  <c r="AH15" i="14"/>
  <c r="AH16" i="14"/>
  <c r="E88" i="14" l="1"/>
  <c r="F88" i="14" s="1"/>
  <c r="AG8" i="14"/>
  <c r="E42" i="14"/>
  <c r="F42" i="14" s="1"/>
  <c r="E70" i="14"/>
  <c r="F70" i="14" s="1"/>
  <c r="Z8" i="14"/>
  <c r="M8" i="14"/>
  <c r="AB8" i="14"/>
  <c r="E50" i="14"/>
  <c r="F50" i="14" s="1"/>
  <c r="E38" i="14"/>
  <c r="F38" i="14" s="1"/>
  <c r="E62" i="14"/>
  <c r="F62" i="14" s="1"/>
  <c r="AX32" i="14"/>
  <c r="J32" i="14"/>
  <c r="BC32" i="14"/>
  <c r="AK32" i="14"/>
  <c r="V32" i="14"/>
  <c r="AN32" i="14"/>
  <c r="AI32" i="14"/>
  <c r="X32" i="14"/>
  <c r="Y32" i="14"/>
  <c r="AV32" i="14"/>
  <c r="AF32" i="14"/>
  <c r="H32" i="14"/>
  <c r="Q32" i="14"/>
  <c r="W32" i="14"/>
  <c r="AE32" i="14"/>
  <c r="P32" i="14"/>
  <c r="BG32" i="14"/>
  <c r="BF32" i="14"/>
  <c r="AP32" i="14"/>
  <c r="R32" i="14"/>
  <c r="AC32" i="14"/>
  <c r="AA32" i="14"/>
  <c r="S32" i="14"/>
  <c r="AG32" i="14"/>
  <c r="U32" i="14"/>
  <c r="M32" i="14"/>
  <c r="AY32" i="14"/>
  <c r="BB32" i="14"/>
  <c r="AZ32" i="14"/>
  <c r="AO32" i="14"/>
  <c r="K32" i="14"/>
  <c r="T32" i="14"/>
  <c r="AW32" i="14"/>
  <c r="O32" i="14"/>
  <c r="BJ32" i="14"/>
  <c r="AQ32" i="14"/>
  <c r="AM32" i="14"/>
  <c r="BA32" i="14"/>
  <c r="AB32" i="14"/>
  <c r="AH32" i="14"/>
  <c r="AL32" i="14"/>
  <c r="BE32" i="14"/>
  <c r="AU32" i="14"/>
  <c r="AD32" i="14"/>
  <c r="BD32" i="14"/>
  <c r="BI32" i="14"/>
  <c r="AJ32" i="14"/>
  <c r="BH32" i="14"/>
  <c r="Z32" i="14"/>
  <c r="AR32" i="14"/>
  <c r="AT32" i="14"/>
  <c r="I32" i="14"/>
  <c r="E31" i="14" s="1"/>
  <c r="F31" i="14" s="1"/>
  <c r="N32" i="14"/>
  <c r="L32" i="14"/>
  <c r="AS32" i="14"/>
  <c r="Q8" i="14"/>
  <c r="AC8" i="14"/>
  <c r="H8" i="14"/>
  <c r="AC52" i="14"/>
  <c r="U52" i="14"/>
  <c r="X52" i="14"/>
  <c r="P52" i="14"/>
  <c r="W52" i="14"/>
  <c r="AZ52" i="14"/>
  <c r="BA52" i="14"/>
  <c r="AT52" i="14"/>
  <c r="AL52" i="14"/>
  <c r="AD52" i="14"/>
  <c r="AJ52" i="14"/>
  <c r="Q52" i="14"/>
  <c r="AX52" i="14"/>
  <c r="O52" i="14"/>
  <c r="H52" i="14"/>
  <c r="BC52" i="14"/>
  <c r="AU52" i="14"/>
  <c r="AM52" i="14"/>
  <c r="AE52" i="14"/>
  <c r="BI52" i="14"/>
  <c r="BJ52" i="14"/>
  <c r="S52" i="14"/>
  <c r="AV52" i="14"/>
  <c r="BE52" i="14"/>
  <c r="AQ52" i="14"/>
  <c r="R52" i="14"/>
  <c r="AI52" i="14"/>
  <c r="AB52" i="14"/>
  <c r="N52" i="14"/>
  <c r="BG52" i="14"/>
  <c r="Z52" i="14"/>
  <c r="AH52" i="14"/>
  <c r="AF52" i="14"/>
  <c r="BF52" i="14"/>
  <c r="AG52" i="14"/>
  <c r="AP52" i="14"/>
  <c r="AO52" i="14"/>
  <c r="AN52" i="14"/>
  <c r="Y52" i="14"/>
  <c r="T52" i="14"/>
  <c r="I52" i="14"/>
  <c r="V52" i="14"/>
  <c r="AR52" i="14"/>
  <c r="AY52" i="14"/>
  <c r="AK52" i="14"/>
  <c r="AW52" i="14"/>
  <c r="AS52" i="14"/>
  <c r="K52" i="14"/>
  <c r="J52" i="14"/>
  <c r="M52" i="14"/>
  <c r="BB52" i="14"/>
  <c r="AA52" i="14"/>
  <c r="L52" i="14"/>
  <c r="BH52" i="14"/>
  <c r="BD52" i="14"/>
  <c r="Y100" i="14"/>
  <c r="AQ100" i="14"/>
  <c r="Z100" i="14"/>
  <c r="AR100" i="14"/>
  <c r="M100" i="14"/>
  <c r="Q100" i="14"/>
  <c r="T100" i="14"/>
  <c r="AV100" i="14"/>
  <c r="X100" i="14"/>
  <c r="AA100" i="14"/>
  <c r="S100" i="14"/>
  <c r="BG100" i="14"/>
  <c r="BB100" i="14"/>
  <c r="AI100" i="14"/>
  <c r="AG100" i="14"/>
  <c r="I100" i="14"/>
  <c r="E99" i="14" s="1"/>
  <c r="F99" i="14" s="1"/>
  <c r="AH100" i="14"/>
  <c r="U100" i="14"/>
  <c r="P100" i="14"/>
  <c r="AK100" i="14"/>
  <c r="BH100" i="14"/>
  <c r="N100" i="14"/>
  <c r="BD100" i="14"/>
  <c r="AP100" i="14"/>
  <c r="BI100" i="14"/>
  <c r="AM100" i="14"/>
  <c r="AJ100" i="14"/>
  <c r="AS100" i="14"/>
  <c r="BE100" i="14"/>
  <c r="AO100" i="14"/>
  <c r="W100" i="14"/>
  <c r="BJ100" i="14"/>
  <c r="AL100" i="14"/>
  <c r="BC100" i="14"/>
  <c r="AD100" i="14"/>
  <c r="AX100" i="14"/>
  <c r="AT100" i="14"/>
  <c r="AY100" i="14"/>
  <c r="BA100" i="14"/>
  <c r="AN100" i="14"/>
  <c r="H100" i="14"/>
  <c r="AF100" i="14"/>
  <c r="AC100" i="14"/>
  <c r="AU100" i="14"/>
  <c r="R100" i="14"/>
  <c r="AZ100" i="14"/>
  <c r="AE100" i="14"/>
  <c r="L100" i="14"/>
  <c r="AW100" i="14"/>
  <c r="J100" i="14"/>
  <c r="AB100" i="14"/>
  <c r="K100" i="14"/>
  <c r="BF100" i="14"/>
  <c r="V100" i="14"/>
  <c r="O100" i="14"/>
  <c r="AH8" i="14"/>
  <c r="E34" i="14"/>
  <c r="F34" i="14" s="1"/>
  <c r="AL48" i="14"/>
  <c r="S48" i="14"/>
  <c r="BB48" i="14"/>
  <c r="BD48" i="14"/>
  <c r="X48" i="14"/>
  <c r="L48" i="14"/>
  <c r="BH48" i="14"/>
  <c r="AM48" i="14"/>
  <c r="BG48" i="14"/>
  <c r="AJ48" i="14"/>
  <c r="I48" i="14"/>
  <c r="E47" i="14" s="1"/>
  <c r="F47" i="14" s="1"/>
  <c r="BE48" i="14"/>
  <c r="AG48" i="14"/>
  <c r="AX48" i="14"/>
  <c r="AN48" i="14"/>
  <c r="BJ48" i="14"/>
  <c r="AZ48" i="14"/>
  <c r="AV48" i="14"/>
  <c r="Q48" i="14"/>
  <c r="AB48" i="14"/>
  <c r="U48" i="14"/>
  <c r="Z48" i="14"/>
  <c r="M48" i="14"/>
  <c r="AE48" i="14"/>
  <c r="O48" i="14"/>
  <c r="BF48" i="14"/>
  <c r="BA48" i="14"/>
  <c r="AT48" i="14"/>
  <c r="AA48" i="14"/>
  <c r="AR48" i="14"/>
  <c r="H48" i="14"/>
  <c r="Y48" i="14"/>
  <c r="AI48" i="14"/>
  <c r="AC48" i="14"/>
  <c r="BC48" i="14"/>
  <c r="BI48" i="14"/>
  <c r="AU48" i="14"/>
  <c r="W48" i="14"/>
  <c r="J48" i="14"/>
  <c r="AQ48" i="14"/>
  <c r="AP48" i="14"/>
  <c r="AD48" i="14"/>
  <c r="AO48" i="14"/>
  <c r="T48" i="14"/>
  <c r="AF48" i="14"/>
  <c r="AW48" i="14"/>
  <c r="AK48" i="14"/>
  <c r="K48" i="14"/>
  <c r="AY48" i="14"/>
  <c r="N48" i="14"/>
  <c r="AS48" i="14"/>
  <c r="P48" i="14"/>
  <c r="R48" i="14"/>
  <c r="AH48" i="14"/>
  <c r="V48" i="14"/>
  <c r="U33" i="14"/>
  <c r="AD33" i="14"/>
  <c r="BJ33" i="14"/>
  <c r="H33" i="14"/>
  <c r="AK33" i="14"/>
  <c r="AM33" i="14"/>
  <c r="K33" i="14"/>
  <c r="AG33" i="14"/>
  <c r="V33" i="14"/>
  <c r="S33" i="14"/>
  <c r="AA33" i="14"/>
  <c r="Z33" i="14"/>
  <c r="AR33" i="14"/>
  <c r="AP33" i="14"/>
  <c r="BH33" i="14"/>
  <c r="BE33" i="14"/>
  <c r="AS33" i="14"/>
  <c r="BC33" i="14"/>
  <c r="AC33" i="14"/>
  <c r="AF33" i="14"/>
  <c r="BA33" i="14"/>
  <c r="R33" i="14"/>
  <c r="AJ33" i="14"/>
  <c r="AV33" i="14"/>
  <c r="AU33" i="14"/>
  <c r="AX33" i="14"/>
  <c r="BI33" i="14"/>
  <c r="AB33" i="14"/>
  <c r="AI33" i="14"/>
  <c r="BD33" i="14"/>
  <c r="AY33" i="14"/>
  <c r="AO33" i="14"/>
  <c r="AL33" i="14"/>
  <c r="BG33" i="14"/>
  <c r="BF33" i="14"/>
  <c r="O33" i="14"/>
  <c r="N33" i="14"/>
  <c r="I33" i="14"/>
  <c r="J33" i="14"/>
  <c r="AE33" i="14"/>
  <c r="T33" i="14"/>
  <c r="AH33" i="14"/>
  <c r="Y33" i="14"/>
  <c r="L33" i="14"/>
  <c r="M33" i="14"/>
  <c r="X33" i="14"/>
  <c r="AQ33" i="14"/>
  <c r="Q33" i="14"/>
  <c r="P33" i="14"/>
  <c r="AN33" i="14"/>
  <c r="AT33" i="14"/>
  <c r="W33" i="14"/>
  <c r="AZ33" i="14"/>
  <c r="AW33" i="14"/>
  <c r="BB33" i="14"/>
  <c r="Y8" i="14"/>
  <c r="T8" i="14"/>
  <c r="AA8" i="14"/>
  <c r="AF53" i="14"/>
  <c r="BI53" i="14"/>
  <c r="AM53" i="14"/>
  <c r="K53" i="14"/>
  <c r="AN53" i="14"/>
  <c r="O53" i="14"/>
  <c r="BB53" i="14"/>
  <c r="AK53" i="14"/>
  <c r="P53" i="14"/>
  <c r="H53" i="14"/>
  <c r="BC53" i="14"/>
  <c r="T53" i="14"/>
  <c r="AE53" i="14"/>
  <c r="J53" i="14"/>
  <c r="AB53" i="14"/>
  <c r="L53" i="14"/>
  <c r="AR53" i="14"/>
  <c r="AD53" i="14"/>
  <c r="BJ53" i="14"/>
  <c r="AC53" i="14"/>
  <c r="Z53" i="14"/>
  <c r="AY53" i="14"/>
  <c r="W53" i="14"/>
  <c r="AL53" i="14"/>
  <c r="AT53" i="14"/>
  <c r="AV53" i="14"/>
  <c r="I53" i="14"/>
  <c r="Y53" i="14"/>
  <c r="M53" i="14"/>
  <c r="R53" i="14"/>
  <c r="AU53" i="14"/>
  <c r="V53" i="14"/>
  <c r="BG53" i="14"/>
  <c r="N53" i="14"/>
  <c r="U53" i="14"/>
  <c r="AW53" i="14"/>
  <c r="Q53" i="14"/>
  <c r="X53" i="14"/>
  <c r="AH53" i="14"/>
  <c r="AJ53" i="14"/>
  <c r="BF53" i="14"/>
  <c r="AP53" i="14"/>
  <c r="AG53" i="14"/>
  <c r="BE53" i="14"/>
  <c r="AA53" i="14"/>
  <c r="S53" i="14"/>
  <c r="AX53" i="14"/>
  <c r="BD53" i="14"/>
  <c r="BA53" i="14"/>
  <c r="AO53" i="14"/>
  <c r="AZ53" i="14"/>
  <c r="AS53" i="14"/>
  <c r="AI53" i="14"/>
  <c r="BH53" i="14"/>
  <c r="AQ53" i="14"/>
  <c r="AQ40" i="14"/>
  <c r="W40" i="14"/>
  <c r="AT40" i="14"/>
  <c r="U40" i="14"/>
  <c r="AB40" i="14"/>
  <c r="K40" i="14"/>
  <c r="R40" i="14"/>
  <c r="BI40" i="14"/>
  <c r="AR40" i="14"/>
  <c r="BE40" i="14"/>
  <c r="AY40" i="14"/>
  <c r="AC40" i="14"/>
  <c r="AH40" i="14"/>
  <c r="AE40" i="14"/>
  <c r="I40" i="14"/>
  <c r="AN40" i="14"/>
  <c r="AF40" i="14"/>
  <c r="AO40" i="14"/>
  <c r="M40" i="14"/>
  <c r="N40" i="14"/>
  <c r="Q40" i="14"/>
  <c r="L40" i="14"/>
  <c r="Z40" i="14"/>
  <c r="P40" i="14"/>
  <c r="AL40" i="14"/>
  <c r="BJ40" i="14"/>
  <c r="AI40" i="14"/>
  <c r="S40" i="14"/>
  <c r="X40" i="14"/>
  <c r="AA40" i="14"/>
  <c r="Y40" i="14"/>
  <c r="AJ40" i="14"/>
  <c r="BH40" i="14"/>
  <c r="V40" i="14"/>
  <c r="AX40" i="14"/>
  <c r="AS40" i="14"/>
  <c r="BB40" i="14"/>
  <c r="O40" i="14"/>
  <c r="AM40" i="14"/>
  <c r="AK40" i="14"/>
  <c r="BA40" i="14"/>
  <c r="BF40" i="14"/>
  <c r="AV40" i="14"/>
  <c r="J40" i="14"/>
  <c r="AG40" i="14"/>
  <c r="AU40" i="14"/>
  <c r="AD40" i="14"/>
  <c r="AZ40" i="14"/>
  <c r="BG40" i="14"/>
  <c r="H40" i="14"/>
  <c r="T40" i="14"/>
  <c r="AP40" i="14"/>
  <c r="BD40" i="14"/>
  <c r="AW40" i="14"/>
  <c r="BC40" i="14"/>
  <c r="AM101" i="14"/>
  <c r="J101" i="14"/>
  <c r="AL101" i="14"/>
  <c r="BH101" i="14"/>
  <c r="AF101" i="14"/>
  <c r="AZ101" i="14"/>
  <c r="BA101" i="14"/>
  <c r="BD101" i="14"/>
  <c r="K101" i="14"/>
  <c r="P101" i="14"/>
  <c r="N101" i="14"/>
  <c r="BI101" i="14"/>
  <c r="AW101" i="14"/>
  <c r="AU101" i="14"/>
  <c r="R101" i="14"/>
  <c r="AB101" i="14"/>
  <c r="I101" i="14"/>
  <c r="M101" i="14"/>
  <c r="AG101" i="14"/>
  <c r="Y101" i="14"/>
  <c r="Q101" i="14"/>
  <c r="S101" i="14"/>
  <c r="AC101" i="14"/>
  <c r="AS101" i="14"/>
  <c r="X101" i="14"/>
  <c r="AI101" i="14"/>
  <c r="AO101" i="14"/>
  <c r="AA101" i="14"/>
  <c r="AK101" i="14"/>
  <c r="BF101" i="14"/>
  <c r="T101" i="14"/>
  <c r="AD101" i="14"/>
  <c r="AN101" i="14"/>
  <c r="BB101" i="14"/>
  <c r="Z101" i="14"/>
  <c r="BJ101" i="14"/>
  <c r="AT101" i="14"/>
  <c r="AR101" i="14"/>
  <c r="BE101" i="14"/>
  <c r="U101" i="14"/>
  <c r="W101" i="14"/>
  <c r="O101" i="14"/>
  <c r="L101" i="14"/>
  <c r="AJ101" i="14"/>
  <c r="V101" i="14"/>
  <c r="AX101" i="14"/>
  <c r="AE101" i="14"/>
  <c r="AH101" i="14"/>
  <c r="AY101" i="14"/>
  <c r="AQ101" i="14"/>
  <c r="AV101" i="14"/>
  <c r="H101" i="14"/>
  <c r="AP101" i="14"/>
  <c r="BG101" i="14"/>
  <c r="BC101" i="14"/>
  <c r="E98" i="14"/>
  <c r="F98" i="14" s="1"/>
  <c r="AU49" i="14"/>
  <c r="J49" i="14"/>
  <c r="AT49" i="14"/>
  <c r="Y49" i="14"/>
  <c r="L49" i="14"/>
  <c r="AO49" i="14"/>
  <c r="BH49" i="14"/>
  <c r="BC49" i="14"/>
  <c r="AH49" i="14"/>
  <c r="X49" i="14"/>
  <c r="AW49" i="14"/>
  <c r="AY49" i="14"/>
  <c r="AG49" i="14"/>
  <c r="BI49" i="14"/>
  <c r="N49" i="14"/>
  <c r="AA49" i="14"/>
  <c r="AL49" i="14"/>
  <c r="AJ49" i="14"/>
  <c r="O49" i="14"/>
  <c r="AZ49" i="14"/>
  <c r="Q49" i="14"/>
  <c r="BF49" i="14"/>
  <c r="AV49" i="14"/>
  <c r="P49" i="14"/>
  <c r="AS49" i="14"/>
  <c r="AR49" i="14"/>
  <c r="AN49" i="14"/>
  <c r="AK49" i="14"/>
  <c r="AM49" i="14"/>
  <c r="Z49" i="14"/>
  <c r="H49" i="14"/>
  <c r="AD49" i="14"/>
  <c r="W49" i="14"/>
  <c r="S49" i="14"/>
  <c r="U49" i="14"/>
  <c r="AI49" i="14"/>
  <c r="AE49" i="14"/>
  <c r="AQ49" i="14"/>
  <c r="M49" i="14"/>
  <c r="BB49" i="14"/>
  <c r="BJ49" i="14"/>
  <c r="T49" i="14"/>
  <c r="I49" i="14"/>
  <c r="AB49" i="14"/>
  <c r="BE49" i="14"/>
  <c r="BG49" i="14"/>
  <c r="AF49" i="14"/>
  <c r="BA49" i="14"/>
  <c r="BD49" i="14"/>
  <c r="K49" i="14"/>
  <c r="AC49" i="14"/>
  <c r="AP49" i="14"/>
  <c r="V49" i="14"/>
  <c r="AX49" i="14"/>
  <c r="R49" i="14"/>
  <c r="S8" i="14"/>
  <c r="AE41" i="14"/>
  <c r="AB41" i="14"/>
  <c r="Y41" i="14"/>
  <c r="W41" i="14"/>
  <c r="AP41" i="14"/>
  <c r="AF41" i="14"/>
  <c r="AR41" i="14"/>
  <c r="BI41" i="14"/>
  <c r="AW41" i="14"/>
  <c r="AX41" i="14"/>
  <c r="AD41" i="14"/>
  <c r="AU41" i="14"/>
  <c r="M41" i="14"/>
  <c r="AA41" i="14"/>
  <c r="BG41" i="14"/>
  <c r="BJ41" i="14"/>
  <c r="BF41" i="14"/>
  <c r="AO41" i="14"/>
  <c r="AY41" i="14"/>
  <c r="P41" i="14"/>
  <c r="AV41" i="14"/>
  <c r="T41" i="14"/>
  <c r="AH41" i="14"/>
  <c r="AT41" i="14"/>
  <c r="BD41" i="14"/>
  <c r="Z41" i="14"/>
  <c r="U41" i="14"/>
  <c r="BH41" i="14"/>
  <c r="V41" i="14"/>
  <c r="R41" i="14"/>
  <c r="J41" i="14"/>
  <c r="N41" i="14"/>
  <c r="AK41" i="14"/>
  <c r="BB41" i="14"/>
  <c r="AI41" i="14"/>
  <c r="BE41" i="14"/>
  <c r="X41" i="14"/>
  <c r="I41" i="14"/>
  <c r="K41" i="14"/>
  <c r="AZ41" i="14"/>
  <c r="BC41" i="14"/>
  <c r="AQ41" i="14"/>
  <c r="BA41" i="14"/>
  <c r="AC41" i="14"/>
  <c r="AG41" i="14"/>
  <c r="L41" i="14"/>
  <c r="Q41" i="14"/>
  <c r="AN41" i="14"/>
  <c r="AL41" i="14"/>
  <c r="S41" i="14"/>
  <c r="O41" i="14"/>
  <c r="AM41" i="14"/>
  <c r="H41" i="14"/>
  <c r="AJ41" i="14"/>
  <c r="AS41" i="14"/>
  <c r="U56" i="14"/>
  <c r="AL56" i="14"/>
  <c r="I56" i="14"/>
  <c r="E55" i="14" s="1"/>
  <c r="F55" i="14" s="1"/>
  <c r="AC56" i="14"/>
  <c r="O56" i="14"/>
  <c r="X56" i="14"/>
  <c r="BF56" i="14"/>
  <c r="AS56" i="14"/>
  <c r="BC56" i="14"/>
  <c r="AJ56" i="14"/>
  <c r="AQ56" i="14"/>
  <c r="AF56" i="14"/>
  <c r="L56" i="14"/>
  <c r="BA56" i="14"/>
  <c r="AT56" i="14"/>
  <c r="Z56" i="14"/>
  <c r="BI56" i="14"/>
  <c r="W56" i="14"/>
  <c r="AN56" i="14"/>
  <c r="AG56" i="14"/>
  <c r="AK56" i="14"/>
  <c r="AB56" i="14"/>
  <c r="S56" i="14"/>
  <c r="Q56" i="14"/>
  <c r="AR56" i="14"/>
  <c r="N56" i="14"/>
  <c r="AE56" i="14"/>
  <c r="BJ56" i="14"/>
  <c r="T56" i="14"/>
  <c r="AP56" i="14"/>
  <c r="H56" i="14"/>
  <c r="AH56" i="14"/>
  <c r="AI56" i="14"/>
  <c r="V56" i="14"/>
  <c r="AV56" i="14"/>
  <c r="BB56" i="14"/>
  <c r="AO56" i="14"/>
  <c r="AD56" i="14"/>
  <c r="P56" i="14"/>
  <c r="Y56" i="14"/>
  <c r="AZ56" i="14"/>
  <c r="AY56" i="14"/>
  <c r="AM56" i="14"/>
  <c r="J56" i="14"/>
  <c r="AW56" i="14"/>
  <c r="AA56" i="14"/>
  <c r="BD56" i="14"/>
  <c r="AX56" i="14"/>
  <c r="BH56" i="14"/>
  <c r="M56" i="14"/>
  <c r="AU56" i="14"/>
  <c r="R56" i="14"/>
  <c r="K56" i="14"/>
  <c r="BE56" i="14"/>
  <c r="BG56" i="14"/>
  <c r="AF8" i="14"/>
  <c r="AD8" i="14"/>
  <c r="AX44" i="14"/>
  <c r="H44" i="14"/>
  <c r="BH44" i="14"/>
  <c r="T44" i="14"/>
  <c r="AJ44" i="14"/>
  <c r="W44" i="14"/>
  <c r="N44" i="14"/>
  <c r="AQ44" i="14"/>
  <c r="AP44" i="14"/>
  <c r="AL44" i="14"/>
  <c r="AO44" i="14"/>
  <c r="AE44" i="14"/>
  <c r="AA44" i="14"/>
  <c r="AZ44" i="14"/>
  <c r="BJ44" i="14"/>
  <c r="X44" i="14"/>
  <c r="BE44" i="14"/>
  <c r="AW44" i="14"/>
  <c r="AK44" i="14"/>
  <c r="BF44" i="14"/>
  <c r="J44" i="14"/>
  <c r="AF44" i="14"/>
  <c r="K44" i="14"/>
  <c r="AY44" i="14"/>
  <c r="BC44" i="14"/>
  <c r="U44" i="14"/>
  <c r="S44" i="14"/>
  <c r="AN44" i="14"/>
  <c r="BI44" i="14"/>
  <c r="M44" i="14"/>
  <c r="Y44" i="14"/>
  <c r="I44" i="14"/>
  <c r="AB44" i="14"/>
  <c r="BD44" i="14"/>
  <c r="BB44" i="14"/>
  <c r="L44" i="14"/>
  <c r="AM44" i="14"/>
  <c r="R44" i="14"/>
  <c r="AR44" i="14"/>
  <c r="V44" i="14"/>
  <c r="Z44" i="14"/>
  <c r="AS44" i="14"/>
  <c r="Q44" i="14"/>
  <c r="AV44" i="14"/>
  <c r="P44" i="14"/>
  <c r="BA44" i="14"/>
  <c r="BG44" i="14"/>
  <c r="AD44" i="14"/>
  <c r="AI44" i="14"/>
  <c r="AT44" i="14"/>
  <c r="O44" i="14"/>
  <c r="AC44" i="14"/>
  <c r="AG44" i="14"/>
  <c r="AU44" i="14"/>
  <c r="AH44" i="14"/>
  <c r="H72" i="14"/>
  <c r="BC72" i="14"/>
  <c r="Z72" i="14"/>
  <c r="BI72" i="14"/>
  <c r="AG72" i="14"/>
  <c r="Y72" i="14"/>
  <c r="BE72" i="14"/>
  <c r="AL72" i="14"/>
  <c r="R72" i="14"/>
  <c r="AA72" i="14"/>
  <c r="BG72" i="14"/>
  <c r="J72" i="14"/>
  <c r="O72" i="14"/>
  <c r="X72" i="14"/>
  <c r="BF72" i="14"/>
  <c r="AT72" i="14"/>
  <c r="AZ72" i="14"/>
  <c r="AW72" i="14"/>
  <c r="AX72" i="14"/>
  <c r="BA72" i="14"/>
  <c r="N72" i="14"/>
  <c r="AF72" i="14"/>
  <c r="AS72" i="14"/>
  <c r="BB72" i="14"/>
  <c r="L72" i="14"/>
  <c r="M72" i="14"/>
  <c r="BH72" i="14"/>
  <c r="V72" i="14"/>
  <c r="AY72" i="14"/>
  <c r="AC72" i="14"/>
  <c r="AJ72" i="14"/>
  <c r="AN72" i="14"/>
  <c r="BD72" i="14"/>
  <c r="AP72" i="14"/>
  <c r="AR72" i="14"/>
  <c r="AD72" i="14"/>
  <c r="T72" i="14"/>
  <c r="AE72" i="14"/>
  <c r="P72" i="14"/>
  <c r="AU72" i="14"/>
  <c r="AK72" i="14"/>
  <c r="AV72" i="14"/>
  <c r="AI72" i="14"/>
  <c r="I72" i="14"/>
  <c r="AH72" i="14"/>
  <c r="U72" i="14"/>
  <c r="AO72" i="14"/>
  <c r="AB72" i="14"/>
  <c r="AQ72" i="14"/>
  <c r="S72" i="14"/>
  <c r="W72" i="14"/>
  <c r="Q72" i="14"/>
  <c r="BJ72" i="14"/>
  <c r="AM72" i="14"/>
  <c r="K72" i="14"/>
  <c r="AZ57" i="14"/>
  <c r="U57" i="14"/>
  <c r="AU57" i="14"/>
  <c r="AA57" i="14"/>
  <c r="N57" i="14"/>
  <c r="AF57" i="14"/>
  <c r="AC57" i="14"/>
  <c r="BC57" i="14"/>
  <c r="Z57" i="14"/>
  <c r="AQ57" i="14"/>
  <c r="AI57" i="14"/>
  <c r="Y57" i="14"/>
  <c r="AK57" i="14"/>
  <c r="P57" i="14"/>
  <c r="AY57" i="14"/>
  <c r="M57" i="14"/>
  <c r="AV57" i="14"/>
  <c r="AN57" i="14"/>
  <c r="BA57" i="14"/>
  <c r="AW57" i="14"/>
  <c r="BG57" i="14"/>
  <c r="J57" i="14"/>
  <c r="BE57" i="14"/>
  <c r="O57" i="14"/>
  <c r="AS57" i="14"/>
  <c r="BB57" i="14"/>
  <c r="V57" i="14"/>
  <c r="K57" i="14"/>
  <c r="AT57" i="14"/>
  <c r="AD57" i="14"/>
  <c r="S57" i="14"/>
  <c r="AX57" i="14"/>
  <c r="AO57" i="14"/>
  <c r="Q57" i="14"/>
  <c r="AJ57" i="14"/>
  <c r="W57" i="14"/>
  <c r="AB57" i="14"/>
  <c r="AP57" i="14"/>
  <c r="BH57" i="14"/>
  <c r="BF57" i="14"/>
  <c r="AR57" i="14"/>
  <c r="R57" i="14"/>
  <c r="H57" i="14"/>
  <c r="AE57" i="14"/>
  <c r="BI57" i="14"/>
  <c r="X57" i="14"/>
  <c r="AG57" i="14"/>
  <c r="I57" i="14"/>
  <c r="T57" i="14"/>
  <c r="AH57" i="14"/>
  <c r="AL57" i="14"/>
  <c r="AM57" i="14"/>
  <c r="BD57" i="14"/>
  <c r="L57" i="14"/>
  <c r="BJ57" i="14"/>
  <c r="E46" i="14"/>
  <c r="F46" i="14" s="1"/>
  <c r="P8" i="14"/>
  <c r="E30" i="14"/>
  <c r="F30" i="14" s="1"/>
  <c r="I8" i="14"/>
  <c r="K8" i="14"/>
  <c r="X8" i="14"/>
  <c r="R8" i="14"/>
  <c r="AA64" i="14"/>
  <c r="T64" i="14"/>
  <c r="AT64" i="14"/>
  <c r="W64" i="14"/>
  <c r="O64" i="14"/>
  <c r="N64" i="14"/>
  <c r="AH64" i="14"/>
  <c r="I64" i="14"/>
  <c r="AU64" i="14"/>
  <c r="L64" i="14"/>
  <c r="AL64" i="14"/>
  <c r="BF64" i="14"/>
  <c r="BI64" i="14"/>
  <c r="Y64" i="14"/>
  <c r="Z64" i="14"/>
  <c r="P64" i="14"/>
  <c r="AC64" i="14"/>
  <c r="AW64" i="14"/>
  <c r="AY64" i="14"/>
  <c r="AX64" i="14"/>
  <c r="S64" i="14"/>
  <c r="BJ64" i="14"/>
  <c r="AQ64" i="14"/>
  <c r="AO64" i="14"/>
  <c r="AN64" i="14"/>
  <c r="AV64" i="14"/>
  <c r="R64" i="14"/>
  <c r="AF64" i="14"/>
  <c r="BH64" i="14"/>
  <c r="AR64" i="14"/>
  <c r="BG64" i="14"/>
  <c r="AK64" i="14"/>
  <c r="BD64" i="14"/>
  <c r="V64" i="14"/>
  <c r="AE64" i="14"/>
  <c r="AJ64" i="14"/>
  <c r="BB64" i="14"/>
  <c r="U64" i="14"/>
  <c r="AG64" i="14"/>
  <c r="BA64" i="14"/>
  <c r="J64" i="14"/>
  <c r="K64" i="14"/>
  <c r="AZ64" i="14"/>
  <c r="AM64" i="14"/>
  <c r="X64" i="14"/>
  <c r="AI64" i="14"/>
  <c r="AP64" i="14"/>
  <c r="AB64" i="14"/>
  <c r="BC64" i="14"/>
  <c r="M64" i="14"/>
  <c r="H64" i="14"/>
  <c r="AS64" i="14"/>
  <c r="BE64" i="14"/>
  <c r="AD64" i="14"/>
  <c r="Q64" i="14"/>
  <c r="BB45" i="14"/>
  <c r="AN45" i="14"/>
  <c r="U45" i="14"/>
  <c r="BD45" i="14"/>
  <c r="M45" i="14"/>
  <c r="T45" i="14"/>
  <c r="AD45" i="14"/>
  <c r="AE45" i="14"/>
  <c r="AV45" i="14"/>
  <c r="AU45" i="14"/>
  <c r="AY45" i="14"/>
  <c r="AK45" i="14"/>
  <c r="AQ45" i="14"/>
  <c r="R45" i="14"/>
  <c r="AM45" i="14"/>
  <c r="AI45" i="14"/>
  <c r="AP45" i="14"/>
  <c r="AX45" i="14"/>
  <c r="AW45" i="14"/>
  <c r="AG45" i="14"/>
  <c r="BH45" i="14"/>
  <c r="X45" i="14"/>
  <c r="AA45" i="14"/>
  <c r="Z45" i="14"/>
  <c r="BA45" i="14"/>
  <c r="AJ45" i="14"/>
  <c r="BF45" i="14"/>
  <c r="BE45" i="14"/>
  <c r="V45" i="14"/>
  <c r="AT45" i="14"/>
  <c r="BC45" i="14"/>
  <c r="W45" i="14"/>
  <c r="I45" i="14"/>
  <c r="AF45" i="14"/>
  <c r="O45" i="14"/>
  <c r="BG45" i="14"/>
  <c r="AS45" i="14"/>
  <c r="Q45" i="14"/>
  <c r="AH45" i="14"/>
  <c r="BJ45" i="14"/>
  <c r="L45" i="14"/>
  <c r="K45" i="14"/>
  <c r="AB45" i="14"/>
  <c r="AR45" i="14"/>
  <c r="N45" i="14"/>
  <c r="AC45" i="14"/>
  <c r="Y45" i="14"/>
  <c r="J45" i="14"/>
  <c r="AL45" i="14"/>
  <c r="BI45" i="14"/>
  <c r="AZ45" i="14"/>
  <c r="AO45" i="14"/>
  <c r="P45" i="14"/>
  <c r="H45" i="14"/>
  <c r="S45" i="14"/>
  <c r="AT73" i="14"/>
  <c r="BD73" i="14"/>
  <c r="L73" i="14"/>
  <c r="AN73" i="14"/>
  <c r="AI73" i="14"/>
  <c r="AJ73" i="14"/>
  <c r="BA73" i="14"/>
  <c r="BF73" i="14"/>
  <c r="BC73" i="14"/>
  <c r="AH73" i="14"/>
  <c r="AP73" i="14"/>
  <c r="AV73" i="14"/>
  <c r="BH73" i="14"/>
  <c r="AW73" i="14"/>
  <c r="V73" i="14"/>
  <c r="BJ73" i="14"/>
  <c r="K73" i="14"/>
  <c r="AZ73" i="14"/>
  <c r="AQ73" i="14"/>
  <c r="AK73" i="14"/>
  <c r="U73" i="14"/>
  <c r="AL73" i="14"/>
  <c r="O73" i="14"/>
  <c r="S73" i="14"/>
  <c r="T73" i="14"/>
  <c r="R73" i="14"/>
  <c r="AF73" i="14"/>
  <c r="W73" i="14"/>
  <c r="BB73" i="14"/>
  <c r="AM73" i="14"/>
  <c r="AY73" i="14"/>
  <c r="Z73" i="14"/>
  <c r="I73" i="14"/>
  <c r="BG73" i="14"/>
  <c r="Q73" i="14"/>
  <c r="AC73" i="14"/>
  <c r="AD73" i="14"/>
  <c r="P73" i="14"/>
  <c r="Y73" i="14"/>
  <c r="N73" i="14"/>
  <c r="BE73" i="14"/>
  <c r="X73" i="14"/>
  <c r="AS73" i="14"/>
  <c r="AX73" i="14"/>
  <c r="J73" i="14"/>
  <c r="AR73" i="14"/>
  <c r="H73" i="14"/>
  <c r="M73" i="14"/>
  <c r="AO73" i="14"/>
  <c r="AU73" i="14"/>
  <c r="AA73" i="14"/>
  <c r="AG73" i="14"/>
  <c r="AE73" i="14"/>
  <c r="AB73" i="14"/>
  <c r="BI73" i="14"/>
  <c r="E87" i="14"/>
  <c r="F87" i="14" s="1"/>
  <c r="AE8" i="14"/>
  <c r="J8" i="14"/>
  <c r="O8" i="14"/>
  <c r="V8" i="14"/>
  <c r="U8" i="14"/>
  <c r="AX65" i="14"/>
  <c r="AP65" i="14"/>
  <c r="AC65" i="14"/>
  <c r="BC65" i="14"/>
  <c r="BJ65" i="14"/>
  <c r="AO65" i="14"/>
  <c r="AM65" i="14"/>
  <c r="AS65" i="14"/>
  <c r="AD65" i="14"/>
  <c r="AH65" i="14"/>
  <c r="AJ65" i="14"/>
  <c r="BD65" i="14"/>
  <c r="AB65" i="14"/>
  <c r="V65" i="14"/>
  <c r="AA65" i="14"/>
  <c r="AR65" i="14"/>
  <c r="AQ65" i="14"/>
  <c r="BG65" i="14"/>
  <c r="W65" i="14"/>
  <c r="AU65" i="14"/>
  <c r="U65" i="14"/>
  <c r="H65" i="14"/>
  <c r="Y65" i="14"/>
  <c r="AZ65" i="14"/>
  <c r="AE65" i="14"/>
  <c r="AY65" i="14"/>
  <c r="AI65" i="14"/>
  <c r="BI65" i="14"/>
  <c r="AL65" i="14"/>
  <c r="AF65" i="14"/>
  <c r="X65" i="14"/>
  <c r="I65" i="14"/>
  <c r="T65" i="14"/>
  <c r="Z65" i="14"/>
  <c r="AG65" i="14"/>
  <c r="J65" i="14"/>
  <c r="AV65" i="14"/>
  <c r="M65" i="14"/>
  <c r="BB65" i="14"/>
  <c r="BA65" i="14"/>
  <c r="AN65" i="14"/>
  <c r="BH65" i="14"/>
  <c r="N65" i="14"/>
  <c r="P65" i="14"/>
  <c r="L65" i="14"/>
  <c r="AK65" i="14"/>
  <c r="S65" i="14"/>
  <c r="BF65" i="14"/>
  <c r="BE65" i="14"/>
  <c r="AT65" i="14"/>
  <c r="AW65" i="14"/>
  <c r="K65" i="14"/>
  <c r="O65" i="14"/>
  <c r="Q65" i="14"/>
  <c r="R65" i="14"/>
  <c r="BC36" i="14"/>
  <c r="T36" i="14"/>
  <c r="BA36" i="14"/>
  <c r="AF36" i="14"/>
  <c r="AZ36" i="14"/>
  <c r="AU36" i="14"/>
  <c r="Y36" i="14"/>
  <c r="K36" i="14"/>
  <c r="AM36" i="14"/>
  <c r="AS36" i="14"/>
  <c r="N36" i="14"/>
  <c r="O36" i="14"/>
  <c r="AN36" i="14"/>
  <c r="AD36" i="14"/>
  <c r="BB36" i="14"/>
  <c r="AT36" i="14"/>
  <c r="AB36" i="14"/>
  <c r="AL36" i="14"/>
  <c r="W36" i="14"/>
  <c r="AV36" i="14"/>
  <c r="AK36" i="14"/>
  <c r="R36" i="14"/>
  <c r="H36" i="14"/>
  <c r="X36" i="14"/>
  <c r="AQ36" i="14"/>
  <c r="AE36" i="14"/>
  <c r="M36" i="14"/>
  <c r="Q36" i="14"/>
  <c r="I36" i="14"/>
  <c r="E35" i="14" s="1"/>
  <c r="F35" i="14" s="1"/>
  <c r="J36" i="14"/>
  <c r="AX36" i="14"/>
  <c r="AP36" i="14"/>
  <c r="P36" i="14"/>
  <c r="AY36" i="14"/>
  <c r="AJ36" i="14"/>
  <c r="AO36" i="14"/>
  <c r="AI36" i="14"/>
  <c r="Z36" i="14"/>
  <c r="BG36" i="14"/>
  <c r="AR36" i="14"/>
  <c r="BH36" i="14"/>
  <c r="BJ36" i="14"/>
  <c r="AH36" i="14"/>
  <c r="V36" i="14"/>
  <c r="BF36" i="14"/>
  <c r="U36" i="14"/>
  <c r="BD36" i="14"/>
  <c r="AG36" i="14"/>
  <c r="BI36" i="14"/>
  <c r="AA36" i="14"/>
  <c r="BE36" i="14"/>
  <c r="S36" i="14"/>
  <c r="AW36" i="14"/>
  <c r="AC36" i="14"/>
  <c r="L36" i="14"/>
  <c r="E84" i="14"/>
  <c r="F84" i="14" s="1"/>
  <c r="E54" i="14"/>
  <c r="F54" i="14" s="1"/>
  <c r="W8" i="14"/>
  <c r="N8" i="14"/>
  <c r="L8" i="14"/>
  <c r="E76" i="14"/>
  <c r="F76" i="14" s="1"/>
  <c r="E83" i="14"/>
  <c r="F83" i="14" s="1"/>
  <c r="BA37" i="14"/>
  <c r="N37" i="14"/>
  <c r="AM37" i="14"/>
  <c r="BC37" i="14"/>
  <c r="AO37" i="14"/>
  <c r="W37" i="14"/>
  <c r="T37" i="14"/>
  <c r="Q37" i="14"/>
  <c r="AT37" i="14"/>
  <c r="AQ37" i="14"/>
  <c r="J37" i="14"/>
  <c r="AD37" i="14"/>
  <c r="H37" i="14"/>
  <c r="U37" i="14"/>
  <c r="M37" i="14"/>
  <c r="K37" i="14"/>
  <c r="BI37" i="14"/>
  <c r="AN37" i="14"/>
  <c r="AW37" i="14"/>
  <c r="L37" i="14"/>
  <c r="AC37" i="14"/>
  <c r="AE37" i="14"/>
  <c r="V37" i="14"/>
  <c r="AY37" i="14"/>
  <c r="BG37" i="14"/>
  <c r="AA37" i="14"/>
  <c r="AK37" i="14"/>
  <c r="S37" i="14"/>
  <c r="BB37" i="14"/>
  <c r="O37" i="14"/>
  <c r="AX37" i="14"/>
  <c r="BJ37" i="14"/>
  <c r="AH37" i="14"/>
  <c r="AJ37" i="14"/>
  <c r="X37" i="14"/>
  <c r="BF37" i="14"/>
  <c r="BE37" i="14"/>
  <c r="BH37" i="14"/>
  <c r="AP37" i="14"/>
  <c r="Z37" i="14"/>
  <c r="AI37" i="14"/>
  <c r="R37" i="14"/>
  <c r="AR37" i="14"/>
  <c r="AB37" i="14"/>
  <c r="P37" i="14"/>
  <c r="I37" i="14"/>
  <c r="AU37" i="14"/>
  <c r="Y37" i="14"/>
  <c r="AL37" i="14"/>
  <c r="AF37" i="14"/>
  <c r="AG37" i="14"/>
  <c r="AV37" i="14"/>
  <c r="AZ37" i="14"/>
  <c r="AS37" i="14"/>
  <c r="BD37" i="14"/>
  <c r="AJ4" i="14"/>
  <c r="AI14" i="14"/>
  <c r="AI7" i="14" s="1"/>
  <c r="AI15" i="14"/>
  <c r="AI8" i="14" s="1"/>
  <c r="AI17" i="14"/>
  <c r="AI16" i="14"/>
  <c r="AI9" i="14" l="1"/>
  <c r="AH9" i="14"/>
  <c r="AI10" i="14"/>
  <c r="AH10" i="14"/>
  <c r="E64" i="14"/>
  <c r="F64" i="14" s="1"/>
  <c r="P10" i="14"/>
  <c r="T10" i="14"/>
  <c r="V10" i="14"/>
  <c r="U10" i="14"/>
  <c r="E52" i="14"/>
  <c r="F52" i="14" s="1"/>
  <c r="AF9" i="14"/>
  <c r="E36" i="14"/>
  <c r="F36" i="14" s="1"/>
  <c r="E40" i="14"/>
  <c r="F40" i="14" s="1"/>
  <c r="Q10" i="14"/>
  <c r="AE10" i="14"/>
  <c r="AG10" i="14"/>
  <c r="O9" i="14"/>
  <c r="M9" i="14"/>
  <c r="J9" i="14"/>
  <c r="J10" i="14"/>
  <c r="K10" i="14"/>
  <c r="E100" i="14"/>
  <c r="F100" i="14" s="1"/>
  <c r="Z9" i="14"/>
  <c r="U9" i="14"/>
  <c r="Y9" i="14"/>
  <c r="E7" i="14"/>
  <c r="F7" i="14" s="1"/>
  <c r="E72" i="14"/>
  <c r="F72" i="14" s="1"/>
  <c r="X10" i="14"/>
  <c r="I10" i="14"/>
  <c r="R10" i="14"/>
  <c r="T9" i="14"/>
  <c r="AG9" i="14"/>
  <c r="P9" i="14"/>
  <c r="X9" i="14"/>
  <c r="E56" i="14"/>
  <c r="F56" i="14" s="1"/>
  <c r="M10" i="14"/>
  <c r="N10" i="14"/>
  <c r="AB9" i="14"/>
  <c r="K9" i="14"/>
  <c r="S9" i="14"/>
  <c r="AE9" i="14"/>
  <c r="E63" i="14"/>
  <c r="F63" i="14" s="1"/>
  <c r="W10" i="14"/>
  <c r="L10" i="14"/>
  <c r="O10" i="14"/>
  <c r="AB10" i="14"/>
  <c r="AF10" i="14"/>
  <c r="Z10" i="14"/>
  <c r="H10" i="14"/>
  <c r="E48" i="14"/>
  <c r="F48" i="14" s="1"/>
  <c r="L9" i="14"/>
  <c r="AA9" i="14"/>
  <c r="W9" i="14"/>
  <c r="E71" i="14"/>
  <c r="F71" i="14" s="1"/>
  <c r="E44" i="14"/>
  <c r="F44" i="14" s="1"/>
  <c r="Y10" i="14"/>
  <c r="AC10" i="14"/>
  <c r="AA10" i="14"/>
  <c r="N9" i="14"/>
  <c r="AC9" i="14"/>
  <c r="Q9" i="14"/>
  <c r="V9" i="14"/>
  <c r="E39" i="14"/>
  <c r="F39" i="14" s="1"/>
  <c r="E43" i="14"/>
  <c r="F43" i="14" s="1"/>
  <c r="S10" i="14"/>
  <c r="AD10" i="14"/>
  <c r="E32" i="14"/>
  <c r="F32" i="14" s="1"/>
  <c r="I9" i="14"/>
  <c r="E8" i="14" s="1"/>
  <c r="F8" i="14" s="1"/>
  <c r="AD9" i="14"/>
  <c r="R9" i="14"/>
  <c r="H9" i="14"/>
  <c r="E51" i="14"/>
  <c r="F51" i="14" s="1"/>
  <c r="AK4" i="14"/>
  <c r="AJ14" i="14"/>
  <c r="AJ7" i="14" s="1"/>
  <c r="AJ15" i="14"/>
  <c r="AJ8" i="14" s="1"/>
  <c r="AJ17" i="14"/>
  <c r="AJ10" i="14" s="1"/>
  <c r="AJ16" i="14"/>
  <c r="AJ9" i="14" s="1"/>
  <c r="E9" i="14" l="1"/>
  <c r="F9" i="14" s="1"/>
  <c r="AL4" i="14"/>
  <c r="AK14" i="14"/>
  <c r="AK7" i="14" s="1"/>
  <c r="AK17" i="14"/>
  <c r="AK10" i="14" s="1"/>
  <c r="AK15" i="14"/>
  <c r="AK8" i="14" s="1"/>
  <c r="AK16" i="14"/>
  <c r="AK9" i="14" s="1"/>
  <c r="AM4" i="14" l="1"/>
  <c r="AL14" i="14"/>
  <c r="AL7" i="14" s="1"/>
  <c r="AL16" i="14"/>
  <c r="AL9" i="14" s="1"/>
  <c r="AL15" i="14"/>
  <c r="AL8" i="14" s="1"/>
  <c r="AL17" i="14"/>
  <c r="AL10" i="14" s="1"/>
  <c r="AN4" i="14" l="1"/>
  <c r="AM14" i="14"/>
  <c r="AM7" i="14" s="1"/>
  <c r="AM16" i="14"/>
  <c r="AM9" i="14" s="1"/>
  <c r="AM17" i="14"/>
  <c r="AM10" i="14" s="1"/>
  <c r="AM15" i="14"/>
  <c r="AM8" i="14" s="1"/>
  <c r="AO4" i="14" l="1"/>
  <c r="AN14" i="14"/>
  <c r="AN7" i="14" s="1"/>
  <c r="AN15" i="14"/>
  <c r="AN8" i="14" s="1"/>
  <c r="AN16" i="14"/>
  <c r="AN9" i="14" s="1"/>
  <c r="AN17" i="14"/>
  <c r="AN10" i="14" s="1"/>
  <c r="AP4" i="14" l="1"/>
  <c r="AO14" i="14"/>
  <c r="AO7" i="14" s="1"/>
  <c r="AO15" i="14"/>
  <c r="AO8" i="14" s="1"/>
  <c r="AO17" i="14"/>
  <c r="AO10" i="14" s="1"/>
  <c r="AO16" i="14"/>
  <c r="AO9" i="14" s="1"/>
  <c r="AQ4" i="14" l="1"/>
  <c r="AP14" i="14"/>
  <c r="AP7" i="14" s="1"/>
  <c r="AP15" i="14"/>
  <c r="AP8" i="14" s="1"/>
  <c r="AP17" i="14"/>
  <c r="AP10" i="14" s="1"/>
  <c r="AP16" i="14"/>
  <c r="AP9" i="14" s="1"/>
  <c r="AR4" i="14" l="1"/>
  <c r="AQ14" i="14"/>
  <c r="AQ7" i="14" s="1"/>
  <c r="AQ15" i="14"/>
  <c r="AQ8" i="14" s="1"/>
  <c r="AQ17" i="14"/>
  <c r="AQ10" i="14" s="1"/>
  <c r="AQ16" i="14"/>
  <c r="AQ9" i="14" s="1"/>
  <c r="AS4" i="14" l="1"/>
  <c r="AR14" i="14"/>
  <c r="AR7" i="14" s="1"/>
  <c r="AR17" i="14"/>
  <c r="AR10" i="14" s="1"/>
  <c r="AR15" i="14"/>
  <c r="AR8" i="14" s="1"/>
  <c r="AR16" i="14"/>
  <c r="AR9" i="14" s="1"/>
  <c r="AT4" i="14" l="1"/>
  <c r="AS14" i="14"/>
  <c r="AS7" i="14" s="1"/>
  <c r="AS17" i="14"/>
  <c r="AS10" i="14" s="1"/>
  <c r="AS15" i="14"/>
  <c r="AS8" i="14" s="1"/>
  <c r="AS16" i="14"/>
  <c r="AS9" i="14" s="1"/>
  <c r="AU4" i="14" l="1"/>
  <c r="AT14" i="14"/>
  <c r="AT7" i="14" s="1"/>
  <c r="AT16" i="14"/>
  <c r="AT9" i="14" s="1"/>
  <c r="AT15" i="14"/>
  <c r="AT8" i="14" s="1"/>
  <c r="AT17" i="14"/>
  <c r="AT10" i="14" s="1"/>
  <c r="AV4" i="14" l="1"/>
  <c r="AU14" i="14"/>
  <c r="AU7" i="14" s="1"/>
  <c r="AU16" i="14"/>
  <c r="AU9" i="14" s="1"/>
  <c r="AU15" i="14"/>
  <c r="AU8" i="14" s="1"/>
  <c r="AU17" i="14"/>
  <c r="AU10" i="14" s="1"/>
  <c r="AW4" i="14" l="1"/>
  <c r="AV14" i="14"/>
  <c r="AV7" i="14" s="1"/>
  <c r="AV16" i="14"/>
  <c r="AV9" i="14" s="1"/>
  <c r="AV15" i="14"/>
  <c r="AV8" i="14" s="1"/>
  <c r="AV17" i="14"/>
  <c r="AV10" i="14" s="1"/>
  <c r="AX4" i="14" l="1"/>
  <c r="AW14" i="14"/>
  <c r="AW7" i="14" s="1"/>
  <c r="AW17" i="14"/>
  <c r="AW10" i="14" s="1"/>
  <c r="AW16" i="14"/>
  <c r="AW9" i="14" s="1"/>
  <c r="AW15" i="14"/>
  <c r="AW8" i="14" s="1"/>
  <c r="AY4" i="14" l="1"/>
  <c r="AX14" i="14"/>
  <c r="AX7" i="14" s="1"/>
  <c r="AX17" i="14"/>
  <c r="AX10" i="14" s="1"/>
  <c r="AX16" i="14"/>
  <c r="AX9" i="14" s="1"/>
  <c r="AX15" i="14"/>
  <c r="AX8" i="14" s="1"/>
  <c r="AZ4" i="14" l="1"/>
  <c r="AY14" i="14"/>
  <c r="AY7" i="14" s="1"/>
  <c r="AY17" i="14"/>
  <c r="AY10" i="14" s="1"/>
  <c r="AY15" i="14"/>
  <c r="AY8" i="14" s="1"/>
  <c r="AY16" i="14"/>
  <c r="AY9" i="14" s="1"/>
  <c r="BA4" i="14" l="1"/>
  <c r="AZ14" i="14"/>
  <c r="AZ7" i="14" s="1"/>
  <c r="AZ15" i="14"/>
  <c r="AZ8" i="14" s="1"/>
  <c r="AZ16" i="14"/>
  <c r="AZ9" i="14" s="1"/>
  <c r="AZ17" i="14"/>
  <c r="AZ10" i="14" s="1"/>
  <c r="BB4" i="14" l="1"/>
  <c r="BA14" i="14"/>
  <c r="BA7" i="14" s="1"/>
  <c r="BA17" i="14"/>
  <c r="BA10" i="14" s="1"/>
  <c r="BA15" i="14"/>
  <c r="BA8" i="14" s="1"/>
  <c r="BA16" i="14"/>
  <c r="BA9" i="14" s="1"/>
  <c r="BC4" i="14" l="1"/>
  <c r="BB14" i="14"/>
  <c r="BB7" i="14" s="1"/>
  <c r="BB16" i="14"/>
  <c r="BB9" i="14" s="1"/>
  <c r="BB15" i="14"/>
  <c r="BB8" i="14" s="1"/>
  <c r="BB17" i="14"/>
  <c r="BB10" i="14" s="1"/>
  <c r="BD4" i="14" l="1"/>
  <c r="BC14" i="14"/>
  <c r="BC7" i="14" s="1"/>
  <c r="BC16" i="14"/>
  <c r="BC9" i="14" s="1"/>
  <c r="BC15" i="14"/>
  <c r="BC8" i="14" s="1"/>
  <c r="BC17" i="14"/>
  <c r="BC10" i="14" s="1"/>
  <c r="BE4" i="14" l="1"/>
  <c r="BD14" i="14"/>
  <c r="BD7" i="14" s="1"/>
  <c r="BD16" i="14"/>
  <c r="BD9" i="14" s="1"/>
  <c r="BD17" i="14"/>
  <c r="BD10" i="14" s="1"/>
  <c r="BD15" i="14"/>
  <c r="BD8" i="14" s="1"/>
  <c r="BF4" i="14" l="1"/>
  <c r="BE14" i="14"/>
  <c r="BE7" i="14" s="1"/>
  <c r="BE16" i="14"/>
  <c r="BE9" i="14" s="1"/>
  <c r="BE15" i="14"/>
  <c r="BE8" i="14" s="1"/>
  <c r="BE17" i="14"/>
  <c r="BE10" i="14" s="1"/>
  <c r="BG4" i="14" l="1"/>
  <c r="BF14" i="14"/>
  <c r="BF7" i="14" s="1"/>
  <c r="BF16" i="14"/>
  <c r="BF9" i="14" s="1"/>
  <c r="BF15" i="14"/>
  <c r="BF8" i="14" s="1"/>
  <c r="BF17" i="14"/>
  <c r="BF10" i="14" s="1"/>
  <c r="BH4" i="14" l="1"/>
  <c r="BG14" i="14"/>
  <c r="BG7" i="14" s="1"/>
  <c r="BG15" i="14"/>
  <c r="BG8" i="14" s="1"/>
  <c r="BG16" i="14"/>
  <c r="BG9" i="14" s="1"/>
  <c r="BG17" i="14"/>
  <c r="BG10" i="14" s="1"/>
  <c r="BI4" i="14" l="1"/>
  <c r="BH14" i="14"/>
  <c r="BH7" i="14" s="1"/>
  <c r="BH15" i="14"/>
  <c r="BH8" i="14" s="1"/>
  <c r="BH16" i="14"/>
  <c r="BH9" i="14" s="1"/>
  <c r="BH17" i="14"/>
  <c r="BH10" i="14" s="1"/>
  <c r="BJ4" i="14" l="1"/>
  <c r="BI14" i="14"/>
  <c r="BI7" i="14" s="1"/>
  <c r="BI17" i="14"/>
  <c r="BI10" i="14" s="1"/>
  <c r="BI15" i="14"/>
  <c r="BI8" i="14" s="1"/>
  <c r="BI16" i="14"/>
  <c r="BI9" i="14" s="1"/>
  <c r="BJ14" i="14" l="1"/>
  <c r="BJ7" i="14" s="1"/>
  <c r="BJ16" i="14"/>
  <c r="BJ9" i="14" s="1"/>
  <c r="BJ17" i="14"/>
  <c r="BJ10" i="14" s="1"/>
  <c r="BJ15" i="14"/>
  <c r="BJ8" i="14" s="1"/>
</calcChain>
</file>

<file path=xl/sharedStrings.xml><?xml version="1.0" encoding="utf-8"?>
<sst xmlns="http://schemas.openxmlformats.org/spreadsheetml/2006/main" count="2993" uniqueCount="317">
  <si>
    <t>MERCHANT_GROUP</t>
  </si>
  <si>
    <t>ALFA GROUP</t>
  </si>
  <si>
    <t>ANCOL</t>
  </si>
  <si>
    <t>BANBAN TEA</t>
  </si>
  <si>
    <t>BEARD PAPA</t>
  </si>
  <si>
    <t>BURGER KING</t>
  </si>
  <si>
    <t>CHAMP RESTO</t>
  </si>
  <si>
    <t>DAMRI</t>
  </si>
  <si>
    <t>DWIDAYA</t>
  </si>
  <si>
    <t>ES TELLER 77</t>
  </si>
  <si>
    <t>GRAMEDIA</t>
  </si>
  <si>
    <t>HAUS</t>
  </si>
  <si>
    <t>HEAVENLY WANG</t>
  </si>
  <si>
    <t>HERO GROUP</t>
  </si>
  <si>
    <t>HOKKAIDO BAKED CHEESE</t>
  </si>
  <si>
    <t>HOP HOP</t>
  </si>
  <si>
    <t>IKEA</t>
  </si>
  <si>
    <t>INDOMARET</t>
  </si>
  <si>
    <t>KAWAN LAMA</t>
  </si>
  <si>
    <t>KCIC</t>
  </si>
  <si>
    <t>KIMIA FARMA</t>
  </si>
  <si>
    <t>MAP GROUP</t>
  </si>
  <si>
    <t>MASCULIN GROUP</t>
  </si>
  <si>
    <t>MITRA10</t>
  </si>
  <si>
    <t>NUSANTARA TOUR</t>
  </si>
  <si>
    <t>OPTIK MELAWAI</t>
  </si>
  <si>
    <t>PATRA JASA</t>
  </si>
  <si>
    <t>PERTAMINA RETAIL</t>
  </si>
  <si>
    <t>PIZZA HUT</t>
  </si>
  <si>
    <t>PLATINUM CINEPLEX</t>
  </si>
  <si>
    <t>PLI GROUP</t>
  </si>
  <si>
    <t>SARINAH</t>
  </si>
  <si>
    <t>SHIHLIN</t>
  </si>
  <si>
    <t>SOLARIA</t>
  </si>
  <si>
    <t>SOUR SALLY</t>
  </si>
  <si>
    <t>SURYA BUMI RETAILINDO</t>
  </si>
  <si>
    <t>TAMANI</t>
  </si>
  <si>
    <t>YOGURT REPUBLIC</t>
  </si>
  <si>
    <t>YOSHINOYA</t>
  </si>
  <si>
    <t>KEY</t>
  </si>
  <si>
    <t>FBI</t>
  </si>
  <si>
    <t>VOL</t>
  </si>
  <si>
    <t>TRX</t>
  </si>
  <si>
    <t>BOGA GROUP</t>
  </si>
  <si>
    <t>DELTA WIBAWA BERSAMA</t>
  </si>
  <si>
    <t>EKA HOSPITAL</t>
  </si>
  <si>
    <t>HOKBEN</t>
  </si>
  <si>
    <t>LOTTE GROUP</t>
  </si>
  <si>
    <t>MAMA ROZ</t>
  </si>
  <si>
    <t>POPEYES</t>
  </si>
  <si>
    <t>SUPRA BOGA LESTARI</t>
  </si>
  <si>
    <t>SUSHI TEI</t>
  </si>
  <si>
    <t>ZENBU</t>
  </si>
  <si>
    <t>STEVEN GROUP</t>
  </si>
  <si>
    <t>NINA</t>
  </si>
  <si>
    <t>ADISTI</t>
  </si>
  <si>
    <t>RIFALDI</t>
  </si>
  <si>
    <t>MERCHANT GROUP</t>
  </si>
  <si>
    <t>PM</t>
  </si>
  <si>
    <t>TARGET 2025</t>
  </si>
  <si>
    <t>SV</t>
  </si>
  <si>
    <t>Row Labels</t>
  </si>
  <si>
    <t>%</t>
  </si>
  <si>
    <t>VOL NEW</t>
  </si>
  <si>
    <t>TRX NEW</t>
  </si>
  <si>
    <t>TZ</t>
  </si>
  <si>
    <t>FTZ</t>
  </si>
  <si>
    <t>MDR</t>
  </si>
  <si>
    <t>FBI FIX</t>
  </si>
  <si>
    <t>TARIK</t>
  </si>
  <si>
    <t>NEW GROUP</t>
  </si>
  <si>
    <t>FBI GROSS NEW</t>
  </si>
  <si>
    <t>Periode</t>
  </si>
  <si>
    <t>FY</t>
  </si>
  <si>
    <t>YTD</t>
  </si>
  <si>
    <t>Week-01</t>
  </si>
  <si>
    <t>Week-02</t>
  </si>
  <si>
    <t>Week-03</t>
  </si>
  <si>
    <t>Week-04</t>
  </si>
  <si>
    <t>Week-05</t>
  </si>
  <si>
    <t>Week-06</t>
  </si>
  <si>
    <t>Week-07</t>
  </si>
  <si>
    <t>Week-08</t>
  </si>
  <si>
    <t>Week-09</t>
  </si>
  <si>
    <t>Week-10</t>
  </si>
  <si>
    <t>Week-11</t>
  </si>
  <si>
    <t>Week-12</t>
  </si>
  <si>
    <t>Week-13</t>
  </si>
  <si>
    <t>Week-14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</si>
  <si>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</si>
  <si>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</si>
  <si>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</si>
  <si>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</si>
  <si>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</si>
  <si>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</si>
  <si>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</si>
  <si>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</si>
  <si>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</si>
  <si>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</si>
  <si>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</si>
  <si>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</si>
  <si>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</si>
  <si>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</si>
  <si>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</si>
  <si>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</si>
  <si>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</si>
  <si>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</si>
  <si>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</si>
  <si>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</si>
  <si>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</si>
  <si>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</si>
  <si>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</si>
  <si>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</si>
  <si>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</si>
  <si>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</si>
  <si>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</si>
  <si>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</si>
  <si>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</si>
  <si>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</si>
  <si>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</si>
  <si>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</si>
  <si>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</si>
  <si>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</si>
  <si>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</si>
  <si>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</si>
  <si>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</si>
  <si>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</si>
  <si>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Ach (%)</t>
  </si>
  <si>
    <t>YoY (%)</t>
  </si>
  <si>
    <t>ANCHOR</t>
  </si>
  <si>
    <t>SEGMEN</t>
  </si>
  <si>
    <t>KET</t>
  </si>
  <si>
    <t>Week-53</t>
  </si>
  <si>
    <t>MERCHANT</t>
  </si>
  <si>
    <t>DIMENSI</t>
  </si>
  <si>
    <t>VALUE</t>
  </si>
  <si>
    <t>TARGET</t>
  </si>
  <si>
    <t>NO</t>
  </si>
  <si>
    <t>Target</t>
  </si>
  <si>
    <t>KEY1</t>
  </si>
  <si>
    <t>2025</t>
  </si>
  <si>
    <t>2024</t>
  </si>
  <si>
    <t>KEY2</t>
  </si>
  <si>
    <t>2026</t>
  </si>
  <si>
    <t>MIXUE</t>
  </si>
  <si>
    <t>NINAVOL</t>
  </si>
  <si>
    <t>YOSHINOYAVOL</t>
  </si>
  <si>
    <t>NINATRX</t>
  </si>
  <si>
    <t>YOSHINOYATRX</t>
  </si>
  <si>
    <t>NINAFBI</t>
  </si>
  <si>
    <t>YOSHINOYAFBI</t>
  </si>
  <si>
    <t>ADISTIVOL</t>
  </si>
  <si>
    <t>INDOMARETVOL</t>
  </si>
  <si>
    <t>ADISTITRX</t>
  </si>
  <si>
    <t>INDOMARETTRX</t>
  </si>
  <si>
    <t>ADISTIFBI</t>
  </si>
  <si>
    <t>INDOMARETFBI</t>
  </si>
  <si>
    <t>ALFA GROUPVOL</t>
  </si>
  <si>
    <t>ALFA GROUPTRX</t>
  </si>
  <si>
    <t>ALFA GROUPFBI</t>
  </si>
  <si>
    <t>MAP GROUPVOL</t>
  </si>
  <si>
    <t>MAP GROUPTRX</t>
  </si>
  <si>
    <t>MAP GROUPFBI</t>
  </si>
  <si>
    <t>HAUSVOL</t>
  </si>
  <si>
    <t>HAUSTRX</t>
  </si>
  <si>
    <t>HAUSFBI</t>
  </si>
  <si>
    <t>HOP HOPVOL</t>
  </si>
  <si>
    <t>HOP HOPTRX</t>
  </si>
  <si>
    <t>HOP HOPFBI</t>
  </si>
  <si>
    <t>YOGURT REPUBLICVOL</t>
  </si>
  <si>
    <t>YOGURT REPUBLICTRX</t>
  </si>
  <si>
    <t>YOGURT REPUBLICFBI</t>
  </si>
  <si>
    <t>KAWAN LAMAVOL</t>
  </si>
  <si>
    <t>KAWAN LAMATRX</t>
  </si>
  <si>
    <t>KAWAN LAMAFBI</t>
  </si>
  <si>
    <t>RIFALDIVOL</t>
  </si>
  <si>
    <t>KCICVOL</t>
  </si>
  <si>
    <t>RIFALDITRX</t>
  </si>
  <si>
    <t>KCICTRX</t>
  </si>
  <si>
    <t>RIFALDIFBI</t>
  </si>
  <si>
    <t>KCICFBI</t>
  </si>
  <si>
    <t>ZENBUVOL</t>
  </si>
  <si>
    <t>ZENBUTRX</t>
  </si>
  <si>
    <t>ZENBUFBI</t>
  </si>
  <si>
    <t>HOKKAIDO BAKED CHEESEVOL</t>
  </si>
  <si>
    <t>HOKKAIDO BAKED CHEESETRX</t>
  </si>
  <si>
    <t>HOKKAIDO BAKED CHEESEFBI</t>
  </si>
  <si>
    <t>ANCOLVOL</t>
  </si>
  <si>
    <t>ANCOLTRX</t>
  </si>
  <si>
    <t>ANCOLFBI</t>
  </si>
  <si>
    <t>SHIHLINVOL</t>
  </si>
  <si>
    <t>SHIHLINTRX</t>
  </si>
  <si>
    <t>SHIHLINFBI</t>
  </si>
  <si>
    <t>SOLARIAVOL</t>
  </si>
  <si>
    <t>SOLARIATRX</t>
  </si>
  <si>
    <t>SOLARIAFBI</t>
  </si>
  <si>
    <t>HOKBENVOL</t>
  </si>
  <si>
    <t>HOKBENTRX</t>
  </si>
  <si>
    <t>HOKBENFBI</t>
  </si>
  <si>
    <t>PLATINUM CINEPLEXVOL</t>
  </si>
  <si>
    <t>PLATINUM CINEPLEXTRX</t>
  </si>
  <si>
    <t>PLATINUM CINEPLEXFBI</t>
  </si>
  <si>
    <t>STEVEN GROUPVOL</t>
  </si>
  <si>
    <t>STEVEN GROUPTRX</t>
  </si>
  <si>
    <t>STEVEN GROUPFBI</t>
  </si>
  <si>
    <t>SARINAHVOL</t>
  </si>
  <si>
    <t>SARINAHTRX</t>
  </si>
  <si>
    <t>SARINAHFBI</t>
  </si>
  <si>
    <t>SOUR SALLYVOL</t>
  </si>
  <si>
    <t>SOUR SALLYTRX</t>
  </si>
  <si>
    <t>SOUR SALLYFBI</t>
  </si>
  <si>
    <t>OPTIK MELAWAIVOL</t>
  </si>
  <si>
    <t>OPTIK MELAWAITRX</t>
  </si>
  <si>
    <t>OPTIK MELAWAIFBI</t>
  </si>
  <si>
    <t>PERTAMINA RETAILVOL</t>
  </si>
  <si>
    <t>PERTAMINA RETAILTRX</t>
  </si>
  <si>
    <t>PERTAMINA RETAILFBI</t>
  </si>
  <si>
    <t>CHAMP RESTOVOL</t>
  </si>
  <si>
    <t>CHAMP RESTOTRX</t>
  </si>
  <si>
    <t>CHAMP RESTOFBI</t>
  </si>
  <si>
    <t>LOTTE GROUPVOL</t>
  </si>
  <si>
    <t>LOTTE GROUPTRX</t>
  </si>
  <si>
    <t>LOTTE GROUPFBI</t>
  </si>
  <si>
    <t>MITRA10VOL</t>
  </si>
  <si>
    <t>MITRA10TRX</t>
  </si>
  <si>
    <t>MITRA10FBI</t>
  </si>
  <si>
    <t>HERO GROUPVOL</t>
  </si>
  <si>
    <t>HERO GROUPTRX</t>
  </si>
  <si>
    <t>HERO GROUPFBI</t>
  </si>
  <si>
    <t>PIZZA HUTVOL</t>
  </si>
  <si>
    <t>PIZZA HUTTRX</t>
  </si>
  <si>
    <t>PIZZA HUTFBI</t>
  </si>
  <si>
    <t>BANBAN TEAVOL</t>
  </si>
  <si>
    <t>BANBAN TEATRX</t>
  </si>
  <si>
    <t>BANBAN TEAFBI</t>
  </si>
  <si>
    <t>DELTA WIBAWA BERSAMAVOL</t>
  </si>
  <si>
    <t>DELTA WIBAWA BERSAMATRX</t>
  </si>
  <si>
    <t>DELTA WIBAWA BERSAMAFBI</t>
  </si>
  <si>
    <t>MAMA ROZVOL</t>
  </si>
  <si>
    <t>MAMA ROZTRX</t>
  </si>
  <si>
    <t>MAMA ROZFBI</t>
  </si>
  <si>
    <t>GRAMEDIAVOL</t>
  </si>
  <si>
    <t>GRAMEDIATRX</t>
  </si>
  <si>
    <t>GRAMEDIAFBI</t>
  </si>
  <si>
    <t>POPEYESVOL</t>
  </si>
  <si>
    <t>POPEYESTRX</t>
  </si>
  <si>
    <t>POPEYESFBI</t>
  </si>
  <si>
    <t>DWIDAYAVOL</t>
  </si>
  <si>
    <t>DWIDAYATRX</t>
  </si>
  <si>
    <t>DWIDAYAFBI</t>
  </si>
  <si>
    <t>BEARD PAPAVOL</t>
  </si>
  <si>
    <t>BEARD PAPATRX</t>
  </si>
  <si>
    <t>BEARD PAPAFBI</t>
  </si>
  <si>
    <t>IKEAVOL</t>
  </si>
  <si>
    <t>IKEATRX</t>
  </si>
  <si>
    <t>IKEAFBI</t>
  </si>
  <si>
    <t>EKA HOSPITALVOL</t>
  </si>
  <si>
    <t>EKA HOSPITALTRX</t>
  </si>
  <si>
    <t>EKA HOSPITALFBI</t>
  </si>
  <si>
    <t>SUSHI TEIVOL</t>
  </si>
  <si>
    <t>SUSHI TEITRX</t>
  </si>
  <si>
    <t>SUSHI TEIFBI</t>
  </si>
  <si>
    <t>SURYA BUMI RETAILINDOVOL</t>
  </si>
  <si>
    <t>SURYA BUMI RETAILINDOTRX</t>
  </si>
  <si>
    <t>SURYA BUMI RETAILINDOFBI</t>
  </si>
  <si>
    <t>SUPRA BOGA LESTARIVOL</t>
  </si>
  <si>
    <t>SUPRA BOGA LESTARITRX</t>
  </si>
  <si>
    <t>SUPRA BOGA LESTARIFBI</t>
  </si>
  <si>
    <t>PATRA JASAVOL</t>
  </si>
  <si>
    <t>PATRA JASATRX</t>
  </si>
  <si>
    <t>PATRA JASAFBI</t>
  </si>
  <si>
    <t>TAMANIVOL</t>
  </si>
  <si>
    <t>TAMANITRX</t>
  </si>
  <si>
    <t>TAMANIFBI</t>
  </si>
  <si>
    <t>MIXUEVOL</t>
  </si>
  <si>
    <t>MIXUETRX</t>
  </si>
  <si>
    <t>MIXUEFBI</t>
  </si>
  <si>
    <t>#N/AVOL</t>
  </si>
  <si>
    <t>DAMRIVOL</t>
  </si>
  <si>
    <t>#N/ATRX</t>
  </si>
  <si>
    <t>DAMRITRX</t>
  </si>
  <si>
    <t>#N/AFBI</t>
  </si>
  <si>
    <t>DAMRIFBI</t>
  </si>
  <si>
    <t>KIMIA FARMAVOL</t>
  </si>
  <si>
    <t>KIMIA FARMATRX</t>
  </si>
  <si>
    <t>KIMIA FARMAFBI</t>
  </si>
  <si>
    <t>HEAVENLY WANGVOL</t>
  </si>
  <si>
    <t>HEAVENLY WANGTRX</t>
  </si>
  <si>
    <t>HEAVENLY WANGFBI</t>
  </si>
  <si>
    <t>ES TELLER 77VOL</t>
  </si>
  <si>
    <t>ES TELLER 77TRX</t>
  </si>
  <si>
    <t>ES TELLER 77FBI</t>
  </si>
  <si>
    <t>VA API</t>
  </si>
  <si>
    <t>MAP</t>
  </si>
  <si>
    <t>MOFLIP</t>
  </si>
  <si>
    <t>IFG Life</t>
  </si>
  <si>
    <t>AGGREGATOR VA</t>
  </si>
  <si>
    <t>DOKU</t>
  </si>
  <si>
    <t>IPAYMU</t>
  </si>
  <si>
    <t>FINNET / FINPAY</t>
  </si>
  <si>
    <t>FASPAY</t>
  </si>
  <si>
    <t>PAYLABS</t>
  </si>
  <si>
    <t>BAYARIND</t>
  </si>
  <si>
    <t>QRIS API</t>
  </si>
  <si>
    <t>MEGA JAYA ANUGRAH - JIG</t>
  </si>
  <si>
    <t>DOITPAY</t>
  </si>
  <si>
    <t>AGGREGATOR QRIS</t>
  </si>
  <si>
    <t>OASISPAY</t>
  </si>
  <si>
    <t>MCT</t>
  </si>
  <si>
    <t>YOUTAP</t>
  </si>
  <si>
    <t>ANIN</t>
  </si>
  <si>
    <t>LAKU EMAS</t>
  </si>
  <si>
    <t>CASHUP</t>
  </si>
  <si>
    <t>IPAY88/ESB</t>
  </si>
  <si>
    <t>PAWOON</t>
  </si>
  <si>
    <t>TOKOPEDIA</t>
  </si>
  <si>
    <t>PRISMALINK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</si>
</sst>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dd\.mm\.yyyy"/>
  </numFmts>
  <fonts count="2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ptos Narrow"/>
      <family val="2"/>
      <scheme val="minor"/>
    </font>
    <font>
      <b/>
      <sz val="10"/>
      <color theme="0"/>
      <name val="Corbel"/>
      <family val="2"/>
    </font>
    <font>
      <b/>
      <sz val="8"/>
      <color theme="0"/>
      <name val="Corbel"/>
      <family val="2"/>
    </font>
    <font>
      <b/>
      <sz val="10"/>
      <name val="Corbel"/>
      <family val="2"/>
    </font>
    <font>
      <sz val="10"/>
      <name val="Corbel"/>
      <family val="2"/>
    </font>
    <font>
      <sz val="10"/>
      <color theme="1"/>
      <name val="Corbel"/>
      <family val="2"/>
    </font>
    <font>
      <sz val="8"/>
      <color theme="1"/>
      <name val="Corbel"/>
      <family val="2"/>
    </font>
    <font>
      <sz val="8"/>
      <name val="Aptos Narrow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9"/>
      <color rgb="FFFFFFFF"/>
      <name val="Arial"/>
      <family val="2"/>
      <charset val="1"/>
    </font>
    <font>
      <sz val="12"/>
      <color rgb="FFFF0000"/>
      <name val="Aptos Narrow"/>
      <family val="2"/>
      <scheme val="minor"/>
    </font>
    <font>
      <b/>
      <sz val="10"/>
      <color theme="0"/>
      <name val="Corbel"/>
      <family val="2"/>
      <charset val="1"/>
    </font>
    <font>
      <sz val="9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9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3864"/>
        <bgColor rgb="FF17375E"/>
      </patternFill>
    </fill>
    <fill>
      <patternFill patternType="solid">
        <fgColor theme="3" tint="0.49967955565050204"/>
        <bgColor rgb="FF45B1E1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rgb="FF1F3864"/>
      </patternFill>
    </fill>
    <fill>
      <patternFill patternType="solid">
        <fgColor theme="0"/>
        <bgColor rgb="FFFFFFCC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/>
      <top style="thin">
        <color theme="0" tint="-0.14993743705557422"/>
      </top>
      <bottom/>
      <diagonal/>
    </border>
    <border>
      <left/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/>
      <top/>
      <bottom style="thin">
        <color theme="0" tint="-0.14993743705557422"/>
      </bottom>
      <diagonal/>
    </border>
    <border>
      <left/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9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1" fontId="2" fillId="0" borderId="0"/>
    <xf numFmtId="9" fontId="2" fillId="0" borderId="0"/>
    <xf numFmtId="41" fontId="1" fillId="0" borderId="0"/>
    <xf numFmtId="0" fontId="1" fillId="0" borderId="0"/>
  </cellStyleXfs>
  <cellXfs count="107">
    <xf numFmtId="0" fontId="0" fillId="0" borderId="0" xfId="0"/>
    <xf numFmtId="49" fontId="0" fillId="0" borderId="0" xfId="0" applyNumberFormat="1"/>
    <xf numFmtId="41" fontId="0" fillId="0" borderId="0" xfId="1" applyFont="1"/>
    <xf numFmtId="41" fontId="0" fillId="0" borderId="0" xfId="0" applyNumberFormat="1"/>
    <xf numFmtId="41" fontId="7" fillId="0" borderId="0" xfId="3" applyFont="1"/>
    <xf numFmtId="41" fontId="6" fillId="2" borderId="2" xfId="3" applyFont="1" applyFill="1" applyBorder="1" applyAlignment="1">
      <alignment vertical="center"/>
    </xf>
    <xf numFmtId="41" fontId="6" fillId="2" borderId="1" xfId="4" applyNumberFormat="1" applyFont="1" applyFill="1" applyBorder="1" applyAlignment="1">
      <alignment vertical="center"/>
    </xf>
    <xf numFmtId="0" fontId="3" fillId="3" borderId="3" xfId="0" applyFont="1" applyFill="1" applyBorder="1"/>
    <xf numFmtId="0" fontId="0" fillId="0" borderId="0" xfId="0" applyAlignment="1">
      <alignment horizontal="left"/>
    </xf>
    <xf numFmtId="41" fontId="8" fillId="0" borderId="0" xfId="1" applyFont="1"/>
    <xf numFmtId="9" fontId="0" fillId="0" borderId="0" xfId="2" applyFont="1"/>
    <xf numFmtId="49" fontId="0" fillId="4" borderId="0" xfId="0" applyNumberFormat="1" applyFill="1"/>
    <xf numFmtId="0" fontId="0" fillId="4" borderId="0" xfId="0" applyFill="1"/>
    <xf numFmtId="0" fontId="8" fillId="0" borderId="0" xfId="0" applyFont="1"/>
    <xf numFmtId="0" fontId="8" fillId="0" borderId="0" xfId="0" applyFont="1" applyAlignment="1">
      <alignment horizontal="right"/>
    </xf>
    <xf numFmtId="49" fontId="0" fillId="5" borderId="0" xfId="0" applyNumberFormat="1" applyFill="1"/>
    <xf numFmtId="164" fontId="0" fillId="0" borderId="0" xfId="2" applyNumberFormat="1" applyFont="1"/>
    <xf numFmtId="41" fontId="8" fillId="6" borderId="0" xfId="1" applyFont="1" applyFill="1"/>
    <xf numFmtId="10" fontId="0" fillId="0" borderId="0" xfId="2" applyNumberFormat="1" applyFont="1"/>
    <xf numFmtId="41" fontId="8" fillId="0" borderId="0" xfId="1" applyFont="1" applyFill="1"/>
    <xf numFmtId="0" fontId="3" fillId="3" borderId="0" xfId="0" applyFont="1" applyFill="1"/>
    <xf numFmtId="0" fontId="11" fillId="0" borderId="8" xfId="0" applyFont="1" applyBorder="1"/>
    <xf numFmtId="0" fontId="12" fillId="0" borderId="9" xfId="0" applyFont="1" applyBorder="1"/>
    <xf numFmtId="9" fontId="14" fillId="0" borderId="11" xfId="0" applyNumberFormat="1" applyFont="1" applyBorder="1" applyAlignment="1">
      <alignment horizontal="center" vertical="center"/>
    </xf>
    <xf numFmtId="0" fontId="12" fillId="0" borderId="12" xfId="0" quotePrefix="1" applyFont="1" applyBorder="1" applyAlignment="1">
      <alignment horizontal="center"/>
    </xf>
    <xf numFmtId="41" fontId="13" fillId="0" borderId="12" xfId="1" applyFont="1" applyBorder="1"/>
    <xf numFmtId="0" fontId="9" fillId="0" borderId="14" xfId="0" applyFont="1" applyBorder="1"/>
    <xf numFmtId="0" fontId="12" fillId="0" borderId="15" xfId="0" applyFont="1" applyBorder="1"/>
    <xf numFmtId="9" fontId="14" fillId="0" borderId="17" xfId="0" applyNumberFormat="1" applyFont="1" applyBorder="1" applyAlignment="1">
      <alignment horizontal="center" vertical="center"/>
    </xf>
    <xf numFmtId="0" fontId="12" fillId="0" borderId="13" xfId="0" quotePrefix="1" applyFont="1" applyBorder="1" applyAlignment="1">
      <alignment horizontal="center"/>
    </xf>
    <xf numFmtId="0" fontId="11" fillId="0" borderId="18" xfId="0" applyFont="1" applyBorder="1"/>
    <xf numFmtId="9" fontId="14" fillId="0" borderId="19" xfId="0" applyNumberFormat="1" applyFont="1" applyBorder="1" applyAlignment="1">
      <alignment horizontal="center" vertical="center"/>
    </xf>
    <xf numFmtId="0" fontId="9" fillId="0" borderId="18" xfId="0" applyFont="1" applyBorder="1"/>
    <xf numFmtId="0" fontId="9" fillId="0" borderId="20" xfId="0" applyFont="1" applyBorder="1"/>
    <xf numFmtId="164" fontId="13" fillId="0" borderId="16" xfId="2" applyNumberFormat="1" applyFont="1" applyBorder="1" applyAlignment="1">
      <alignment horizontal="right" indent="1"/>
    </xf>
    <xf numFmtId="9" fontId="13" fillId="0" borderId="16" xfId="2" applyFont="1" applyBorder="1" applyAlignment="1">
      <alignment horizontal="right" indent="1"/>
    </xf>
    <xf numFmtId="0" fontId="0" fillId="0" borderId="0" xfId="0" applyAlignment="1">
      <alignment horizontal="right" indent="1"/>
    </xf>
    <xf numFmtId="9" fontId="13" fillId="0" borderId="10" xfId="2" applyFont="1" applyBorder="1" applyAlignment="1">
      <alignment horizontal="right" indent="1"/>
    </xf>
    <xf numFmtId="41" fontId="13" fillId="0" borderId="21" xfId="1" applyFont="1" applyBorder="1"/>
    <xf numFmtId="0" fontId="12" fillId="7" borderId="13" xfId="0" applyFont="1" applyFill="1" applyBorder="1" applyAlignment="1">
      <alignment horizontal="center" vertical="center"/>
    </xf>
    <xf numFmtId="41" fontId="13" fillId="7" borderId="13" xfId="1" applyFont="1" applyFill="1" applyBorder="1"/>
    <xf numFmtId="0" fontId="10" fillId="8" borderId="7" xfId="0" applyFont="1" applyFill="1" applyBorder="1" applyAlignment="1">
      <alignment horizontal="center" vertical="center"/>
    </xf>
    <xf numFmtId="165" fontId="9" fillId="8" borderId="4" xfId="0" applyNumberFormat="1" applyFont="1" applyFill="1" applyBorder="1" applyAlignment="1">
      <alignment horizontal="center" vertical="top"/>
    </xf>
    <xf numFmtId="0" fontId="16" fillId="0" borderId="0" xfId="0" applyFont="1"/>
    <xf numFmtId="41" fontId="16" fillId="0" borderId="0" xfId="0" applyNumberFormat="1" applyFont="1"/>
    <xf numFmtId="0" fontId="18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right" indent="1"/>
    </xf>
    <xf numFmtId="0" fontId="17" fillId="0" borderId="1" xfId="0" applyFont="1" applyBorder="1"/>
    <xf numFmtId="0" fontId="16" fillId="0" borderId="1" xfId="0" applyFont="1" applyBorder="1"/>
    <xf numFmtId="41" fontId="16" fillId="0" borderId="1" xfId="0" applyNumberFormat="1" applyFont="1" applyBorder="1"/>
    <xf numFmtId="41" fontId="16" fillId="0" borderId="1" xfId="1" applyFont="1" applyBorder="1"/>
    <xf numFmtId="49" fontId="16" fillId="0" borderId="1" xfId="0" applyNumberFormat="1" applyFont="1" applyBorder="1"/>
    <xf numFmtId="0" fontId="0" fillId="0" borderId="1" xfId="0" applyBorder="1"/>
    <xf numFmtId="41" fontId="0" fillId="0" borderId="0" xfId="1" applyFont="1" applyBorder="1"/>
    <xf numFmtId="49" fontId="18" fillId="0" borderId="1" xfId="0" applyNumberFormat="1" applyFont="1" applyBorder="1"/>
    <xf numFmtId="49" fontId="16" fillId="0" borderId="1" xfId="0" quotePrefix="1" applyNumberFormat="1" applyFont="1" applyBorder="1"/>
    <xf numFmtId="0" fontId="4" fillId="0" borderId="0" xfId="0" applyFont="1"/>
    <xf numFmtId="0" fontId="4" fillId="0" borderId="0" xfId="0" applyFont="1" applyAlignment="1">
      <alignment horizontal="right" indent="1"/>
    </xf>
    <xf numFmtId="0" fontId="12" fillId="0" borderId="22" xfId="0" applyFont="1" applyBorder="1"/>
    <xf numFmtId="0" fontId="12" fillId="0" borderId="21" xfId="0" quotePrefix="1" applyFont="1" applyBorder="1" applyAlignment="1">
      <alignment horizontal="center"/>
    </xf>
    <xf numFmtId="0" fontId="10" fillId="8" borderId="26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/>
    </xf>
    <xf numFmtId="0" fontId="9" fillId="8" borderId="25" xfId="0" applyFont="1" applyFill="1" applyBorder="1" applyAlignment="1">
      <alignment horizontal="center"/>
    </xf>
    <xf numFmtId="0" fontId="9" fillId="8" borderId="27" xfId="0" applyFont="1" applyFill="1" applyBorder="1" applyAlignment="1">
      <alignment horizontal="center"/>
    </xf>
    <xf numFmtId="0" fontId="10" fillId="8" borderId="31" xfId="0" applyFont="1" applyFill="1" applyBorder="1" applyAlignment="1">
      <alignment horizontal="center" vertical="center"/>
    </xf>
    <xf numFmtId="0" fontId="9" fillId="0" borderId="32" xfId="0" applyFont="1" applyBorder="1"/>
    <xf numFmtId="0" fontId="12" fillId="0" borderId="33" xfId="0" applyFont="1" applyBorder="1"/>
    <xf numFmtId="9" fontId="13" fillId="0" borderId="34" xfId="2" applyFont="1" applyBorder="1" applyAlignment="1">
      <alignment horizontal="right" indent="1"/>
    </xf>
    <xf numFmtId="9" fontId="14" fillId="0" borderId="35" xfId="0" applyNumberFormat="1" applyFont="1" applyBorder="1" applyAlignment="1">
      <alignment horizontal="center" vertical="center"/>
    </xf>
    <xf numFmtId="0" fontId="12" fillId="0" borderId="36" xfId="0" quotePrefix="1" applyFont="1" applyBorder="1" applyAlignment="1">
      <alignment horizontal="center"/>
    </xf>
    <xf numFmtId="41" fontId="13" fillId="0" borderId="36" xfId="1" applyFont="1" applyBorder="1"/>
    <xf numFmtId="0" fontId="11" fillId="0" borderId="37" xfId="0" applyFont="1" applyBorder="1"/>
    <xf numFmtId="0" fontId="12" fillId="0" borderId="38" xfId="0" applyFont="1" applyBorder="1"/>
    <xf numFmtId="9" fontId="13" fillId="0" borderId="39" xfId="2" applyFont="1" applyBorder="1" applyAlignment="1">
      <alignment horizontal="right" indent="1"/>
    </xf>
    <xf numFmtId="0" fontId="12" fillId="0" borderId="40" xfId="0" quotePrefix="1" applyFont="1" applyBorder="1" applyAlignment="1">
      <alignment horizontal="center"/>
    </xf>
    <xf numFmtId="41" fontId="13" fillId="0" borderId="40" xfId="1" applyFont="1" applyBorder="1"/>
    <xf numFmtId="0" fontId="19" fillId="9" borderId="0" xfId="0" applyFont="1" applyFill="1" applyAlignment="1">
      <alignment horizontal="center" vertical="center"/>
    </xf>
    <xf numFmtId="0" fontId="20" fillId="0" borderId="0" xfId="0" applyFont="1"/>
    <xf numFmtId="165" fontId="21" fillId="10" borderId="41" xfId="0" applyNumberFormat="1" applyFont="1" applyFill="1" applyBorder="1" applyAlignment="1">
      <alignment horizontal="center" vertical="top"/>
    </xf>
    <xf numFmtId="41" fontId="0" fillId="0" borderId="0" xfId="1" applyFont="1" applyFill="1" applyBorder="1"/>
    <xf numFmtId="3" fontId="22" fillId="11" borderId="42" xfId="0" applyNumberFormat="1" applyFont="1" applyFill="1" applyBorder="1" applyAlignment="1">
      <alignment horizontal="right" vertical="center"/>
    </xf>
    <xf numFmtId="0" fontId="18" fillId="0" borderId="43" xfId="0" applyFont="1" applyBorder="1"/>
    <xf numFmtId="0" fontId="12" fillId="12" borderId="13" xfId="0" applyFont="1" applyFill="1" applyBorder="1" applyAlignment="1">
      <alignment horizontal="center" vertical="center"/>
    </xf>
    <xf numFmtId="41" fontId="13" fillId="12" borderId="13" xfId="1" applyFont="1" applyFill="1" applyBorder="1"/>
    <xf numFmtId="0" fontId="12" fillId="7" borderId="13" xfId="0" quotePrefix="1" applyFont="1" applyFill="1" applyBorder="1" applyAlignment="1">
      <alignment horizontal="center"/>
    </xf>
    <xf numFmtId="41" fontId="13" fillId="7" borderId="21" xfId="1" applyFont="1" applyFill="1" applyBorder="1"/>
    <xf numFmtId="0" fontId="12" fillId="0" borderId="13" xfId="0" applyFont="1" applyBorder="1" applyAlignment="1">
      <alignment horizontal="center" vertical="center"/>
    </xf>
    <xf numFmtId="41" fontId="13" fillId="0" borderId="13" xfId="1" applyFont="1" applyFill="1" applyBorder="1"/>
    <xf numFmtId="0" fontId="12" fillId="7" borderId="36" xfId="0" quotePrefix="1" applyFont="1" applyFill="1" applyBorder="1" applyAlignment="1">
      <alignment horizontal="center"/>
    </xf>
    <xf numFmtId="41" fontId="13" fillId="7" borderId="36" xfId="1" applyFont="1" applyFill="1" applyBorder="1"/>
    <xf numFmtId="0" fontId="23" fillId="0" borderId="1" xfId="0" applyFont="1" applyBorder="1" applyAlignment="1">
      <alignment horizontal="center"/>
    </xf>
    <xf numFmtId="0" fontId="3" fillId="0" borderId="1" xfId="0" applyFont="1" applyBorder="1"/>
    <xf numFmtId="0" fontId="24" fillId="0" borderId="1" xfId="0" applyFont="1" applyBorder="1" applyAlignment="1">
      <alignment horizontal="left"/>
    </xf>
    <xf numFmtId="0" fontId="19" fillId="13" borderId="44" xfId="0" applyFont="1" applyFill="1" applyBorder="1" applyAlignment="1">
      <alignment horizontal="center" vertical="center"/>
    </xf>
    <xf numFmtId="0" fontId="25" fillId="14" borderId="44" xfId="0" applyFont="1" applyFill="1" applyBorder="1" applyAlignment="1">
      <alignment horizontal="left" vertical="center"/>
    </xf>
    <xf numFmtId="0" fontId="25" fillId="14" borderId="44" xfId="0" applyFont="1" applyFill="1" applyBorder="1" applyAlignment="1">
      <alignment horizontal="center" vertical="center"/>
    </xf>
    <xf numFmtId="3" fontId="25" fillId="14" borderId="44" xfId="0" applyNumberFormat="1" applyFont="1" applyFill="1" applyBorder="1" applyAlignment="1">
      <alignment horizontal="right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right" vertical="center" indent="1"/>
    </xf>
    <xf numFmtId="0" fontId="9" fillId="8" borderId="5" xfId="0" applyFont="1" applyFill="1" applyBorder="1" applyAlignment="1">
      <alignment horizontal="right" vertical="center" indent="1"/>
    </xf>
    <xf numFmtId="0" fontId="9" fillId="8" borderId="28" xfId="0" applyFont="1" applyFill="1" applyBorder="1" applyAlignment="1">
      <alignment horizontal="left" vertical="center"/>
    </xf>
    <xf numFmtId="0" fontId="9" fillId="8" borderId="30" xfId="0" applyFont="1" applyFill="1" applyBorder="1" applyAlignment="1">
      <alignment horizontal="right" vertical="center" indent="1"/>
    </xf>
  </cellXfs>
  <cellStyles count="9">
    <cellStyle name="Comma [0]" xfId="1" builtinId="6"/>
    <cellStyle name="Comma [0] 2" xfId="3" xr:uid="{D2731060-8895-3A41-BFDF-BCA68355013A}"/>
    <cellStyle name="Comma [0] 2 2" xfId="7" xr:uid="{0B88154D-7D32-4996-98E4-4E6059668943}"/>
    <cellStyle name="Comma [0] 3" xfId="5" xr:uid="{C75D05E1-207B-462D-9DD1-FE04BAB0F735}"/>
    <cellStyle name="Normal" xfId="0" builtinId="0"/>
    <cellStyle name="Normal 2" xfId="4" xr:uid="{AEF2E4C1-4F17-CB4E-A183-3B0D90095674}"/>
    <cellStyle name="Normal 2 2" xfId="8" xr:uid="{6568BDB0-0455-4D03-BDA4-193E4E333090}"/>
    <cellStyle name="Percent" xfId="2" builtinId="5"/>
    <cellStyle name="Percent 2" xfId="6" xr:uid="{A4EB6CA4-0AEC-43B4-8087-629A07022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2.xml><?xml version="1.0" encoding="utf-8"?>
<formControlPr xmlns="http://schemas.microsoft.com/office/spreadsheetml/2009/9/main" objectType="Drop" dropStyle="combo" dx="15" fmlaLink="PARAMETER!$X$2" fmlaRange="PARAMETER!$W$2:$W$54" sel="11" val="6"/>
</file>

<file path=xl/ctrlProps/ctrlProp3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4.xml><?xml version="1.0" encoding="utf-8"?>
<formControlPr xmlns="http://schemas.microsoft.com/office/spreadsheetml/2009/9/main" objectType="Drop" dropStyle="combo" dx="15" fmlaLink="PARAMETER!$X$2" fmlaRange="PARAMETER!$W$2:$W$54" sel="11" val="8"/>
</file>

<file path=xl/ctrlProps/ctrlProp5.xml><?xml version="1.0" encoding="utf-8"?>
<formControlPr xmlns="http://schemas.microsoft.com/office/spreadsheetml/2009/9/main" objectType="Drop" dropStyle="combo" dx="15" fmlaLink="PARAMETER!$I$2" fmlaRange="PARAMETER!$H$2:$H$5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809625</xdr:colOff>
          <xdr:row>1</xdr:row>
          <xdr:rowOff>76200</xdr:rowOff>
        </xdr:from>
        <xdr:to>
          <xdr:col>7</xdr:col>
          <xdr:colOff>333375</xdr:colOff>
          <xdr:row>2</xdr:row>
          <xdr:rowOff>142875</xdr:rowOff>
        </xdr:to>
        <xdr:sp macro="" textlink="">
          <xdr:nvSpPr>
            <xdr:cNvPr id="13408" name="Drop Down 96" hidden="1">
              <a:extLst>
                <a:ext uri="{63B3BB69-23CF-44E3-9099-C40C66FF867C}">
                  <a14:compatExt spid="_x0000_s13408"/>
                </a:ext>
                <a:ext uri="{FF2B5EF4-FFF2-40B4-BE49-F238E27FC236}">
                  <a16:creationId xmlns:a16="http://schemas.microsoft.com/office/drawing/2014/main" id="{00000000-0008-0000-0000-00006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</xdr:row>
          <xdr:rowOff>76200</xdr:rowOff>
        </xdr:from>
        <xdr:to>
          <xdr:col>3</xdr:col>
          <xdr:colOff>666750</xdr:colOff>
          <xdr:row>2</xdr:row>
          <xdr:rowOff>142875</xdr:rowOff>
        </xdr:to>
        <xdr:sp macro="" textlink="">
          <xdr:nvSpPr>
            <xdr:cNvPr id="13413" name="Drop Down 101" hidden="1">
              <a:extLst>
                <a:ext uri="{63B3BB69-23CF-44E3-9099-C40C66FF867C}">
                  <a14:compatExt spid="_x0000_s13413"/>
                </a:ext>
                <a:ext uri="{FF2B5EF4-FFF2-40B4-BE49-F238E27FC236}">
                  <a16:creationId xmlns:a16="http://schemas.microsoft.com/office/drawing/2014/main" id="{00000000-0008-0000-0000-00006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</xdr:row>
          <xdr:rowOff>47625</xdr:rowOff>
        </xdr:from>
        <xdr:to>
          <xdr:col>9</xdr:col>
          <xdr:colOff>695325</xdr:colOff>
          <xdr:row>2</xdr:row>
          <xdr:rowOff>114300</xdr:rowOff>
        </xdr:to>
        <xdr:sp macro="" textlink="">
          <xdr:nvSpPr>
            <xdr:cNvPr id="14816" name="Drop Down 480" hidden="1">
              <a:extLst>
                <a:ext uri="{63B3BB69-23CF-44E3-9099-C40C66FF867C}">
                  <a14:compatExt spid="_x0000_s14816"/>
                </a:ext>
                <a:ext uri="{FF2B5EF4-FFF2-40B4-BE49-F238E27FC236}">
                  <a16:creationId xmlns:a16="http://schemas.microsoft.com/office/drawing/2014/main" id="{00000000-0008-0000-0100-0000E0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</xdr:row>
          <xdr:rowOff>47625</xdr:rowOff>
        </xdr:from>
        <xdr:to>
          <xdr:col>6</xdr:col>
          <xdr:colOff>647700</xdr:colOff>
          <xdr:row>2</xdr:row>
          <xdr:rowOff>114300</xdr:rowOff>
        </xdr:to>
        <xdr:sp macro="" textlink="">
          <xdr:nvSpPr>
            <xdr:cNvPr id="14817" name="Drop Down 481" hidden="1">
              <a:extLst>
                <a:ext uri="{63B3BB69-23CF-44E3-9099-C40C66FF867C}">
                  <a14:compatExt spid="_x0000_s14817"/>
                </a:ext>
                <a:ext uri="{FF2B5EF4-FFF2-40B4-BE49-F238E27FC236}">
                  <a16:creationId xmlns:a16="http://schemas.microsoft.com/office/drawing/2014/main" id="{00000000-0008-0000-0100-0000E1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247650</xdr:colOff>
          <xdr:row>1</xdr:row>
          <xdr:rowOff>38100</xdr:rowOff>
        </xdr:from>
        <xdr:to>
          <xdr:col>13</xdr:col>
          <xdr:colOff>66675</xdr:colOff>
          <xdr:row>2</xdr:row>
          <xdr:rowOff>95250</xdr:rowOff>
        </xdr:to>
        <xdr:sp macro="" textlink="">
          <xdr:nvSpPr>
            <xdr:cNvPr id="14819" name="Drop Down 483" hidden="1">
              <a:extLst>
                <a:ext uri="{63B3BB69-23CF-44E3-9099-C40C66FF867C}">
                  <a14:compatExt spid="_x0000_s14819"/>
                </a:ext>
                <a:ext uri="{FF2B5EF4-FFF2-40B4-BE49-F238E27FC236}">
                  <a16:creationId xmlns:a16="http://schemas.microsoft.com/office/drawing/2014/main" id="{00000000-0008-0000-0100-0000E3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4&amp;25%20feb/Monitoring_Weekly_Anchor_2026.xlsx" TargetMode="External"/><Relationship Id="rId2" Type="http://schemas.openxmlformats.org/officeDocument/2006/relationships/externalLinkPath" Target="file:///C:\Users\Lenovo\Documents\UMN\Semester%206%20Magang\24&amp;25%20feb\Monitoring_Weekly_Anchor_2026.xlsx" TargetMode="External"/><Relationship Id="rId1" Type="http://schemas.openxmlformats.org/officeDocument/2006/relationships/externalLinkPath" Target="/Users/Lenovo/Documents/UMN/Semester%206%20Magang/24&amp;25%20feb/Monitoring_Weekly_Anchor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Monitoring_Weekly_Anchor_2026_updated.xlsx" TargetMode="External"/><Relationship Id="rId2" Type="http://schemas.openxmlformats.org/officeDocument/2006/relationships/externalLinkPath" Target="file:///C:\Users\Lenovo\Downloads\Monitoring_Weekly_Anchor_2026_updated.xlsx" TargetMode="External"/><Relationship Id="rId1" Type="http://schemas.openxmlformats.org/officeDocument/2006/relationships/externalLinkPath" Target="/Users/Lenovo/Downloads/Monitoring_Weekly_Anchor_2026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PARAMETER"/>
      <sheetName val="SUM"/>
      <sheetName val="Edit 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D1" t="str">
            <v>MERCHANT</v>
          </cell>
        </row>
        <row r="2">
          <cell r="D2" t="str">
            <v>ANCOL</v>
          </cell>
          <cell r="E2" t="str">
            <v>ADISTI</v>
          </cell>
        </row>
        <row r="3">
          <cell r="D3" t="str">
            <v>EKA HOSPITAL</v>
          </cell>
          <cell r="E3" t="str">
            <v>ADISTI</v>
          </cell>
        </row>
        <row r="4">
          <cell r="D4" t="str">
            <v>HEAVENLY WANG</v>
          </cell>
          <cell r="E4" t="str">
            <v>ADISTI</v>
          </cell>
        </row>
        <row r="5">
          <cell r="D5" t="str">
            <v>HOKBEN</v>
          </cell>
          <cell r="E5" t="str">
            <v>ADISTI</v>
          </cell>
        </row>
        <row r="6">
          <cell r="D6" t="str">
            <v>IKEA</v>
          </cell>
          <cell r="E6" t="str">
            <v>ADISTI</v>
          </cell>
        </row>
        <row r="7">
          <cell r="D7" t="str">
            <v>INDOMARET</v>
          </cell>
          <cell r="E7" t="str">
            <v>ADISTI</v>
          </cell>
        </row>
        <row r="8">
          <cell r="D8" t="str">
            <v>KIMIA FARMA</v>
          </cell>
          <cell r="E8" t="str">
            <v>ADISTI</v>
          </cell>
        </row>
        <row r="9">
          <cell r="D9" t="str">
            <v>LOTTE GROUP</v>
          </cell>
          <cell r="E9" t="str">
            <v>ADISTI</v>
          </cell>
        </row>
        <row r="10">
          <cell r="D10" t="str">
            <v>MAMA ROZ</v>
          </cell>
          <cell r="E10" t="str">
            <v>ADISTI</v>
          </cell>
        </row>
        <row r="11">
          <cell r="D11" t="str">
            <v>MAP GROUP</v>
          </cell>
          <cell r="E11" t="str">
            <v>ADISTI</v>
          </cell>
        </row>
        <row r="12">
          <cell r="D12" t="str">
            <v>MITRA10</v>
          </cell>
          <cell r="E12" t="str">
            <v>ADISTI</v>
          </cell>
        </row>
        <row r="13">
          <cell r="D13" t="str">
            <v>OPTIK MELAWAI</v>
          </cell>
          <cell r="E13" t="str">
            <v>ADISTI</v>
          </cell>
        </row>
        <row r="14">
          <cell r="D14" t="str">
            <v>SHIHLIN</v>
          </cell>
          <cell r="E14" t="str">
            <v>ADISTI</v>
          </cell>
        </row>
        <row r="15">
          <cell r="D15" t="str">
            <v>TAMANI</v>
          </cell>
          <cell r="E15" t="str">
            <v>ADISTI</v>
          </cell>
        </row>
        <row r="16">
          <cell r="D16" t="str">
            <v>ALFA GROUP</v>
          </cell>
          <cell r="E16" t="str">
            <v>NINA</v>
          </cell>
        </row>
        <row r="17">
          <cell r="D17" t="str">
            <v>BANBAN TEA</v>
          </cell>
          <cell r="E17" t="str">
            <v>NINA</v>
          </cell>
        </row>
        <row r="18">
          <cell r="D18" t="str">
            <v>BEARD PAPA</v>
          </cell>
          <cell r="E18" t="str">
            <v>NINA</v>
          </cell>
        </row>
        <row r="19">
          <cell r="D19" t="str">
            <v>DAMRI</v>
          </cell>
          <cell r="E19" t="str">
            <v>NINA</v>
          </cell>
        </row>
        <row r="20">
          <cell r="D20" t="str">
            <v>DELTA WIBAWA BERSAMA</v>
          </cell>
          <cell r="E20" t="str">
            <v>NINA</v>
          </cell>
        </row>
        <row r="21">
          <cell r="D21" t="str">
            <v>DWIDAYA</v>
          </cell>
          <cell r="E21" t="str">
            <v>NINA</v>
          </cell>
        </row>
        <row r="22">
          <cell r="D22" t="str">
            <v>HOKKAIDO BAKED CHEESE</v>
          </cell>
          <cell r="E22" t="str">
            <v>NINA</v>
          </cell>
        </row>
        <row r="23">
          <cell r="D23" t="str">
            <v>HOP HOP</v>
          </cell>
          <cell r="E23" t="str">
            <v>NINA</v>
          </cell>
        </row>
        <row r="24">
          <cell r="D24" t="str">
            <v>PLATINUM CINEPLEX</v>
          </cell>
          <cell r="E24" t="str">
            <v>NINA</v>
          </cell>
        </row>
        <row r="25">
          <cell r="D25" t="str">
            <v>POPEYES</v>
          </cell>
          <cell r="E25" t="str">
            <v>NINA</v>
          </cell>
        </row>
        <row r="26">
          <cell r="D26" t="str">
            <v>SOLARIA</v>
          </cell>
          <cell r="E26" t="str">
            <v>NINA</v>
          </cell>
        </row>
        <row r="27">
          <cell r="D27" t="str">
            <v>STEVEN GROUP</v>
          </cell>
          <cell r="E27" t="str">
            <v>NINA</v>
          </cell>
        </row>
        <row r="28">
          <cell r="D28" t="str">
            <v>SURYA BUMI RETAILINDO</v>
          </cell>
          <cell r="E28" t="str">
            <v>NINA</v>
          </cell>
        </row>
        <row r="29">
          <cell r="D29" t="str">
            <v>SUSHI TEI</v>
          </cell>
          <cell r="E29" t="str">
            <v>NINA</v>
          </cell>
        </row>
        <row r="30">
          <cell r="D30" t="str">
            <v>YOGURT REPUBLIC</v>
          </cell>
          <cell r="E30" t="str">
            <v>NINA</v>
          </cell>
        </row>
        <row r="31">
          <cell r="D31" t="str">
            <v>YOSHINOYA</v>
          </cell>
          <cell r="E31" t="str">
            <v>NINA</v>
          </cell>
        </row>
        <row r="32">
          <cell r="D32" t="str">
            <v>CHAMP RESTO</v>
          </cell>
          <cell r="E32" t="str">
            <v>RIFALDI</v>
          </cell>
        </row>
        <row r="33">
          <cell r="D33" t="str">
            <v>ES TELLER 77</v>
          </cell>
          <cell r="E33" t="str">
            <v>RIFALDI</v>
          </cell>
        </row>
        <row r="34">
          <cell r="D34" t="str">
            <v>GRAMEDIA</v>
          </cell>
          <cell r="E34" t="str">
            <v>RIFALDI</v>
          </cell>
        </row>
        <row r="35">
          <cell r="D35" t="str">
            <v>HAUS</v>
          </cell>
          <cell r="E35" t="str">
            <v>RIFALDI</v>
          </cell>
        </row>
        <row r="36">
          <cell r="D36" t="str">
            <v>HERO GROUP</v>
          </cell>
          <cell r="E36" t="str">
            <v>RIFALDI</v>
          </cell>
        </row>
        <row r="37">
          <cell r="D37" t="str">
            <v>KAWAN LAMA</v>
          </cell>
          <cell r="E37" t="str">
            <v>RIFALDI</v>
          </cell>
        </row>
        <row r="38">
          <cell r="D38" t="str">
            <v>KCIC</v>
          </cell>
          <cell r="E38" t="str">
            <v>RIFALDI</v>
          </cell>
        </row>
        <row r="39">
          <cell r="D39" t="str">
            <v>PATRA JASA</v>
          </cell>
          <cell r="E39" t="str">
            <v>RIFALDI</v>
          </cell>
        </row>
        <row r="40">
          <cell r="D40" t="str">
            <v>PERTAMINA RETAIL</v>
          </cell>
          <cell r="E40" t="str">
            <v>RIFALDI</v>
          </cell>
        </row>
        <row r="41">
          <cell r="D41" t="str">
            <v>PIZZA HUT</v>
          </cell>
          <cell r="E41" t="str">
            <v>RIFALDI</v>
          </cell>
        </row>
        <row r="42">
          <cell r="D42" t="str">
            <v>SARINAH</v>
          </cell>
          <cell r="E42" t="str">
            <v>RIFALDI</v>
          </cell>
        </row>
        <row r="43">
          <cell r="D43" t="str">
            <v>SOUR SALLY</v>
          </cell>
          <cell r="E43" t="str">
            <v>RIFALDI</v>
          </cell>
        </row>
        <row r="44">
          <cell r="D44" t="str">
            <v>SUPRA BOGA LESTARI</v>
          </cell>
          <cell r="E44" t="str">
            <v>RIFALDI</v>
          </cell>
        </row>
        <row r="45">
          <cell r="D45" t="str">
            <v>ZENBU</v>
          </cell>
          <cell r="E45" t="str">
            <v>RIFALDI</v>
          </cell>
        </row>
      </sheetData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2026 T"/>
      <sheetName val="PARAMETER"/>
      <sheetName val="SUM"/>
      <sheetName val="Edit 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X2">
            <v>9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53E451-1A4F-4EED-8A0E-64C09C7FB05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7FD8-DD60-994E-A36B-FDC3504CAAB7}">
  <sheetPr codeName="Sheet1"/>
  <dimension ref="A4:BI25"/>
  <sheetViews>
    <sheetView showGridLines="0" tabSelected="1" topLeftCell="B1" zoomScale="94" workbookViewId="0">
      <pane xSplit="7" topLeftCell="I1" activePane="topRight" state="frozen"/>
      <selection activeCell="H18" sqref="H18"/>
      <selection pane="topRight" activeCell="H18" sqref="H18"/>
    </sheetView>
  </sheetViews>
  <sheetFormatPr defaultColWidth="11" defaultRowHeight="15.75" x14ac:dyDescent="0.25"/>
  <cols>
    <col min="1" max="1" width="10.25" style="78" hidden="1" customWidth="1"/>
    <col min="4" max="4" width="10.875" style="36"/>
    <col min="5" max="5" width="3.875" customWidth="1"/>
    <col min="9" max="9" width="11.625" bestFit="1" customWidth="1"/>
  </cols>
  <sheetData>
    <row r="4" spans="1:61" s="57" customFormat="1" x14ac:dyDescent="0.25">
      <c r="A4" s="78"/>
      <c r="D4" s="58"/>
      <c r="I4" s="57">
        <v>1</v>
      </c>
      <c r="J4" s="57">
        <f>I4+1</f>
        <v>2</v>
      </c>
      <c r="K4" s="57">
        <f t="shared" ref="K4:BI4" si="0">J4+1</f>
        <v>3</v>
      </c>
      <c r="L4" s="57">
        <f t="shared" si="0"/>
        <v>4</v>
      </c>
      <c r="M4" s="57">
        <f t="shared" si="0"/>
        <v>5</v>
      </c>
      <c r="N4" s="57">
        <f t="shared" si="0"/>
        <v>6</v>
      </c>
      <c r="O4" s="57">
        <f t="shared" si="0"/>
        <v>7</v>
      </c>
      <c r="P4" s="57">
        <f t="shared" si="0"/>
        <v>8</v>
      </c>
      <c r="Q4" s="57">
        <f t="shared" si="0"/>
        <v>9</v>
      </c>
      <c r="R4" s="57">
        <f t="shared" si="0"/>
        <v>10</v>
      </c>
      <c r="S4" s="57">
        <f t="shared" si="0"/>
        <v>11</v>
      </c>
      <c r="T4" s="57">
        <f t="shared" si="0"/>
        <v>12</v>
      </c>
      <c r="U4" s="57">
        <f t="shared" si="0"/>
        <v>13</v>
      </c>
      <c r="V4" s="57">
        <f t="shared" si="0"/>
        <v>14</v>
      </c>
      <c r="W4" s="57">
        <f t="shared" si="0"/>
        <v>15</v>
      </c>
      <c r="X4" s="57">
        <f t="shared" si="0"/>
        <v>16</v>
      </c>
      <c r="Y4" s="57">
        <f t="shared" si="0"/>
        <v>17</v>
      </c>
      <c r="Z4" s="57">
        <f t="shared" si="0"/>
        <v>18</v>
      </c>
      <c r="AA4" s="57">
        <f t="shared" si="0"/>
        <v>19</v>
      </c>
      <c r="AB4" s="57">
        <f t="shared" si="0"/>
        <v>20</v>
      </c>
      <c r="AC4" s="57">
        <f t="shared" si="0"/>
        <v>21</v>
      </c>
      <c r="AD4" s="57">
        <f t="shared" si="0"/>
        <v>22</v>
      </c>
      <c r="AE4" s="57">
        <f t="shared" si="0"/>
        <v>23</v>
      </c>
      <c r="AF4" s="57">
        <f t="shared" si="0"/>
        <v>24</v>
      </c>
      <c r="AG4" s="57">
        <f t="shared" si="0"/>
        <v>25</v>
      </c>
      <c r="AH4" s="57">
        <f t="shared" si="0"/>
        <v>26</v>
      </c>
      <c r="AI4" s="57">
        <f t="shared" si="0"/>
        <v>27</v>
      </c>
      <c r="AJ4" s="57">
        <f t="shared" si="0"/>
        <v>28</v>
      </c>
      <c r="AK4" s="57">
        <f t="shared" si="0"/>
        <v>29</v>
      </c>
      <c r="AL4" s="57">
        <f t="shared" si="0"/>
        <v>30</v>
      </c>
      <c r="AM4" s="57">
        <f t="shared" si="0"/>
        <v>31</v>
      </c>
      <c r="AN4" s="57">
        <f t="shared" si="0"/>
        <v>32</v>
      </c>
      <c r="AO4" s="57">
        <f t="shared" si="0"/>
        <v>33</v>
      </c>
      <c r="AP4" s="57">
        <f t="shared" si="0"/>
        <v>34</v>
      </c>
      <c r="AQ4" s="57">
        <f t="shared" si="0"/>
        <v>35</v>
      </c>
      <c r="AR4" s="57">
        <f t="shared" si="0"/>
        <v>36</v>
      </c>
      <c r="AS4" s="57">
        <f t="shared" si="0"/>
        <v>37</v>
      </c>
      <c r="AT4" s="57">
        <f t="shared" si="0"/>
        <v>38</v>
      </c>
      <c r="AU4" s="57">
        <f t="shared" si="0"/>
        <v>39</v>
      </c>
      <c r="AV4" s="57">
        <f t="shared" si="0"/>
        <v>40</v>
      </c>
      <c r="AW4" s="57">
        <f t="shared" si="0"/>
        <v>41</v>
      </c>
      <c r="AX4" s="57">
        <f t="shared" si="0"/>
        <v>42</v>
      </c>
      <c r="AY4" s="57">
        <f t="shared" si="0"/>
        <v>43</v>
      </c>
      <c r="AZ4" s="57">
        <f t="shared" si="0"/>
        <v>44</v>
      </c>
      <c r="BA4" s="57">
        <f t="shared" si="0"/>
        <v>45</v>
      </c>
      <c r="BB4" s="57">
        <f t="shared" si="0"/>
        <v>46</v>
      </c>
      <c r="BC4" s="57">
        <f t="shared" si="0"/>
        <v>47</v>
      </c>
      <c r="BD4" s="57">
        <f t="shared" si="0"/>
        <v>48</v>
      </c>
      <c r="BE4" s="57">
        <f t="shared" si="0"/>
        <v>49</v>
      </c>
      <c r="BF4" s="57">
        <f t="shared" si="0"/>
        <v>50</v>
      </c>
      <c r="BG4" s="57">
        <f t="shared" si="0"/>
        <v>51</v>
      </c>
      <c r="BH4" s="57">
        <f t="shared" si="0"/>
        <v>52</v>
      </c>
      <c r="BI4" s="57">
        <f t="shared" si="0"/>
        <v>53</v>
      </c>
    </row>
    <row r="5" spans="1:61" x14ac:dyDescent="0.25">
      <c r="B5" s="100" t="s">
        <v>130</v>
      </c>
      <c r="C5" s="98" t="s">
        <v>131</v>
      </c>
      <c r="D5" s="103" t="s">
        <v>62</v>
      </c>
      <c r="E5" s="61"/>
      <c r="F5" s="98" t="s">
        <v>72</v>
      </c>
      <c r="G5" s="98" t="s">
        <v>73</v>
      </c>
      <c r="H5" s="98" t="s">
        <v>74</v>
      </c>
      <c r="I5" s="62" t="s">
        <v>75</v>
      </c>
      <c r="J5" s="62" t="s">
        <v>76</v>
      </c>
      <c r="K5" s="62" t="s">
        <v>77</v>
      </c>
      <c r="L5" s="62" t="s">
        <v>78</v>
      </c>
      <c r="M5" s="62" t="s">
        <v>79</v>
      </c>
      <c r="N5" s="62" t="s">
        <v>80</v>
      </c>
      <c r="O5" s="62" t="s">
        <v>81</v>
      </c>
      <c r="P5" s="62" t="s">
        <v>82</v>
      </c>
      <c r="Q5" s="62" t="s">
        <v>83</v>
      </c>
      <c r="R5" s="62" t="s">
        <v>84</v>
      </c>
      <c r="S5" s="62" t="s">
        <v>85</v>
      </c>
      <c r="T5" s="62" t="s">
        <v>86</v>
      </c>
      <c r="U5" s="62" t="s">
        <v>87</v>
      </c>
      <c r="V5" s="62" t="s">
        <v>88</v>
      </c>
      <c r="W5" s="62" t="s">
        <v>89</v>
      </c>
      <c r="X5" s="62" t="s">
        <v>90</v>
      </c>
      <c r="Y5" s="62" t="s">
        <v>91</v>
      </c>
      <c r="Z5" s="62" t="s">
        <v>92</v>
      </c>
      <c r="AA5" s="62" t="s">
        <v>93</v>
      </c>
      <c r="AB5" s="62" t="s">
        <v>94</v>
      </c>
      <c r="AC5" s="62" t="s">
        <v>95</v>
      </c>
      <c r="AD5" s="62" t="s">
        <v>96</v>
      </c>
      <c r="AE5" s="62" t="s">
        <v>97</v>
      </c>
      <c r="AF5" s="62" t="s">
        <v>98</v>
      </c>
      <c r="AG5" s="62" t="s">
        <v>99</v>
      </c>
      <c r="AH5" s="62" t="s">
        <v>100</v>
      </c>
      <c r="AI5" s="62" t="s">
        <v>101</v>
      </c>
      <c r="AJ5" s="62" t="s">
        <v>102</v>
      </c>
      <c r="AK5" s="62" t="s">
        <v>103</v>
      </c>
      <c r="AL5" s="62" t="s">
        <v>104</v>
      </c>
      <c r="AM5" s="62" t="s">
        <v>105</v>
      </c>
      <c r="AN5" s="62" t="s">
        <v>106</v>
      </c>
      <c r="AO5" s="62" t="s">
        <v>107</v>
      </c>
      <c r="AP5" s="62" t="s">
        <v>108</v>
      </c>
      <c r="AQ5" s="62" t="s">
        <v>109</v>
      </c>
      <c r="AR5" s="62" t="s">
        <v>110</v>
      </c>
      <c r="AS5" s="62" t="s">
        <v>111</v>
      </c>
      <c r="AT5" s="62" t="s">
        <v>112</v>
      </c>
      <c r="AU5" s="62" t="s">
        <v>113</v>
      </c>
      <c r="AV5" s="62" t="s">
        <v>114</v>
      </c>
      <c r="AW5" s="62" t="s">
        <v>115</v>
      </c>
      <c r="AX5" s="62" t="s">
        <v>116</v>
      </c>
      <c r="AY5" s="62" t="s">
        <v>117</v>
      </c>
      <c r="AZ5" s="62" t="s">
        <v>118</v>
      </c>
      <c r="BA5" s="63" t="s">
        <v>119</v>
      </c>
      <c r="BB5" s="62" t="s">
        <v>120</v>
      </c>
      <c r="BC5" s="62" t="s">
        <v>121</v>
      </c>
      <c r="BD5" s="62" t="s">
        <v>122</v>
      </c>
      <c r="BE5" s="62" t="s">
        <v>123</v>
      </c>
      <c r="BF5" s="62" t="s">
        <v>124</v>
      </c>
      <c r="BG5" s="62" t="s">
        <v>125</v>
      </c>
      <c r="BH5" s="64" t="s">
        <v>126</v>
      </c>
      <c r="BI5" s="64" t="s">
        <v>132</v>
      </c>
    </row>
    <row r="6" spans="1:61" x14ac:dyDescent="0.25">
      <c r="B6" s="105"/>
      <c r="C6" s="99"/>
      <c r="D6" s="106"/>
      <c r="E6" s="65"/>
      <c r="F6" s="99"/>
      <c r="G6" s="99"/>
      <c r="H6" s="99"/>
      <c r="I6" s="79">
        <v>46028</v>
      </c>
      <c r="J6" s="79">
        <f t="shared" ref="J6:BH6" si="1">I6+7</f>
        <v>46035</v>
      </c>
      <c r="K6" s="79">
        <f t="shared" si="1"/>
        <v>46042</v>
      </c>
      <c r="L6" s="79">
        <f t="shared" si="1"/>
        <v>46049</v>
      </c>
      <c r="M6" s="79">
        <f t="shared" si="1"/>
        <v>46056</v>
      </c>
      <c r="N6" s="79">
        <f t="shared" si="1"/>
        <v>46063</v>
      </c>
      <c r="O6" s="79">
        <f t="shared" si="1"/>
        <v>46070</v>
      </c>
      <c r="P6" s="79">
        <f t="shared" si="1"/>
        <v>46077</v>
      </c>
      <c r="Q6" s="79">
        <f t="shared" si="1"/>
        <v>46084</v>
      </c>
      <c r="R6" s="79">
        <f t="shared" si="1"/>
        <v>46091</v>
      </c>
      <c r="S6" s="79">
        <f t="shared" si="1"/>
        <v>46098</v>
      </c>
      <c r="T6" s="79">
        <f t="shared" si="1"/>
        <v>46105</v>
      </c>
      <c r="U6" s="79">
        <f t="shared" si="1"/>
        <v>46112</v>
      </c>
      <c r="V6" s="79">
        <f t="shared" si="1"/>
        <v>46119</v>
      </c>
      <c r="W6" s="79">
        <f t="shared" si="1"/>
        <v>46126</v>
      </c>
      <c r="X6" s="79">
        <f t="shared" si="1"/>
        <v>46133</v>
      </c>
      <c r="Y6" s="79">
        <f t="shared" si="1"/>
        <v>46140</v>
      </c>
      <c r="Z6" s="79">
        <f t="shared" si="1"/>
        <v>46147</v>
      </c>
      <c r="AA6" s="79">
        <f t="shared" si="1"/>
        <v>46154</v>
      </c>
      <c r="AB6" s="79">
        <f t="shared" si="1"/>
        <v>46161</v>
      </c>
      <c r="AC6" s="79">
        <f t="shared" si="1"/>
        <v>46168</v>
      </c>
      <c r="AD6" s="79">
        <f t="shared" si="1"/>
        <v>46175</v>
      </c>
      <c r="AE6" s="79">
        <f t="shared" si="1"/>
        <v>46182</v>
      </c>
      <c r="AF6" s="79">
        <f t="shared" si="1"/>
        <v>46189</v>
      </c>
      <c r="AG6" s="79">
        <f t="shared" si="1"/>
        <v>46196</v>
      </c>
      <c r="AH6" s="79">
        <f t="shared" si="1"/>
        <v>46203</v>
      </c>
      <c r="AI6" s="79">
        <f t="shared" si="1"/>
        <v>46210</v>
      </c>
      <c r="AJ6" s="79">
        <f t="shared" si="1"/>
        <v>46217</v>
      </c>
      <c r="AK6" s="79">
        <f t="shared" si="1"/>
        <v>46224</v>
      </c>
      <c r="AL6" s="79">
        <f t="shared" si="1"/>
        <v>46231</v>
      </c>
      <c r="AM6" s="79">
        <f t="shared" si="1"/>
        <v>46238</v>
      </c>
      <c r="AN6" s="79">
        <f t="shared" si="1"/>
        <v>46245</v>
      </c>
      <c r="AO6" s="79">
        <f t="shared" si="1"/>
        <v>46252</v>
      </c>
      <c r="AP6" s="79">
        <f t="shared" si="1"/>
        <v>46259</v>
      </c>
      <c r="AQ6" s="79">
        <f t="shared" si="1"/>
        <v>46266</v>
      </c>
      <c r="AR6" s="79">
        <f t="shared" si="1"/>
        <v>46273</v>
      </c>
      <c r="AS6" s="79">
        <f t="shared" si="1"/>
        <v>46280</v>
      </c>
      <c r="AT6" s="79">
        <f t="shared" si="1"/>
        <v>46287</v>
      </c>
      <c r="AU6" s="79">
        <f t="shared" si="1"/>
        <v>46294</v>
      </c>
      <c r="AV6" s="79">
        <f t="shared" si="1"/>
        <v>46301</v>
      </c>
      <c r="AW6" s="79">
        <f t="shared" si="1"/>
        <v>46308</v>
      </c>
      <c r="AX6" s="79">
        <f t="shared" si="1"/>
        <v>46315</v>
      </c>
      <c r="AY6" s="79">
        <f t="shared" si="1"/>
        <v>46322</v>
      </c>
      <c r="AZ6" s="79">
        <f t="shared" si="1"/>
        <v>46329</v>
      </c>
      <c r="BA6" s="79">
        <f t="shared" si="1"/>
        <v>46336</v>
      </c>
      <c r="BB6" s="79">
        <f t="shared" si="1"/>
        <v>46343</v>
      </c>
      <c r="BC6" s="79">
        <f t="shared" si="1"/>
        <v>46350</v>
      </c>
      <c r="BD6" s="79">
        <f t="shared" si="1"/>
        <v>46357</v>
      </c>
      <c r="BE6" s="79">
        <f t="shared" si="1"/>
        <v>46364</v>
      </c>
      <c r="BF6" s="79">
        <f t="shared" si="1"/>
        <v>46371</v>
      </c>
      <c r="BG6" s="79">
        <f t="shared" si="1"/>
        <v>46378</v>
      </c>
      <c r="BH6" s="79">
        <f t="shared" si="1"/>
        <v>46385</v>
      </c>
      <c r="BI6" s="79">
        <f>BH6+1</f>
        <v>46386</v>
      </c>
    </row>
    <row r="7" spans="1:61" x14ac:dyDescent="0.25">
      <c r="B7" s="30" t="s">
        <v>129</v>
      </c>
      <c r="C7" s="59" t="s">
        <v>127</v>
      </c>
      <c r="D7" s="37">
        <f>H8/H7</f>
        <v>3.2153330181723261</v>
      </c>
      <c r="E7" s="23">
        <f>IF(D7&gt;300%,300%,D7)</f>
        <v>3</v>
      </c>
      <c r="F7" s="60" t="s">
        <v>138</v>
      </c>
      <c r="G7" s="38">
        <f t="shared" ref="G7:H10" si="2">G14+G18+G22</f>
        <v>1594896.9999999998</v>
      </c>
      <c r="H7" s="38">
        <f>H14+H18+H22</f>
        <v>111782.1602159584</v>
      </c>
      <c r="I7" s="38">
        <f>IFERROR(I14+I18+I22,"")</f>
        <v>12565.570251030005</v>
      </c>
      <c r="J7" s="38">
        <f>IFERROR(J14+J18+J22,"")</f>
        <v>11161.750823818118</v>
      </c>
      <c r="K7" s="38">
        <f t="shared" ref="K7:AN7" si="3">IFERROR(K14+K18+K22,"")</f>
        <v>10817.906697854316</v>
      </c>
      <c r="L7" s="38">
        <f t="shared" si="3"/>
        <v>13151.848380604199</v>
      </c>
      <c r="M7" s="38">
        <f t="shared" si="3"/>
        <v>12482.394112961611</v>
      </c>
      <c r="N7" s="38">
        <f t="shared" si="3"/>
        <v>11512.271128027651</v>
      </c>
      <c r="O7" s="38">
        <f t="shared" si="3"/>
        <v>11017.892566909763</v>
      </c>
      <c r="P7" s="38">
        <f t="shared" si="3"/>
        <v>13030.257892604841</v>
      </c>
      <c r="Q7" s="38">
        <f t="shared" si="3"/>
        <v>16042.268362147905</v>
      </c>
      <c r="R7" s="38">
        <f t="shared" si="3"/>
        <v>15233.439927113541</v>
      </c>
      <c r="S7" s="38">
        <f t="shared" si="3"/>
        <v>17586.731408799529</v>
      </c>
      <c r="T7" s="38" t="str">
        <f t="shared" si="3"/>
        <v/>
      </c>
      <c r="U7" s="38" t="str">
        <f t="shared" si="3"/>
        <v/>
      </c>
      <c r="V7" s="38" t="str">
        <f t="shared" si="3"/>
        <v/>
      </c>
      <c r="W7" s="38" t="str">
        <f t="shared" si="3"/>
        <v/>
      </c>
      <c r="X7" s="38" t="str">
        <f t="shared" si="3"/>
        <v/>
      </c>
      <c r="Y7" s="38" t="str">
        <f t="shared" si="3"/>
        <v/>
      </c>
      <c r="Z7" s="38" t="str">
        <f t="shared" si="3"/>
        <v/>
      </c>
      <c r="AA7" s="38" t="str">
        <f t="shared" si="3"/>
        <v/>
      </c>
      <c r="AB7" s="38" t="str">
        <f t="shared" si="3"/>
        <v/>
      </c>
      <c r="AC7" s="38" t="str">
        <f t="shared" si="3"/>
        <v/>
      </c>
      <c r="AD7" s="38" t="str">
        <f t="shared" si="3"/>
        <v/>
      </c>
      <c r="AE7" s="38" t="str">
        <f t="shared" si="3"/>
        <v/>
      </c>
      <c r="AF7" s="38" t="str">
        <f t="shared" si="3"/>
        <v/>
      </c>
      <c r="AG7" s="38" t="str">
        <f t="shared" si="3"/>
        <v/>
      </c>
      <c r="AH7" s="38" t="str">
        <f t="shared" si="3"/>
        <v/>
      </c>
      <c r="AI7" s="38" t="str">
        <f t="shared" si="3"/>
        <v/>
      </c>
      <c r="AJ7" s="38" t="str">
        <f t="shared" si="3"/>
        <v/>
      </c>
      <c r="AK7" s="38" t="str">
        <f t="shared" si="3"/>
        <v/>
      </c>
      <c r="AL7" s="38" t="str">
        <f t="shared" si="3"/>
        <v/>
      </c>
      <c r="AM7" s="38" t="str">
        <f t="shared" si="3"/>
        <v/>
      </c>
      <c r="AN7" s="38" t="str">
        <f t="shared" si="3"/>
        <v/>
      </c>
      <c r="AO7" s="38" t="str">
        <f t="shared" ref="AO7:BI7" si="4">IFERROR(AO14+AO18+AO22,"")</f>
        <v/>
      </c>
      <c r="AP7" s="38" t="str">
        <f t="shared" si="4"/>
        <v/>
      </c>
      <c r="AQ7" s="38" t="str">
        <f t="shared" si="4"/>
        <v/>
      </c>
      <c r="AR7" s="38" t="str">
        <f t="shared" si="4"/>
        <v/>
      </c>
      <c r="AS7" s="38" t="str">
        <f t="shared" si="4"/>
        <v/>
      </c>
      <c r="AT7" s="38" t="str">
        <f t="shared" si="4"/>
        <v/>
      </c>
      <c r="AU7" s="38" t="str">
        <f t="shared" si="4"/>
        <v/>
      </c>
      <c r="AV7" s="38" t="str">
        <f t="shared" si="4"/>
        <v/>
      </c>
      <c r="AW7" s="38" t="str">
        <f t="shared" si="4"/>
        <v/>
      </c>
      <c r="AX7" s="38" t="str">
        <f t="shared" si="4"/>
        <v/>
      </c>
      <c r="AY7" s="38" t="str">
        <f t="shared" si="4"/>
        <v/>
      </c>
      <c r="AZ7" s="38" t="str">
        <f t="shared" si="4"/>
        <v/>
      </c>
      <c r="BA7" s="38" t="str">
        <f t="shared" si="4"/>
        <v/>
      </c>
      <c r="BB7" s="38" t="str">
        <f t="shared" si="4"/>
        <v/>
      </c>
      <c r="BC7" s="38" t="str">
        <f t="shared" si="4"/>
        <v/>
      </c>
      <c r="BD7" s="38" t="str">
        <f t="shared" si="4"/>
        <v/>
      </c>
      <c r="BE7" s="38" t="str">
        <f t="shared" si="4"/>
        <v/>
      </c>
      <c r="BF7" s="38" t="str">
        <f t="shared" si="4"/>
        <v/>
      </c>
      <c r="BG7" s="38" t="str">
        <f t="shared" si="4"/>
        <v/>
      </c>
      <c r="BH7" s="38" t="str">
        <f t="shared" si="4"/>
        <v/>
      </c>
      <c r="BI7" s="38" t="str">
        <f t="shared" si="4"/>
        <v/>
      </c>
    </row>
    <row r="8" spans="1:61" x14ac:dyDescent="0.25">
      <c r="B8" s="32" t="str">
        <f>B7</f>
        <v>ANCHOR</v>
      </c>
      <c r="C8" s="27" t="s">
        <v>128</v>
      </c>
      <c r="D8" s="34">
        <f>H8/H9-1</f>
        <v>1.8597133904940528</v>
      </c>
      <c r="E8" s="28">
        <f>IF(D8&gt;300%,300%,D8)</f>
        <v>1.8597133904940528</v>
      </c>
      <c r="F8" s="39">
        <v>2026</v>
      </c>
      <c r="G8" s="40">
        <f t="shared" si="2"/>
        <v>359416.87058500003</v>
      </c>
      <c r="H8" s="40">
        <f t="shared" si="2"/>
        <v>359416.87058500003</v>
      </c>
      <c r="I8" s="40">
        <f t="shared" ref="I8:AN8" si="5">IFERROR(I15+I19+I23,"")</f>
        <v>21565.516168999999</v>
      </c>
      <c r="J8" s="40">
        <f t="shared" si="5"/>
        <v>23897.640769999998</v>
      </c>
      <c r="K8" s="40">
        <f t="shared" si="5"/>
        <v>24255.531868999999</v>
      </c>
      <c r="L8" s="40">
        <f t="shared" si="5"/>
        <v>22175.849386000002</v>
      </c>
      <c r="M8" s="40">
        <f t="shared" si="5"/>
        <v>34165.37644</v>
      </c>
      <c r="N8" s="40">
        <f t="shared" si="5"/>
        <v>56025.164066000005</v>
      </c>
      <c r="O8" s="40">
        <f t="shared" si="5"/>
        <v>61894.937640000004</v>
      </c>
      <c r="P8" s="40">
        <f t="shared" si="5"/>
        <v>61002.359054</v>
      </c>
      <c r="Q8" s="40">
        <f t="shared" si="5"/>
        <v>37755.483496000001</v>
      </c>
      <c r="R8" s="40">
        <f t="shared" si="5"/>
        <v>8663.8995169999998</v>
      </c>
      <c r="S8" s="40">
        <f t="shared" si="5"/>
        <v>8015.1121779999994</v>
      </c>
      <c r="T8" s="40" t="str">
        <f t="shared" si="5"/>
        <v/>
      </c>
      <c r="U8" s="40" t="str">
        <f t="shared" si="5"/>
        <v/>
      </c>
      <c r="V8" s="40" t="str">
        <f t="shared" si="5"/>
        <v/>
      </c>
      <c r="W8" s="40" t="str">
        <f t="shared" si="5"/>
        <v/>
      </c>
      <c r="X8" s="40" t="str">
        <f t="shared" si="5"/>
        <v/>
      </c>
      <c r="Y8" s="40" t="str">
        <f t="shared" si="5"/>
        <v/>
      </c>
      <c r="Z8" s="40" t="str">
        <f t="shared" si="5"/>
        <v/>
      </c>
      <c r="AA8" s="40" t="str">
        <f t="shared" si="5"/>
        <v/>
      </c>
      <c r="AB8" s="40" t="str">
        <f t="shared" si="5"/>
        <v/>
      </c>
      <c r="AC8" s="40" t="str">
        <f t="shared" si="5"/>
        <v/>
      </c>
      <c r="AD8" s="40" t="str">
        <f t="shared" si="5"/>
        <v/>
      </c>
      <c r="AE8" s="40" t="str">
        <f t="shared" si="5"/>
        <v/>
      </c>
      <c r="AF8" s="40" t="str">
        <f t="shared" si="5"/>
        <v/>
      </c>
      <c r="AG8" s="40" t="str">
        <f t="shared" si="5"/>
        <v/>
      </c>
      <c r="AH8" s="40" t="str">
        <f t="shared" si="5"/>
        <v/>
      </c>
      <c r="AI8" s="40" t="str">
        <f t="shared" si="5"/>
        <v/>
      </c>
      <c r="AJ8" s="40" t="str">
        <f t="shared" si="5"/>
        <v/>
      </c>
      <c r="AK8" s="40" t="str">
        <f t="shared" si="5"/>
        <v/>
      </c>
      <c r="AL8" s="40" t="str">
        <f t="shared" si="5"/>
        <v/>
      </c>
      <c r="AM8" s="40" t="str">
        <f t="shared" si="5"/>
        <v/>
      </c>
      <c r="AN8" s="40" t="str">
        <f t="shared" si="5"/>
        <v/>
      </c>
      <c r="AO8" s="40" t="str">
        <f t="shared" ref="AO8:BI8" si="6">IFERROR(AO15+AO19+AO23,"")</f>
        <v/>
      </c>
      <c r="AP8" s="40" t="str">
        <f t="shared" si="6"/>
        <v/>
      </c>
      <c r="AQ8" s="40" t="str">
        <f t="shared" si="6"/>
        <v/>
      </c>
      <c r="AR8" s="40" t="str">
        <f t="shared" si="6"/>
        <v/>
      </c>
      <c r="AS8" s="40" t="str">
        <f t="shared" si="6"/>
        <v/>
      </c>
      <c r="AT8" s="40" t="str">
        <f t="shared" si="6"/>
        <v/>
      </c>
      <c r="AU8" s="40" t="str">
        <f t="shared" si="6"/>
        <v/>
      </c>
      <c r="AV8" s="40" t="str">
        <f t="shared" si="6"/>
        <v/>
      </c>
      <c r="AW8" s="40" t="str">
        <f t="shared" si="6"/>
        <v/>
      </c>
      <c r="AX8" s="40" t="str">
        <f t="shared" si="6"/>
        <v/>
      </c>
      <c r="AY8" s="40" t="str">
        <f t="shared" si="6"/>
        <v/>
      </c>
      <c r="AZ8" s="40" t="str">
        <f t="shared" si="6"/>
        <v/>
      </c>
      <c r="BA8" s="40" t="str">
        <f t="shared" si="6"/>
        <v/>
      </c>
      <c r="BB8" s="40" t="str">
        <f t="shared" si="6"/>
        <v/>
      </c>
      <c r="BC8" s="40" t="str">
        <f t="shared" si="6"/>
        <v/>
      </c>
      <c r="BD8" s="40" t="str">
        <f t="shared" si="6"/>
        <v/>
      </c>
      <c r="BE8" s="40" t="str">
        <f t="shared" si="6"/>
        <v/>
      </c>
      <c r="BF8" s="40" t="str">
        <f t="shared" si="6"/>
        <v/>
      </c>
      <c r="BG8" s="40" t="str">
        <f t="shared" si="6"/>
        <v/>
      </c>
      <c r="BH8" s="40" t="str">
        <f t="shared" si="6"/>
        <v/>
      </c>
      <c r="BI8" s="40" t="str">
        <f t="shared" si="6"/>
        <v/>
      </c>
    </row>
    <row r="9" spans="1:61" x14ac:dyDescent="0.25">
      <c r="B9" s="32"/>
      <c r="C9" s="27" t="s">
        <v>128</v>
      </c>
      <c r="D9" s="34">
        <f>H9/H10-1</f>
        <v>-0.29281814107343374</v>
      </c>
      <c r="E9" s="28">
        <f>IF(D9&gt;300%,300%,D9)</f>
        <v>-0.29281814107343374</v>
      </c>
      <c r="F9" s="83">
        <v>2025</v>
      </c>
      <c r="G9" s="84">
        <f t="shared" si="2"/>
        <v>871113.49219499994</v>
      </c>
      <c r="H9" s="84">
        <f t="shared" si="2"/>
        <v>125682.82953799999</v>
      </c>
      <c r="I9" s="84">
        <f>IFERROR(I16+I20+I24,"")</f>
        <v>10868.838253</v>
      </c>
      <c r="J9" s="84">
        <f t="shared" ref="J9:BI9" si="7">IFERROR(J16+J20+J24,"")</f>
        <v>9449.8979319999999</v>
      </c>
      <c r="K9" s="84">
        <f t="shared" si="7"/>
        <v>9389.5657069999997</v>
      </c>
      <c r="L9" s="84">
        <f t="shared" si="7"/>
        <v>11328.809886999999</v>
      </c>
      <c r="M9" s="84">
        <f t="shared" si="7"/>
        <v>10509.281404000001</v>
      </c>
      <c r="N9" s="84">
        <f t="shared" si="7"/>
        <v>9594.0448469999992</v>
      </c>
      <c r="O9" s="84">
        <f t="shared" si="7"/>
        <v>9485.8721470000019</v>
      </c>
      <c r="P9" s="84">
        <f t="shared" si="7"/>
        <v>13105.251135</v>
      </c>
      <c r="Q9" s="84">
        <f t="shared" si="7"/>
        <v>14560.729822000001</v>
      </c>
      <c r="R9" s="84">
        <f t="shared" si="7"/>
        <v>13028.623512</v>
      </c>
      <c r="S9" s="84">
        <f t="shared" si="7"/>
        <v>14361.914892000001</v>
      </c>
      <c r="T9" s="84" t="str">
        <f t="shared" si="7"/>
        <v/>
      </c>
      <c r="U9" s="84" t="str">
        <f t="shared" si="7"/>
        <v/>
      </c>
      <c r="V9" s="84" t="str">
        <f t="shared" si="7"/>
        <v/>
      </c>
      <c r="W9" s="84" t="str">
        <f t="shared" si="7"/>
        <v/>
      </c>
      <c r="X9" s="84" t="str">
        <f t="shared" si="7"/>
        <v/>
      </c>
      <c r="Y9" s="84" t="str">
        <f t="shared" si="7"/>
        <v/>
      </c>
      <c r="Z9" s="84" t="str">
        <f t="shared" si="7"/>
        <v/>
      </c>
      <c r="AA9" s="84" t="str">
        <f t="shared" si="7"/>
        <v/>
      </c>
      <c r="AB9" s="84" t="str">
        <f t="shared" si="7"/>
        <v/>
      </c>
      <c r="AC9" s="84" t="str">
        <f t="shared" si="7"/>
        <v/>
      </c>
      <c r="AD9" s="84" t="str">
        <f t="shared" si="7"/>
        <v/>
      </c>
      <c r="AE9" s="84" t="str">
        <f t="shared" si="7"/>
        <v/>
      </c>
      <c r="AF9" s="84" t="str">
        <f t="shared" si="7"/>
        <v/>
      </c>
      <c r="AG9" s="84" t="str">
        <f t="shared" si="7"/>
        <v/>
      </c>
      <c r="AH9" s="84" t="str">
        <f t="shared" si="7"/>
        <v/>
      </c>
      <c r="AI9" s="84" t="str">
        <f t="shared" si="7"/>
        <v/>
      </c>
      <c r="AJ9" s="84" t="str">
        <f t="shared" si="7"/>
        <v/>
      </c>
      <c r="AK9" s="84" t="str">
        <f t="shared" si="7"/>
        <v/>
      </c>
      <c r="AL9" s="84" t="str">
        <f t="shared" si="7"/>
        <v/>
      </c>
      <c r="AM9" s="84" t="str">
        <f t="shared" si="7"/>
        <v/>
      </c>
      <c r="AN9" s="84" t="str">
        <f t="shared" si="7"/>
        <v/>
      </c>
      <c r="AO9" s="84" t="str">
        <f t="shared" si="7"/>
        <v/>
      </c>
      <c r="AP9" s="84" t="str">
        <f t="shared" si="7"/>
        <v/>
      </c>
      <c r="AQ9" s="84" t="str">
        <f t="shared" si="7"/>
        <v/>
      </c>
      <c r="AR9" s="84" t="str">
        <f t="shared" si="7"/>
        <v/>
      </c>
      <c r="AS9" s="84" t="str">
        <f t="shared" si="7"/>
        <v/>
      </c>
      <c r="AT9" s="84" t="str">
        <f t="shared" si="7"/>
        <v/>
      </c>
      <c r="AU9" s="84" t="str">
        <f t="shared" si="7"/>
        <v/>
      </c>
      <c r="AV9" s="84" t="str">
        <f t="shared" si="7"/>
        <v/>
      </c>
      <c r="AW9" s="84" t="str">
        <f t="shared" si="7"/>
        <v/>
      </c>
      <c r="AX9" s="84" t="str">
        <f t="shared" si="7"/>
        <v/>
      </c>
      <c r="AY9" s="84" t="str">
        <f t="shared" si="7"/>
        <v/>
      </c>
      <c r="AZ9" s="84" t="str">
        <f t="shared" si="7"/>
        <v/>
      </c>
      <c r="BA9" s="84" t="str">
        <f t="shared" si="7"/>
        <v/>
      </c>
      <c r="BB9" s="84" t="str">
        <f t="shared" si="7"/>
        <v/>
      </c>
      <c r="BC9" s="84" t="str">
        <f t="shared" si="7"/>
        <v/>
      </c>
      <c r="BD9" s="84" t="str">
        <f t="shared" si="7"/>
        <v/>
      </c>
      <c r="BE9" s="84" t="str">
        <f t="shared" si="7"/>
        <v/>
      </c>
      <c r="BF9" s="84" t="str">
        <f t="shared" si="7"/>
        <v/>
      </c>
      <c r="BG9" s="84" t="str">
        <f t="shared" si="7"/>
        <v/>
      </c>
      <c r="BH9" s="84" t="str">
        <f t="shared" si="7"/>
        <v/>
      </c>
      <c r="BI9" s="84" t="str">
        <f t="shared" si="7"/>
        <v/>
      </c>
    </row>
    <row r="10" spans="1:61" x14ac:dyDescent="0.25">
      <c r="B10" s="33" t="str">
        <f>B7</f>
        <v>ANCHOR</v>
      </c>
      <c r="C10" s="27"/>
      <c r="D10" s="35"/>
      <c r="E10" s="28"/>
      <c r="F10" s="85">
        <f>F9-1</f>
        <v>2024</v>
      </c>
      <c r="G10" s="86">
        <f t="shared" si="2"/>
        <v>745707.97267799999</v>
      </c>
      <c r="H10" s="86">
        <f t="shared" si="2"/>
        <v>177723.49212799998</v>
      </c>
      <c r="I10" s="86">
        <f>IFERROR(I17+I21+I25,"")</f>
        <v>16620.323463000001</v>
      </c>
      <c r="J10" s="86">
        <f t="shared" ref="J10:BI10" si="8">IFERROR(J17+J21+J25,"")</f>
        <v>15966.218494000001</v>
      </c>
      <c r="K10" s="86">
        <f t="shared" si="8"/>
        <v>15658.988039</v>
      </c>
      <c r="L10" s="86">
        <f t="shared" si="8"/>
        <v>16730.293908</v>
      </c>
      <c r="M10" s="86">
        <f t="shared" si="8"/>
        <v>17605.816880999999</v>
      </c>
      <c r="N10" s="86">
        <f t="shared" si="8"/>
        <v>19334.423946999999</v>
      </c>
      <c r="O10" s="86">
        <f t="shared" si="8"/>
        <v>14109.222168</v>
      </c>
      <c r="P10" s="86">
        <f t="shared" si="8"/>
        <v>14732.828216999998</v>
      </c>
      <c r="Q10" s="86">
        <f t="shared" si="8"/>
        <v>17684.659744999997</v>
      </c>
      <c r="R10" s="86">
        <f t="shared" si="8"/>
        <v>15626.783701</v>
      </c>
      <c r="S10" s="86">
        <f t="shared" si="8"/>
        <v>13653.933564999999</v>
      </c>
      <c r="T10" s="86" t="str">
        <f t="shared" si="8"/>
        <v/>
      </c>
      <c r="U10" s="86" t="str">
        <f t="shared" si="8"/>
        <v/>
      </c>
      <c r="V10" s="86" t="str">
        <f t="shared" si="8"/>
        <v/>
      </c>
      <c r="W10" s="86" t="str">
        <f t="shared" si="8"/>
        <v/>
      </c>
      <c r="X10" s="86" t="str">
        <f t="shared" si="8"/>
        <v/>
      </c>
      <c r="Y10" s="86" t="str">
        <f t="shared" si="8"/>
        <v/>
      </c>
      <c r="Z10" s="86" t="str">
        <f t="shared" si="8"/>
        <v/>
      </c>
      <c r="AA10" s="86" t="str">
        <f t="shared" si="8"/>
        <v/>
      </c>
      <c r="AB10" s="86" t="str">
        <f t="shared" si="8"/>
        <v/>
      </c>
      <c r="AC10" s="86" t="str">
        <f t="shared" si="8"/>
        <v/>
      </c>
      <c r="AD10" s="86" t="str">
        <f t="shared" si="8"/>
        <v/>
      </c>
      <c r="AE10" s="86" t="str">
        <f t="shared" si="8"/>
        <v/>
      </c>
      <c r="AF10" s="86" t="str">
        <f t="shared" si="8"/>
        <v/>
      </c>
      <c r="AG10" s="86" t="str">
        <f t="shared" si="8"/>
        <v/>
      </c>
      <c r="AH10" s="86" t="str">
        <f t="shared" si="8"/>
        <v/>
      </c>
      <c r="AI10" s="86" t="str">
        <f t="shared" si="8"/>
        <v/>
      </c>
      <c r="AJ10" s="86" t="str">
        <f t="shared" si="8"/>
        <v/>
      </c>
      <c r="AK10" s="86" t="str">
        <f t="shared" si="8"/>
        <v/>
      </c>
      <c r="AL10" s="86" t="str">
        <f t="shared" si="8"/>
        <v/>
      </c>
      <c r="AM10" s="86" t="str">
        <f t="shared" si="8"/>
        <v/>
      </c>
      <c r="AN10" s="86" t="str">
        <f t="shared" si="8"/>
        <v/>
      </c>
      <c r="AO10" s="86" t="str">
        <f t="shared" si="8"/>
        <v/>
      </c>
      <c r="AP10" s="86" t="str">
        <f t="shared" si="8"/>
        <v/>
      </c>
      <c r="AQ10" s="86" t="str">
        <f t="shared" si="8"/>
        <v/>
      </c>
      <c r="AR10" s="86" t="str">
        <f t="shared" si="8"/>
        <v/>
      </c>
      <c r="AS10" s="86" t="str">
        <f t="shared" si="8"/>
        <v/>
      </c>
      <c r="AT10" s="86" t="str">
        <f t="shared" si="8"/>
        <v/>
      </c>
      <c r="AU10" s="86" t="str">
        <f t="shared" si="8"/>
        <v/>
      </c>
      <c r="AV10" s="86" t="str">
        <f t="shared" si="8"/>
        <v/>
      </c>
      <c r="AW10" s="86" t="str">
        <f t="shared" si="8"/>
        <v/>
      </c>
      <c r="AX10" s="86" t="str">
        <f t="shared" si="8"/>
        <v/>
      </c>
      <c r="AY10" s="86" t="str">
        <f t="shared" si="8"/>
        <v/>
      </c>
      <c r="AZ10" s="86" t="str">
        <f t="shared" si="8"/>
        <v/>
      </c>
      <c r="BA10" s="86" t="str">
        <f t="shared" si="8"/>
        <v/>
      </c>
      <c r="BB10" s="86" t="str">
        <f t="shared" si="8"/>
        <v/>
      </c>
      <c r="BC10" s="86" t="str">
        <f t="shared" si="8"/>
        <v/>
      </c>
      <c r="BD10" s="86" t="str">
        <f t="shared" si="8"/>
        <v/>
      </c>
      <c r="BE10" s="86" t="str">
        <f t="shared" si="8"/>
        <v/>
      </c>
      <c r="BF10" s="86" t="str">
        <f t="shared" si="8"/>
        <v/>
      </c>
      <c r="BG10" s="86" t="str">
        <f t="shared" si="8"/>
        <v/>
      </c>
      <c r="BH10" s="86" t="str">
        <f t="shared" si="8"/>
        <v/>
      </c>
      <c r="BI10" s="86" t="str">
        <f t="shared" si="8"/>
        <v/>
      </c>
    </row>
    <row r="12" spans="1:61" x14ac:dyDescent="0.25">
      <c r="B12" s="100" t="s">
        <v>58</v>
      </c>
      <c r="C12" s="98" t="s">
        <v>131</v>
      </c>
      <c r="D12" s="103" t="s">
        <v>62</v>
      </c>
      <c r="E12" s="61"/>
      <c r="F12" s="98" t="s">
        <v>72</v>
      </c>
      <c r="G12" s="98" t="s">
        <v>73</v>
      </c>
      <c r="H12" s="98" t="s">
        <v>74</v>
      </c>
      <c r="I12" s="62" t="str">
        <f t="shared" ref="I12:AN12" si="9">I5</f>
        <v>Week-01</v>
      </c>
      <c r="J12" s="62" t="str">
        <f t="shared" si="9"/>
        <v>Week-02</v>
      </c>
      <c r="K12" s="62" t="str">
        <f t="shared" si="9"/>
        <v>Week-03</v>
      </c>
      <c r="L12" s="62" t="str">
        <f t="shared" si="9"/>
        <v>Week-04</v>
      </c>
      <c r="M12" s="62" t="str">
        <f t="shared" si="9"/>
        <v>Week-05</v>
      </c>
      <c r="N12" s="62" t="str">
        <f t="shared" si="9"/>
        <v>Week-06</v>
      </c>
      <c r="O12" s="62" t="str">
        <f t="shared" si="9"/>
        <v>Week-07</v>
      </c>
      <c r="P12" s="62" t="str">
        <f t="shared" si="9"/>
        <v>Week-08</v>
      </c>
      <c r="Q12" s="62" t="str">
        <f t="shared" si="9"/>
        <v>Week-09</v>
      </c>
      <c r="R12" s="62" t="str">
        <f t="shared" si="9"/>
        <v>Week-10</v>
      </c>
      <c r="S12" s="62" t="str">
        <f t="shared" si="9"/>
        <v>Week-11</v>
      </c>
      <c r="T12" s="62" t="str">
        <f t="shared" si="9"/>
        <v>Week-12</v>
      </c>
      <c r="U12" s="62" t="str">
        <f t="shared" si="9"/>
        <v>Week-13</v>
      </c>
      <c r="V12" s="62" t="str">
        <f t="shared" si="9"/>
        <v>Week-14</v>
      </c>
      <c r="W12" s="62" t="str">
        <f t="shared" si="9"/>
        <v>Week-15</v>
      </c>
      <c r="X12" s="62" t="str">
        <f t="shared" si="9"/>
        <v>Week-16</v>
      </c>
      <c r="Y12" s="62" t="str">
        <f t="shared" si="9"/>
        <v>Week-17</v>
      </c>
      <c r="Z12" s="62" t="str">
        <f t="shared" si="9"/>
        <v>Week-18</v>
      </c>
      <c r="AA12" s="62" t="str">
        <f t="shared" si="9"/>
        <v>Week-19</v>
      </c>
      <c r="AB12" s="62" t="str">
        <f t="shared" si="9"/>
        <v>Week-20</v>
      </c>
      <c r="AC12" s="62" t="str">
        <f t="shared" si="9"/>
        <v>Week-21</v>
      </c>
      <c r="AD12" s="62" t="str">
        <f t="shared" si="9"/>
        <v>Week-22</v>
      </c>
      <c r="AE12" s="62" t="str">
        <f t="shared" si="9"/>
        <v>Week-23</v>
      </c>
      <c r="AF12" s="62" t="str">
        <f t="shared" si="9"/>
        <v>Week-24</v>
      </c>
      <c r="AG12" s="62" t="str">
        <f t="shared" si="9"/>
        <v>Week-25</v>
      </c>
      <c r="AH12" s="62" t="str">
        <f t="shared" si="9"/>
        <v>Week-26</v>
      </c>
      <c r="AI12" s="62" t="str">
        <f t="shared" si="9"/>
        <v>Week-27</v>
      </c>
      <c r="AJ12" s="62" t="str">
        <f t="shared" si="9"/>
        <v>Week-28</v>
      </c>
      <c r="AK12" s="62" t="str">
        <f t="shared" si="9"/>
        <v>Week-29</v>
      </c>
      <c r="AL12" s="62" t="str">
        <f t="shared" si="9"/>
        <v>Week-30</v>
      </c>
      <c r="AM12" s="62" t="str">
        <f t="shared" si="9"/>
        <v>Week-31</v>
      </c>
      <c r="AN12" s="62" t="str">
        <f t="shared" si="9"/>
        <v>Week-32</v>
      </c>
      <c r="AO12" s="62" t="str">
        <f t="shared" ref="AO12:BI12" si="10">AO5</f>
        <v>Week-33</v>
      </c>
      <c r="AP12" s="62" t="str">
        <f t="shared" si="10"/>
        <v>Week-34</v>
      </c>
      <c r="AQ12" s="62" t="str">
        <f t="shared" si="10"/>
        <v>Week-35</v>
      </c>
      <c r="AR12" s="62" t="str">
        <f t="shared" si="10"/>
        <v>Week-36</v>
      </c>
      <c r="AS12" s="62" t="str">
        <f t="shared" si="10"/>
        <v>Week-37</v>
      </c>
      <c r="AT12" s="62" t="str">
        <f t="shared" si="10"/>
        <v>Week-38</v>
      </c>
      <c r="AU12" s="62" t="str">
        <f t="shared" si="10"/>
        <v>Week-39</v>
      </c>
      <c r="AV12" s="62" t="str">
        <f t="shared" si="10"/>
        <v>Week-40</v>
      </c>
      <c r="AW12" s="62" t="str">
        <f t="shared" si="10"/>
        <v>Week-41</v>
      </c>
      <c r="AX12" s="62" t="str">
        <f t="shared" si="10"/>
        <v>Week-42</v>
      </c>
      <c r="AY12" s="62" t="str">
        <f t="shared" si="10"/>
        <v>Week-43</v>
      </c>
      <c r="AZ12" s="62" t="str">
        <f t="shared" si="10"/>
        <v>Week-44</v>
      </c>
      <c r="BA12" s="62" t="str">
        <f t="shared" si="10"/>
        <v>Week-45</v>
      </c>
      <c r="BB12" s="62" t="str">
        <f t="shared" si="10"/>
        <v>Week-46</v>
      </c>
      <c r="BC12" s="62" t="str">
        <f t="shared" si="10"/>
        <v>Week-47</v>
      </c>
      <c r="BD12" s="62" t="str">
        <f t="shared" si="10"/>
        <v>Week-48</v>
      </c>
      <c r="BE12" s="62" t="str">
        <f t="shared" si="10"/>
        <v>Week-49</v>
      </c>
      <c r="BF12" s="62" t="str">
        <f t="shared" si="10"/>
        <v>Week-50</v>
      </c>
      <c r="BG12" s="62" t="str">
        <f t="shared" si="10"/>
        <v>Week-51</v>
      </c>
      <c r="BH12" s="62" t="str">
        <f t="shared" si="10"/>
        <v>Week-52</v>
      </c>
      <c r="BI12" s="62" t="str">
        <f t="shared" si="10"/>
        <v>Week-53</v>
      </c>
    </row>
    <row r="13" spans="1:61" x14ac:dyDescent="0.25">
      <c r="B13" s="101"/>
      <c r="C13" s="102"/>
      <c r="D13" s="104"/>
      <c r="E13" s="41"/>
      <c r="F13" s="102"/>
      <c r="G13" s="102"/>
      <c r="H13" s="102"/>
      <c r="I13" s="79">
        <v>46028</v>
      </c>
      <c r="J13" s="79">
        <f t="shared" ref="J13:BH13" si="11">I13+7</f>
        <v>46035</v>
      </c>
      <c r="K13" s="79">
        <f t="shared" si="11"/>
        <v>46042</v>
      </c>
      <c r="L13" s="79">
        <f t="shared" si="11"/>
        <v>46049</v>
      </c>
      <c r="M13" s="79">
        <f t="shared" si="11"/>
        <v>46056</v>
      </c>
      <c r="N13" s="79">
        <f t="shared" si="11"/>
        <v>46063</v>
      </c>
      <c r="O13" s="79">
        <f t="shared" si="11"/>
        <v>46070</v>
      </c>
      <c r="P13" s="79">
        <f t="shared" si="11"/>
        <v>46077</v>
      </c>
      <c r="Q13" s="79">
        <f t="shared" si="11"/>
        <v>46084</v>
      </c>
      <c r="R13" s="79">
        <f t="shared" si="11"/>
        <v>46091</v>
      </c>
      <c r="S13" s="79">
        <f t="shared" si="11"/>
        <v>46098</v>
      </c>
      <c r="T13" s="79">
        <f t="shared" si="11"/>
        <v>46105</v>
      </c>
      <c r="U13" s="79">
        <f t="shared" si="11"/>
        <v>46112</v>
      </c>
      <c r="V13" s="79">
        <f t="shared" si="11"/>
        <v>46119</v>
      </c>
      <c r="W13" s="79">
        <f t="shared" si="11"/>
        <v>46126</v>
      </c>
      <c r="X13" s="79">
        <f t="shared" si="11"/>
        <v>46133</v>
      </c>
      <c r="Y13" s="79">
        <f t="shared" si="11"/>
        <v>46140</v>
      </c>
      <c r="Z13" s="79">
        <f t="shared" si="11"/>
        <v>46147</v>
      </c>
      <c r="AA13" s="79">
        <f t="shared" si="11"/>
        <v>46154</v>
      </c>
      <c r="AB13" s="79">
        <f t="shared" si="11"/>
        <v>46161</v>
      </c>
      <c r="AC13" s="79">
        <f t="shared" si="11"/>
        <v>46168</v>
      </c>
      <c r="AD13" s="79">
        <f t="shared" si="11"/>
        <v>46175</v>
      </c>
      <c r="AE13" s="79">
        <f t="shared" si="11"/>
        <v>46182</v>
      </c>
      <c r="AF13" s="79">
        <f t="shared" si="11"/>
        <v>46189</v>
      </c>
      <c r="AG13" s="79">
        <f t="shared" si="11"/>
        <v>46196</v>
      </c>
      <c r="AH13" s="79">
        <f t="shared" si="11"/>
        <v>46203</v>
      </c>
      <c r="AI13" s="79">
        <f t="shared" si="11"/>
        <v>46210</v>
      </c>
      <c r="AJ13" s="79">
        <f t="shared" si="11"/>
        <v>46217</v>
      </c>
      <c r="AK13" s="79">
        <f t="shared" si="11"/>
        <v>46224</v>
      </c>
      <c r="AL13" s="79">
        <f t="shared" si="11"/>
        <v>46231</v>
      </c>
      <c r="AM13" s="79">
        <f t="shared" si="11"/>
        <v>46238</v>
      </c>
      <c r="AN13" s="79">
        <f t="shared" si="11"/>
        <v>46245</v>
      </c>
      <c r="AO13" s="79">
        <f t="shared" si="11"/>
        <v>46252</v>
      </c>
      <c r="AP13" s="79">
        <f t="shared" si="11"/>
        <v>46259</v>
      </c>
      <c r="AQ13" s="79">
        <f t="shared" si="11"/>
        <v>46266</v>
      </c>
      <c r="AR13" s="79">
        <f t="shared" si="11"/>
        <v>46273</v>
      </c>
      <c r="AS13" s="79">
        <f t="shared" si="11"/>
        <v>46280</v>
      </c>
      <c r="AT13" s="79">
        <f t="shared" si="11"/>
        <v>46287</v>
      </c>
      <c r="AU13" s="79">
        <f t="shared" si="11"/>
        <v>46294</v>
      </c>
      <c r="AV13" s="79">
        <f t="shared" si="11"/>
        <v>46301</v>
      </c>
      <c r="AW13" s="79">
        <f t="shared" si="11"/>
        <v>46308</v>
      </c>
      <c r="AX13" s="79">
        <f t="shared" si="11"/>
        <v>46315</v>
      </c>
      <c r="AY13" s="79">
        <f t="shared" si="11"/>
        <v>46322</v>
      </c>
      <c r="AZ13" s="79">
        <f t="shared" si="11"/>
        <v>46329</v>
      </c>
      <c r="BA13" s="79">
        <f t="shared" si="11"/>
        <v>46336</v>
      </c>
      <c r="BB13" s="79">
        <f t="shared" si="11"/>
        <v>46343</v>
      </c>
      <c r="BC13" s="79">
        <f t="shared" si="11"/>
        <v>46350</v>
      </c>
      <c r="BD13" s="79">
        <f t="shared" si="11"/>
        <v>46357</v>
      </c>
      <c r="BE13" s="79">
        <f t="shared" si="11"/>
        <v>46364</v>
      </c>
      <c r="BF13" s="79">
        <f t="shared" si="11"/>
        <v>46371</v>
      </c>
      <c r="BG13" s="79">
        <f t="shared" si="11"/>
        <v>46378</v>
      </c>
      <c r="BH13" s="79">
        <f t="shared" si="11"/>
        <v>46385</v>
      </c>
      <c r="BI13" s="79">
        <f>BH13+1</f>
        <v>46386</v>
      </c>
    </row>
    <row r="14" spans="1:61" x14ac:dyDescent="0.25">
      <c r="A14" s="78" t="str">
        <f>CONCATENATE(B14,PARAMETER!T$2)</f>
        <v>ADISTIVOL</v>
      </c>
      <c r="B14" s="21" t="str">
        <f>PARAMETER!H2</f>
        <v>ADISTI</v>
      </c>
      <c r="C14" s="22" t="s">
        <v>127</v>
      </c>
      <c r="D14" s="37">
        <f>H15/H14</f>
        <v>5.4451606259121181</v>
      </c>
      <c r="E14" s="23">
        <f>IF(D14&gt;300%,300%,D14)</f>
        <v>3</v>
      </c>
      <c r="F14" s="24" t="str">
        <f>F7</f>
        <v>Target</v>
      </c>
      <c r="G14" s="25">
        <f>SUMIF('2026 T'!$E:$E,PerPM!$A14,'2026 T'!G:G)/PARAMETER!$T$3</f>
        <v>776509.99999999988</v>
      </c>
      <c r="H14" s="88">
        <f>SUMIF('2026 T'!$E:$E,PerPM!$A14,'2026 T'!H:H)/PARAMETER!$T$3</f>
        <v>44517.256928925766</v>
      </c>
      <c r="I14" s="25">
        <f>IF(I$4&lt;=PARAMETER!$X$2,SUMIF('2026 T'!$E:$E,PerPM!$A14,'2026 T'!I:I)/PARAMETER!$T$3,"")</f>
        <v>5155.1765923067614</v>
      </c>
      <c r="J14" s="25">
        <f>IF(J$4&lt;=PARAMETER!$X$2,SUMIF('2026 T'!$E:$E,PerPM!$A14,'2026 T'!J:J)/PARAMETER!$T$3,"")</f>
        <v>4471.8911722002795</v>
      </c>
      <c r="K14" s="25">
        <f>IF(K$4&lt;=PARAMETER!$X$2,SUMIF('2026 T'!$E:$E,PerPM!$A14,'2026 T'!K:K)/PARAMETER!$T$3,"")</f>
        <v>4426.3866414856229</v>
      </c>
      <c r="L14" s="25">
        <f>IF(L$4&lt;=PARAMETER!$X$2,SUMIF('2026 T'!$E:$E,PerPM!$A14,'2026 T'!L:L)/PARAMETER!$T$3,"")</f>
        <v>5514.4078971608751</v>
      </c>
      <c r="M14" s="25">
        <f>IF(M$4&lt;=PARAMETER!$X$2,SUMIF('2026 T'!$E:$E,PerPM!$A14,'2026 T'!M:M)/PARAMETER!$T$3,"")</f>
        <v>4968.409923143774</v>
      </c>
      <c r="N14" s="25">
        <f>IF(N$4&lt;=PARAMETER!$X$2,SUMIF('2026 T'!$E:$E,PerPM!$A14,'2026 T'!N:N)/PARAMETER!$T$3,"")</f>
        <v>4811.1881164501292</v>
      </c>
      <c r="O14" s="25">
        <f>IF(O$4&lt;=PARAMETER!$X$2,SUMIF('2026 T'!$E:$E,PerPM!$A14,'2026 T'!O:O)/PARAMETER!$T$3,"")</f>
        <v>4791.6511363524405</v>
      </c>
      <c r="P14" s="25">
        <f>IF(P$4&lt;=PARAMETER!$X$2,SUMIF('2026 T'!$E:$E,PerPM!$A14,'2026 T'!P:P)/PARAMETER!$T$3,"")</f>
        <v>4897.3339808460078</v>
      </c>
      <c r="Q14" s="25">
        <f>IF(Q$4&lt;=PARAMETER!$X$2,SUMIF('2026 T'!$E:$E,PerPM!$A14,'2026 T'!Q:Q)/PARAMETER!$T$3,"")</f>
        <v>5480.8114689798695</v>
      </c>
      <c r="R14" s="25">
        <f>IF(R$4&lt;=PARAMETER!$X$2,SUMIF('2026 T'!$E:$E,PerPM!$A14,'2026 T'!R:R)/PARAMETER!$T$3,"")</f>
        <v>5042.8209369561928</v>
      </c>
      <c r="S14" s="25">
        <f>IF(S$4&lt;=PARAMETER!$X$2,SUMIF('2026 T'!$E:$E,PerPM!$A14,'2026 T'!S:S)/PARAMETER!$T$3,"")</f>
        <v>5797.8881783956749</v>
      </c>
      <c r="T14" s="25" t="str">
        <f>IF(T$4&lt;=PARAMETER!$X$2,SUMIF('2026 T'!$E:$E,PerPM!$A14,'2026 T'!T:T)/PARAMETER!$T$3,"")</f>
        <v/>
      </c>
      <c r="U14" s="25" t="str">
        <f>IF(U$4&lt;=PARAMETER!$X$2,SUMIF('2026 T'!$E:$E,PerPM!$A14,'2026 T'!U:U)/PARAMETER!$T$3,"")</f>
        <v/>
      </c>
      <c r="V14" s="25" t="str">
        <f>IF(V$4&lt;=PARAMETER!$X$2,SUMIF('2026 T'!$E:$E,PerPM!$A14,'2026 T'!V:V)/PARAMETER!$T$3,"")</f>
        <v/>
      </c>
      <c r="W14" s="25" t="str">
        <f>IF(W$4&lt;=PARAMETER!$X$2,SUMIF('2026 T'!$E:$E,PerPM!$A14,'2026 T'!W:W)/PARAMETER!$T$3,"")</f>
        <v/>
      </c>
      <c r="X14" s="25" t="str">
        <f>IF(X$4&lt;=PARAMETER!$X$2,SUMIF('2026 T'!$E:$E,PerPM!$A14,'2026 T'!X:X)/PARAMETER!$T$3,"")</f>
        <v/>
      </c>
      <c r="Y14" s="25" t="str">
        <f>IF(Y$4&lt;=PARAMETER!$X$2,SUMIF('2026 T'!$E:$E,PerPM!$A14,'2026 T'!Y:Y)/PARAMETER!$T$3,"")</f>
        <v/>
      </c>
      <c r="Z14" s="25" t="str">
        <f>IF(Z$4&lt;=PARAMETER!$X$2,SUMIF('2026 T'!$E:$E,PerPM!$A14,'2026 T'!Z:Z)/PARAMETER!$T$3,"")</f>
        <v/>
      </c>
      <c r="AA14" s="25" t="str">
        <f>IF(AA$4&lt;=PARAMETER!$X$2,SUMIF('2026 T'!$E:$E,PerPM!$A14,'2026 T'!AA:AA)/PARAMETER!$T$3,"")</f>
        <v/>
      </c>
      <c r="AB14" s="25" t="str">
        <f>IF(AB$4&lt;=PARAMETER!$X$2,SUMIF('2026 T'!$E:$E,PerPM!$A14,'2026 T'!AB:AB)/PARAMETER!$T$3,"")</f>
        <v/>
      </c>
      <c r="AC14" s="25" t="str">
        <f>IF(AC$4&lt;=PARAMETER!$X$2,SUMIF('2026 T'!$E:$E,PerPM!$A14,'2026 T'!AC:AC)/PARAMETER!$T$3,"")</f>
        <v/>
      </c>
      <c r="AD14" s="25" t="str">
        <f>IF(AD$4&lt;=PARAMETER!$X$2,SUMIF('2026 T'!$E:$E,PerPM!$A14,'2026 T'!AD:AD)/PARAMETER!$T$3,"")</f>
        <v/>
      </c>
      <c r="AE14" s="25" t="str">
        <f>IF(AE$4&lt;=PARAMETER!$X$2,SUMIF('2026 T'!$E:$E,PerPM!$A14,'2026 T'!AE:AE)/PARAMETER!$T$3,"")</f>
        <v/>
      </c>
      <c r="AF14" s="25" t="str">
        <f>IF(AF$4&lt;=PARAMETER!$X$2,SUMIF('2026 T'!$E:$E,PerPM!$A14,'2026 T'!AF:AF)/PARAMETER!$T$3,"")</f>
        <v/>
      </c>
      <c r="AG14" s="25" t="str">
        <f>IF(AG$4&lt;=PARAMETER!$X$2,SUMIF('2026 T'!$E:$E,PerPM!$A14,'2026 T'!AG:AG)/PARAMETER!$T$3,"")</f>
        <v/>
      </c>
      <c r="AH14" s="25" t="str">
        <f>IF(AH$4&lt;=PARAMETER!$X$2,SUMIF('2026 T'!$E:$E,PerPM!$A14,'2026 T'!AH:AH)/PARAMETER!$T$3,"")</f>
        <v/>
      </c>
      <c r="AI14" s="25" t="str">
        <f>IF(AI$4&lt;=PARAMETER!$X$2,SUMIF('2026 T'!$E:$E,PerPM!$A14,'2026 T'!AI:AI)/PARAMETER!$T$3,"")</f>
        <v/>
      </c>
      <c r="AJ14" s="25" t="str">
        <f>IF(AJ$4&lt;=PARAMETER!$X$2,SUMIF('2026 T'!$E:$E,PerPM!$A14,'2026 T'!AJ:AJ)/PARAMETER!$T$3,"")</f>
        <v/>
      </c>
      <c r="AK14" s="25" t="str">
        <f>IF(AK$4&lt;=PARAMETER!$X$2,SUMIF('2026 T'!$E:$E,PerPM!$A14,'2026 T'!AK:AK)/PARAMETER!$T$3,"")</f>
        <v/>
      </c>
      <c r="AL14" s="25" t="str">
        <f>IF(AL$4&lt;=PARAMETER!$X$2,SUMIF('2026 T'!$E:$E,PerPM!$A14,'2026 T'!AL:AL)/PARAMETER!$T$3,"")</f>
        <v/>
      </c>
      <c r="AM14" s="25" t="str">
        <f>IF(AM$4&lt;=PARAMETER!$X$2,SUMIF('2026 T'!$E:$E,PerPM!$A14,'2026 T'!AM:AM)/PARAMETER!$T$3,"")</f>
        <v/>
      </c>
      <c r="AN14" s="25" t="str">
        <f>IF(AN$4&lt;=PARAMETER!$X$2,SUMIF('2026 T'!$E:$E,PerPM!$A14,'2026 T'!AN:AN)/PARAMETER!$T$3,"")</f>
        <v/>
      </c>
      <c r="AO14" s="25" t="str">
        <f>IF(AO$4&lt;=PARAMETER!$X$2,SUMIF('2026 T'!$E:$E,PerPM!$A14,'2026 T'!AO:AO)/PARAMETER!$T$3,"")</f>
        <v/>
      </c>
      <c r="AP14" s="25" t="str">
        <f>IF(AP$4&lt;=PARAMETER!$X$2,SUMIF('2026 T'!$E:$E,PerPM!$A14,'2026 T'!AP:AP)/PARAMETER!$T$3,"")</f>
        <v/>
      </c>
      <c r="AQ14" s="25" t="str">
        <f>IF(AQ$4&lt;=PARAMETER!$X$2,SUMIF('2026 T'!$E:$E,PerPM!$A14,'2026 T'!AQ:AQ)/PARAMETER!$T$3,"")</f>
        <v/>
      </c>
      <c r="AR14" s="25" t="str">
        <f>IF(AR$4&lt;=PARAMETER!$X$2,SUMIF('2026 T'!$E:$E,PerPM!$A14,'2026 T'!AR:AR)/PARAMETER!$T$3,"")</f>
        <v/>
      </c>
      <c r="AS14" s="25" t="str">
        <f>IF(AS$4&lt;=PARAMETER!$X$2,SUMIF('2026 T'!$E:$E,PerPM!$A14,'2026 T'!AS:AS)/PARAMETER!$T$3,"")</f>
        <v/>
      </c>
      <c r="AT14" s="25" t="str">
        <f>IF(AT$4&lt;=PARAMETER!$X$2,SUMIF('2026 T'!$E:$E,PerPM!$A14,'2026 T'!AT:AT)/PARAMETER!$T$3,"")</f>
        <v/>
      </c>
      <c r="AU14" s="25" t="str">
        <f>IF(AU$4&lt;=PARAMETER!$X$2,SUMIF('2026 T'!$E:$E,PerPM!$A14,'2026 T'!AU:AU)/PARAMETER!$T$3,"")</f>
        <v/>
      </c>
      <c r="AV14" s="25" t="str">
        <f>IF(AV$4&lt;=PARAMETER!$X$2,SUMIF('2026 T'!$E:$E,PerPM!$A14,'2026 T'!AV:AV)/PARAMETER!$T$3,"")</f>
        <v/>
      </c>
      <c r="AW14" s="25" t="str">
        <f>IF(AW$4&lt;=PARAMETER!$X$2,SUMIF('2026 T'!$E:$E,PerPM!$A14,'2026 T'!AW:AW)/PARAMETER!$T$3,"")</f>
        <v/>
      </c>
      <c r="AX14" s="25" t="str">
        <f>IF(AX$4&lt;=PARAMETER!$X$2,SUMIF('2026 T'!$E:$E,PerPM!$A14,'2026 T'!AX:AX)/PARAMETER!$T$3,"")</f>
        <v/>
      </c>
      <c r="AY14" s="25" t="str">
        <f>IF(AY$4&lt;=PARAMETER!$X$2,SUMIF('2026 T'!$E:$E,PerPM!$A14,'2026 T'!AY:AY)/PARAMETER!$T$3,"")</f>
        <v/>
      </c>
      <c r="AZ14" s="25" t="str">
        <f>IF(AZ$4&lt;=PARAMETER!$X$2,SUMIF('2026 T'!$E:$E,PerPM!$A14,'2026 T'!AZ:AZ)/PARAMETER!$T$3,"")</f>
        <v/>
      </c>
      <c r="BA14" s="25" t="str">
        <f>IF(BA$4&lt;=PARAMETER!$X$2,SUMIF('2026 T'!$E:$E,PerPM!$A14,'2026 T'!BA:BA)/PARAMETER!$T$3,"")</f>
        <v/>
      </c>
      <c r="BB14" s="25" t="str">
        <f>IF(BB$4&lt;=PARAMETER!$X$2,SUMIF('2026 T'!$E:$E,PerPM!$A14,'2026 T'!BB:BB)/PARAMETER!$T$3,"")</f>
        <v/>
      </c>
      <c r="BC14" s="25" t="str">
        <f>IF(BC$4&lt;=PARAMETER!$X$2,SUMIF('2026 T'!$E:$E,PerPM!$A14,'2026 T'!BC:BC)/PARAMETER!$T$3,"")</f>
        <v/>
      </c>
      <c r="BD14" s="25" t="str">
        <f>IF(BD$4&lt;=PARAMETER!$X$2,SUMIF('2026 T'!$E:$E,PerPM!$A14,'2026 T'!BD:BD)/PARAMETER!$T$3,"")</f>
        <v/>
      </c>
      <c r="BE14" s="25" t="str">
        <f>IF(BE$4&lt;=PARAMETER!$X$2,SUMIF('2026 T'!$E:$E,PerPM!$A14,'2026 T'!BE:BE)/PARAMETER!$T$3,"")</f>
        <v/>
      </c>
      <c r="BF14" s="25" t="str">
        <f>IF(BF$4&lt;=PARAMETER!$X$2,SUMIF('2026 T'!$E:$E,PerPM!$A14,'2026 T'!BF:BF)/PARAMETER!$T$3,"")</f>
        <v/>
      </c>
      <c r="BG14" s="25" t="str">
        <f>IF(BG$4&lt;=PARAMETER!$X$2,SUMIF('2026 T'!$E:$E,PerPM!$A14,'2026 T'!BG:BG)/PARAMETER!$T$3,"")</f>
        <v/>
      </c>
      <c r="BH14" s="25" t="str">
        <f>IF(BH$4&lt;=PARAMETER!$X$2,SUMIF('2026 T'!$E:$E,PerPM!$A14,'2026 T'!BH:BH)/PARAMETER!$T$3,"")</f>
        <v/>
      </c>
      <c r="BI14" s="25" t="str">
        <f>IF(BI$4&lt;=PARAMETER!$X$2,SUMIF('2026 T'!$E:$E,PerPM!$A14,'2026 T'!BI:BI)/PARAMETER!$T$3,"")</f>
        <v/>
      </c>
    </row>
    <row r="15" spans="1:61" x14ac:dyDescent="0.25">
      <c r="A15" s="78" t="str">
        <f>CONCATENATE(B15,PARAMETER!T$2)</f>
        <v>ADISTIVOL</v>
      </c>
      <c r="B15" s="26" t="str">
        <f>B14</f>
        <v>ADISTI</v>
      </c>
      <c r="C15" s="27" t="s">
        <v>128</v>
      </c>
      <c r="D15" s="35">
        <f>H15/H16-1</f>
        <v>4.2270822781538913</v>
      </c>
      <c r="E15" s="28">
        <f>IF(D15&gt;300%,300%,D15)</f>
        <v>3</v>
      </c>
      <c r="F15" s="39">
        <f>F8</f>
        <v>2026</v>
      </c>
      <c r="G15" s="40">
        <f>IF(G$4&lt;=PARAMETER!$X$2,SUMIF('2026'!$E:$E,PerPM!$A14,'2026'!G:G)/PARAMETER!$T$3,"")</f>
        <v>242403.61460299999</v>
      </c>
      <c r="H15" s="40">
        <f>IF(H$4&lt;=PARAMETER!$X$2,SUMIF('2026'!$E:$E,PerPM!$A14,'2026'!H:H)/PARAMETER!$T$3,"")</f>
        <v>242403.61460299999</v>
      </c>
      <c r="I15" s="40">
        <f>IF(I$4&lt;=PARAMETER!$X$2,SUMIF('2026'!$E:$E,PerPM!$A14,'2026'!I:I)/PARAMETER!$T$3,"")</f>
        <v>15605.886014</v>
      </c>
      <c r="J15" s="40">
        <f>IF(J$4&lt;=PARAMETER!$X$2,SUMIF('2026'!$E:$E,PerPM!$A14,'2026'!J:J)/PARAMETER!$T$3,"")</f>
        <v>16418.246910999998</v>
      </c>
      <c r="K15" s="40">
        <f>IF(K$4&lt;=PARAMETER!$X$2,SUMIF('2026'!$E:$E,PerPM!$A14,'2026'!K:K)/PARAMETER!$T$3,"")</f>
        <v>17164.989623000001</v>
      </c>
      <c r="L15" s="40">
        <f>IF(L$4&lt;=PARAMETER!$X$2,SUMIF('2026'!$E:$E,PerPM!$A14,'2026'!L:L)/PARAMETER!$T$3,"")</f>
        <v>14740.831356999999</v>
      </c>
      <c r="M15" s="40">
        <f>IF(M$4&lt;=PARAMETER!$X$2,SUMIF('2026'!$E:$E,PerPM!$A14,'2026'!M:M)/PARAMETER!$T$3,"")</f>
        <v>21617.979360000001</v>
      </c>
      <c r="N15" s="40">
        <f>IF(N$4&lt;=PARAMETER!$X$2,SUMIF('2026'!$E:$E,PerPM!$A14,'2026'!N:N)/PARAMETER!$T$3,"")</f>
        <v>38927.646629000003</v>
      </c>
      <c r="O15" s="40">
        <f>IF(O$4&lt;=PARAMETER!$X$2,SUMIF('2026'!$E:$E,PerPM!$A14,'2026'!O:O)/PARAMETER!$T$3,"")</f>
        <v>43942.572906000001</v>
      </c>
      <c r="P15" s="40">
        <f>IF(P$4&lt;=PARAMETER!$X$2,SUMIF('2026'!$E:$E,PerPM!$A14,'2026'!P:P)/PARAMETER!$T$3,"")</f>
        <v>43337.577071</v>
      </c>
      <c r="Q15" s="40">
        <f>IF(Q$4&lt;=PARAMETER!$X$2,SUMIF('2026'!$E:$E,PerPM!$A14,'2026'!Q:Q)/PARAMETER!$T$3,"")</f>
        <v>24661.961564000001</v>
      </c>
      <c r="R15" s="40">
        <f>IF(R$4&lt;=PARAMETER!$X$2,SUMIF('2026'!$E:$E,PerPM!$A14,'2026'!R:R)/PARAMETER!$T$3,"")</f>
        <v>3120.7364520000001</v>
      </c>
      <c r="S15" s="40">
        <f>IF(S$4&lt;=PARAMETER!$X$2,SUMIF('2026'!$E:$E,PerPM!$A14,'2026'!S:S)/PARAMETER!$T$3,"")</f>
        <v>2865.1867160000002</v>
      </c>
      <c r="T15" s="40" t="str">
        <f>IF(T$4&lt;=PARAMETER!$X$2,SUMIF('2026'!$E:$E,PerPM!$A14,'2026'!T:T)/PARAMETER!$T$3,"")</f>
        <v/>
      </c>
      <c r="U15" s="40" t="str">
        <f>IF(U$4&lt;=PARAMETER!$X$2,SUMIF('2026'!$E:$E,PerPM!$A14,'2026'!U:U)/PARAMETER!$T$3,"")</f>
        <v/>
      </c>
      <c r="V15" s="40" t="str">
        <f>IF(V$4&lt;=PARAMETER!$X$2,SUMIF('2026'!$E:$E,PerPM!$A14,'2026'!V:V)/PARAMETER!$T$3,"")</f>
        <v/>
      </c>
      <c r="W15" s="40" t="str">
        <f>IF(W$4&lt;=PARAMETER!$X$2,SUMIF('2026'!$E:$E,PerPM!$A14,'2026'!W:W)/PARAMETER!$T$3,"")</f>
        <v/>
      </c>
      <c r="X15" s="40" t="str">
        <f>IF(X$4&lt;=PARAMETER!$X$2,SUMIF('2026'!$E:$E,PerPM!$A14,'2026'!X:X)/PARAMETER!$T$3,"")</f>
        <v/>
      </c>
      <c r="Y15" s="40" t="str">
        <f>IF(Y$4&lt;=PARAMETER!$X$2,SUMIF('2026'!$E:$E,PerPM!$A14,'2026'!Y:Y)/PARAMETER!$T$3,"")</f>
        <v/>
      </c>
      <c r="Z15" s="40" t="str">
        <f>IF(Z$4&lt;=PARAMETER!$X$2,SUMIF('2026'!$E:$E,PerPM!$A14,'2026'!Z:Z)/PARAMETER!$T$3,"")</f>
        <v/>
      </c>
      <c r="AA15" s="40" t="str">
        <f>IF(AA$4&lt;=PARAMETER!$X$2,SUMIF('2026'!$E:$E,PerPM!$A14,'2026'!AA:AA)/PARAMETER!$T$3,"")</f>
        <v/>
      </c>
      <c r="AB15" s="40" t="str">
        <f>IF(AB$4&lt;=PARAMETER!$X$2,SUMIF('2026'!$E:$E,PerPM!$A14,'2026'!AB:AB)/PARAMETER!$T$3,"")</f>
        <v/>
      </c>
      <c r="AC15" s="40" t="str">
        <f>IF(AC$4&lt;=PARAMETER!$X$2,SUMIF('2026'!$E:$E,PerPM!$A14,'2026'!AC:AC)/PARAMETER!$T$3,"")</f>
        <v/>
      </c>
      <c r="AD15" s="40" t="str">
        <f>IF(AD$4&lt;=PARAMETER!$X$2,SUMIF('2026'!$E:$E,PerPM!$A14,'2026'!AD:AD)/PARAMETER!$T$3,"")</f>
        <v/>
      </c>
      <c r="AE15" s="40" t="str">
        <f>IF(AE$4&lt;=PARAMETER!$X$2,SUMIF('2026'!$E:$E,PerPM!$A14,'2026'!AE:AE)/PARAMETER!$T$3,"")</f>
        <v/>
      </c>
      <c r="AF15" s="40" t="str">
        <f>IF(AF$4&lt;=PARAMETER!$X$2,SUMIF('2026'!$E:$E,PerPM!$A14,'2026'!AF:AF)/PARAMETER!$T$3,"")</f>
        <v/>
      </c>
      <c r="AG15" s="40" t="str">
        <f>IF(AG$4&lt;=PARAMETER!$X$2,SUMIF('2026'!$E:$E,PerPM!$A14,'2026'!AG:AG)/PARAMETER!$T$3,"")</f>
        <v/>
      </c>
      <c r="AH15" s="40" t="str">
        <f>IF(AH$4&lt;=PARAMETER!$X$2,SUMIF('2026'!$E:$E,PerPM!$A14,'2026'!AH:AH)/PARAMETER!$T$3,"")</f>
        <v/>
      </c>
      <c r="AI15" s="40" t="str">
        <f>IF(AI$4&lt;=PARAMETER!$X$2,SUMIF('2026'!$E:$E,PerPM!$A14,'2026'!AI:AI)/PARAMETER!$T$3,"")</f>
        <v/>
      </c>
      <c r="AJ15" s="40" t="str">
        <f>IF(AJ$4&lt;=PARAMETER!$X$2,SUMIF('2026'!$E:$E,PerPM!$A14,'2026'!AJ:AJ)/PARAMETER!$T$3,"")</f>
        <v/>
      </c>
      <c r="AK15" s="40" t="str">
        <f>IF(AK$4&lt;=PARAMETER!$X$2,SUMIF('2026'!$E:$E,PerPM!$A14,'2026'!AK:AK)/PARAMETER!$T$3,"")</f>
        <v/>
      </c>
      <c r="AL15" s="40" t="str">
        <f>IF(AL$4&lt;=PARAMETER!$X$2,SUMIF('2026'!$E:$E,PerPM!$A14,'2026'!AL:AL)/PARAMETER!$T$3,"")</f>
        <v/>
      </c>
      <c r="AM15" s="40" t="str">
        <f>IF(AM$4&lt;=PARAMETER!$X$2,SUMIF('2026'!$E:$E,PerPM!$A14,'2026'!AM:AM)/PARAMETER!$T$3,"")</f>
        <v/>
      </c>
      <c r="AN15" s="40" t="str">
        <f>IF(AN$4&lt;=PARAMETER!$X$2,SUMIF('2026'!$E:$E,PerPM!$A14,'2026'!AN:AN)/PARAMETER!$T$3,"")</f>
        <v/>
      </c>
      <c r="AO15" s="40" t="str">
        <f>IF(AO$4&lt;=PARAMETER!$X$2,SUMIF('2026'!$E:$E,PerPM!$A14,'2026'!AO:AO)/PARAMETER!$T$3,"")</f>
        <v/>
      </c>
      <c r="AP15" s="40" t="str">
        <f>IF(AP$4&lt;=PARAMETER!$X$2,SUMIF('2026'!$E:$E,PerPM!$A14,'2026'!AP:AP)/PARAMETER!$T$3,"")</f>
        <v/>
      </c>
      <c r="AQ15" s="40" t="str">
        <f>IF(AQ$4&lt;=PARAMETER!$X$2,SUMIF('2026'!$E:$E,PerPM!$A14,'2026'!AQ:AQ)/PARAMETER!$T$3,"")</f>
        <v/>
      </c>
      <c r="AR15" s="40" t="str">
        <f>IF(AR$4&lt;=PARAMETER!$X$2,SUMIF('2026'!$E:$E,PerPM!$A14,'2026'!AR:AR)/PARAMETER!$T$3,"")</f>
        <v/>
      </c>
      <c r="AS15" s="40" t="str">
        <f>IF(AS$4&lt;=PARAMETER!$X$2,SUMIF('2026'!$E:$E,PerPM!$A14,'2026'!AS:AS)/PARAMETER!$T$3,"")</f>
        <v/>
      </c>
      <c r="AT15" s="40" t="str">
        <f>IF(AT$4&lt;=PARAMETER!$X$2,SUMIF('2026'!$E:$E,PerPM!$A14,'2026'!AT:AT)/PARAMETER!$T$3,"")</f>
        <v/>
      </c>
      <c r="AU15" s="40" t="str">
        <f>IF(AU$4&lt;=PARAMETER!$X$2,SUMIF('2026'!$E:$E,PerPM!$A14,'2026'!AU:AU)/PARAMETER!$T$3,"")</f>
        <v/>
      </c>
      <c r="AV15" s="40" t="str">
        <f>IF(AV$4&lt;=PARAMETER!$X$2,SUMIF('2026'!$E:$E,PerPM!$A14,'2026'!AV:AV)/PARAMETER!$T$3,"")</f>
        <v/>
      </c>
      <c r="AW15" s="40" t="str">
        <f>IF(AW$4&lt;=PARAMETER!$X$2,SUMIF('2026'!$E:$E,PerPM!$A14,'2026'!AW:AW)/PARAMETER!$T$3,"")</f>
        <v/>
      </c>
      <c r="AX15" s="40" t="str">
        <f>IF(AX$4&lt;=PARAMETER!$X$2,SUMIF('2026'!$E:$E,PerPM!$A14,'2026'!AX:AX)/PARAMETER!$T$3,"")</f>
        <v/>
      </c>
      <c r="AY15" s="40" t="str">
        <f>IF(AY$4&lt;=PARAMETER!$X$2,SUMIF('2026'!$E:$E,PerPM!$A14,'2026'!AY:AY)/PARAMETER!$T$3,"")</f>
        <v/>
      </c>
      <c r="AZ15" s="40" t="str">
        <f>IF(AZ$4&lt;=PARAMETER!$X$2,SUMIF('2026'!$E:$E,PerPM!$A14,'2026'!AZ:AZ)/PARAMETER!$T$3,"")</f>
        <v/>
      </c>
      <c r="BA15" s="40" t="str">
        <f>IF(BA$4&lt;=PARAMETER!$X$2,SUMIF('2026'!$E:$E,PerPM!$A14,'2026'!BA:BA)/PARAMETER!$T$3,"")</f>
        <v/>
      </c>
      <c r="BB15" s="40" t="str">
        <f>IF(BB$4&lt;=PARAMETER!$X$2,SUMIF('2026'!$E:$E,PerPM!$A14,'2026'!BB:BB)/PARAMETER!$T$3,"")</f>
        <v/>
      </c>
      <c r="BC15" s="40" t="str">
        <f>IF(BC$4&lt;=PARAMETER!$X$2,SUMIF('2026'!$E:$E,PerPM!$A14,'2026'!BC:BC)/PARAMETER!$T$3,"")</f>
        <v/>
      </c>
      <c r="BD15" s="40" t="str">
        <f>IF(BD$4&lt;=PARAMETER!$X$2,SUMIF('2026'!$E:$E,PerPM!$A14,'2026'!BD:BD)/PARAMETER!$T$3,"")</f>
        <v/>
      </c>
      <c r="BE15" s="40" t="str">
        <f>IF(BE$4&lt;=PARAMETER!$X$2,SUMIF('2026'!$E:$E,PerPM!$A14,'2026'!BE:BE)/PARAMETER!$T$3,"")</f>
        <v/>
      </c>
      <c r="BF15" s="40" t="str">
        <f>IF(BF$4&lt;=PARAMETER!$X$2,SUMIF('2026'!$E:$E,PerPM!$A14,'2026'!BF:BF)/PARAMETER!$T$3,"")</f>
        <v/>
      </c>
      <c r="BG15" s="40" t="str">
        <f>IF(BG$4&lt;=PARAMETER!$X$2,SUMIF('2026'!$E:$E,PerPM!$A14,'2026'!BG:BG)/PARAMETER!$T$3,"")</f>
        <v/>
      </c>
      <c r="BH15" s="40" t="str">
        <f>IF(BH$4&lt;=PARAMETER!$X$2,SUMIF('2026'!$E:$E,PerPM!$A14,'2026'!BH:BH)/PARAMETER!$T$3,"")</f>
        <v/>
      </c>
      <c r="BI15" s="40" t="str">
        <f>IF(BI$4&lt;=PARAMETER!$X$2,SUMIF('2026'!$E:$E,PerPM!$A14,'2026'!BI:BI)/PARAMETER!$T$3,"")</f>
        <v/>
      </c>
    </row>
    <row r="16" spans="1:61" x14ac:dyDescent="0.25">
      <c r="A16" s="78" t="str">
        <f>CONCATENATE(B16,PARAMETER!T$2)</f>
        <v>ADISTIVOL</v>
      </c>
      <c r="B16" s="26" t="str">
        <f>B15</f>
        <v>ADISTI</v>
      </c>
      <c r="C16" s="27" t="s">
        <v>128</v>
      </c>
      <c r="D16" s="35">
        <f>H16/H17-1</f>
        <v>3.2276665967224893E-2</v>
      </c>
      <c r="E16" s="28">
        <f>IF(D16&gt;300%,300%,D16)</f>
        <v>3.2276665967224893E-2</v>
      </c>
      <c r="F16" s="87">
        <f>F9</f>
        <v>2025</v>
      </c>
      <c r="G16" s="88">
        <f>IF(G$4&lt;=PARAMETER!$X$2,SUMIF('2025'!$E:$E,PerPM!$A15,'2025'!G:G)/PARAMETER!$T$3,"")</f>
        <v>425356.20456300001</v>
      </c>
      <c r="H16" s="88">
        <f>IF(H$4&lt;=PARAMETER!$X$2,SUMIF('2025'!$E:$E,PerPM!$A15,'2025'!H:H)/PARAMETER!$T$3,"")</f>
        <v>46374.555001000001</v>
      </c>
      <c r="I16" s="88">
        <f>IF(I$4&lt;=PARAMETER!$X$2,SUMIF('2025'!$E:$E,PerPM!$A15,'2025'!I:I)/PARAMETER!$T$3,"")</f>
        <v>4339.5898610000004</v>
      </c>
      <c r="J16" s="88">
        <f>IF(J$4&lt;=PARAMETER!$X$2,SUMIF('2025'!$E:$E,PerPM!$A15,'2025'!J:J)/PARAMETER!$T$3,"")</f>
        <v>3721.4220580000001</v>
      </c>
      <c r="K16" s="88">
        <f>IF(K$4&lt;=PARAMETER!$X$2,SUMIF('2025'!$E:$E,PerPM!$A15,'2025'!K:K)/PARAMETER!$T$3,"")</f>
        <v>3708.9508609999998</v>
      </c>
      <c r="L16" s="88">
        <f>IF(L$4&lt;=PARAMETER!$X$2,SUMIF('2025'!$E:$E,PerPM!$A15,'2025'!L:L)/PARAMETER!$T$3,"")</f>
        <v>4593.2381139999998</v>
      </c>
      <c r="M16" s="88">
        <f>IF(M$4&lt;=PARAMETER!$X$2,SUMIF('2025'!$E:$E,PerPM!$A15,'2025'!M:M)/PARAMETER!$T$3,"")</f>
        <v>4159.077542</v>
      </c>
      <c r="N16" s="88">
        <f>IF(N$4&lt;=PARAMETER!$X$2,SUMIF('2025'!$E:$E,PerPM!$A15,'2025'!N:N)/PARAMETER!$T$3,"")</f>
        <v>3970.6468369999998</v>
      </c>
      <c r="O16" s="88">
        <f>IF(O$4&lt;=PARAMETER!$X$2,SUMIF('2025'!$E:$E,PerPM!$A15,'2025'!O:O)/PARAMETER!$T$3,"")</f>
        <v>4025.1104519999999</v>
      </c>
      <c r="P16" s="88">
        <f>IF(P$4&lt;=PARAMETER!$X$2,SUMIF('2025'!$E:$E,PerPM!$A15,'2025'!P:P)/PARAMETER!$T$3,"")</f>
        <v>4137.5195009999998</v>
      </c>
      <c r="Q16" s="88">
        <f>IF(Q$4&lt;=PARAMETER!$X$2,SUMIF('2025'!$E:$E,PerPM!$A15,'2025'!Q:Q)/PARAMETER!$T$3,"")</f>
        <v>4681.1430099999998</v>
      </c>
      <c r="R16" s="88">
        <f>IF(R$4&lt;=PARAMETER!$X$2,SUMIF('2025'!$E:$E,PerPM!$A15,'2025'!R:R)/PARAMETER!$T$3,"")</f>
        <v>4218.9788589999998</v>
      </c>
      <c r="S16" s="88">
        <f>IF(S$4&lt;=PARAMETER!$X$2,SUMIF('2025'!$E:$E,PerPM!$A15,'2025'!S:S)/PARAMETER!$T$3,"")</f>
        <v>4818.8779059999997</v>
      </c>
      <c r="T16" s="88" t="str">
        <f>IF(T$4&lt;=PARAMETER!$X$2,SUMIF('2025'!$E:$E,PerPM!$A15,'2025'!T:T)/PARAMETER!$T$3,"")</f>
        <v/>
      </c>
      <c r="U16" s="88" t="str">
        <f>IF(U$4&lt;=PARAMETER!$X$2,SUMIF('2025'!$E:$E,PerPM!$A15,'2025'!U:U)/PARAMETER!$T$3,"")</f>
        <v/>
      </c>
      <c r="V16" s="88" t="str">
        <f>IF(V$4&lt;=PARAMETER!$X$2,SUMIF('2025'!$E:$E,PerPM!$A15,'2025'!V:V)/PARAMETER!$T$3,"")</f>
        <v/>
      </c>
      <c r="W16" s="88" t="str">
        <f>IF(W$4&lt;=PARAMETER!$X$2,SUMIF('2025'!$E:$E,PerPM!$A15,'2025'!W:W)/PARAMETER!$T$3,"")</f>
        <v/>
      </c>
      <c r="X16" s="88" t="str">
        <f>IF(X$4&lt;=PARAMETER!$X$2,SUMIF('2025'!$E:$E,PerPM!$A15,'2025'!X:X)/PARAMETER!$T$3,"")</f>
        <v/>
      </c>
      <c r="Y16" s="88" t="str">
        <f>IF(Y$4&lt;=PARAMETER!$X$2,SUMIF('2025'!$E:$E,PerPM!$A15,'2025'!Y:Y)/PARAMETER!$T$3,"")</f>
        <v/>
      </c>
      <c r="Z16" s="88" t="str">
        <f>IF(Z$4&lt;=PARAMETER!$X$2,SUMIF('2025'!$E:$E,PerPM!$A15,'2025'!Z:Z)/PARAMETER!$T$3,"")</f>
        <v/>
      </c>
      <c r="AA16" s="88" t="str">
        <f>IF(AA$4&lt;=PARAMETER!$X$2,SUMIF('2025'!$E:$E,PerPM!$A15,'2025'!AA:AA)/PARAMETER!$T$3,"")</f>
        <v/>
      </c>
      <c r="AB16" s="88" t="str">
        <f>IF(AB$4&lt;=PARAMETER!$X$2,SUMIF('2025'!$E:$E,PerPM!$A15,'2025'!AB:AB)/PARAMETER!$T$3,"")</f>
        <v/>
      </c>
      <c r="AC16" s="88" t="str">
        <f>IF(AC$4&lt;=PARAMETER!$X$2,SUMIF('2025'!$E:$E,PerPM!$A15,'2025'!AC:AC)/PARAMETER!$T$3,"")</f>
        <v/>
      </c>
      <c r="AD16" s="88" t="str">
        <f>IF(AD$4&lt;=PARAMETER!$X$2,SUMIF('2025'!$E:$E,PerPM!$A15,'2025'!AD:AD)/PARAMETER!$T$3,"")</f>
        <v/>
      </c>
      <c r="AE16" s="88" t="str">
        <f>IF(AE$4&lt;=PARAMETER!$X$2,SUMIF('2025'!$E:$E,PerPM!$A15,'2025'!AE:AE)/PARAMETER!$T$3,"")</f>
        <v/>
      </c>
      <c r="AF16" s="88" t="str">
        <f>IF(AF$4&lt;=PARAMETER!$X$2,SUMIF('2025'!$E:$E,PerPM!$A15,'2025'!AF:AF)/PARAMETER!$T$3,"")</f>
        <v/>
      </c>
      <c r="AG16" s="88" t="str">
        <f>IF(AG$4&lt;=PARAMETER!$X$2,SUMIF('2025'!$E:$E,PerPM!$A15,'2025'!AG:AG)/PARAMETER!$T$3,"")</f>
        <v/>
      </c>
      <c r="AH16" s="88" t="str">
        <f>IF(AH$4&lt;=PARAMETER!$X$2,SUMIF('2025'!$E:$E,PerPM!$A15,'2025'!AH:AH)/PARAMETER!$T$3,"")</f>
        <v/>
      </c>
      <c r="AI16" s="88" t="str">
        <f>IF(AI$4&lt;=PARAMETER!$X$2,SUMIF('2025'!$E:$E,PerPM!$A15,'2025'!AI:AI)/PARAMETER!$T$3,"")</f>
        <v/>
      </c>
      <c r="AJ16" s="88" t="str">
        <f>IF(AJ$4&lt;=PARAMETER!$X$2,SUMIF('2025'!$E:$E,PerPM!$A15,'2025'!AJ:AJ)/PARAMETER!$T$3,"")</f>
        <v/>
      </c>
      <c r="AK16" s="88" t="str">
        <f>IF(AK$4&lt;=PARAMETER!$X$2,SUMIF('2025'!$E:$E,PerPM!$A15,'2025'!AK:AK)/PARAMETER!$T$3,"")</f>
        <v/>
      </c>
      <c r="AL16" s="88" t="str">
        <f>IF(AL$4&lt;=PARAMETER!$X$2,SUMIF('2025'!$E:$E,PerPM!$A15,'2025'!AL:AL)/PARAMETER!$T$3,"")</f>
        <v/>
      </c>
      <c r="AM16" s="88" t="str">
        <f>IF(AM$4&lt;=PARAMETER!$X$2,SUMIF('2025'!$E:$E,PerPM!$A15,'2025'!AM:AM)/PARAMETER!$T$3,"")</f>
        <v/>
      </c>
      <c r="AN16" s="88" t="str">
        <f>IF(AN$4&lt;=PARAMETER!$X$2,SUMIF('2025'!$E:$E,PerPM!$A15,'2025'!AN:AN)/PARAMETER!$T$3,"")</f>
        <v/>
      </c>
      <c r="AO16" s="88" t="str">
        <f>IF(AO$4&lt;=PARAMETER!$X$2,SUMIF('2025'!$E:$E,PerPM!$A15,'2025'!AO:AO)/PARAMETER!$T$3,"")</f>
        <v/>
      </c>
      <c r="AP16" s="88" t="str">
        <f>IF(AP$4&lt;=PARAMETER!$X$2,SUMIF('2025'!$E:$E,PerPM!$A15,'2025'!AP:AP)/PARAMETER!$T$3,"")</f>
        <v/>
      </c>
      <c r="AQ16" s="88" t="str">
        <f>IF(AQ$4&lt;=PARAMETER!$X$2,SUMIF('2025'!$E:$E,PerPM!$A15,'2025'!AQ:AQ)/PARAMETER!$T$3,"")</f>
        <v/>
      </c>
      <c r="AR16" s="88" t="str">
        <f>IF(AR$4&lt;=PARAMETER!$X$2,SUMIF('2025'!$E:$E,PerPM!$A15,'2025'!AR:AR)/PARAMETER!$T$3,"")</f>
        <v/>
      </c>
      <c r="AS16" s="88" t="str">
        <f>IF(AS$4&lt;=PARAMETER!$X$2,SUMIF('2025'!$E:$E,PerPM!$A15,'2025'!AS:AS)/PARAMETER!$T$3,"")</f>
        <v/>
      </c>
      <c r="AT16" s="88" t="str">
        <f>IF(AT$4&lt;=PARAMETER!$X$2,SUMIF('2025'!$E:$E,PerPM!$A15,'2025'!AT:AT)/PARAMETER!$T$3,"")</f>
        <v/>
      </c>
      <c r="AU16" s="88" t="str">
        <f>IF(AU$4&lt;=PARAMETER!$X$2,SUMIF('2025'!$E:$E,PerPM!$A15,'2025'!AU:AU)/PARAMETER!$T$3,"")</f>
        <v/>
      </c>
      <c r="AV16" s="88" t="str">
        <f>IF(AV$4&lt;=PARAMETER!$X$2,SUMIF('2025'!$E:$E,PerPM!$A15,'2025'!AV:AV)/PARAMETER!$T$3,"")</f>
        <v/>
      </c>
      <c r="AW16" s="88" t="str">
        <f>IF(AW$4&lt;=PARAMETER!$X$2,SUMIF('2025'!$E:$E,PerPM!$A15,'2025'!AW:AW)/PARAMETER!$T$3,"")</f>
        <v/>
      </c>
      <c r="AX16" s="88" t="str">
        <f>IF(AX$4&lt;=PARAMETER!$X$2,SUMIF('2025'!$E:$E,PerPM!$A15,'2025'!AX:AX)/PARAMETER!$T$3,"")</f>
        <v/>
      </c>
      <c r="AY16" s="88" t="str">
        <f>IF(AY$4&lt;=PARAMETER!$X$2,SUMIF('2025'!$E:$E,PerPM!$A15,'2025'!AY:AY)/PARAMETER!$T$3,"")</f>
        <v/>
      </c>
      <c r="AZ16" s="88" t="str">
        <f>IF(AZ$4&lt;=PARAMETER!$X$2,SUMIF('2025'!$E:$E,PerPM!$A15,'2025'!AZ:AZ)/PARAMETER!$T$3,"")</f>
        <v/>
      </c>
      <c r="BA16" s="88" t="str">
        <f>IF(BA$4&lt;=PARAMETER!$X$2,SUMIF('2025'!$E:$E,PerPM!$A15,'2025'!BA:BA)/PARAMETER!$T$3,"")</f>
        <v/>
      </c>
      <c r="BB16" s="88" t="str">
        <f>IF(BB$4&lt;=PARAMETER!$X$2,SUMIF('2025'!$E:$E,PerPM!$A15,'2025'!BB:BB)/PARAMETER!$T$3,"")</f>
        <v/>
      </c>
      <c r="BC16" s="88" t="str">
        <f>IF(BC$4&lt;=PARAMETER!$X$2,SUMIF('2025'!$E:$E,PerPM!$A15,'2025'!BC:BC)/PARAMETER!$T$3,"")</f>
        <v/>
      </c>
      <c r="BD16" s="88" t="str">
        <f>IF(BD$4&lt;=PARAMETER!$X$2,SUMIF('2025'!$E:$E,PerPM!$A15,'2025'!BD:BD)/PARAMETER!$T$3,"")</f>
        <v/>
      </c>
      <c r="BE16" s="88" t="str">
        <f>IF(BE$4&lt;=PARAMETER!$X$2,SUMIF('2025'!$E:$E,PerPM!$A15,'2025'!BE:BE)/PARAMETER!$T$3,"")</f>
        <v/>
      </c>
      <c r="BF16" s="88" t="str">
        <f>IF(BF$4&lt;=PARAMETER!$X$2,SUMIF('2025'!$E:$E,PerPM!$A15,'2025'!BF:BF)/PARAMETER!$T$3,"")</f>
        <v/>
      </c>
      <c r="BG16" s="88" t="str">
        <f>IF(BG$4&lt;=PARAMETER!$X$2,SUMIF('2025'!$E:$E,PerPM!$A15,'2025'!BG:BG)/PARAMETER!$T$3,"")</f>
        <v/>
      </c>
      <c r="BH16" s="88" t="str">
        <f>IF(BH$4&lt;=PARAMETER!$X$2,SUMIF('2025'!$E:$E,PerPM!$A15,'2025'!BH:BH)/PARAMETER!$T$3,"")</f>
        <v/>
      </c>
      <c r="BI16" s="88" t="str">
        <f>IF(BI$4&lt;=PARAMETER!$X$2,SUMIF('2025'!$E:$E,PerPM!$A15,'2025'!BI:BI)/PARAMETER!$T$3,"")</f>
        <v/>
      </c>
    </row>
    <row r="17" spans="1:61" x14ac:dyDescent="0.25">
      <c r="A17" s="78" t="str">
        <f>CONCATENATE(B17,PARAMETER!T$2)</f>
        <v>ADISTIVOL</v>
      </c>
      <c r="B17" s="66" t="str">
        <f>B15</f>
        <v>ADISTI</v>
      </c>
      <c r="C17" s="67"/>
      <c r="D17" s="68"/>
      <c r="E17" s="69"/>
      <c r="F17" s="89">
        <f>F10</f>
        <v>2024</v>
      </c>
      <c r="G17" s="90">
        <f>IF(G$4&lt;=PARAMETER!$X$2,SUMIF('2024'!$E:$E,PerPM!$A14,'2024'!G:G)/PARAMETER!$T$3,"")</f>
        <v>220838.95275</v>
      </c>
      <c r="H17" s="90">
        <f>IF(H$4&lt;=PARAMETER!$X$2,SUMIF('2024'!$E:$E,PerPM!$A14,'2024'!H:H)/PARAMETER!$T$3,"")</f>
        <v>44924.540609999996</v>
      </c>
      <c r="I17" s="90">
        <f>IF(I$4&lt;=PARAMETER!$X$2,SUMIF('2024'!$E:$E,PerPM!$A14,'2024'!I:I)/PARAMETER!$T$3,"")</f>
        <v>3774.5458570000001</v>
      </c>
      <c r="J17" s="90">
        <f>IF(J$4&lt;=PARAMETER!$X$2,SUMIF('2024'!$E:$E,PerPM!$A14,'2024'!J:J)/PARAMETER!$T$3,"")</f>
        <v>3695.4699049999999</v>
      </c>
      <c r="K17" s="90">
        <f>IF(K$4&lt;=PARAMETER!$X$2,SUMIF('2024'!$E:$E,PerPM!$A14,'2024'!K:K)/PARAMETER!$T$3,"")</f>
        <v>3293.9510700000001</v>
      </c>
      <c r="L17" s="90">
        <f>IF(L$4&lt;=PARAMETER!$X$2,SUMIF('2024'!$E:$E,PerPM!$A14,'2024'!L:L)/PARAMETER!$T$3,"")</f>
        <v>3730.9688390000001</v>
      </c>
      <c r="M17" s="90">
        <f>IF(M$4&lt;=PARAMETER!$X$2,SUMIF('2024'!$E:$E,PerPM!$A14,'2024'!M:M)/PARAMETER!$T$3,"")</f>
        <v>3750.0534210000001</v>
      </c>
      <c r="N17" s="90">
        <f>IF(N$4&lt;=PARAMETER!$X$2,SUMIF('2024'!$E:$E,PerPM!$A14,'2024'!N:N)/PARAMETER!$T$3,"")</f>
        <v>6342.4502000000002</v>
      </c>
      <c r="O17" s="90">
        <f>IF(O$4&lt;=PARAMETER!$X$2,SUMIF('2024'!$E:$E,PerPM!$A14,'2024'!O:O)/PARAMETER!$T$3,"")</f>
        <v>3818.9531310000002</v>
      </c>
      <c r="P17" s="90">
        <f>IF(P$4&lt;=PARAMETER!$X$2,SUMIF('2024'!$E:$E,PerPM!$A14,'2024'!P:P)/PARAMETER!$T$3,"")</f>
        <v>3893.1397189999998</v>
      </c>
      <c r="Q17" s="90">
        <f>IF(Q$4&lt;=PARAMETER!$X$2,SUMIF('2024'!$E:$E,PerPM!$A14,'2024'!Q:Q)/PARAMETER!$T$3,"")</f>
        <v>4204.3022019999999</v>
      </c>
      <c r="R17" s="90">
        <f>IF(R$4&lt;=PARAMETER!$X$2,SUMIF('2024'!$E:$E,PerPM!$A14,'2024'!R:R)/PARAMETER!$T$3,"")</f>
        <v>4357.7652049999997</v>
      </c>
      <c r="S17" s="90">
        <f>IF(S$4&lt;=PARAMETER!$X$2,SUMIF('2024'!$E:$E,PerPM!$A14,'2024'!S:S)/PARAMETER!$T$3,"")</f>
        <v>4062.941061</v>
      </c>
      <c r="T17" s="90" t="str">
        <f>IF(T$4&lt;=PARAMETER!$X$2,SUMIF('2024'!$E:$E,PerPM!$A14,'2024'!T:T)/PARAMETER!$T$3,"")</f>
        <v/>
      </c>
      <c r="U17" s="90" t="str">
        <f>IF(U$4&lt;=PARAMETER!$X$2,SUMIF('2024'!$E:$E,PerPM!$A14,'2024'!U:U)/PARAMETER!$T$3,"")</f>
        <v/>
      </c>
      <c r="V17" s="90" t="str">
        <f>IF(V$4&lt;=PARAMETER!$X$2,SUMIF('2024'!$E:$E,PerPM!$A14,'2024'!V:V)/PARAMETER!$T$3,"")</f>
        <v/>
      </c>
      <c r="W17" s="90" t="str">
        <f>IF(W$4&lt;=PARAMETER!$X$2,SUMIF('2024'!$E:$E,PerPM!$A14,'2024'!W:W)/PARAMETER!$T$3,"")</f>
        <v/>
      </c>
      <c r="X17" s="90" t="str">
        <f>IF(X$4&lt;=PARAMETER!$X$2,SUMIF('2024'!$E:$E,PerPM!$A14,'2024'!X:X)/PARAMETER!$T$3,"")</f>
        <v/>
      </c>
      <c r="Y17" s="90" t="str">
        <f>IF(Y$4&lt;=PARAMETER!$X$2,SUMIF('2024'!$E:$E,PerPM!$A14,'2024'!Y:Y)/PARAMETER!$T$3,"")</f>
        <v/>
      </c>
      <c r="Z17" s="90" t="str">
        <f>IF(Z$4&lt;=PARAMETER!$X$2,SUMIF('2024'!$E:$E,PerPM!$A14,'2024'!Z:Z)/PARAMETER!$T$3,"")</f>
        <v/>
      </c>
      <c r="AA17" s="90" t="str">
        <f>IF(AA$4&lt;=PARAMETER!$X$2,SUMIF('2024'!$E:$E,PerPM!$A14,'2024'!AA:AA)/PARAMETER!$T$3,"")</f>
        <v/>
      </c>
      <c r="AB17" s="90" t="str">
        <f>IF(AB$4&lt;=PARAMETER!$X$2,SUMIF('2024'!$E:$E,PerPM!$A14,'2024'!AB:AB)/PARAMETER!$T$3,"")</f>
        <v/>
      </c>
      <c r="AC17" s="90" t="str">
        <f>IF(AC$4&lt;=PARAMETER!$X$2,SUMIF('2024'!$E:$E,PerPM!$A14,'2024'!AC:AC)/PARAMETER!$T$3,"")</f>
        <v/>
      </c>
      <c r="AD17" s="90" t="str">
        <f>IF(AD$4&lt;=PARAMETER!$X$2,SUMIF('2024'!$E:$E,PerPM!$A14,'2024'!AD:AD)/PARAMETER!$T$3,"")</f>
        <v/>
      </c>
      <c r="AE17" s="90" t="str">
        <f>IF(AE$4&lt;=PARAMETER!$X$2,SUMIF('2024'!$E:$E,PerPM!$A14,'2024'!AE:AE)/PARAMETER!$T$3,"")</f>
        <v/>
      </c>
      <c r="AF17" s="90" t="str">
        <f>IF(AF$4&lt;=PARAMETER!$X$2,SUMIF('2024'!$E:$E,PerPM!$A14,'2024'!AF:AF)/PARAMETER!$T$3,"")</f>
        <v/>
      </c>
      <c r="AG17" s="90" t="str">
        <f>IF(AG$4&lt;=PARAMETER!$X$2,SUMIF('2024'!$E:$E,PerPM!$A14,'2024'!AG:AG)/PARAMETER!$T$3,"")</f>
        <v/>
      </c>
      <c r="AH17" s="90" t="str">
        <f>IF(AH$4&lt;=PARAMETER!$X$2,SUMIF('2024'!$E:$E,PerPM!$A14,'2024'!AH:AH)/PARAMETER!$T$3,"")</f>
        <v/>
      </c>
      <c r="AI17" s="90" t="str">
        <f>IF(AI$4&lt;=PARAMETER!$X$2,SUMIF('2024'!$E:$E,PerPM!$A14,'2024'!AI:AI)/PARAMETER!$T$3,"")</f>
        <v/>
      </c>
      <c r="AJ17" s="90" t="str">
        <f>IF(AJ$4&lt;=PARAMETER!$X$2,SUMIF('2024'!$E:$E,PerPM!$A14,'2024'!AJ:AJ)/PARAMETER!$T$3,"")</f>
        <v/>
      </c>
      <c r="AK17" s="90" t="str">
        <f>IF(AK$4&lt;=PARAMETER!$X$2,SUMIF('2024'!$E:$E,PerPM!$A14,'2024'!AK:AK)/PARAMETER!$T$3,"")</f>
        <v/>
      </c>
      <c r="AL17" s="90" t="str">
        <f>IF(AL$4&lt;=PARAMETER!$X$2,SUMIF('2024'!$E:$E,PerPM!$A14,'2024'!AL:AL)/PARAMETER!$T$3,"")</f>
        <v/>
      </c>
      <c r="AM17" s="90" t="str">
        <f>IF(AM$4&lt;=PARAMETER!$X$2,SUMIF('2024'!$E:$E,PerPM!$A14,'2024'!AM:AM)/PARAMETER!$T$3,"")</f>
        <v/>
      </c>
      <c r="AN17" s="90" t="str">
        <f>IF(AN$4&lt;=PARAMETER!$X$2,SUMIF('2024'!$E:$E,PerPM!$A14,'2024'!AN:AN)/PARAMETER!$T$3,"")</f>
        <v/>
      </c>
      <c r="AO17" s="90" t="str">
        <f>IF(AO$4&lt;=PARAMETER!$X$2,SUMIF('2024'!$E:$E,PerPM!$A14,'2024'!AO:AO)/PARAMETER!$T$3,"")</f>
        <v/>
      </c>
      <c r="AP17" s="90" t="str">
        <f>IF(AP$4&lt;=PARAMETER!$X$2,SUMIF('2024'!$E:$E,PerPM!$A14,'2024'!AP:AP)/PARAMETER!$T$3,"")</f>
        <v/>
      </c>
      <c r="AQ17" s="90" t="str">
        <f>IF(AQ$4&lt;=PARAMETER!$X$2,SUMIF('2024'!$E:$E,PerPM!$A14,'2024'!AQ:AQ)/PARAMETER!$T$3,"")</f>
        <v/>
      </c>
      <c r="AR17" s="90" t="str">
        <f>IF(AR$4&lt;=PARAMETER!$X$2,SUMIF('2024'!$E:$E,PerPM!$A14,'2024'!AR:AR)/PARAMETER!$T$3,"")</f>
        <v/>
      </c>
      <c r="AS17" s="90" t="str">
        <f>IF(AS$4&lt;=PARAMETER!$X$2,SUMIF('2024'!$E:$E,PerPM!$A14,'2024'!AS:AS)/PARAMETER!$T$3,"")</f>
        <v/>
      </c>
      <c r="AT17" s="90" t="str">
        <f>IF(AT$4&lt;=PARAMETER!$X$2,SUMIF('2024'!$E:$E,PerPM!$A14,'2024'!AT:AT)/PARAMETER!$T$3,"")</f>
        <v/>
      </c>
      <c r="AU17" s="90" t="str">
        <f>IF(AU$4&lt;=PARAMETER!$X$2,SUMIF('2024'!$E:$E,PerPM!$A14,'2024'!AU:AU)/PARAMETER!$T$3,"")</f>
        <v/>
      </c>
      <c r="AV17" s="90" t="str">
        <f>IF(AV$4&lt;=PARAMETER!$X$2,SUMIF('2024'!$E:$E,PerPM!$A14,'2024'!AV:AV)/PARAMETER!$T$3,"")</f>
        <v/>
      </c>
      <c r="AW17" s="90" t="str">
        <f>IF(AW$4&lt;=PARAMETER!$X$2,SUMIF('2024'!$E:$E,PerPM!$A14,'2024'!AW:AW)/PARAMETER!$T$3,"")</f>
        <v/>
      </c>
      <c r="AX17" s="90" t="str">
        <f>IF(AX$4&lt;=PARAMETER!$X$2,SUMIF('2024'!$E:$E,PerPM!$A14,'2024'!AX:AX)/PARAMETER!$T$3,"")</f>
        <v/>
      </c>
      <c r="AY17" s="90" t="str">
        <f>IF(AY$4&lt;=PARAMETER!$X$2,SUMIF('2024'!$E:$E,PerPM!$A14,'2024'!AY:AY)/PARAMETER!$T$3,"")</f>
        <v/>
      </c>
      <c r="AZ17" s="90" t="str">
        <f>IF(AZ$4&lt;=PARAMETER!$X$2,SUMIF('2024'!$E:$E,PerPM!$A14,'2024'!AZ:AZ)/PARAMETER!$T$3,"")</f>
        <v/>
      </c>
      <c r="BA17" s="90" t="str">
        <f>IF(BA$4&lt;=PARAMETER!$X$2,SUMIF('2024'!$E:$E,PerPM!$A14,'2024'!BA:BA)/PARAMETER!$T$3,"")</f>
        <v/>
      </c>
      <c r="BB17" s="90" t="str">
        <f>IF(BB$4&lt;=PARAMETER!$X$2,SUMIF('2024'!$E:$E,PerPM!$A14,'2024'!BB:BB)/PARAMETER!$T$3,"")</f>
        <v/>
      </c>
      <c r="BC17" s="90" t="str">
        <f>IF(BC$4&lt;=PARAMETER!$X$2,SUMIF('2024'!$E:$E,PerPM!$A14,'2024'!BC:BC)/PARAMETER!$T$3,"")</f>
        <v/>
      </c>
      <c r="BD17" s="90" t="str">
        <f>IF(BD$4&lt;=PARAMETER!$X$2,SUMIF('2024'!$E:$E,PerPM!$A14,'2024'!BD:BD)/PARAMETER!$T$3,"")</f>
        <v/>
      </c>
      <c r="BE17" s="90" t="str">
        <f>IF(BE$4&lt;=PARAMETER!$X$2,SUMIF('2024'!$E:$E,PerPM!$A14,'2024'!BE:BE)/PARAMETER!$T$3,"")</f>
        <v/>
      </c>
      <c r="BF17" s="90" t="str">
        <f>IF(BF$4&lt;=PARAMETER!$X$2,SUMIF('2024'!$E:$E,PerPM!$A14,'2024'!BF:BF)/PARAMETER!$T$3,"")</f>
        <v/>
      </c>
      <c r="BG17" s="90" t="str">
        <f>IF(BG$4&lt;=PARAMETER!$X$2,SUMIF('2024'!$E:$E,PerPM!$A14,'2024'!BG:BG)/PARAMETER!$T$3,"")</f>
        <v/>
      </c>
      <c r="BH17" s="90" t="str">
        <f>IF(BH$4&lt;=PARAMETER!$X$2,SUMIF('2024'!$E:$E,PerPM!$A14,'2024'!BH:BH)/PARAMETER!$T$3,"")</f>
        <v/>
      </c>
      <c r="BI17" s="90" t="str">
        <f>IF(BI$4&lt;=PARAMETER!$X$2,SUMIF('2024'!$E:$E,PerPM!$A14,'2024'!BI:BI)/PARAMETER!$T$3,"")</f>
        <v/>
      </c>
    </row>
    <row r="18" spans="1:61" x14ac:dyDescent="0.25">
      <c r="A18" s="78" t="str">
        <f>CONCATENATE(B18,PARAMETER!T$2)</f>
        <v>NINAVOL</v>
      </c>
      <c r="B18" s="72" t="str">
        <f>PARAMETER!H3</f>
        <v>NINA</v>
      </c>
      <c r="C18" s="73" t="s">
        <v>127</v>
      </c>
      <c r="D18" s="74">
        <f>H19/H18</f>
        <v>1.5310559395882046</v>
      </c>
      <c r="E18" s="31">
        <f>IF(D18&gt;300%,300%,D18)</f>
        <v>1.5310559395882046</v>
      </c>
      <c r="F18" s="75" t="str">
        <f t="shared" ref="F18:F24" si="12">F14</f>
        <v>Target</v>
      </c>
      <c r="G18" s="76">
        <f>SUMIF('2026 T'!$E:$E,PerPM!$A18,'2026 T'!G:G)/PARAMETER!$T$3</f>
        <v>330876.99999999994</v>
      </c>
      <c r="H18" s="76">
        <f>SUMIF('2026 T'!$E:$E,PerPM!$A18,'2026 T'!H:H)/PARAMETER!$T$3</f>
        <v>46685.301274638463</v>
      </c>
      <c r="I18" s="76">
        <f>IF(I$4&lt;=PARAMETER!$X$2,SUMIF('2026 T'!$E:$E,PerPM!$A18,'2026 T'!I:I)/PARAMETER!$T$3,"")</f>
        <v>4913.3035903626796</v>
      </c>
      <c r="J18" s="76">
        <f>IF(J$4&lt;=PARAMETER!$X$2,SUMIF('2026 T'!$E:$E,PerPM!$A18,'2026 T'!J:J)/PARAMETER!$T$3,"")</f>
        <v>4220.1845908883788</v>
      </c>
      <c r="K18" s="76">
        <f>IF(K$4&lt;=PARAMETER!$X$2,SUMIF('2026 T'!$E:$E,PerPM!$A18,'2026 T'!K:K)/PARAMETER!$T$3,"")</f>
        <v>4214.8734483544758</v>
      </c>
      <c r="L18" s="76">
        <f>IF(L$4&lt;=PARAMETER!$X$2,SUMIF('2026 T'!$E:$E,PerPM!$A18,'2026 T'!L:L)/PARAMETER!$T$3,"")</f>
        <v>4961.710390983415</v>
      </c>
      <c r="M18" s="76">
        <f>IF(M$4&lt;=PARAMETER!$X$2,SUMIF('2026 T'!$E:$E,PerPM!$A18,'2026 T'!M:M)/PARAMETER!$T$3,"")</f>
        <v>4961.0906536482998</v>
      </c>
      <c r="N18" s="76">
        <f>IF(N$4&lt;=PARAMETER!$X$2,SUMIF('2026 T'!$E:$E,PerPM!$A18,'2026 T'!N:N)/PARAMETER!$T$3,"")</f>
        <v>4554.5262814132493</v>
      </c>
      <c r="O18" s="76">
        <f>IF(O$4&lt;=PARAMETER!$X$2,SUMIF('2026 T'!$E:$E,PerPM!$A18,'2026 T'!O:O)/PARAMETER!$T$3,"")</f>
        <v>4375.1254406654571</v>
      </c>
      <c r="P18" s="76">
        <f>IF(P$4&lt;=PARAMETER!$X$2,SUMIF('2026 T'!$E:$E,PerPM!$A18,'2026 T'!P:P)/PARAMETER!$T$3,"")</f>
        <v>6622.7352709146935</v>
      </c>
      <c r="Q18" s="76">
        <f>IF(Q$4&lt;=PARAMETER!$X$2,SUMIF('2026 T'!$E:$E,PerPM!$A18,'2026 T'!Q:Q)/PARAMETER!$T$3,"")</f>
        <v>7861.7516074078167</v>
      </c>
      <c r="R18" s="76">
        <f>IF(R$4&lt;=PARAMETER!$X$2,SUMIF('2026 T'!$E:$E,PerPM!$A18,'2026 T'!R:R)/PARAMETER!$T$3,"")</f>
        <v>6845.5562911231436</v>
      </c>
      <c r="S18" s="76">
        <f>IF(S$4&lt;=PARAMETER!$X$2,SUMIF('2026 T'!$E:$E,PerPM!$A18,'2026 T'!S:S)/PARAMETER!$T$3,"")</f>
        <v>7583.3898899913729</v>
      </c>
      <c r="T18" s="76" t="str">
        <f>IF(T$4&lt;=PARAMETER!$X$2,SUMIF('2026 T'!$E:$E,PerPM!$A18,'2026 T'!T:T)/PARAMETER!$T$3,"")</f>
        <v/>
      </c>
      <c r="U18" s="76" t="str">
        <f>IF(U$4&lt;=PARAMETER!$X$2,SUMIF('2026 T'!$E:$E,PerPM!$A18,'2026 T'!U:U)/PARAMETER!$T$3,"")</f>
        <v/>
      </c>
      <c r="V18" s="76" t="str">
        <f>IF(V$4&lt;=PARAMETER!$X$2,SUMIF('2026 T'!$E:$E,PerPM!$A18,'2026 T'!V:V)/PARAMETER!$T$3,"")</f>
        <v/>
      </c>
      <c r="W18" s="76" t="str">
        <f>IF(W$4&lt;=PARAMETER!$X$2,SUMIF('2026 T'!$E:$E,PerPM!$A18,'2026 T'!W:W)/PARAMETER!$T$3,"")</f>
        <v/>
      </c>
      <c r="X18" s="76" t="str">
        <f>IF(X$4&lt;=PARAMETER!$X$2,SUMIF('2026 T'!$E:$E,PerPM!$A18,'2026 T'!X:X)/PARAMETER!$T$3,"")</f>
        <v/>
      </c>
      <c r="Y18" s="76" t="str">
        <f>IF(Y$4&lt;=PARAMETER!$X$2,SUMIF('2026 T'!$E:$E,PerPM!$A18,'2026 T'!Y:Y)/PARAMETER!$T$3,"")</f>
        <v/>
      </c>
      <c r="Z18" s="76" t="str">
        <f>IF(Z$4&lt;=PARAMETER!$X$2,SUMIF('2026 T'!$E:$E,PerPM!$A18,'2026 T'!Z:Z)/PARAMETER!$T$3,"")</f>
        <v/>
      </c>
      <c r="AA18" s="76" t="str">
        <f>IF(AA$4&lt;=PARAMETER!$X$2,SUMIF('2026 T'!$E:$E,PerPM!$A18,'2026 T'!AA:AA)/PARAMETER!$T$3,"")</f>
        <v/>
      </c>
      <c r="AB18" s="76" t="str">
        <f>IF(AB$4&lt;=PARAMETER!$X$2,SUMIF('2026 T'!$E:$E,PerPM!$A18,'2026 T'!AB:AB)/PARAMETER!$T$3,"")</f>
        <v/>
      </c>
      <c r="AC18" s="76" t="str">
        <f>IF(AC$4&lt;=PARAMETER!$X$2,SUMIF('2026 T'!$E:$E,PerPM!$A18,'2026 T'!AC:AC)/PARAMETER!$T$3,"")</f>
        <v/>
      </c>
      <c r="AD18" s="76" t="str">
        <f>IF(AD$4&lt;=PARAMETER!$X$2,SUMIF('2026 T'!$E:$E,PerPM!$A18,'2026 T'!AD:AD)/PARAMETER!$T$3,"")</f>
        <v/>
      </c>
      <c r="AE18" s="76" t="str">
        <f>IF(AE$4&lt;=PARAMETER!$X$2,SUMIF('2026 T'!$E:$E,PerPM!$A18,'2026 T'!AE:AE)/PARAMETER!$T$3,"")</f>
        <v/>
      </c>
      <c r="AF18" s="76" t="str">
        <f>IF(AF$4&lt;=PARAMETER!$X$2,SUMIF('2026 T'!$E:$E,PerPM!$A18,'2026 T'!AF:AF)/PARAMETER!$T$3,"")</f>
        <v/>
      </c>
      <c r="AG18" s="76" t="str">
        <f>IF(AG$4&lt;=PARAMETER!$X$2,SUMIF('2026 T'!$E:$E,PerPM!$A18,'2026 T'!AG:AG)/PARAMETER!$T$3,"")</f>
        <v/>
      </c>
      <c r="AH18" s="76" t="str">
        <f>IF(AH$4&lt;=PARAMETER!$X$2,SUMIF('2026 T'!$E:$E,PerPM!$A18,'2026 T'!AH:AH)/PARAMETER!$T$3,"")</f>
        <v/>
      </c>
      <c r="AI18" s="76" t="str">
        <f>IF(AI$4&lt;=PARAMETER!$X$2,SUMIF('2026 T'!$E:$E,PerPM!$A18,'2026 T'!AI:AI)/PARAMETER!$T$3,"")</f>
        <v/>
      </c>
      <c r="AJ18" s="76" t="str">
        <f>IF(AJ$4&lt;=PARAMETER!$X$2,SUMIF('2026 T'!$E:$E,PerPM!$A18,'2026 T'!AJ:AJ)/PARAMETER!$T$3,"")</f>
        <v/>
      </c>
      <c r="AK18" s="76" t="str">
        <f>IF(AK$4&lt;=PARAMETER!$X$2,SUMIF('2026 T'!$E:$E,PerPM!$A18,'2026 T'!AK:AK)/PARAMETER!$T$3,"")</f>
        <v/>
      </c>
      <c r="AL18" s="76" t="str">
        <f>IF(AL$4&lt;=PARAMETER!$X$2,SUMIF('2026 T'!$E:$E,PerPM!$A18,'2026 T'!AL:AL)/PARAMETER!$T$3,"")</f>
        <v/>
      </c>
      <c r="AM18" s="76" t="str">
        <f>IF(AM$4&lt;=PARAMETER!$X$2,SUMIF('2026 T'!$E:$E,PerPM!$A18,'2026 T'!AM:AM)/PARAMETER!$T$3,"")</f>
        <v/>
      </c>
      <c r="AN18" s="76" t="str">
        <f>IF(AN$4&lt;=PARAMETER!$X$2,SUMIF('2026 T'!$E:$E,PerPM!$A18,'2026 T'!AN:AN)/PARAMETER!$T$3,"")</f>
        <v/>
      </c>
      <c r="AO18" s="76" t="str">
        <f>IF(AO$4&lt;=PARAMETER!$X$2,SUMIF('2026 T'!$E:$E,PerPM!$A18,'2026 T'!AO:AO)/PARAMETER!$T$3,"")</f>
        <v/>
      </c>
      <c r="AP18" s="76" t="str">
        <f>IF(AP$4&lt;=PARAMETER!$X$2,SUMIF('2026 T'!$E:$E,PerPM!$A18,'2026 T'!AP:AP)/PARAMETER!$T$3,"")</f>
        <v/>
      </c>
      <c r="AQ18" s="76" t="str">
        <f>IF(AQ$4&lt;=PARAMETER!$X$2,SUMIF('2026 T'!$E:$E,PerPM!$A18,'2026 T'!AQ:AQ)/PARAMETER!$T$3,"")</f>
        <v/>
      </c>
      <c r="AR18" s="76" t="str">
        <f>IF(AR$4&lt;=PARAMETER!$X$2,SUMIF('2026 T'!$E:$E,PerPM!$A18,'2026 T'!AR:AR)/PARAMETER!$T$3,"")</f>
        <v/>
      </c>
      <c r="AS18" s="76" t="str">
        <f>IF(AS$4&lt;=PARAMETER!$X$2,SUMIF('2026 T'!$E:$E,PerPM!$A18,'2026 T'!AS:AS)/PARAMETER!$T$3,"")</f>
        <v/>
      </c>
      <c r="AT18" s="76" t="str">
        <f>IF(AT$4&lt;=PARAMETER!$X$2,SUMIF('2026 T'!$E:$E,PerPM!$A18,'2026 T'!AT:AT)/PARAMETER!$T$3,"")</f>
        <v/>
      </c>
      <c r="AU18" s="76" t="str">
        <f>IF(AU$4&lt;=PARAMETER!$X$2,SUMIF('2026 T'!$E:$E,PerPM!$A18,'2026 T'!AU:AU)/PARAMETER!$T$3,"")</f>
        <v/>
      </c>
      <c r="AV18" s="76" t="str">
        <f>IF(AV$4&lt;=PARAMETER!$X$2,SUMIF('2026 T'!$E:$E,PerPM!$A18,'2026 T'!AV:AV)/PARAMETER!$T$3,"")</f>
        <v/>
      </c>
      <c r="AW18" s="76" t="str">
        <f>IF(AW$4&lt;=PARAMETER!$X$2,SUMIF('2026 T'!$E:$E,PerPM!$A18,'2026 T'!AW:AW)/PARAMETER!$T$3,"")</f>
        <v/>
      </c>
      <c r="AX18" s="76" t="str">
        <f>IF(AX$4&lt;=PARAMETER!$X$2,SUMIF('2026 T'!$E:$E,PerPM!$A18,'2026 T'!AX:AX)/PARAMETER!$T$3,"")</f>
        <v/>
      </c>
      <c r="AY18" s="76" t="str">
        <f>IF(AY$4&lt;=PARAMETER!$X$2,SUMIF('2026 T'!$E:$E,PerPM!$A18,'2026 T'!AY:AY)/PARAMETER!$T$3,"")</f>
        <v/>
      </c>
      <c r="AZ18" s="76" t="str">
        <f>IF(AZ$4&lt;=PARAMETER!$X$2,SUMIF('2026 T'!$E:$E,PerPM!$A18,'2026 T'!AZ:AZ)/PARAMETER!$T$3,"")</f>
        <v/>
      </c>
      <c r="BA18" s="76" t="str">
        <f>IF(BA$4&lt;=PARAMETER!$X$2,SUMIF('2026 T'!$E:$E,PerPM!$A18,'2026 T'!BA:BA)/PARAMETER!$T$3,"")</f>
        <v/>
      </c>
      <c r="BB18" s="76" t="str">
        <f>IF(BB$4&lt;=PARAMETER!$X$2,SUMIF('2026 T'!$E:$E,PerPM!$A18,'2026 T'!BB:BB)/PARAMETER!$T$3,"")</f>
        <v/>
      </c>
      <c r="BC18" s="76" t="str">
        <f>IF(BC$4&lt;=PARAMETER!$X$2,SUMIF('2026 T'!$E:$E,PerPM!$A18,'2026 T'!BC:BC)/PARAMETER!$T$3,"")</f>
        <v/>
      </c>
      <c r="BD18" s="76" t="str">
        <f>IF(BD$4&lt;=PARAMETER!$X$2,SUMIF('2026 T'!$E:$E,PerPM!$A18,'2026 T'!BD:BD)/PARAMETER!$T$3,"")</f>
        <v/>
      </c>
      <c r="BE18" s="76" t="str">
        <f>IF(BE$4&lt;=PARAMETER!$X$2,SUMIF('2026 T'!$E:$E,PerPM!$A18,'2026 T'!BE:BE)/PARAMETER!$T$3,"")</f>
        <v/>
      </c>
      <c r="BF18" s="76" t="str">
        <f>IF(BF$4&lt;=PARAMETER!$X$2,SUMIF('2026 T'!$E:$E,PerPM!$A18,'2026 T'!BF:BF)/PARAMETER!$T$3,"")</f>
        <v/>
      </c>
      <c r="BG18" s="76" t="str">
        <f>IF(BG$4&lt;=PARAMETER!$X$2,SUMIF('2026 T'!$E:$E,PerPM!$A18,'2026 T'!BG:BG)/PARAMETER!$T$3,"")</f>
        <v/>
      </c>
      <c r="BH18" s="76" t="str">
        <f>IF(BH$4&lt;=PARAMETER!$X$2,SUMIF('2026 T'!$E:$E,PerPM!$A18,'2026 T'!BH:BH)/PARAMETER!$T$3,"")</f>
        <v/>
      </c>
      <c r="BI18" s="76" t="str">
        <f>IF(BI$4&lt;=PARAMETER!$X$2,SUMIF('2026 T'!$E:$E,PerPM!$A18,'2026 T'!BI:BI)/PARAMETER!$T$3,"")</f>
        <v/>
      </c>
    </row>
    <row r="19" spans="1:61" x14ac:dyDescent="0.25">
      <c r="A19" s="78" t="str">
        <f>CONCATENATE(B19,PARAMETER!T$2)</f>
        <v>NINAVOL</v>
      </c>
      <c r="B19" s="26" t="str">
        <f>B18</f>
        <v>NINA</v>
      </c>
      <c r="C19" s="27" t="s">
        <v>128</v>
      </c>
      <c r="D19" s="35">
        <f>H19/H20-1</f>
        <v>0.13700565420125321</v>
      </c>
      <c r="E19" s="28">
        <f>IF(D19&gt;300%,300%,D19)</f>
        <v>0.13700565420125321</v>
      </c>
      <c r="F19" s="39">
        <f t="shared" si="12"/>
        <v>2026</v>
      </c>
      <c r="G19" s="40">
        <f>IF(G$4&lt;=PARAMETER!$X$2,SUMIF('2026'!$E:$E,PerPM!$A18,'2026'!G:G)/PARAMETER!$T$3,"")</f>
        <v>71477.807807999998</v>
      </c>
      <c r="H19" s="40">
        <f>IF(H$4&lt;=PARAMETER!$X$2,SUMIF('2026'!$E:$E,PerPM!$A18,'2026'!H:H)/PARAMETER!$T$3,"")</f>
        <v>71477.807807999998</v>
      </c>
      <c r="I19" s="40">
        <f>IF(I$4&lt;=PARAMETER!$X$2,SUMIF('2026'!$E:$E,PerPM!$A18,'2026'!I:I)/PARAMETER!$T$3,"")</f>
        <v>3307.3866889999999</v>
      </c>
      <c r="J19" s="40">
        <f>IF(J$4&lt;=PARAMETER!$X$2,SUMIF('2026'!$E:$E,PerPM!$A18,'2026'!J:J)/PARAMETER!$T$3,"")</f>
        <v>4743.1880010000004</v>
      </c>
      <c r="K19" s="40">
        <f>IF(K$4&lt;=PARAMETER!$X$2,SUMIF('2026'!$E:$E,PerPM!$A18,'2026'!K:K)/PARAMETER!$T$3,"")</f>
        <v>4055.7964000000002</v>
      </c>
      <c r="L19" s="40">
        <f>IF(L$4&lt;=PARAMETER!$X$2,SUMIF('2026'!$E:$E,PerPM!$A18,'2026'!L:L)/PARAMETER!$T$3,"")</f>
        <v>4542.0671579999998</v>
      </c>
      <c r="M19" s="40">
        <f>IF(M$4&lt;=PARAMETER!$X$2,SUMIF('2026'!$E:$E,PerPM!$A18,'2026'!M:M)/PARAMETER!$T$3,"")</f>
        <v>7163.6461120000004</v>
      </c>
      <c r="N19" s="40">
        <f>IF(N$4&lt;=PARAMETER!$X$2,SUMIF('2026'!$E:$E,PerPM!$A18,'2026'!N:N)/PARAMETER!$T$3,"")</f>
        <v>11186.380804</v>
      </c>
      <c r="O19" s="40">
        <f>IF(O$4&lt;=PARAMETER!$X$2,SUMIF('2026'!$E:$E,PerPM!$A18,'2026'!O:O)/PARAMETER!$T$3,"")</f>
        <v>10802.845728</v>
      </c>
      <c r="P19" s="40">
        <f>IF(P$4&lt;=PARAMETER!$X$2,SUMIF('2026'!$E:$E,PerPM!$A18,'2026'!P:P)/PARAMETER!$T$3,"")</f>
        <v>10149.111471</v>
      </c>
      <c r="Q19" s="40">
        <f>IF(Q$4&lt;=PARAMETER!$X$2,SUMIF('2026'!$E:$E,PerPM!$A18,'2026'!Q:Q)/PARAMETER!$T$3,"")</f>
        <v>8998.5190060000004</v>
      </c>
      <c r="R19" s="40">
        <f>IF(R$4&lt;=PARAMETER!$X$2,SUMIF('2026'!$E:$E,PerPM!$A18,'2026'!R:R)/PARAMETER!$T$3,"")</f>
        <v>3423.0723170000001</v>
      </c>
      <c r="S19" s="40">
        <f>IF(S$4&lt;=PARAMETER!$X$2,SUMIF('2026'!$E:$E,PerPM!$A18,'2026'!S:S)/PARAMETER!$T$3,"")</f>
        <v>3105.7941219999998</v>
      </c>
      <c r="T19" s="40" t="str">
        <f>IF(T$4&lt;=PARAMETER!$X$2,SUMIF('2026'!$E:$E,PerPM!$A18,'2026'!T:T)/PARAMETER!$T$3,"")</f>
        <v/>
      </c>
      <c r="U19" s="40" t="str">
        <f>IF(U$4&lt;=PARAMETER!$X$2,SUMIF('2026'!$E:$E,PerPM!$A18,'2026'!U:U)/PARAMETER!$T$3,"")</f>
        <v/>
      </c>
      <c r="V19" s="40" t="str">
        <f>IF(V$4&lt;=PARAMETER!$X$2,SUMIF('2026'!$E:$E,PerPM!$A18,'2026'!V:V)/PARAMETER!$T$3,"")</f>
        <v/>
      </c>
      <c r="W19" s="40" t="str">
        <f>IF(W$4&lt;=PARAMETER!$X$2,SUMIF('2026'!$E:$E,PerPM!$A18,'2026'!W:W)/PARAMETER!$T$3,"")</f>
        <v/>
      </c>
      <c r="X19" s="40" t="str">
        <f>IF(X$4&lt;=PARAMETER!$X$2,SUMIF('2026'!$E:$E,PerPM!$A18,'2026'!X:X)/PARAMETER!$T$3,"")</f>
        <v/>
      </c>
      <c r="Y19" s="40" t="str">
        <f>IF(Y$4&lt;=PARAMETER!$X$2,SUMIF('2026'!$E:$E,PerPM!$A18,'2026'!Y:Y)/PARAMETER!$T$3,"")</f>
        <v/>
      </c>
      <c r="Z19" s="40" t="str">
        <f>IF(Z$4&lt;=PARAMETER!$X$2,SUMIF('2026'!$E:$E,PerPM!$A18,'2026'!Z:Z)/PARAMETER!$T$3,"")</f>
        <v/>
      </c>
      <c r="AA19" s="40" t="str">
        <f>IF(AA$4&lt;=PARAMETER!$X$2,SUMIF('2026'!$E:$E,PerPM!$A18,'2026'!AA:AA)/PARAMETER!$T$3,"")</f>
        <v/>
      </c>
      <c r="AB19" s="40" t="str">
        <f>IF(AB$4&lt;=PARAMETER!$X$2,SUMIF('2026'!$E:$E,PerPM!$A18,'2026'!AB:AB)/PARAMETER!$T$3,"")</f>
        <v/>
      </c>
      <c r="AC19" s="40" t="str">
        <f>IF(AC$4&lt;=PARAMETER!$X$2,SUMIF('2026'!$E:$E,PerPM!$A18,'2026'!AC:AC)/PARAMETER!$T$3,"")</f>
        <v/>
      </c>
      <c r="AD19" s="40" t="str">
        <f>IF(AD$4&lt;=PARAMETER!$X$2,SUMIF('2026'!$E:$E,PerPM!$A18,'2026'!AD:AD)/PARAMETER!$T$3,"")</f>
        <v/>
      </c>
      <c r="AE19" s="40" t="str">
        <f>IF(AE$4&lt;=PARAMETER!$X$2,SUMIF('2026'!$E:$E,PerPM!$A18,'2026'!AE:AE)/PARAMETER!$T$3,"")</f>
        <v/>
      </c>
      <c r="AF19" s="40" t="str">
        <f>IF(AF$4&lt;=PARAMETER!$X$2,SUMIF('2026'!$E:$E,PerPM!$A18,'2026'!AF:AF)/PARAMETER!$T$3,"")</f>
        <v/>
      </c>
      <c r="AG19" s="40" t="str">
        <f>IF(AG$4&lt;=PARAMETER!$X$2,SUMIF('2026'!$E:$E,PerPM!$A18,'2026'!AG:AG)/PARAMETER!$T$3,"")</f>
        <v/>
      </c>
      <c r="AH19" s="40" t="str">
        <f>IF(AH$4&lt;=PARAMETER!$X$2,SUMIF('2026'!$E:$E,PerPM!$A18,'2026'!AH:AH)/PARAMETER!$T$3,"")</f>
        <v/>
      </c>
      <c r="AI19" s="40" t="str">
        <f>IF(AI$4&lt;=PARAMETER!$X$2,SUMIF('2026'!$E:$E,PerPM!$A18,'2026'!AI:AI)/PARAMETER!$T$3,"")</f>
        <v/>
      </c>
      <c r="AJ19" s="40" t="str">
        <f>IF(AJ$4&lt;=PARAMETER!$X$2,SUMIF('2026'!$E:$E,PerPM!$A18,'2026'!AJ:AJ)/PARAMETER!$T$3,"")</f>
        <v/>
      </c>
      <c r="AK19" s="40" t="str">
        <f>IF(AK$4&lt;=PARAMETER!$X$2,SUMIF('2026'!$E:$E,PerPM!$A18,'2026'!AK:AK)/PARAMETER!$T$3,"")</f>
        <v/>
      </c>
      <c r="AL19" s="40" t="str">
        <f>IF(AL$4&lt;=PARAMETER!$X$2,SUMIF('2026'!$E:$E,PerPM!$A18,'2026'!AL:AL)/PARAMETER!$T$3,"")</f>
        <v/>
      </c>
      <c r="AM19" s="40" t="str">
        <f>IF(AM$4&lt;=PARAMETER!$X$2,SUMIF('2026'!$E:$E,PerPM!$A18,'2026'!AM:AM)/PARAMETER!$T$3,"")</f>
        <v/>
      </c>
      <c r="AN19" s="40" t="str">
        <f>IF(AN$4&lt;=PARAMETER!$X$2,SUMIF('2026'!$E:$E,PerPM!$A18,'2026'!AN:AN)/PARAMETER!$T$3,"")</f>
        <v/>
      </c>
      <c r="AO19" s="40" t="str">
        <f>IF(AO$4&lt;=PARAMETER!$X$2,SUMIF('2026'!$E:$E,PerPM!$A18,'2026'!AO:AO)/PARAMETER!$T$3,"")</f>
        <v/>
      </c>
      <c r="AP19" s="40" t="str">
        <f>IF(AP$4&lt;=PARAMETER!$X$2,SUMIF('2026'!$E:$E,PerPM!$A18,'2026'!AP:AP)/PARAMETER!$T$3,"")</f>
        <v/>
      </c>
      <c r="AQ19" s="40" t="str">
        <f>IF(AQ$4&lt;=PARAMETER!$X$2,SUMIF('2026'!$E:$E,PerPM!$A18,'2026'!AQ:AQ)/PARAMETER!$T$3,"")</f>
        <v/>
      </c>
      <c r="AR19" s="40" t="str">
        <f>IF(AR$4&lt;=PARAMETER!$X$2,SUMIF('2026'!$E:$E,PerPM!$A18,'2026'!AR:AR)/PARAMETER!$T$3,"")</f>
        <v/>
      </c>
      <c r="AS19" s="40" t="str">
        <f>IF(AS$4&lt;=PARAMETER!$X$2,SUMIF('2026'!$E:$E,PerPM!$A18,'2026'!AS:AS)/PARAMETER!$T$3,"")</f>
        <v/>
      </c>
      <c r="AT19" s="40" t="str">
        <f>IF(AT$4&lt;=PARAMETER!$X$2,SUMIF('2026'!$E:$E,PerPM!$A18,'2026'!AT:AT)/PARAMETER!$T$3,"")</f>
        <v/>
      </c>
      <c r="AU19" s="40" t="str">
        <f>IF(AU$4&lt;=PARAMETER!$X$2,SUMIF('2026'!$E:$E,PerPM!$A18,'2026'!AU:AU)/PARAMETER!$T$3,"")</f>
        <v/>
      </c>
      <c r="AV19" s="40" t="str">
        <f>IF(AV$4&lt;=PARAMETER!$X$2,SUMIF('2026'!$E:$E,PerPM!$A18,'2026'!AV:AV)/PARAMETER!$T$3,"")</f>
        <v/>
      </c>
      <c r="AW19" s="40" t="str">
        <f>IF(AW$4&lt;=PARAMETER!$X$2,SUMIF('2026'!$E:$E,PerPM!$A18,'2026'!AW:AW)/PARAMETER!$T$3,"")</f>
        <v/>
      </c>
      <c r="AX19" s="40" t="str">
        <f>IF(AX$4&lt;=PARAMETER!$X$2,SUMIF('2026'!$E:$E,PerPM!$A18,'2026'!AX:AX)/PARAMETER!$T$3,"")</f>
        <v/>
      </c>
      <c r="AY19" s="40" t="str">
        <f>IF(AY$4&lt;=PARAMETER!$X$2,SUMIF('2026'!$E:$E,PerPM!$A18,'2026'!AY:AY)/PARAMETER!$T$3,"")</f>
        <v/>
      </c>
      <c r="AZ19" s="40" t="str">
        <f>IF(AZ$4&lt;=PARAMETER!$X$2,SUMIF('2026'!$E:$E,PerPM!$A18,'2026'!AZ:AZ)/PARAMETER!$T$3,"")</f>
        <v/>
      </c>
      <c r="BA19" s="40" t="str">
        <f>IF(BA$4&lt;=PARAMETER!$X$2,SUMIF('2026'!$E:$E,PerPM!$A18,'2026'!BA:BA)/PARAMETER!$T$3,"")</f>
        <v/>
      </c>
      <c r="BB19" s="40" t="str">
        <f>IF(BB$4&lt;=PARAMETER!$X$2,SUMIF('2026'!$E:$E,PerPM!$A18,'2026'!BB:BB)/PARAMETER!$T$3,"")</f>
        <v/>
      </c>
      <c r="BC19" s="40" t="str">
        <f>IF(BC$4&lt;=PARAMETER!$X$2,SUMIF('2026'!$E:$E,PerPM!$A18,'2026'!BC:BC)/PARAMETER!$T$3,"")</f>
        <v/>
      </c>
      <c r="BD19" s="40" t="str">
        <f>IF(BD$4&lt;=PARAMETER!$X$2,SUMIF('2026'!$E:$E,PerPM!$A18,'2026'!BD:BD)/PARAMETER!$T$3,"")</f>
        <v/>
      </c>
      <c r="BE19" s="40" t="str">
        <f>IF(BE$4&lt;=PARAMETER!$X$2,SUMIF('2026'!$E:$E,PerPM!$A18,'2026'!BE:BE)/PARAMETER!$T$3,"")</f>
        <v/>
      </c>
      <c r="BF19" s="40" t="str">
        <f>IF(BF$4&lt;=PARAMETER!$X$2,SUMIF('2026'!$E:$E,PerPM!$A18,'2026'!BF:BF)/PARAMETER!$T$3,"")</f>
        <v/>
      </c>
      <c r="BG19" s="40" t="str">
        <f>IF(BG$4&lt;=PARAMETER!$X$2,SUMIF('2026'!$E:$E,PerPM!$A18,'2026'!BG:BG)/PARAMETER!$T$3,"")</f>
        <v/>
      </c>
      <c r="BH19" s="40" t="str">
        <f>IF(BH$4&lt;=PARAMETER!$X$2,SUMIF('2026'!$E:$E,PerPM!$A18,'2026'!BH:BH)/PARAMETER!$T$3,"")</f>
        <v/>
      </c>
      <c r="BI19" s="40" t="str">
        <f>IF(BI$4&lt;=PARAMETER!$X$2,SUMIF('2026'!$E:$E,PerPM!$A18,'2026'!BI:BI)/PARAMETER!$T$3,"")</f>
        <v/>
      </c>
    </row>
    <row r="20" spans="1:61" x14ac:dyDescent="0.25">
      <c r="A20" s="78" t="str">
        <f>CONCATENATE(B20,PARAMETER!T$2)</f>
        <v>NINAVOL</v>
      </c>
      <c r="B20" s="66" t="str">
        <f>B19</f>
        <v>NINA</v>
      </c>
      <c r="C20" s="27" t="s">
        <v>128</v>
      </c>
      <c r="D20" s="35">
        <f>H20/H21-1</f>
        <v>1.0548863737089551</v>
      </c>
      <c r="E20" s="28">
        <f>IF(D20&gt;300%,300%,D20)</f>
        <v>1.0548863737089551</v>
      </c>
      <c r="F20" s="87">
        <f t="shared" si="12"/>
        <v>2025</v>
      </c>
      <c r="G20" s="88">
        <f>IF(G$4&lt;=PARAMETER!$X$2,SUMIF('2025'!$E:$E,PerPM!$A19,'2025'!G:G)/PARAMETER!$T$3,"")</f>
        <v>367270.03203499998</v>
      </c>
      <c r="H20" s="88">
        <f>IF(H$4&lt;=PARAMETER!$X$2,SUMIF('2025'!$E:$E,PerPM!$A19,'2025'!H:H)/PARAMETER!$T$3,"")</f>
        <v>62864.953699999998</v>
      </c>
      <c r="I20" s="88">
        <f>IF(I$4&lt;=PARAMETER!$X$2,SUMIF('2025'!$E:$E,PerPM!$A19,'2025'!I:I)/PARAMETER!$T$3,"")</f>
        <v>4642.1209129999997</v>
      </c>
      <c r="J20" s="88">
        <f>IF(J$4&lt;=PARAMETER!$X$2,SUMIF('2025'!$E:$E,PerPM!$A19,'2025'!J:J)/PARAMETER!$T$3,"")</f>
        <v>3928.0330600000002</v>
      </c>
      <c r="K20" s="88">
        <f>IF(K$4&lt;=PARAMETER!$X$2,SUMIF('2025'!$E:$E,PerPM!$A19,'2025'!K:K)/PARAMETER!$T$3,"")</f>
        <v>3908.0346469999999</v>
      </c>
      <c r="L20" s="88">
        <f>IF(L$4&lt;=PARAMETER!$X$2,SUMIF('2025'!$E:$E,PerPM!$A19,'2025'!L:L)/PARAMETER!$T$3,"")</f>
        <v>4678.4552549999999</v>
      </c>
      <c r="M20" s="88">
        <f>IF(M$4&lt;=PARAMETER!$X$2,SUMIF('2025'!$E:$E,PerPM!$A19,'2025'!M:M)/PARAMETER!$T$3,"")</f>
        <v>4706.7964540000003</v>
      </c>
      <c r="N20" s="88">
        <f>IF(N$4&lt;=PARAMETER!$X$2,SUMIF('2025'!$E:$E,PerPM!$A19,'2025'!N:N)/PARAMETER!$T$3,"")</f>
        <v>4359.852441</v>
      </c>
      <c r="O20" s="88">
        <f>IF(O$4&lt;=PARAMETER!$X$2,SUMIF('2025'!$E:$E,PerPM!$A19,'2025'!O:O)/PARAMETER!$T$3,"")</f>
        <v>4230.5787490000002</v>
      </c>
      <c r="P20" s="88">
        <f>IF(P$4&lt;=PARAMETER!$X$2,SUMIF('2025'!$E:$E,PerPM!$A19,'2025'!P:P)/PARAMETER!$T$3,"")</f>
        <v>7444.4498430000003</v>
      </c>
      <c r="Q20" s="88">
        <f>IF(Q$4&lt;=PARAMETER!$X$2,SUMIF('2025'!$E:$E,PerPM!$A19,'2025'!Q:Q)/PARAMETER!$T$3,"")</f>
        <v>8721.5918660000007</v>
      </c>
      <c r="R20" s="88">
        <f>IF(R$4&lt;=PARAMETER!$X$2,SUMIF('2025'!$E:$E,PerPM!$A19,'2025'!R:R)/PARAMETER!$T$3,"")</f>
        <v>7641.6606499999998</v>
      </c>
      <c r="S20" s="88">
        <f>IF(S$4&lt;=PARAMETER!$X$2,SUMIF('2025'!$E:$E,PerPM!$A19,'2025'!S:S)/PARAMETER!$T$3,"")</f>
        <v>8603.3798220000008</v>
      </c>
      <c r="T20" s="88" t="str">
        <f>IF(T$4&lt;=PARAMETER!$X$2,SUMIF('2025'!$E:$E,PerPM!$A19,'2025'!T:T)/PARAMETER!$T$3,"")</f>
        <v/>
      </c>
      <c r="U20" s="88" t="str">
        <f>IF(U$4&lt;=PARAMETER!$X$2,SUMIF('2025'!$E:$E,PerPM!$A19,'2025'!U:U)/PARAMETER!$T$3,"")</f>
        <v/>
      </c>
      <c r="V20" s="88" t="str">
        <f>IF(V$4&lt;=PARAMETER!$X$2,SUMIF('2025'!$E:$E,PerPM!$A19,'2025'!V:V)/PARAMETER!$T$3,"")</f>
        <v/>
      </c>
      <c r="W20" s="88" t="str">
        <f>IF(W$4&lt;=PARAMETER!$X$2,SUMIF('2025'!$E:$E,PerPM!$A19,'2025'!W:W)/PARAMETER!$T$3,"")</f>
        <v/>
      </c>
      <c r="X20" s="88" t="str">
        <f>IF(X$4&lt;=PARAMETER!$X$2,SUMIF('2025'!$E:$E,PerPM!$A19,'2025'!X:X)/PARAMETER!$T$3,"")</f>
        <v/>
      </c>
      <c r="Y20" s="88" t="str">
        <f>IF(Y$4&lt;=PARAMETER!$X$2,SUMIF('2025'!$E:$E,PerPM!$A19,'2025'!Y:Y)/PARAMETER!$T$3,"")</f>
        <v/>
      </c>
      <c r="Z20" s="88" t="str">
        <f>IF(Z$4&lt;=PARAMETER!$X$2,SUMIF('2025'!$E:$E,PerPM!$A19,'2025'!Z:Z)/PARAMETER!$T$3,"")</f>
        <v/>
      </c>
      <c r="AA20" s="88" t="str">
        <f>IF(AA$4&lt;=PARAMETER!$X$2,SUMIF('2025'!$E:$E,PerPM!$A19,'2025'!AA:AA)/PARAMETER!$T$3,"")</f>
        <v/>
      </c>
      <c r="AB20" s="88" t="str">
        <f>IF(AB$4&lt;=PARAMETER!$X$2,SUMIF('2025'!$E:$E,PerPM!$A19,'2025'!AB:AB)/PARAMETER!$T$3,"")</f>
        <v/>
      </c>
      <c r="AC20" s="88" t="str">
        <f>IF(AC$4&lt;=PARAMETER!$X$2,SUMIF('2025'!$E:$E,PerPM!$A19,'2025'!AC:AC)/PARAMETER!$T$3,"")</f>
        <v/>
      </c>
      <c r="AD20" s="88" t="str">
        <f>IF(AD$4&lt;=PARAMETER!$X$2,SUMIF('2025'!$E:$E,PerPM!$A19,'2025'!AD:AD)/PARAMETER!$T$3,"")</f>
        <v/>
      </c>
      <c r="AE20" s="88" t="str">
        <f>IF(AE$4&lt;=PARAMETER!$X$2,SUMIF('2025'!$E:$E,PerPM!$A19,'2025'!AE:AE)/PARAMETER!$T$3,"")</f>
        <v/>
      </c>
      <c r="AF20" s="88" t="str">
        <f>IF(AF$4&lt;=PARAMETER!$X$2,SUMIF('2025'!$E:$E,PerPM!$A19,'2025'!AF:AF)/PARAMETER!$T$3,"")</f>
        <v/>
      </c>
      <c r="AG20" s="88" t="str">
        <f>IF(AG$4&lt;=PARAMETER!$X$2,SUMIF('2025'!$E:$E,PerPM!$A19,'2025'!AG:AG)/PARAMETER!$T$3,"")</f>
        <v/>
      </c>
      <c r="AH20" s="88" t="str">
        <f>IF(AH$4&lt;=PARAMETER!$X$2,SUMIF('2025'!$E:$E,PerPM!$A19,'2025'!AH:AH)/PARAMETER!$T$3,"")</f>
        <v/>
      </c>
      <c r="AI20" s="88" t="str">
        <f>IF(AI$4&lt;=PARAMETER!$X$2,SUMIF('2025'!$E:$E,PerPM!$A19,'2025'!AI:AI)/PARAMETER!$T$3,"")</f>
        <v/>
      </c>
      <c r="AJ20" s="88" t="str">
        <f>IF(AJ$4&lt;=PARAMETER!$X$2,SUMIF('2025'!$E:$E,PerPM!$A19,'2025'!AJ:AJ)/PARAMETER!$T$3,"")</f>
        <v/>
      </c>
      <c r="AK20" s="88" t="str">
        <f>IF(AK$4&lt;=PARAMETER!$X$2,SUMIF('2025'!$E:$E,PerPM!$A19,'2025'!AK:AK)/PARAMETER!$T$3,"")</f>
        <v/>
      </c>
      <c r="AL20" s="88" t="str">
        <f>IF(AL$4&lt;=PARAMETER!$X$2,SUMIF('2025'!$E:$E,PerPM!$A19,'2025'!AL:AL)/PARAMETER!$T$3,"")</f>
        <v/>
      </c>
      <c r="AM20" s="88" t="str">
        <f>IF(AM$4&lt;=PARAMETER!$X$2,SUMIF('2025'!$E:$E,PerPM!$A19,'2025'!AM:AM)/PARAMETER!$T$3,"")</f>
        <v/>
      </c>
      <c r="AN20" s="88" t="str">
        <f>IF(AN$4&lt;=PARAMETER!$X$2,SUMIF('2025'!$E:$E,PerPM!$A19,'2025'!AN:AN)/PARAMETER!$T$3,"")</f>
        <v/>
      </c>
      <c r="AO20" s="88" t="str">
        <f>IF(AO$4&lt;=PARAMETER!$X$2,SUMIF('2025'!$E:$E,PerPM!$A19,'2025'!AO:AO)/PARAMETER!$T$3,"")</f>
        <v/>
      </c>
      <c r="AP20" s="88" t="str">
        <f>IF(AP$4&lt;=PARAMETER!$X$2,SUMIF('2025'!$E:$E,PerPM!$A19,'2025'!AP:AP)/PARAMETER!$T$3,"")</f>
        <v/>
      </c>
      <c r="AQ20" s="88" t="str">
        <f>IF(AQ$4&lt;=PARAMETER!$X$2,SUMIF('2025'!$E:$E,PerPM!$A19,'2025'!AQ:AQ)/PARAMETER!$T$3,"")</f>
        <v/>
      </c>
      <c r="AR20" s="88" t="str">
        <f>IF(AR$4&lt;=PARAMETER!$X$2,SUMIF('2025'!$E:$E,PerPM!$A19,'2025'!AR:AR)/PARAMETER!$T$3,"")</f>
        <v/>
      </c>
      <c r="AS20" s="88" t="str">
        <f>IF(AS$4&lt;=PARAMETER!$X$2,SUMIF('2025'!$E:$E,PerPM!$A19,'2025'!AS:AS)/PARAMETER!$T$3,"")</f>
        <v/>
      </c>
      <c r="AT20" s="88" t="str">
        <f>IF(AT$4&lt;=PARAMETER!$X$2,SUMIF('2025'!$E:$E,PerPM!$A19,'2025'!AT:AT)/PARAMETER!$T$3,"")</f>
        <v/>
      </c>
      <c r="AU20" s="88" t="str">
        <f>IF(AU$4&lt;=PARAMETER!$X$2,SUMIF('2025'!$E:$E,PerPM!$A19,'2025'!AU:AU)/PARAMETER!$T$3,"")</f>
        <v/>
      </c>
      <c r="AV20" s="88" t="str">
        <f>IF(AV$4&lt;=PARAMETER!$X$2,SUMIF('2025'!$E:$E,PerPM!$A19,'2025'!AV:AV)/PARAMETER!$T$3,"")</f>
        <v/>
      </c>
      <c r="AW20" s="88" t="str">
        <f>IF(AW$4&lt;=PARAMETER!$X$2,SUMIF('2025'!$E:$E,PerPM!$A19,'2025'!AW:AW)/PARAMETER!$T$3,"")</f>
        <v/>
      </c>
      <c r="AX20" s="88" t="str">
        <f>IF(AX$4&lt;=PARAMETER!$X$2,SUMIF('2025'!$E:$E,PerPM!$A19,'2025'!AX:AX)/PARAMETER!$T$3,"")</f>
        <v/>
      </c>
      <c r="AY20" s="88" t="str">
        <f>IF(AY$4&lt;=PARAMETER!$X$2,SUMIF('2025'!$E:$E,PerPM!$A19,'2025'!AY:AY)/PARAMETER!$T$3,"")</f>
        <v/>
      </c>
      <c r="AZ20" s="88" t="str">
        <f>IF(AZ$4&lt;=PARAMETER!$X$2,SUMIF('2025'!$E:$E,PerPM!$A19,'2025'!AZ:AZ)/PARAMETER!$T$3,"")</f>
        <v/>
      </c>
      <c r="BA20" s="88" t="str">
        <f>IF(BA$4&lt;=PARAMETER!$X$2,SUMIF('2025'!$E:$E,PerPM!$A19,'2025'!BA:BA)/PARAMETER!$T$3,"")</f>
        <v/>
      </c>
      <c r="BB20" s="88" t="str">
        <f>IF(BB$4&lt;=PARAMETER!$X$2,SUMIF('2025'!$E:$E,PerPM!$A19,'2025'!BB:BB)/PARAMETER!$T$3,"")</f>
        <v/>
      </c>
      <c r="BC20" s="88" t="str">
        <f>IF(BC$4&lt;=PARAMETER!$X$2,SUMIF('2025'!$E:$E,PerPM!$A19,'2025'!BC:BC)/PARAMETER!$T$3,"")</f>
        <v/>
      </c>
      <c r="BD20" s="88" t="str">
        <f>IF(BD$4&lt;=PARAMETER!$X$2,SUMIF('2025'!$E:$E,PerPM!$A19,'2025'!BD:BD)/PARAMETER!$T$3,"")</f>
        <v/>
      </c>
      <c r="BE20" s="88" t="str">
        <f>IF(BE$4&lt;=PARAMETER!$X$2,SUMIF('2025'!$E:$E,PerPM!$A19,'2025'!BE:BE)/PARAMETER!$T$3,"")</f>
        <v/>
      </c>
      <c r="BF20" s="88" t="str">
        <f>IF(BF$4&lt;=PARAMETER!$X$2,SUMIF('2025'!$E:$E,PerPM!$A19,'2025'!BF:BF)/PARAMETER!$T$3,"")</f>
        <v/>
      </c>
      <c r="BG20" s="88" t="str">
        <f>IF(BG$4&lt;=PARAMETER!$X$2,SUMIF('2025'!$E:$E,PerPM!$A19,'2025'!BG:BG)/PARAMETER!$T$3,"")</f>
        <v/>
      </c>
      <c r="BH20" s="88" t="str">
        <f>IF(BH$4&lt;=PARAMETER!$X$2,SUMIF('2025'!$E:$E,PerPM!$A19,'2025'!BH:BH)/PARAMETER!$T$3,"")</f>
        <v/>
      </c>
      <c r="BI20" s="88" t="str">
        <f>IF(BI$4&lt;=PARAMETER!$X$2,SUMIF('2025'!$E:$E,PerPM!$A19,'2025'!BI:BI)/PARAMETER!$T$3,"")</f>
        <v/>
      </c>
    </row>
    <row r="21" spans="1:61" x14ac:dyDescent="0.25">
      <c r="A21" s="78" t="str">
        <f>CONCATENATE(B21,PARAMETER!T$2)</f>
        <v>NINAVOL</v>
      </c>
      <c r="B21" s="66" t="str">
        <f>B19</f>
        <v>NINA</v>
      </c>
      <c r="C21" s="67"/>
      <c r="D21" s="68"/>
      <c r="E21" s="69"/>
      <c r="F21" s="89">
        <f t="shared" si="12"/>
        <v>2024</v>
      </c>
      <c r="G21" s="90">
        <f>IF(G$4&lt;=PARAMETER!$X$2,SUMIF('2024'!$E:$E,PerPM!$A18,'2024'!G:G)/PARAMETER!$T$3,"")</f>
        <v>177032.756161</v>
      </c>
      <c r="H21" s="90">
        <f>IF(H$4&lt;=PARAMETER!$X$2,SUMIF('2024'!$E:$E,PerPM!$A18,'2024'!H:H)/PARAMETER!$T$3,"")</f>
        <v>30592.909907000001</v>
      </c>
      <c r="I21" s="90">
        <f>IF(I$4&lt;=PARAMETER!$X$2,SUMIF('2024'!$E:$E,PerPM!$A18,'2024'!I:I)/PARAMETER!$T$3,"")</f>
        <v>2420.703681</v>
      </c>
      <c r="J21" s="90">
        <f>IF(J$4&lt;=PARAMETER!$X$2,SUMIF('2024'!$E:$E,PerPM!$A18,'2024'!J:J)/PARAMETER!$T$3,"")</f>
        <v>2254.4403229999998</v>
      </c>
      <c r="K21" s="90">
        <f>IF(K$4&lt;=PARAMETER!$X$2,SUMIF('2024'!$E:$E,PerPM!$A18,'2024'!K:K)/PARAMETER!$T$3,"")</f>
        <v>2354.4549870000001</v>
      </c>
      <c r="L21" s="90">
        <f>IF(L$4&lt;=PARAMETER!$X$2,SUMIF('2024'!$E:$E,PerPM!$A18,'2024'!L:L)/PARAMETER!$T$3,"")</f>
        <v>2791.1607159999999</v>
      </c>
      <c r="M21" s="90">
        <f>IF(M$4&lt;=PARAMETER!$X$2,SUMIF('2024'!$E:$E,PerPM!$A18,'2024'!M:M)/PARAMETER!$T$3,"")</f>
        <v>2779.7873049999998</v>
      </c>
      <c r="N21" s="90">
        <f>IF(N$4&lt;=PARAMETER!$X$2,SUMIF('2024'!$E:$E,PerPM!$A18,'2024'!N:N)/PARAMETER!$T$3,"")</f>
        <v>2816.4689760000001</v>
      </c>
      <c r="O21" s="90">
        <f>IF(O$4&lt;=PARAMETER!$X$2,SUMIF('2024'!$E:$E,PerPM!$A18,'2024'!O:O)/PARAMETER!$T$3,"")</f>
        <v>2646.8318330000002</v>
      </c>
      <c r="P21" s="90">
        <f>IF(P$4&lt;=PARAMETER!$X$2,SUMIF('2024'!$E:$E,PerPM!$A18,'2024'!P:P)/PARAMETER!$T$3,"")</f>
        <v>2772.4104309999998</v>
      </c>
      <c r="Q21" s="90">
        <f>IF(Q$4&lt;=PARAMETER!$X$2,SUMIF('2024'!$E:$E,PerPM!$A18,'2024'!Q:Q)/PARAMETER!$T$3,"")</f>
        <v>3243.874969</v>
      </c>
      <c r="R21" s="90">
        <f>IF(R$4&lt;=PARAMETER!$X$2,SUMIF('2024'!$E:$E,PerPM!$A18,'2024'!R:R)/PARAMETER!$T$3,"")</f>
        <v>3308.829941</v>
      </c>
      <c r="S21" s="90">
        <f>IF(S$4&lt;=PARAMETER!$X$2,SUMIF('2024'!$E:$E,PerPM!$A18,'2024'!S:S)/PARAMETER!$T$3,"")</f>
        <v>3203.9467450000002</v>
      </c>
      <c r="T21" s="90" t="str">
        <f>IF(T$4&lt;=PARAMETER!$X$2,SUMIF('2024'!$E:$E,PerPM!$A18,'2024'!T:T)/PARAMETER!$T$3,"")</f>
        <v/>
      </c>
      <c r="U21" s="90" t="str">
        <f>IF(U$4&lt;=PARAMETER!$X$2,SUMIF('2024'!$E:$E,PerPM!$A18,'2024'!U:U)/PARAMETER!$T$3,"")</f>
        <v/>
      </c>
      <c r="V21" s="90" t="str">
        <f>IF(V$4&lt;=PARAMETER!$X$2,SUMIF('2024'!$E:$E,PerPM!$A18,'2024'!V:V)/PARAMETER!$T$3,"")</f>
        <v/>
      </c>
      <c r="W21" s="90" t="str">
        <f>IF(W$4&lt;=PARAMETER!$X$2,SUMIF('2024'!$E:$E,PerPM!$A18,'2024'!W:W)/PARAMETER!$T$3,"")</f>
        <v/>
      </c>
      <c r="X21" s="90" t="str">
        <f>IF(X$4&lt;=PARAMETER!$X$2,SUMIF('2024'!$E:$E,PerPM!$A18,'2024'!X:X)/PARAMETER!$T$3,"")</f>
        <v/>
      </c>
      <c r="Y21" s="90" t="str">
        <f>IF(Y$4&lt;=PARAMETER!$X$2,SUMIF('2024'!$E:$E,PerPM!$A18,'2024'!Y:Y)/PARAMETER!$T$3,"")</f>
        <v/>
      </c>
      <c r="Z21" s="90" t="str">
        <f>IF(Z$4&lt;=PARAMETER!$X$2,SUMIF('2024'!$E:$E,PerPM!$A18,'2024'!Z:Z)/PARAMETER!$T$3,"")</f>
        <v/>
      </c>
      <c r="AA21" s="90" t="str">
        <f>IF(AA$4&lt;=PARAMETER!$X$2,SUMIF('2024'!$E:$E,PerPM!$A18,'2024'!AA:AA)/PARAMETER!$T$3,"")</f>
        <v/>
      </c>
      <c r="AB21" s="90" t="str">
        <f>IF(AB$4&lt;=PARAMETER!$X$2,SUMIF('2024'!$E:$E,PerPM!$A18,'2024'!AB:AB)/PARAMETER!$T$3,"")</f>
        <v/>
      </c>
      <c r="AC21" s="90" t="str">
        <f>IF(AC$4&lt;=PARAMETER!$X$2,SUMIF('2024'!$E:$E,PerPM!$A18,'2024'!AC:AC)/PARAMETER!$T$3,"")</f>
        <v/>
      </c>
      <c r="AD21" s="90" t="str">
        <f>IF(AD$4&lt;=PARAMETER!$X$2,SUMIF('2024'!$E:$E,PerPM!$A18,'2024'!AD:AD)/PARAMETER!$T$3,"")</f>
        <v/>
      </c>
      <c r="AE21" s="90" t="str">
        <f>IF(AE$4&lt;=PARAMETER!$X$2,SUMIF('2024'!$E:$E,PerPM!$A18,'2024'!AE:AE)/PARAMETER!$T$3,"")</f>
        <v/>
      </c>
      <c r="AF21" s="90" t="str">
        <f>IF(AF$4&lt;=PARAMETER!$X$2,SUMIF('2024'!$E:$E,PerPM!$A18,'2024'!AF:AF)/PARAMETER!$T$3,"")</f>
        <v/>
      </c>
      <c r="AG21" s="90" t="str">
        <f>IF(AG$4&lt;=PARAMETER!$X$2,SUMIF('2024'!$E:$E,PerPM!$A18,'2024'!AG:AG)/PARAMETER!$T$3,"")</f>
        <v/>
      </c>
      <c r="AH21" s="90" t="str">
        <f>IF(AH$4&lt;=PARAMETER!$X$2,SUMIF('2024'!$E:$E,PerPM!$A18,'2024'!AH:AH)/PARAMETER!$T$3,"")</f>
        <v/>
      </c>
      <c r="AI21" s="90" t="str">
        <f>IF(AI$4&lt;=PARAMETER!$X$2,SUMIF('2024'!$E:$E,PerPM!$A18,'2024'!AI:AI)/PARAMETER!$T$3,"")</f>
        <v/>
      </c>
      <c r="AJ21" s="90" t="str">
        <f>IF(AJ$4&lt;=PARAMETER!$X$2,SUMIF('2024'!$E:$E,PerPM!$A18,'2024'!AJ:AJ)/PARAMETER!$T$3,"")</f>
        <v/>
      </c>
      <c r="AK21" s="90" t="str">
        <f>IF(AK$4&lt;=PARAMETER!$X$2,SUMIF('2024'!$E:$E,PerPM!$A18,'2024'!AK:AK)/PARAMETER!$T$3,"")</f>
        <v/>
      </c>
      <c r="AL21" s="90" t="str">
        <f>IF(AL$4&lt;=PARAMETER!$X$2,SUMIF('2024'!$E:$E,PerPM!$A18,'2024'!AL:AL)/PARAMETER!$T$3,"")</f>
        <v/>
      </c>
      <c r="AM21" s="90" t="str">
        <f>IF(AM$4&lt;=PARAMETER!$X$2,SUMIF('2024'!$E:$E,PerPM!$A18,'2024'!AM:AM)/PARAMETER!$T$3,"")</f>
        <v/>
      </c>
      <c r="AN21" s="90" t="str">
        <f>IF(AN$4&lt;=PARAMETER!$X$2,SUMIF('2024'!$E:$E,PerPM!$A18,'2024'!AN:AN)/PARAMETER!$T$3,"")</f>
        <v/>
      </c>
      <c r="AO21" s="90" t="str">
        <f>IF(AO$4&lt;=PARAMETER!$X$2,SUMIF('2024'!$E:$E,PerPM!$A18,'2024'!AO:AO)/PARAMETER!$T$3,"")</f>
        <v/>
      </c>
      <c r="AP21" s="90" t="str">
        <f>IF(AP$4&lt;=PARAMETER!$X$2,SUMIF('2024'!$E:$E,PerPM!$A18,'2024'!AP:AP)/PARAMETER!$T$3,"")</f>
        <v/>
      </c>
      <c r="AQ21" s="90" t="str">
        <f>IF(AQ$4&lt;=PARAMETER!$X$2,SUMIF('2024'!$E:$E,PerPM!$A18,'2024'!AQ:AQ)/PARAMETER!$T$3,"")</f>
        <v/>
      </c>
      <c r="AR21" s="90" t="str">
        <f>IF(AR$4&lt;=PARAMETER!$X$2,SUMIF('2024'!$E:$E,PerPM!$A18,'2024'!AR:AR)/PARAMETER!$T$3,"")</f>
        <v/>
      </c>
      <c r="AS21" s="90" t="str">
        <f>IF(AS$4&lt;=PARAMETER!$X$2,SUMIF('2024'!$E:$E,PerPM!$A18,'2024'!AS:AS)/PARAMETER!$T$3,"")</f>
        <v/>
      </c>
      <c r="AT21" s="90" t="str">
        <f>IF(AT$4&lt;=PARAMETER!$X$2,SUMIF('2024'!$E:$E,PerPM!$A18,'2024'!AT:AT)/PARAMETER!$T$3,"")</f>
        <v/>
      </c>
      <c r="AU21" s="90" t="str">
        <f>IF(AU$4&lt;=PARAMETER!$X$2,SUMIF('2024'!$E:$E,PerPM!$A18,'2024'!AU:AU)/PARAMETER!$T$3,"")</f>
        <v/>
      </c>
      <c r="AV21" s="90" t="str">
        <f>IF(AV$4&lt;=PARAMETER!$X$2,SUMIF('2024'!$E:$E,PerPM!$A18,'2024'!AV:AV)/PARAMETER!$T$3,"")</f>
        <v/>
      </c>
      <c r="AW21" s="90" t="str">
        <f>IF(AW$4&lt;=PARAMETER!$X$2,SUMIF('2024'!$E:$E,PerPM!$A18,'2024'!AW:AW)/PARAMETER!$T$3,"")</f>
        <v/>
      </c>
      <c r="AX21" s="90" t="str">
        <f>IF(AX$4&lt;=PARAMETER!$X$2,SUMIF('2024'!$E:$E,PerPM!$A18,'2024'!AX:AX)/PARAMETER!$T$3,"")</f>
        <v/>
      </c>
      <c r="AY21" s="90" t="str">
        <f>IF(AY$4&lt;=PARAMETER!$X$2,SUMIF('2024'!$E:$E,PerPM!$A18,'2024'!AY:AY)/PARAMETER!$T$3,"")</f>
        <v/>
      </c>
      <c r="AZ21" s="90" t="str">
        <f>IF(AZ$4&lt;=PARAMETER!$X$2,SUMIF('2024'!$E:$E,PerPM!$A18,'2024'!AZ:AZ)/PARAMETER!$T$3,"")</f>
        <v/>
      </c>
      <c r="BA21" s="90" t="str">
        <f>IF(BA$4&lt;=PARAMETER!$X$2,SUMIF('2024'!$E:$E,PerPM!$A18,'2024'!BA:BA)/PARAMETER!$T$3,"")</f>
        <v/>
      </c>
      <c r="BB21" s="90" t="str">
        <f>IF(BB$4&lt;=PARAMETER!$X$2,SUMIF('2024'!$E:$E,PerPM!$A18,'2024'!BB:BB)/PARAMETER!$T$3,"")</f>
        <v/>
      </c>
      <c r="BC21" s="90" t="str">
        <f>IF(BC$4&lt;=PARAMETER!$X$2,SUMIF('2024'!$E:$E,PerPM!$A18,'2024'!BC:BC)/PARAMETER!$T$3,"")</f>
        <v/>
      </c>
      <c r="BD21" s="90" t="str">
        <f>IF(BD$4&lt;=PARAMETER!$X$2,SUMIF('2024'!$E:$E,PerPM!$A18,'2024'!BD:BD)/PARAMETER!$T$3,"")</f>
        <v/>
      </c>
      <c r="BE21" s="90" t="str">
        <f>IF(BE$4&lt;=PARAMETER!$X$2,SUMIF('2024'!$E:$E,PerPM!$A18,'2024'!BE:BE)/PARAMETER!$T$3,"")</f>
        <v/>
      </c>
      <c r="BF21" s="90" t="str">
        <f>IF(BF$4&lt;=PARAMETER!$X$2,SUMIF('2024'!$E:$E,PerPM!$A18,'2024'!BF:BF)/PARAMETER!$T$3,"")</f>
        <v/>
      </c>
      <c r="BG21" s="90" t="str">
        <f>IF(BG$4&lt;=PARAMETER!$X$2,SUMIF('2024'!$E:$E,PerPM!$A18,'2024'!BG:BG)/PARAMETER!$T$3,"")</f>
        <v/>
      </c>
      <c r="BH21" s="90" t="str">
        <f>IF(BH$4&lt;=PARAMETER!$X$2,SUMIF('2024'!$E:$E,PerPM!$A18,'2024'!BH:BH)/PARAMETER!$T$3,"")</f>
        <v/>
      </c>
      <c r="BI21" s="90" t="str">
        <f>IF(BI$4&lt;=PARAMETER!$X$2,SUMIF('2024'!$E:$E,PerPM!$A18,'2024'!BI:BI)/PARAMETER!$T$3,"")</f>
        <v/>
      </c>
    </row>
    <row r="22" spans="1:61" x14ac:dyDescent="0.25">
      <c r="A22" s="78" t="str">
        <f>CONCATENATE(B22,PARAMETER!T$2)</f>
        <v>RIFALDIVOL</v>
      </c>
      <c r="B22" s="72" t="str">
        <f>PARAMETER!H4</f>
        <v>RIFALDI</v>
      </c>
      <c r="C22" s="73" t="s">
        <v>127</v>
      </c>
      <c r="D22" s="74">
        <f>H23/H22</f>
        <v>2.2126496006373704</v>
      </c>
      <c r="E22" s="31">
        <f>IF(D22&gt;300%,300%,D22)</f>
        <v>2.2126496006373704</v>
      </c>
      <c r="F22" s="75" t="str">
        <f t="shared" si="12"/>
        <v>Target</v>
      </c>
      <c r="G22" s="76">
        <f>SUMIF('2026 T'!$E:$E,PerPM!$A22,'2026 T'!G:G)/PARAMETER!$T$3</f>
        <v>487510</v>
      </c>
      <c r="H22" s="76">
        <f>SUMIF('2026 T'!$E:$E,PerPM!$A22,'2026 T'!H:H)/PARAMETER!$T$3</f>
        <v>20579.602012394174</v>
      </c>
      <c r="I22" s="76">
        <f>IF(I$4&lt;=PARAMETER!$X$2,SUMIF('2026 T'!$E:$E,PerPM!$A22,'2026 T'!I:I)/PARAMETER!$T$3,"")</f>
        <v>2497.0900683605637</v>
      </c>
      <c r="J22" s="76">
        <f>IF(J$4&lt;=PARAMETER!$X$2,SUMIF('2026 T'!$E:$E,PerPM!$A22,'2026 T'!J:J)/PARAMETER!$T$3,"")</f>
        <v>2469.6750607294603</v>
      </c>
      <c r="K22" s="76">
        <f>IF(K$4&lt;=PARAMETER!$X$2,SUMIF('2026 T'!$E:$E,PerPM!$A22,'2026 T'!K:K)/PARAMETER!$T$3,"")</f>
        <v>2176.6466080142172</v>
      </c>
      <c r="L22" s="76">
        <f>IF(L$4&lt;=PARAMETER!$X$2,SUMIF('2026 T'!$E:$E,PerPM!$A22,'2026 T'!L:L)/PARAMETER!$T$3,"")</f>
        <v>2675.7300924599081</v>
      </c>
      <c r="M22" s="76">
        <f>IF(M$4&lt;=PARAMETER!$X$2,SUMIF('2026 T'!$E:$E,PerPM!$A22,'2026 T'!M:M)/PARAMETER!$T$3,"")</f>
        <v>2552.8935361695358</v>
      </c>
      <c r="N22" s="76">
        <f>IF(N$4&lt;=PARAMETER!$X$2,SUMIF('2026 T'!$E:$E,PerPM!$A22,'2026 T'!N:N)/PARAMETER!$T$3,"")</f>
        <v>2146.5567301642718</v>
      </c>
      <c r="O22" s="76">
        <f>IF(O$4&lt;=PARAMETER!$X$2,SUMIF('2026 T'!$E:$E,PerPM!$A22,'2026 T'!O:O)/PARAMETER!$T$3,"")</f>
        <v>1851.1159898918645</v>
      </c>
      <c r="P22" s="76">
        <f>IF(P$4&lt;=PARAMETER!$X$2,SUMIF('2026 T'!$E:$E,PerPM!$A22,'2026 T'!P:P)/PARAMETER!$T$3,"")</f>
        <v>1510.1886408441392</v>
      </c>
      <c r="Q22" s="76">
        <f>IF(Q$4&lt;=PARAMETER!$X$2,SUMIF('2026 T'!$E:$E,PerPM!$A22,'2026 T'!Q:Q)/PARAMETER!$T$3,"")</f>
        <v>2699.7052857602166</v>
      </c>
      <c r="R22" s="76">
        <f>IF(R$4&lt;=PARAMETER!$X$2,SUMIF('2026 T'!$E:$E,PerPM!$A22,'2026 T'!R:R)/PARAMETER!$T$3,"")</f>
        <v>3345.0626990342034</v>
      </c>
      <c r="S22" s="76">
        <f>IF(S$4&lt;=PARAMETER!$X$2,SUMIF('2026 T'!$E:$E,PerPM!$A22,'2026 T'!S:S)/PARAMETER!$T$3,"")</f>
        <v>4205.4533404124804</v>
      </c>
      <c r="T22" s="76" t="str">
        <f>IF(T$4&lt;=PARAMETER!$X$2,SUMIF('2026 T'!$E:$E,PerPM!$A22,'2026 T'!T:T)/PARAMETER!$T$3,"")</f>
        <v/>
      </c>
      <c r="U22" s="76" t="str">
        <f>IF(U$4&lt;=PARAMETER!$X$2,SUMIF('2026 T'!$E:$E,PerPM!$A22,'2026 T'!U:U)/PARAMETER!$T$3,"")</f>
        <v/>
      </c>
      <c r="V22" s="76" t="str">
        <f>IF(V$4&lt;=PARAMETER!$X$2,SUMIF('2026 T'!$E:$E,PerPM!$A22,'2026 T'!V:V)/PARAMETER!$T$3,"")</f>
        <v/>
      </c>
      <c r="W22" s="76" t="str">
        <f>IF(W$4&lt;=PARAMETER!$X$2,SUMIF('2026 T'!$E:$E,PerPM!$A22,'2026 T'!W:W)/PARAMETER!$T$3,"")</f>
        <v/>
      </c>
      <c r="X22" s="76" t="str">
        <f>IF(X$4&lt;=PARAMETER!$X$2,SUMIF('2026 T'!$E:$E,PerPM!$A22,'2026 T'!X:X)/PARAMETER!$T$3,"")</f>
        <v/>
      </c>
      <c r="Y22" s="76" t="str">
        <f>IF(Y$4&lt;=PARAMETER!$X$2,SUMIF('2026 T'!$E:$E,PerPM!$A22,'2026 T'!Y:Y)/PARAMETER!$T$3,"")</f>
        <v/>
      </c>
      <c r="Z22" s="76" t="str">
        <f>IF(Z$4&lt;=PARAMETER!$X$2,SUMIF('2026 T'!$E:$E,PerPM!$A22,'2026 T'!Z:Z)/PARAMETER!$T$3,"")</f>
        <v/>
      </c>
      <c r="AA22" s="76" t="str">
        <f>IF(AA$4&lt;=PARAMETER!$X$2,SUMIF('2026 T'!$E:$E,PerPM!$A22,'2026 T'!AA:AA)/PARAMETER!$T$3,"")</f>
        <v/>
      </c>
      <c r="AB22" s="76" t="str">
        <f>IF(AB$4&lt;=PARAMETER!$X$2,SUMIF('2026 T'!$E:$E,PerPM!$A22,'2026 T'!AB:AB)/PARAMETER!$T$3,"")</f>
        <v/>
      </c>
      <c r="AC22" s="76" t="str">
        <f>IF(AC$4&lt;=PARAMETER!$X$2,SUMIF('2026 T'!$E:$E,PerPM!$A22,'2026 T'!AC:AC)/PARAMETER!$T$3,"")</f>
        <v/>
      </c>
      <c r="AD22" s="76" t="str">
        <f>IF(AD$4&lt;=PARAMETER!$X$2,SUMIF('2026 T'!$E:$E,PerPM!$A22,'2026 T'!AD:AD)/PARAMETER!$T$3,"")</f>
        <v/>
      </c>
      <c r="AE22" s="76" t="str">
        <f>IF(AE$4&lt;=PARAMETER!$X$2,SUMIF('2026 T'!$E:$E,PerPM!$A22,'2026 T'!AE:AE)/PARAMETER!$T$3,"")</f>
        <v/>
      </c>
      <c r="AF22" s="76" t="str">
        <f>IF(AF$4&lt;=PARAMETER!$X$2,SUMIF('2026 T'!$E:$E,PerPM!$A22,'2026 T'!AF:AF)/PARAMETER!$T$3,"")</f>
        <v/>
      </c>
      <c r="AG22" s="76" t="str">
        <f>IF(AG$4&lt;=PARAMETER!$X$2,SUMIF('2026 T'!$E:$E,PerPM!$A22,'2026 T'!AG:AG)/PARAMETER!$T$3,"")</f>
        <v/>
      </c>
      <c r="AH22" s="76" t="str">
        <f>IF(AH$4&lt;=PARAMETER!$X$2,SUMIF('2026 T'!$E:$E,PerPM!$A22,'2026 T'!AH:AH)/PARAMETER!$T$3,"")</f>
        <v/>
      </c>
      <c r="AI22" s="76" t="str">
        <f>IF(AI$4&lt;=PARAMETER!$X$2,SUMIF('2026 T'!$E:$E,PerPM!$A22,'2026 T'!AI:AI)/PARAMETER!$T$3,"")</f>
        <v/>
      </c>
      <c r="AJ22" s="76" t="str">
        <f>IF(AJ$4&lt;=PARAMETER!$X$2,SUMIF('2026 T'!$E:$E,PerPM!$A22,'2026 T'!AJ:AJ)/PARAMETER!$T$3,"")</f>
        <v/>
      </c>
      <c r="AK22" s="76" t="str">
        <f>IF(AK$4&lt;=PARAMETER!$X$2,SUMIF('2026 T'!$E:$E,PerPM!$A22,'2026 T'!AK:AK)/PARAMETER!$T$3,"")</f>
        <v/>
      </c>
      <c r="AL22" s="76" t="str">
        <f>IF(AL$4&lt;=PARAMETER!$X$2,SUMIF('2026 T'!$E:$E,PerPM!$A22,'2026 T'!AL:AL)/PARAMETER!$T$3,"")</f>
        <v/>
      </c>
      <c r="AM22" s="76" t="str">
        <f>IF(AM$4&lt;=PARAMETER!$X$2,SUMIF('2026 T'!$E:$E,PerPM!$A22,'2026 T'!AM:AM)/PARAMETER!$T$3,"")</f>
        <v/>
      </c>
      <c r="AN22" s="76" t="str">
        <f>IF(AN$4&lt;=PARAMETER!$X$2,SUMIF('2026 T'!$E:$E,PerPM!$A22,'2026 T'!AN:AN)/PARAMETER!$T$3,"")</f>
        <v/>
      </c>
      <c r="AO22" s="76" t="str">
        <f>IF(AO$4&lt;=PARAMETER!$X$2,SUMIF('2026 T'!$E:$E,PerPM!$A22,'2026 T'!AO:AO)/PARAMETER!$T$3,"")</f>
        <v/>
      </c>
      <c r="AP22" s="76" t="str">
        <f>IF(AP$4&lt;=PARAMETER!$X$2,SUMIF('2026 T'!$E:$E,PerPM!$A22,'2026 T'!AP:AP)/PARAMETER!$T$3,"")</f>
        <v/>
      </c>
      <c r="AQ22" s="76" t="str">
        <f>IF(AQ$4&lt;=PARAMETER!$X$2,SUMIF('2026 T'!$E:$E,PerPM!$A22,'2026 T'!AQ:AQ)/PARAMETER!$T$3,"")</f>
        <v/>
      </c>
      <c r="AR22" s="76" t="str">
        <f>IF(AR$4&lt;=PARAMETER!$X$2,SUMIF('2026 T'!$E:$E,PerPM!$A22,'2026 T'!AR:AR)/PARAMETER!$T$3,"")</f>
        <v/>
      </c>
      <c r="AS22" s="76" t="str">
        <f>IF(AS$4&lt;=PARAMETER!$X$2,SUMIF('2026 T'!$E:$E,PerPM!$A22,'2026 T'!AS:AS)/PARAMETER!$T$3,"")</f>
        <v/>
      </c>
      <c r="AT22" s="76" t="str">
        <f>IF(AT$4&lt;=PARAMETER!$X$2,SUMIF('2026 T'!$E:$E,PerPM!$A22,'2026 T'!AT:AT)/PARAMETER!$T$3,"")</f>
        <v/>
      </c>
      <c r="AU22" s="76" t="str">
        <f>IF(AU$4&lt;=PARAMETER!$X$2,SUMIF('2026 T'!$E:$E,PerPM!$A22,'2026 T'!AU:AU)/PARAMETER!$T$3,"")</f>
        <v/>
      </c>
      <c r="AV22" s="76" t="str">
        <f>IF(AV$4&lt;=PARAMETER!$X$2,SUMIF('2026 T'!$E:$E,PerPM!$A22,'2026 T'!AV:AV)/PARAMETER!$T$3,"")</f>
        <v/>
      </c>
      <c r="AW22" s="76" t="str">
        <f>IF(AW$4&lt;=PARAMETER!$X$2,SUMIF('2026 T'!$E:$E,PerPM!$A22,'2026 T'!AW:AW)/PARAMETER!$T$3,"")</f>
        <v/>
      </c>
      <c r="AX22" s="76" t="str">
        <f>IF(AX$4&lt;=PARAMETER!$X$2,SUMIF('2026 T'!$E:$E,PerPM!$A22,'2026 T'!AX:AX)/PARAMETER!$T$3,"")</f>
        <v/>
      </c>
      <c r="AY22" s="76" t="str">
        <f>IF(AY$4&lt;=PARAMETER!$X$2,SUMIF('2026 T'!$E:$E,PerPM!$A22,'2026 T'!AY:AY)/PARAMETER!$T$3,"")</f>
        <v/>
      </c>
      <c r="AZ22" s="76" t="str">
        <f>IF(AZ$4&lt;=PARAMETER!$X$2,SUMIF('2026 T'!$E:$E,PerPM!$A22,'2026 T'!AZ:AZ)/PARAMETER!$T$3,"")</f>
        <v/>
      </c>
      <c r="BA22" s="76" t="str">
        <f>IF(BA$4&lt;=PARAMETER!$X$2,SUMIF('2026 T'!$E:$E,PerPM!$A22,'2026 T'!BA:BA)/PARAMETER!$T$3,"")</f>
        <v/>
      </c>
      <c r="BB22" s="76" t="str">
        <f>IF(BB$4&lt;=PARAMETER!$X$2,SUMIF('2026 T'!$E:$E,PerPM!$A22,'2026 T'!BB:BB)/PARAMETER!$T$3,"")</f>
        <v/>
      </c>
      <c r="BC22" s="76" t="str">
        <f>IF(BC$4&lt;=PARAMETER!$X$2,SUMIF('2026 T'!$E:$E,PerPM!$A22,'2026 T'!BC:BC)/PARAMETER!$T$3,"")</f>
        <v/>
      </c>
      <c r="BD22" s="76" t="str">
        <f>IF(BD$4&lt;=PARAMETER!$X$2,SUMIF('2026 T'!$E:$E,PerPM!$A22,'2026 T'!BD:BD)/PARAMETER!$T$3,"")</f>
        <v/>
      </c>
      <c r="BE22" s="76" t="str">
        <f>IF(BE$4&lt;=PARAMETER!$X$2,SUMIF('2026 T'!$E:$E,PerPM!$A22,'2026 T'!BE:BE)/PARAMETER!$T$3,"")</f>
        <v/>
      </c>
      <c r="BF22" s="76" t="str">
        <f>IF(BF$4&lt;=PARAMETER!$X$2,SUMIF('2026 T'!$E:$E,PerPM!$A22,'2026 T'!BF:BF)/PARAMETER!$T$3,"")</f>
        <v/>
      </c>
      <c r="BG22" s="76" t="str">
        <f>IF(BG$4&lt;=PARAMETER!$X$2,SUMIF('2026 T'!$E:$E,PerPM!$A22,'2026 T'!BG:BG)/PARAMETER!$T$3,"")</f>
        <v/>
      </c>
      <c r="BH22" s="76" t="str">
        <f>IF(BH$4&lt;=PARAMETER!$X$2,SUMIF('2026 T'!$E:$E,PerPM!$A22,'2026 T'!BH:BH)/PARAMETER!$T$3,"")</f>
        <v/>
      </c>
      <c r="BI22" s="76" t="str">
        <f>IF(BI$4&lt;=PARAMETER!$X$2,SUMIF('2026 T'!$E:$E,PerPM!$A22,'2026 T'!BI:BI)/PARAMETER!$T$3,"")</f>
        <v/>
      </c>
    </row>
    <row r="23" spans="1:61" x14ac:dyDescent="0.25">
      <c r="A23" s="78" t="str">
        <f>CONCATENATE(B23,PARAMETER!T$2)</f>
        <v>RIFALDIVOL</v>
      </c>
      <c r="B23" s="26" t="str">
        <f>B22</f>
        <v>RIFALDI</v>
      </c>
      <c r="C23" s="27" t="s">
        <v>128</v>
      </c>
      <c r="D23" s="35">
        <f>H23/H24-1</f>
        <v>1.7692367390617498</v>
      </c>
      <c r="E23" s="28">
        <f>IF(D23&gt;300%,300%,D23)</f>
        <v>1.7692367390617498</v>
      </c>
      <c r="F23" s="39">
        <f t="shared" si="12"/>
        <v>2026</v>
      </c>
      <c r="G23" s="40">
        <f>IF(G$4&lt;=PARAMETER!$X$2,SUMIF('2026'!$E:$E,PerPM!$A22,'2026'!G:G)/PARAMETER!$T$3,"")</f>
        <v>45535.448173999997</v>
      </c>
      <c r="H23" s="40">
        <f>IF(H$4&lt;=PARAMETER!$X$2,SUMIF('2026'!$E:$E,PerPM!$A22,'2026'!H:H)/PARAMETER!$T$3,"")</f>
        <v>45535.448173999997</v>
      </c>
      <c r="I23" s="40">
        <f>IF(I$4&lt;=PARAMETER!$X$2,SUMIF('2026'!$E:$E,PerPM!$A22,'2026'!I:I)/PARAMETER!$T$3,"")</f>
        <v>2652.2434659999999</v>
      </c>
      <c r="J23" s="40">
        <f>IF(J$4&lt;=PARAMETER!$X$2,SUMIF('2026'!$E:$E,PerPM!$A22,'2026'!J:J)/PARAMETER!$T$3,"")</f>
        <v>2736.2058579999998</v>
      </c>
      <c r="K23" s="40">
        <f>IF(K$4&lt;=PARAMETER!$X$2,SUMIF('2026'!$E:$E,PerPM!$A22,'2026'!K:K)/PARAMETER!$T$3,"")</f>
        <v>3034.7458459999998</v>
      </c>
      <c r="L23" s="40">
        <f>IF(L$4&lt;=PARAMETER!$X$2,SUMIF('2026'!$E:$E,PerPM!$A22,'2026'!L:L)/PARAMETER!$T$3,"")</f>
        <v>2892.950871</v>
      </c>
      <c r="M23" s="40">
        <f>IF(M$4&lt;=PARAMETER!$X$2,SUMIF('2026'!$E:$E,PerPM!$A22,'2026'!M:M)/PARAMETER!$T$3,"")</f>
        <v>5383.7509680000003</v>
      </c>
      <c r="N23" s="40">
        <f>IF(N$4&lt;=PARAMETER!$X$2,SUMIF('2026'!$E:$E,PerPM!$A22,'2026'!N:N)/PARAMETER!$T$3,"")</f>
        <v>5911.1366330000001</v>
      </c>
      <c r="O23" s="40">
        <f>IF(O$4&lt;=PARAMETER!$X$2,SUMIF('2026'!$E:$E,PerPM!$A22,'2026'!O:O)/PARAMETER!$T$3,"")</f>
        <v>7149.5190060000004</v>
      </c>
      <c r="P23" s="40">
        <f>IF(P$4&lt;=PARAMETER!$X$2,SUMIF('2026'!$E:$E,PerPM!$A22,'2026'!P:P)/PARAMETER!$T$3,"")</f>
        <v>7515.6705119999997</v>
      </c>
      <c r="Q23" s="40">
        <f>IF(Q$4&lt;=PARAMETER!$X$2,SUMIF('2026'!$E:$E,PerPM!$A22,'2026'!Q:Q)/PARAMETER!$T$3,"")</f>
        <v>4095.0029260000001</v>
      </c>
      <c r="R23" s="40">
        <f>IF(R$4&lt;=PARAMETER!$X$2,SUMIF('2026'!$E:$E,PerPM!$A22,'2026'!R:R)/PARAMETER!$T$3,"")</f>
        <v>2120.0907480000001</v>
      </c>
      <c r="S23" s="40">
        <f>IF(S$4&lt;=PARAMETER!$X$2,SUMIF('2026'!$E:$E,PerPM!$A22,'2026'!S:S)/PARAMETER!$T$3,"")</f>
        <v>2044.1313399999999</v>
      </c>
      <c r="T23" s="40" t="str">
        <f>IF(T$4&lt;=PARAMETER!$X$2,SUMIF('2026'!$E:$E,PerPM!$A22,'2026'!T:T)/PARAMETER!$T$3,"")</f>
        <v/>
      </c>
      <c r="U23" s="40" t="str">
        <f>IF(U$4&lt;=PARAMETER!$X$2,SUMIF('2026'!$E:$E,PerPM!$A22,'2026'!U:U)/PARAMETER!$T$3,"")</f>
        <v/>
      </c>
      <c r="V23" s="40" t="str">
        <f>IF(V$4&lt;=PARAMETER!$X$2,SUMIF('2026'!$E:$E,PerPM!$A22,'2026'!V:V)/PARAMETER!$T$3,"")</f>
        <v/>
      </c>
      <c r="W23" s="40" t="str">
        <f>IF(W$4&lt;=PARAMETER!$X$2,SUMIF('2026'!$E:$E,PerPM!$A22,'2026'!W:W)/PARAMETER!$T$3,"")</f>
        <v/>
      </c>
      <c r="X23" s="40" t="str">
        <f>IF(X$4&lt;=PARAMETER!$X$2,SUMIF('2026'!$E:$E,PerPM!$A22,'2026'!X:X)/PARAMETER!$T$3,"")</f>
        <v/>
      </c>
      <c r="Y23" s="40" t="str">
        <f>IF(Y$4&lt;=PARAMETER!$X$2,SUMIF('2026'!$E:$E,PerPM!$A22,'2026'!Y:Y)/PARAMETER!$T$3,"")</f>
        <v/>
      </c>
      <c r="Z23" s="40" t="str">
        <f>IF(Z$4&lt;=PARAMETER!$X$2,SUMIF('2026'!$E:$E,PerPM!$A22,'2026'!Z:Z)/PARAMETER!$T$3,"")</f>
        <v/>
      </c>
      <c r="AA23" s="40" t="str">
        <f>IF(AA$4&lt;=PARAMETER!$X$2,SUMIF('2026'!$E:$E,PerPM!$A22,'2026'!AA:AA)/PARAMETER!$T$3,"")</f>
        <v/>
      </c>
      <c r="AB23" s="40" t="str">
        <f>IF(AB$4&lt;=PARAMETER!$X$2,SUMIF('2026'!$E:$E,PerPM!$A22,'2026'!AB:AB)/PARAMETER!$T$3,"")</f>
        <v/>
      </c>
      <c r="AC23" s="40" t="str">
        <f>IF(AC$4&lt;=PARAMETER!$X$2,SUMIF('2026'!$E:$E,PerPM!$A22,'2026'!AC:AC)/PARAMETER!$T$3,"")</f>
        <v/>
      </c>
      <c r="AD23" s="40" t="str">
        <f>IF(AD$4&lt;=PARAMETER!$X$2,SUMIF('2026'!$E:$E,PerPM!$A22,'2026'!AD:AD)/PARAMETER!$T$3,"")</f>
        <v/>
      </c>
      <c r="AE23" s="40" t="str">
        <f>IF(AE$4&lt;=PARAMETER!$X$2,SUMIF('2026'!$E:$E,PerPM!$A22,'2026'!AE:AE)/PARAMETER!$T$3,"")</f>
        <v/>
      </c>
      <c r="AF23" s="40" t="str">
        <f>IF(AF$4&lt;=PARAMETER!$X$2,SUMIF('2026'!$E:$E,PerPM!$A22,'2026'!AF:AF)/PARAMETER!$T$3,"")</f>
        <v/>
      </c>
      <c r="AG23" s="40" t="str">
        <f>IF(AG$4&lt;=PARAMETER!$X$2,SUMIF('2026'!$E:$E,PerPM!$A22,'2026'!AG:AG)/PARAMETER!$T$3,"")</f>
        <v/>
      </c>
      <c r="AH23" s="40" t="str">
        <f>IF(AH$4&lt;=PARAMETER!$X$2,SUMIF('2026'!$E:$E,PerPM!$A22,'2026'!AH:AH)/PARAMETER!$T$3,"")</f>
        <v/>
      </c>
      <c r="AI23" s="40" t="str">
        <f>IF(AI$4&lt;=PARAMETER!$X$2,SUMIF('2026'!$E:$E,PerPM!$A22,'2026'!AI:AI)/PARAMETER!$T$3,"")</f>
        <v/>
      </c>
      <c r="AJ23" s="40" t="str">
        <f>IF(AJ$4&lt;=PARAMETER!$X$2,SUMIF('2026'!$E:$E,PerPM!$A22,'2026'!AJ:AJ)/PARAMETER!$T$3,"")</f>
        <v/>
      </c>
      <c r="AK23" s="40" t="str">
        <f>IF(AK$4&lt;=PARAMETER!$X$2,SUMIF('2026'!$E:$E,PerPM!$A22,'2026'!AK:AK)/PARAMETER!$T$3,"")</f>
        <v/>
      </c>
      <c r="AL23" s="40" t="str">
        <f>IF(AL$4&lt;=PARAMETER!$X$2,SUMIF('2026'!$E:$E,PerPM!$A22,'2026'!AL:AL)/PARAMETER!$T$3,"")</f>
        <v/>
      </c>
      <c r="AM23" s="40" t="str">
        <f>IF(AM$4&lt;=PARAMETER!$X$2,SUMIF('2026'!$E:$E,PerPM!$A22,'2026'!AM:AM)/PARAMETER!$T$3,"")</f>
        <v/>
      </c>
      <c r="AN23" s="40" t="str">
        <f>IF(AN$4&lt;=PARAMETER!$X$2,SUMIF('2026'!$E:$E,PerPM!$A22,'2026'!AN:AN)/PARAMETER!$T$3,"")</f>
        <v/>
      </c>
      <c r="AO23" s="40" t="str">
        <f>IF(AO$4&lt;=PARAMETER!$X$2,SUMIF('2026'!$E:$E,PerPM!$A22,'2026'!AO:AO)/PARAMETER!$T$3,"")</f>
        <v/>
      </c>
      <c r="AP23" s="40" t="str">
        <f>IF(AP$4&lt;=PARAMETER!$X$2,SUMIF('2026'!$E:$E,PerPM!$A22,'2026'!AP:AP)/PARAMETER!$T$3,"")</f>
        <v/>
      </c>
      <c r="AQ23" s="40" t="str">
        <f>IF(AQ$4&lt;=PARAMETER!$X$2,SUMIF('2026'!$E:$E,PerPM!$A22,'2026'!AQ:AQ)/PARAMETER!$T$3,"")</f>
        <v/>
      </c>
      <c r="AR23" s="40" t="str">
        <f>IF(AR$4&lt;=PARAMETER!$X$2,SUMIF('2026'!$E:$E,PerPM!$A22,'2026'!AR:AR)/PARAMETER!$T$3,"")</f>
        <v/>
      </c>
      <c r="AS23" s="40" t="str">
        <f>IF(AS$4&lt;=PARAMETER!$X$2,SUMIF('2026'!$E:$E,PerPM!$A22,'2026'!AS:AS)/PARAMETER!$T$3,"")</f>
        <v/>
      </c>
      <c r="AT23" s="40" t="str">
        <f>IF(AT$4&lt;=PARAMETER!$X$2,SUMIF('2026'!$E:$E,PerPM!$A22,'2026'!AT:AT)/PARAMETER!$T$3,"")</f>
        <v/>
      </c>
      <c r="AU23" s="40" t="str">
        <f>IF(AU$4&lt;=PARAMETER!$X$2,SUMIF('2026'!$E:$E,PerPM!$A22,'2026'!AU:AU)/PARAMETER!$T$3,"")</f>
        <v/>
      </c>
      <c r="AV23" s="40" t="str">
        <f>IF(AV$4&lt;=PARAMETER!$X$2,SUMIF('2026'!$E:$E,PerPM!$A22,'2026'!AV:AV)/PARAMETER!$T$3,"")</f>
        <v/>
      </c>
      <c r="AW23" s="40" t="str">
        <f>IF(AW$4&lt;=PARAMETER!$X$2,SUMIF('2026'!$E:$E,PerPM!$A22,'2026'!AW:AW)/PARAMETER!$T$3,"")</f>
        <v/>
      </c>
      <c r="AX23" s="40" t="str">
        <f>IF(AX$4&lt;=PARAMETER!$X$2,SUMIF('2026'!$E:$E,PerPM!$A22,'2026'!AX:AX)/PARAMETER!$T$3,"")</f>
        <v/>
      </c>
      <c r="AY23" s="40" t="str">
        <f>IF(AY$4&lt;=PARAMETER!$X$2,SUMIF('2026'!$E:$E,PerPM!$A22,'2026'!AY:AY)/PARAMETER!$T$3,"")</f>
        <v/>
      </c>
      <c r="AZ23" s="40" t="str">
        <f>IF(AZ$4&lt;=PARAMETER!$X$2,SUMIF('2026'!$E:$E,PerPM!$A22,'2026'!AZ:AZ)/PARAMETER!$T$3,"")</f>
        <v/>
      </c>
      <c r="BA23" s="40" t="str">
        <f>IF(BA$4&lt;=PARAMETER!$X$2,SUMIF('2026'!$E:$E,PerPM!$A22,'2026'!BA:BA)/PARAMETER!$T$3,"")</f>
        <v/>
      </c>
      <c r="BB23" s="40" t="str">
        <f>IF(BB$4&lt;=PARAMETER!$X$2,SUMIF('2026'!$E:$E,PerPM!$A22,'2026'!BB:BB)/PARAMETER!$T$3,"")</f>
        <v/>
      </c>
      <c r="BC23" s="40" t="str">
        <f>IF(BC$4&lt;=PARAMETER!$X$2,SUMIF('2026'!$E:$E,PerPM!$A22,'2026'!BC:BC)/PARAMETER!$T$3,"")</f>
        <v/>
      </c>
      <c r="BD23" s="40" t="str">
        <f>IF(BD$4&lt;=PARAMETER!$X$2,SUMIF('2026'!$E:$E,PerPM!$A22,'2026'!BD:BD)/PARAMETER!$T$3,"")</f>
        <v/>
      </c>
      <c r="BE23" s="40" t="str">
        <f>IF(BE$4&lt;=PARAMETER!$X$2,SUMIF('2026'!$E:$E,PerPM!$A22,'2026'!BE:BE)/PARAMETER!$T$3,"")</f>
        <v/>
      </c>
      <c r="BF23" s="40" t="str">
        <f>IF(BF$4&lt;=PARAMETER!$X$2,SUMIF('2026'!$E:$E,PerPM!$A22,'2026'!BF:BF)/PARAMETER!$T$3,"")</f>
        <v/>
      </c>
      <c r="BG23" s="40" t="str">
        <f>IF(BG$4&lt;=PARAMETER!$X$2,SUMIF('2026'!$E:$E,PerPM!$A22,'2026'!BG:BG)/PARAMETER!$T$3,"")</f>
        <v/>
      </c>
      <c r="BH23" s="40" t="str">
        <f>IF(BH$4&lt;=PARAMETER!$X$2,SUMIF('2026'!$E:$E,PerPM!$A22,'2026'!BH:BH)/PARAMETER!$T$3,"")</f>
        <v/>
      </c>
      <c r="BI23" s="40" t="str">
        <f>IF(BI$4&lt;=PARAMETER!$X$2,SUMIF('2026'!$E:$E,PerPM!$A22,'2026'!BI:BI)/PARAMETER!$T$3,"")</f>
        <v/>
      </c>
    </row>
    <row r="24" spans="1:61" x14ac:dyDescent="0.25">
      <c r="A24" s="78" t="str">
        <f>CONCATENATE(B24,PARAMETER!T$2)</f>
        <v>RIFALDIVOL</v>
      </c>
      <c r="B24" s="26" t="str">
        <f>B23</f>
        <v>RIFALDI</v>
      </c>
      <c r="C24" s="27" t="s">
        <v>128</v>
      </c>
      <c r="D24" s="35">
        <f>H24/H25-1</f>
        <v>-0.83911596048711201</v>
      </c>
      <c r="E24" s="28">
        <f>IF(D24&gt;300%,300%,D24)</f>
        <v>-0.83911596048711201</v>
      </c>
      <c r="F24" s="87">
        <f t="shared" si="12"/>
        <v>2025</v>
      </c>
      <c r="G24" s="88">
        <f>IF(G$4&lt;=PARAMETER!$X$2,SUMIF('2025'!$E:$E,PerPM!$A23,'2025'!G:G)/PARAMETER!$T$3,"")</f>
        <v>78487.255596999996</v>
      </c>
      <c r="H24" s="88">
        <f>IF(H$4&lt;=PARAMETER!$X$2,SUMIF('2025'!$E:$E,PerPM!$A23,'2025'!H:H)/PARAMETER!$T$3,"")</f>
        <v>16443.320836999999</v>
      </c>
      <c r="I24" s="88">
        <f>IF(I$4&lt;=PARAMETER!$X$2,SUMIF('2025'!$E:$E,PerPM!$A23,'2025'!I:I)/PARAMETER!$T$3,"")</f>
        <v>1887.127479</v>
      </c>
      <c r="J24" s="88">
        <f>IF(J$4&lt;=PARAMETER!$X$2,SUMIF('2025'!$E:$E,PerPM!$A23,'2025'!J:J)/PARAMETER!$T$3,"")</f>
        <v>1800.442814</v>
      </c>
      <c r="K24" s="88">
        <f>IF(K$4&lt;=PARAMETER!$X$2,SUMIF('2025'!$E:$E,PerPM!$A23,'2025'!K:K)/PARAMETER!$T$3,"")</f>
        <v>1772.580199</v>
      </c>
      <c r="L24" s="88">
        <f>IF(L$4&lt;=PARAMETER!$X$2,SUMIF('2025'!$E:$E,PerPM!$A23,'2025'!L:L)/PARAMETER!$T$3,"")</f>
        <v>2057.1165179999998</v>
      </c>
      <c r="M24" s="88">
        <f>IF(M$4&lt;=PARAMETER!$X$2,SUMIF('2025'!$E:$E,PerPM!$A23,'2025'!M:M)/PARAMETER!$T$3,"")</f>
        <v>1643.407408</v>
      </c>
      <c r="N24" s="88">
        <f>IF(N$4&lt;=PARAMETER!$X$2,SUMIF('2025'!$E:$E,PerPM!$A23,'2025'!N:N)/PARAMETER!$T$3,"")</f>
        <v>1263.5455689999999</v>
      </c>
      <c r="O24" s="88">
        <f>IF(O$4&lt;=PARAMETER!$X$2,SUMIF('2025'!$E:$E,PerPM!$A23,'2025'!O:O)/PARAMETER!$T$3,"")</f>
        <v>1230.1829459999999</v>
      </c>
      <c r="P24" s="88">
        <f>IF(P$4&lt;=PARAMETER!$X$2,SUMIF('2025'!$E:$E,PerPM!$A23,'2025'!P:P)/PARAMETER!$T$3,"")</f>
        <v>1523.2817910000001</v>
      </c>
      <c r="Q24" s="88">
        <f>IF(Q$4&lt;=PARAMETER!$X$2,SUMIF('2025'!$E:$E,PerPM!$A23,'2025'!Q:Q)/PARAMETER!$T$3,"")</f>
        <v>1157.994946</v>
      </c>
      <c r="R24" s="88">
        <f>IF(R$4&lt;=PARAMETER!$X$2,SUMIF('2025'!$E:$E,PerPM!$A23,'2025'!R:R)/PARAMETER!$T$3,"")</f>
        <v>1167.984003</v>
      </c>
      <c r="S24" s="88">
        <f>IF(S$4&lt;=PARAMETER!$X$2,SUMIF('2025'!$E:$E,PerPM!$A23,'2025'!S:S)/PARAMETER!$T$3,"")</f>
        <v>939.65716399999997</v>
      </c>
      <c r="T24" s="88" t="str">
        <f>IF(T$4&lt;=PARAMETER!$X$2,SUMIF('2025'!$E:$E,PerPM!$A23,'2025'!T:T)/PARAMETER!$T$3,"")</f>
        <v/>
      </c>
      <c r="U24" s="88" t="str">
        <f>IF(U$4&lt;=PARAMETER!$X$2,SUMIF('2025'!$E:$E,PerPM!$A23,'2025'!U:U)/PARAMETER!$T$3,"")</f>
        <v/>
      </c>
      <c r="V24" s="88" t="str">
        <f>IF(V$4&lt;=PARAMETER!$X$2,SUMIF('2025'!$E:$E,PerPM!$A23,'2025'!V:V)/PARAMETER!$T$3,"")</f>
        <v/>
      </c>
      <c r="W24" s="88" t="str">
        <f>IF(W$4&lt;=PARAMETER!$X$2,SUMIF('2025'!$E:$E,PerPM!$A23,'2025'!W:W)/PARAMETER!$T$3,"")</f>
        <v/>
      </c>
      <c r="X24" s="88" t="str">
        <f>IF(X$4&lt;=PARAMETER!$X$2,SUMIF('2025'!$E:$E,PerPM!$A23,'2025'!X:X)/PARAMETER!$T$3,"")</f>
        <v/>
      </c>
      <c r="Y24" s="88" t="str">
        <f>IF(Y$4&lt;=PARAMETER!$X$2,SUMIF('2025'!$E:$E,PerPM!$A23,'2025'!Y:Y)/PARAMETER!$T$3,"")</f>
        <v/>
      </c>
      <c r="Z24" s="88" t="str">
        <f>IF(Z$4&lt;=PARAMETER!$X$2,SUMIF('2025'!$E:$E,PerPM!$A23,'2025'!Z:Z)/PARAMETER!$T$3,"")</f>
        <v/>
      </c>
      <c r="AA24" s="88" t="str">
        <f>IF(AA$4&lt;=PARAMETER!$X$2,SUMIF('2025'!$E:$E,PerPM!$A23,'2025'!AA:AA)/PARAMETER!$T$3,"")</f>
        <v/>
      </c>
      <c r="AB24" s="88" t="str">
        <f>IF(AB$4&lt;=PARAMETER!$X$2,SUMIF('2025'!$E:$E,PerPM!$A23,'2025'!AB:AB)/PARAMETER!$T$3,"")</f>
        <v/>
      </c>
      <c r="AC24" s="88" t="str">
        <f>IF(AC$4&lt;=PARAMETER!$X$2,SUMIF('2025'!$E:$E,PerPM!$A23,'2025'!AC:AC)/PARAMETER!$T$3,"")</f>
        <v/>
      </c>
      <c r="AD24" s="88" t="str">
        <f>IF(AD$4&lt;=PARAMETER!$X$2,SUMIF('2025'!$E:$E,PerPM!$A23,'2025'!AD:AD)/PARAMETER!$T$3,"")</f>
        <v/>
      </c>
      <c r="AE24" s="88" t="str">
        <f>IF(AE$4&lt;=PARAMETER!$X$2,SUMIF('2025'!$E:$E,PerPM!$A23,'2025'!AE:AE)/PARAMETER!$T$3,"")</f>
        <v/>
      </c>
      <c r="AF24" s="88" t="str">
        <f>IF(AF$4&lt;=PARAMETER!$X$2,SUMIF('2025'!$E:$E,PerPM!$A23,'2025'!AF:AF)/PARAMETER!$T$3,"")</f>
        <v/>
      </c>
      <c r="AG24" s="88" t="str">
        <f>IF(AG$4&lt;=PARAMETER!$X$2,SUMIF('2025'!$E:$E,PerPM!$A23,'2025'!AG:AG)/PARAMETER!$T$3,"")</f>
        <v/>
      </c>
      <c r="AH24" s="88" t="str">
        <f>IF(AH$4&lt;=PARAMETER!$X$2,SUMIF('2025'!$E:$E,PerPM!$A23,'2025'!AH:AH)/PARAMETER!$T$3,"")</f>
        <v/>
      </c>
      <c r="AI24" s="88" t="str">
        <f>IF(AI$4&lt;=PARAMETER!$X$2,SUMIF('2025'!$E:$E,PerPM!$A23,'2025'!AI:AI)/PARAMETER!$T$3,"")</f>
        <v/>
      </c>
      <c r="AJ24" s="88" t="str">
        <f>IF(AJ$4&lt;=PARAMETER!$X$2,SUMIF('2025'!$E:$E,PerPM!$A23,'2025'!AJ:AJ)/PARAMETER!$T$3,"")</f>
        <v/>
      </c>
      <c r="AK24" s="88" t="str">
        <f>IF(AK$4&lt;=PARAMETER!$X$2,SUMIF('2025'!$E:$E,PerPM!$A23,'2025'!AK:AK)/PARAMETER!$T$3,"")</f>
        <v/>
      </c>
      <c r="AL24" s="88" t="str">
        <f>IF(AL$4&lt;=PARAMETER!$X$2,SUMIF('2025'!$E:$E,PerPM!$A23,'2025'!AL:AL)/PARAMETER!$T$3,"")</f>
        <v/>
      </c>
      <c r="AM24" s="88" t="str">
        <f>IF(AM$4&lt;=PARAMETER!$X$2,SUMIF('2025'!$E:$E,PerPM!$A23,'2025'!AM:AM)/PARAMETER!$T$3,"")</f>
        <v/>
      </c>
      <c r="AN24" s="88" t="str">
        <f>IF(AN$4&lt;=PARAMETER!$X$2,SUMIF('2025'!$E:$E,PerPM!$A23,'2025'!AN:AN)/PARAMETER!$T$3,"")</f>
        <v/>
      </c>
      <c r="AO24" s="88" t="str">
        <f>IF(AO$4&lt;=PARAMETER!$X$2,SUMIF('2025'!$E:$E,PerPM!$A23,'2025'!AO:AO)/PARAMETER!$T$3,"")</f>
        <v/>
      </c>
      <c r="AP24" s="88" t="str">
        <f>IF(AP$4&lt;=PARAMETER!$X$2,SUMIF('2025'!$E:$E,PerPM!$A23,'2025'!AP:AP)/PARAMETER!$T$3,"")</f>
        <v/>
      </c>
      <c r="AQ24" s="88" t="str">
        <f>IF(AQ$4&lt;=PARAMETER!$X$2,SUMIF('2025'!$E:$E,PerPM!$A23,'2025'!AQ:AQ)/PARAMETER!$T$3,"")</f>
        <v/>
      </c>
      <c r="AR24" s="88" t="str">
        <f>IF(AR$4&lt;=PARAMETER!$X$2,SUMIF('2025'!$E:$E,PerPM!$A23,'2025'!AR:AR)/PARAMETER!$T$3,"")</f>
        <v/>
      </c>
      <c r="AS24" s="88" t="str">
        <f>IF(AS$4&lt;=PARAMETER!$X$2,SUMIF('2025'!$E:$E,PerPM!$A23,'2025'!AS:AS)/PARAMETER!$T$3,"")</f>
        <v/>
      </c>
      <c r="AT24" s="88" t="str">
        <f>IF(AT$4&lt;=PARAMETER!$X$2,SUMIF('2025'!$E:$E,PerPM!$A23,'2025'!AT:AT)/PARAMETER!$T$3,"")</f>
        <v/>
      </c>
      <c r="AU24" s="88" t="str">
        <f>IF(AU$4&lt;=PARAMETER!$X$2,SUMIF('2025'!$E:$E,PerPM!$A23,'2025'!AU:AU)/PARAMETER!$T$3,"")</f>
        <v/>
      </c>
      <c r="AV24" s="88" t="str">
        <f>IF(AV$4&lt;=PARAMETER!$X$2,SUMIF('2025'!$E:$E,PerPM!$A23,'2025'!AV:AV)/PARAMETER!$T$3,"")</f>
        <v/>
      </c>
      <c r="AW24" s="88" t="str">
        <f>IF(AW$4&lt;=PARAMETER!$X$2,SUMIF('2025'!$E:$E,PerPM!$A23,'2025'!AW:AW)/PARAMETER!$T$3,"")</f>
        <v/>
      </c>
      <c r="AX24" s="88" t="str">
        <f>IF(AX$4&lt;=PARAMETER!$X$2,SUMIF('2025'!$E:$E,PerPM!$A23,'2025'!AX:AX)/PARAMETER!$T$3,"")</f>
        <v/>
      </c>
      <c r="AY24" s="88" t="str">
        <f>IF(AY$4&lt;=PARAMETER!$X$2,SUMIF('2025'!$E:$E,PerPM!$A23,'2025'!AY:AY)/PARAMETER!$T$3,"")</f>
        <v/>
      </c>
      <c r="AZ24" s="88" t="str">
        <f>IF(AZ$4&lt;=PARAMETER!$X$2,SUMIF('2025'!$E:$E,PerPM!$A23,'2025'!AZ:AZ)/PARAMETER!$T$3,"")</f>
        <v/>
      </c>
      <c r="BA24" s="88" t="str">
        <f>IF(BA$4&lt;=PARAMETER!$X$2,SUMIF('2025'!$E:$E,PerPM!$A23,'2025'!BA:BA)/PARAMETER!$T$3,"")</f>
        <v/>
      </c>
      <c r="BB24" s="88" t="str">
        <f>IF(BB$4&lt;=PARAMETER!$X$2,SUMIF('2025'!$E:$E,PerPM!$A23,'2025'!BB:BB)/PARAMETER!$T$3,"")</f>
        <v/>
      </c>
      <c r="BC24" s="88" t="str">
        <f>IF(BC$4&lt;=PARAMETER!$X$2,SUMIF('2025'!$E:$E,PerPM!$A23,'2025'!BC:BC)/PARAMETER!$T$3,"")</f>
        <v/>
      </c>
      <c r="BD24" s="88" t="str">
        <f>IF(BD$4&lt;=PARAMETER!$X$2,SUMIF('2025'!$E:$E,PerPM!$A23,'2025'!BD:BD)/PARAMETER!$T$3,"")</f>
        <v/>
      </c>
      <c r="BE24" s="88" t="str">
        <f>IF(BE$4&lt;=PARAMETER!$X$2,SUMIF('2025'!$E:$E,PerPM!$A23,'2025'!BE:BE)/PARAMETER!$T$3,"")</f>
        <v/>
      </c>
      <c r="BF24" s="88" t="str">
        <f>IF(BF$4&lt;=PARAMETER!$X$2,SUMIF('2025'!$E:$E,PerPM!$A23,'2025'!BF:BF)/PARAMETER!$T$3,"")</f>
        <v/>
      </c>
      <c r="BG24" s="88" t="str">
        <f>IF(BG$4&lt;=PARAMETER!$X$2,SUMIF('2025'!$E:$E,PerPM!$A23,'2025'!BG:BG)/PARAMETER!$T$3,"")</f>
        <v/>
      </c>
      <c r="BH24" s="88" t="str">
        <f>IF(BH$4&lt;=PARAMETER!$X$2,SUMIF('2025'!$E:$E,PerPM!$A23,'2025'!BH:BH)/PARAMETER!$T$3,"")</f>
        <v/>
      </c>
      <c r="BI24" s="88" t="str">
        <f>IF(BI$4&lt;=PARAMETER!$X$2,SUMIF('2025'!$E:$E,PerPM!$A23,'2025'!BI:BI)/PARAMETER!$T$3,"")</f>
        <v/>
      </c>
    </row>
    <row r="25" spans="1:61" x14ac:dyDescent="0.25">
      <c r="A25" s="78" t="str">
        <f>CONCATENATE(B25,PARAMETER!T$2)</f>
        <v>RIFALDIVOL</v>
      </c>
      <c r="B25" s="26" t="str">
        <f>B23</f>
        <v>RIFALDI</v>
      </c>
      <c r="C25" s="27"/>
      <c r="D25" s="35"/>
      <c r="E25" s="28"/>
      <c r="F25" s="85">
        <f t="shared" ref="F25" si="13">F21</f>
        <v>2024</v>
      </c>
      <c r="G25" s="40">
        <f>IF(G$4&lt;=PARAMETER!$X$2,SUMIF('2024'!$E:$E,PerPM!$A22,'2024'!G:G)/PARAMETER!$T$3,"")</f>
        <v>347836.263767</v>
      </c>
      <c r="H25" s="40">
        <f>IF(H$4&lt;=PARAMETER!$X$2,SUMIF('2024'!$E:$E,PerPM!$A22,'2024'!H:H)/PARAMETER!$T$3,"")</f>
        <v>102206.04161099999</v>
      </c>
      <c r="I25" s="40">
        <f>IF(I$4&lt;=PARAMETER!$X$2,SUMIF('2024'!$E:$E,PerPM!$A22,'2024'!I:I)/PARAMETER!$T$3,"")</f>
        <v>10425.073925000001</v>
      </c>
      <c r="J25" s="40">
        <f>IF(J$4&lt;=PARAMETER!$X$2,SUMIF('2024'!$E:$E,PerPM!$A22,'2024'!J:J)/PARAMETER!$T$3,"")</f>
        <v>10016.308266</v>
      </c>
      <c r="K25" s="40">
        <f>IF(K$4&lt;=PARAMETER!$X$2,SUMIF('2024'!$E:$E,PerPM!$A22,'2024'!K:K)/PARAMETER!$T$3,"")</f>
        <v>10010.581982</v>
      </c>
      <c r="L25" s="40">
        <f>IF(L$4&lt;=PARAMETER!$X$2,SUMIF('2024'!$E:$E,PerPM!$A22,'2024'!L:L)/PARAMETER!$T$3,"")</f>
        <v>10208.164353</v>
      </c>
      <c r="M25" s="40">
        <f>IF(M$4&lt;=PARAMETER!$X$2,SUMIF('2024'!$E:$E,PerPM!$A22,'2024'!M:M)/PARAMETER!$T$3,"")</f>
        <v>11075.976155</v>
      </c>
      <c r="N25" s="40">
        <f>IF(N$4&lt;=PARAMETER!$X$2,SUMIF('2024'!$E:$E,PerPM!$A22,'2024'!N:N)/PARAMETER!$T$3,"")</f>
        <v>10175.504771</v>
      </c>
      <c r="O25" s="40">
        <f>IF(O$4&lt;=PARAMETER!$X$2,SUMIF('2024'!$E:$E,PerPM!$A22,'2024'!O:O)/PARAMETER!$T$3,"")</f>
        <v>7643.4372039999998</v>
      </c>
      <c r="P25" s="40">
        <f>IF(P$4&lt;=PARAMETER!$X$2,SUMIF('2024'!$E:$E,PerPM!$A22,'2024'!P:P)/PARAMETER!$T$3,"")</f>
        <v>8067.2780670000002</v>
      </c>
      <c r="Q25" s="40">
        <f>IF(Q$4&lt;=PARAMETER!$X$2,SUMIF('2024'!$E:$E,PerPM!$A22,'2024'!Q:Q)/PARAMETER!$T$3,"")</f>
        <v>10236.482574</v>
      </c>
      <c r="R25" s="40">
        <f>IF(R$4&lt;=PARAMETER!$X$2,SUMIF('2024'!$E:$E,PerPM!$A22,'2024'!R:R)/PARAMETER!$T$3,"")</f>
        <v>7960.1885549999997</v>
      </c>
      <c r="S25" s="40">
        <f>IF(S$4&lt;=PARAMETER!$X$2,SUMIF('2024'!$E:$E,PerPM!$A22,'2024'!S:S)/PARAMETER!$T$3,"")</f>
        <v>6387.0457589999996</v>
      </c>
      <c r="T25" s="40" t="str">
        <f>IF(T$4&lt;=PARAMETER!$X$2,SUMIF('2024'!$E:$E,PerPM!$A22,'2024'!T:T)/PARAMETER!$T$3,"")</f>
        <v/>
      </c>
      <c r="U25" s="40" t="str">
        <f>IF(U$4&lt;=PARAMETER!$X$2,SUMIF('2024'!$E:$E,PerPM!$A22,'2024'!U:U)/PARAMETER!$T$3,"")</f>
        <v/>
      </c>
      <c r="V25" s="40" t="str">
        <f>IF(V$4&lt;=PARAMETER!$X$2,SUMIF('2024'!$E:$E,PerPM!$A22,'2024'!V:V)/PARAMETER!$T$3,"")</f>
        <v/>
      </c>
      <c r="W25" s="40" t="str">
        <f>IF(W$4&lt;=PARAMETER!$X$2,SUMIF('2024'!$E:$E,PerPM!$A22,'2024'!W:W)/PARAMETER!$T$3,"")</f>
        <v/>
      </c>
      <c r="X25" s="40" t="str">
        <f>IF(X$4&lt;=PARAMETER!$X$2,SUMIF('2024'!$E:$E,PerPM!$A22,'2024'!X:X)/PARAMETER!$T$3,"")</f>
        <v/>
      </c>
      <c r="Y25" s="40" t="str">
        <f>IF(Y$4&lt;=PARAMETER!$X$2,SUMIF('2024'!$E:$E,PerPM!$A22,'2024'!Y:Y)/PARAMETER!$T$3,"")</f>
        <v/>
      </c>
      <c r="Z25" s="40" t="str">
        <f>IF(Z$4&lt;=PARAMETER!$X$2,SUMIF('2024'!$E:$E,PerPM!$A22,'2024'!Z:Z)/PARAMETER!$T$3,"")</f>
        <v/>
      </c>
      <c r="AA25" s="40" t="str">
        <f>IF(AA$4&lt;=PARAMETER!$X$2,SUMIF('2024'!$E:$E,PerPM!$A22,'2024'!AA:AA)/PARAMETER!$T$3,"")</f>
        <v/>
      </c>
      <c r="AB25" s="40" t="str">
        <f>IF(AB$4&lt;=PARAMETER!$X$2,SUMIF('2024'!$E:$E,PerPM!$A22,'2024'!AB:AB)/PARAMETER!$T$3,"")</f>
        <v/>
      </c>
      <c r="AC25" s="40" t="str">
        <f>IF(AC$4&lt;=PARAMETER!$X$2,SUMIF('2024'!$E:$E,PerPM!$A22,'2024'!AC:AC)/PARAMETER!$T$3,"")</f>
        <v/>
      </c>
      <c r="AD25" s="40" t="str">
        <f>IF(AD$4&lt;=PARAMETER!$X$2,SUMIF('2024'!$E:$E,PerPM!$A22,'2024'!AD:AD)/PARAMETER!$T$3,"")</f>
        <v/>
      </c>
      <c r="AE25" s="40" t="str">
        <f>IF(AE$4&lt;=PARAMETER!$X$2,SUMIF('2024'!$E:$E,PerPM!$A22,'2024'!AE:AE)/PARAMETER!$T$3,"")</f>
        <v/>
      </c>
      <c r="AF25" s="40" t="str">
        <f>IF(AF$4&lt;=PARAMETER!$X$2,SUMIF('2024'!$E:$E,PerPM!$A22,'2024'!AF:AF)/PARAMETER!$T$3,"")</f>
        <v/>
      </c>
      <c r="AG25" s="40" t="str">
        <f>IF(AG$4&lt;=PARAMETER!$X$2,SUMIF('2024'!$E:$E,PerPM!$A22,'2024'!AG:AG)/PARAMETER!$T$3,"")</f>
        <v/>
      </c>
      <c r="AH25" s="40" t="str">
        <f>IF(AH$4&lt;=PARAMETER!$X$2,SUMIF('2024'!$E:$E,PerPM!$A22,'2024'!AH:AH)/PARAMETER!$T$3,"")</f>
        <v/>
      </c>
      <c r="AI25" s="40" t="str">
        <f>IF(AI$4&lt;=PARAMETER!$X$2,SUMIF('2024'!$E:$E,PerPM!$A22,'2024'!AI:AI)/PARAMETER!$T$3,"")</f>
        <v/>
      </c>
      <c r="AJ25" s="40" t="str">
        <f>IF(AJ$4&lt;=PARAMETER!$X$2,SUMIF('2024'!$E:$E,PerPM!$A22,'2024'!AJ:AJ)/PARAMETER!$T$3,"")</f>
        <v/>
      </c>
      <c r="AK25" s="40" t="str">
        <f>IF(AK$4&lt;=PARAMETER!$X$2,SUMIF('2024'!$E:$E,PerPM!$A22,'2024'!AK:AK)/PARAMETER!$T$3,"")</f>
        <v/>
      </c>
      <c r="AL25" s="40" t="str">
        <f>IF(AL$4&lt;=PARAMETER!$X$2,SUMIF('2024'!$E:$E,PerPM!$A22,'2024'!AL:AL)/PARAMETER!$T$3,"")</f>
        <v/>
      </c>
      <c r="AM25" s="40" t="str">
        <f>IF(AM$4&lt;=PARAMETER!$X$2,SUMIF('2024'!$E:$E,PerPM!$A22,'2024'!AM:AM)/PARAMETER!$T$3,"")</f>
        <v/>
      </c>
      <c r="AN25" s="40" t="str">
        <f>IF(AN$4&lt;=PARAMETER!$X$2,SUMIF('2024'!$E:$E,PerPM!$A22,'2024'!AN:AN)/PARAMETER!$T$3,"")</f>
        <v/>
      </c>
      <c r="AO25" s="40" t="str">
        <f>IF(AO$4&lt;=PARAMETER!$X$2,SUMIF('2024'!$E:$E,PerPM!$A22,'2024'!AO:AO)/PARAMETER!$T$3,"")</f>
        <v/>
      </c>
      <c r="AP25" s="40" t="str">
        <f>IF(AP$4&lt;=PARAMETER!$X$2,SUMIF('2024'!$E:$E,PerPM!$A22,'2024'!AP:AP)/PARAMETER!$T$3,"")</f>
        <v/>
      </c>
      <c r="AQ25" s="40" t="str">
        <f>IF(AQ$4&lt;=PARAMETER!$X$2,SUMIF('2024'!$E:$E,PerPM!$A22,'2024'!AQ:AQ)/PARAMETER!$T$3,"")</f>
        <v/>
      </c>
      <c r="AR25" s="40" t="str">
        <f>IF(AR$4&lt;=PARAMETER!$X$2,SUMIF('2024'!$E:$E,PerPM!$A22,'2024'!AR:AR)/PARAMETER!$T$3,"")</f>
        <v/>
      </c>
      <c r="AS25" s="40" t="str">
        <f>IF(AS$4&lt;=PARAMETER!$X$2,SUMIF('2024'!$E:$E,PerPM!$A22,'2024'!AS:AS)/PARAMETER!$T$3,"")</f>
        <v/>
      </c>
      <c r="AT25" s="40" t="str">
        <f>IF(AT$4&lt;=PARAMETER!$X$2,SUMIF('2024'!$E:$E,PerPM!$A22,'2024'!AT:AT)/PARAMETER!$T$3,"")</f>
        <v/>
      </c>
      <c r="AU25" s="40" t="str">
        <f>IF(AU$4&lt;=PARAMETER!$X$2,SUMIF('2024'!$E:$E,PerPM!$A22,'2024'!AU:AU)/PARAMETER!$T$3,"")</f>
        <v/>
      </c>
      <c r="AV25" s="40" t="str">
        <f>IF(AV$4&lt;=PARAMETER!$X$2,SUMIF('2024'!$E:$E,PerPM!$A22,'2024'!AV:AV)/PARAMETER!$T$3,"")</f>
        <v/>
      </c>
      <c r="AW25" s="40" t="str">
        <f>IF(AW$4&lt;=PARAMETER!$X$2,SUMIF('2024'!$E:$E,PerPM!$A22,'2024'!AW:AW)/PARAMETER!$T$3,"")</f>
        <v/>
      </c>
      <c r="AX25" s="40" t="str">
        <f>IF(AX$4&lt;=PARAMETER!$X$2,SUMIF('2024'!$E:$E,PerPM!$A22,'2024'!AX:AX)/PARAMETER!$T$3,"")</f>
        <v/>
      </c>
      <c r="AY25" s="40" t="str">
        <f>IF(AY$4&lt;=PARAMETER!$X$2,SUMIF('2024'!$E:$E,PerPM!$A22,'2024'!AY:AY)/PARAMETER!$T$3,"")</f>
        <v/>
      </c>
      <c r="AZ25" s="40" t="str">
        <f>IF(AZ$4&lt;=PARAMETER!$X$2,SUMIF('2024'!$E:$E,PerPM!$A22,'2024'!AZ:AZ)/PARAMETER!$T$3,"")</f>
        <v/>
      </c>
      <c r="BA25" s="40" t="str">
        <f>IF(BA$4&lt;=PARAMETER!$X$2,SUMIF('2024'!$E:$E,PerPM!$A22,'2024'!BA:BA)/PARAMETER!$T$3,"")</f>
        <v/>
      </c>
      <c r="BB25" s="40" t="str">
        <f>IF(BB$4&lt;=PARAMETER!$X$2,SUMIF('2024'!$E:$E,PerPM!$A22,'2024'!BB:BB)/PARAMETER!$T$3,"")</f>
        <v/>
      </c>
      <c r="BC25" s="40" t="str">
        <f>IF(BC$4&lt;=PARAMETER!$X$2,SUMIF('2024'!$E:$E,PerPM!$A22,'2024'!BC:BC)/PARAMETER!$T$3,"")</f>
        <v/>
      </c>
      <c r="BD25" s="40" t="str">
        <f>IF(BD$4&lt;=PARAMETER!$X$2,SUMIF('2024'!$E:$E,PerPM!$A22,'2024'!BD:BD)/PARAMETER!$T$3,"")</f>
        <v/>
      </c>
      <c r="BE25" s="40" t="str">
        <f>IF(BE$4&lt;=PARAMETER!$X$2,SUMIF('2024'!$E:$E,PerPM!$A22,'2024'!BE:BE)/PARAMETER!$T$3,"")</f>
        <v/>
      </c>
      <c r="BF25" s="40" t="str">
        <f>IF(BF$4&lt;=PARAMETER!$X$2,SUMIF('2024'!$E:$E,PerPM!$A22,'2024'!BF:BF)/PARAMETER!$T$3,"")</f>
        <v/>
      </c>
      <c r="BG25" s="40" t="str">
        <f>IF(BG$4&lt;=PARAMETER!$X$2,SUMIF('2024'!$E:$E,PerPM!$A22,'2024'!BG:BG)/PARAMETER!$T$3,"")</f>
        <v/>
      </c>
      <c r="BH25" s="40" t="str">
        <f>IF(BH$4&lt;=PARAMETER!$X$2,SUMIF('2024'!$E:$E,PerPM!$A22,'2024'!BH:BH)/PARAMETER!$T$3,"")</f>
        <v/>
      </c>
      <c r="BI25" s="40" t="str">
        <f>IF(BI$4&lt;=PARAMETER!$X$2,SUMIF('2024'!$E:$E,PerPM!$A22,'2024'!BI:BI)/PARAMETER!$T$3,"")</f>
        <v/>
      </c>
    </row>
  </sheetData>
  <mergeCells count="12">
    <mergeCell ref="H5:H6"/>
    <mergeCell ref="B12:B13"/>
    <mergeCell ref="C12:C13"/>
    <mergeCell ref="D12:D13"/>
    <mergeCell ref="F12:F13"/>
    <mergeCell ref="G12:G13"/>
    <mergeCell ref="H12:H13"/>
    <mergeCell ref="B5:B6"/>
    <mergeCell ref="C5:C6"/>
    <mergeCell ref="D5:D6"/>
    <mergeCell ref="F5:F6"/>
    <mergeCell ref="G5:G6"/>
  </mergeCells>
  <phoneticPr fontId="15" type="noConversion"/>
  <conditionalFormatting sqref="E7">
    <cfRule type="iconSet" priority="1">
      <iconSet showValue="0">
        <cfvo type="percent" val="0"/>
        <cfvo type="num" val="0.95"/>
        <cfvo type="num" val="1"/>
      </iconSet>
    </cfRule>
  </conditionalFormatting>
  <conditionalFormatting sqref="E8:E10">
    <cfRule type="iconSet" priority="3">
      <iconSet iconSet="3Arrows" showValue="0">
        <cfvo type="percent" val="0"/>
        <cfvo type="num" val="0"/>
        <cfvo type="num" val="0" gte="0"/>
      </iconSet>
    </cfRule>
  </conditionalFormatting>
  <conditionalFormatting sqref="E14">
    <cfRule type="iconSet" priority="58">
      <iconSet showValue="0">
        <cfvo type="percent" val="0"/>
        <cfvo type="num" val="0.95"/>
        <cfvo type="num" val="1"/>
      </iconSet>
    </cfRule>
  </conditionalFormatting>
  <conditionalFormatting sqref="E15:E17">
    <cfRule type="iconSet" priority="60">
      <iconSet iconSet="3Arrows" showValue="0">
        <cfvo type="percent" val="0"/>
        <cfvo type="num" val="0"/>
        <cfvo type="num" val="0" gte="0"/>
      </iconSet>
    </cfRule>
  </conditionalFormatting>
  <conditionalFormatting sqref="E18">
    <cfRule type="iconSet" priority="55">
      <iconSet showValue="0">
        <cfvo type="percent" val="0"/>
        <cfvo type="num" val="0.95"/>
        <cfvo type="num" val="1"/>
      </iconSet>
    </cfRule>
  </conditionalFormatting>
  <conditionalFormatting sqref="E19:E20">
    <cfRule type="iconSet" priority="43">
      <iconSet iconSet="3Arrows" showValue="0">
        <cfvo type="percent" val="0"/>
        <cfvo type="num" val="0"/>
        <cfvo type="num" val="0" gte="0"/>
      </iconSet>
    </cfRule>
  </conditionalFormatting>
  <conditionalFormatting sqref="E21">
    <cfRule type="iconSet" priority="57">
      <iconSet iconSet="3Arrows" showValue="0">
        <cfvo type="percent" val="0"/>
        <cfvo type="num" val="0"/>
        <cfvo type="num" val="0" gte="0"/>
      </iconSet>
    </cfRule>
  </conditionalFormatting>
  <conditionalFormatting sqref="E22">
    <cfRule type="iconSet" priority="52">
      <iconSet showValue="0">
        <cfvo type="percent" val="0"/>
        <cfvo type="num" val="0.95"/>
        <cfvo type="num" val="1"/>
      </iconSet>
    </cfRule>
  </conditionalFormatting>
  <conditionalFormatting sqref="E23:E25">
    <cfRule type="iconSet" priority="54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408" r:id="rId3" name="Drop Down 96">
              <controlPr defaultSize="0" autoLine="0" autoPict="0">
                <anchor moveWithCells="1">
                  <from>
                    <xdr:col>3</xdr:col>
                    <xdr:colOff>809625</xdr:colOff>
                    <xdr:row>1</xdr:row>
                    <xdr:rowOff>76200</xdr:rowOff>
                  </from>
                  <to>
                    <xdr:col>7</xdr:col>
                    <xdr:colOff>333375</xdr:colOff>
                    <xdr:row>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3" r:id="rId4" name="Drop Down 101">
              <controlPr defaultSize="0" autoLine="0" autoPict="0">
                <anchor moveWithCells="1">
                  <from>
                    <xdr:col>1</xdr:col>
                    <xdr:colOff>28575</xdr:colOff>
                    <xdr:row>1</xdr:row>
                    <xdr:rowOff>76200</xdr:rowOff>
                  </from>
                  <to>
                    <xdr:col>3</xdr:col>
                    <xdr:colOff>666750</xdr:colOff>
                    <xdr:row>2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9C0D-872D-7F48-BFE7-4CABC1086099}">
  <sheetPr codeName="Sheet2"/>
  <dimension ref="A4:BJ101"/>
  <sheetViews>
    <sheetView showGridLines="0" zoomScale="82" zoomScaleNormal="90" workbookViewId="0">
      <pane xSplit="9" ySplit="6" topLeftCell="J7" activePane="bottomRight" state="frozen"/>
      <selection activeCell="B1" sqref="B1"/>
      <selection pane="topRight" activeCell="J1" sqref="J1"/>
      <selection pane="bottomLeft" activeCell="B7" sqref="B7"/>
      <selection pane="bottomRight" activeCell="N4" sqref="N4"/>
    </sheetView>
  </sheetViews>
  <sheetFormatPr defaultColWidth="11" defaultRowHeight="15.75" x14ac:dyDescent="0.25"/>
  <cols>
    <col min="1" max="1" width="10" hidden="1" customWidth="1"/>
    <col min="2" max="2" width="15.5" style="78" hidden="1" customWidth="1"/>
    <col min="3" max="3" width="25.375" customWidth="1"/>
    <col min="5" max="5" width="10.875" style="36"/>
    <col min="6" max="6" width="3.875" customWidth="1"/>
    <col min="10" max="10" width="11.625" bestFit="1" customWidth="1"/>
  </cols>
  <sheetData>
    <row r="4" spans="1:62" s="57" customFormat="1" x14ac:dyDescent="0.25">
      <c r="B4" s="78"/>
      <c r="E4" s="58"/>
      <c r="J4" s="57">
        <v>1</v>
      </c>
      <c r="K4" s="57">
        <f>J4+1</f>
        <v>2</v>
      </c>
      <c r="L4" s="57">
        <f t="shared" ref="L4:BJ4" si="0">K4+1</f>
        <v>3</v>
      </c>
      <c r="M4" s="57">
        <f t="shared" si="0"/>
        <v>4</v>
      </c>
      <c r="N4" s="57">
        <f t="shared" si="0"/>
        <v>5</v>
      </c>
      <c r="O4" s="57">
        <f t="shared" si="0"/>
        <v>6</v>
      </c>
      <c r="P4" s="57">
        <f t="shared" si="0"/>
        <v>7</v>
      </c>
      <c r="Q4" s="57">
        <f t="shared" si="0"/>
        <v>8</v>
      </c>
      <c r="R4" s="57">
        <f t="shared" si="0"/>
        <v>9</v>
      </c>
      <c r="S4" s="57">
        <f t="shared" si="0"/>
        <v>10</v>
      </c>
      <c r="T4" s="57">
        <f t="shared" si="0"/>
        <v>11</v>
      </c>
      <c r="U4" s="57">
        <f t="shared" si="0"/>
        <v>12</v>
      </c>
      <c r="V4" s="57">
        <f t="shared" si="0"/>
        <v>13</v>
      </c>
      <c r="W4" s="57">
        <f t="shared" si="0"/>
        <v>14</v>
      </c>
      <c r="X4" s="57">
        <f t="shared" si="0"/>
        <v>15</v>
      </c>
      <c r="Y4" s="57">
        <f t="shared" si="0"/>
        <v>16</v>
      </c>
      <c r="Z4" s="57">
        <f t="shared" si="0"/>
        <v>17</v>
      </c>
      <c r="AA4" s="57">
        <f t="shared" si="0"/>
        <v>18</v>
      </c>
      <c r="AB4" s="57">
        <f t="shared" si="0"/>
        <v>19</v>
      </c>
      <c r="AC4" s="57">
        <f t="shared" si="0"/>
        <v>20</v>
      </c>
      <c r="AD4" s="57">
        <f t="shared" si="0"/>
        <v>21</v>
      </c>
      <c r="AE4" s="57">
        <f t="shared" si="0"/>
        <v>22</v>
      </c>
      <c r="AF4" s="57">
        <f t="shared" si="0"/>
        <v>23</v>
      </c>
      <c r="AG4" s="57">
        <f t="shared" si="0"/>
        <v>24</v>
      </c>
      <c r="AH4" s="57">
        <f t="shared" si="0"/>
        <v>25</v>
      </c>
      <c r="AI4" s="57">
        <f t="shared" si="0"/>
        <v>26</v>
      </c>
      <c r="AJ4" s="57">
        <f t="shared" si="0"/>
        <v>27</v>
      </c>
      <c r="AK4" s="57">
        <f t="shared" si="0"/>
        <v>28</v>
      </c>
      <c r="AL4" s="57">
        <f t="shared" si="0"/>
        <v>29</v>
      </c>
      <c r="AM4" s="57">
        <f t="shared" si="0"/>
        <v>30</v>
      </c>
      <c r="AN4" s="57">
        <f t="shared" si="0"/>
        <v>31</v>
      </c>
      <c r="AO4" s="57">
        <f t="shared" si="0"/>
        <v>32</v>
      </c>
      <c r="AP4" s="57">
        <f t="shared" si="0"/>
        <v>33</v>
      </c>
      <c r="AQ4" s="57">
        <f t="shared" si="0"/>
        <v>34</v>
      </c>
      <c r="AR4" s="57">
        <f t="shared" si="0"/>
        <v>35</v>
      </c>
      <c r="AS4" s="57">
        <f t="shared" si="0"/>
        <v>36</v>
      </c>
      <c r="AT4" s="57">
        <f t="shared" si="0"/>
        <v>37</v>
      </c>
      <c r="AU4" s="57">
        <f t="shared" si="0"/>
        <v>38</v>
      </c>
      <c r="AV4" s="57">
        <f t="shared" si="0"/>
        <v>39</v>
      </c>
      <c r="AW4" s="57">
        <f t="shared" si="0"/>
        <v>40</v>
      </c>
      <c r="AX4" s="57">
        <f t="shared" si="0"/>
        <v>41</v>
      </c>
      <c r="AY4" s="57">
        <f t="shared" si="0"/>
        <v>42</v>
      </c>
      <c r="AZ4" s="57">
        <f t="shared" si="0"/>
        <v>43</v>
      </c>
      <c r="BA4" s="57">
        <f t="shared" si="0"/>
        <v>44</v>
      </c>
      <c r="BB4" s="57">
        <f t="shared" si="0"/>
        <v>45</v>
      </c>
      <c r="BC4" s="57">
        <f t="shared" si="0"/>
        <v>46</v>
      </c>
      <c r="BD4" s="57">
        <f t="shared" si="0"/>
        <v>47</v>
      </c>
      <c r="BE4" s="57">
        <f t="shared" si="0"/>
        <v>48</v>
      </c>
      <c r="BF4" s="57">
        <f t="shared" si="0"/>
        <v>49</v>
      </c>
      <c r="BG4" s="57">
        <f t="shared" si="0"/>
        <v>50</v>
      </c>
      <c r="BH4" s="57">
        <f t="shared" si="0"/>
        <v>51</v>
      </c>
      <c r="BI4" s="57">
        <f t="shared" si="0"/>
        <v>52</v>
      </c>
      <c r="BJ4" s="57">
        <f t="shared" si="0"/>
        <v>53</v>
      </c>
    </row>
    <row r="5" spans="1:62" x14ac:dyDescent="0.25">
      <c r="C5" s="100" t="s">
        <v>130</v>
      </c>
      <c r="D5" s="98" t="s">
        <v>131</v>
      </c>
      <c r="E5" s="103" t="s">
        <v>62</v>
      </c>
      <c r="F5" s="61"/>
      <c r="G5" s="98" t="s">
        <v>72</v>
      </c>
      <c r="H5" s="98" t="s">
        <v>73</v>
      </c>
      <c r="I5" s="98" t="s">
        <v>74</v>
      </c>
      <c r="J5" s="62" t="s">
        <v>75</v>
      </c>
      <c r="K5" s="62" t="s">
        <v>76</v>
      </c>
      <c r="L5" s="62" t="s">
        <v>77</v>
      </c>
      <c r="M5" s="62" t="s">
        <v>78</v>
      </c>
      <c r="N5" s="62" t="s">
        <v>79</v>
      </c>
      <c r="O5" s="62" t="s">
        <v>80</v>
      </c>
      <c r="P5" s="62" t="s">
        <v>81</v>
      </c>
      <c r="Q5" s="62" t="s">
        <v>82</v>
      </c>
      <c r="R5" s="62" t="s">
        <v>83</v>
      </c>
      <c r="S5" s="62" t="s">
        <v>84</v>
      </c>
      <c r="T5" s="62" t="s">
        <v>85</v>
      </c>
      <c r="U5" s="62" t="s">
        <v>86</v>
      </c>
      <c r="V5" s="62" t="s">
        <v>87</v>
      </c>
      <c r="W5" s="62" t="s">
        <v>88</v>
      </c>
      <c r="X5" s="62" t="s">
        <v>89</v>
      </c>
      <c r="Y5" s="62" t="s">
        <v>90</v>
      </c>
      <c r="Z5" s="62" t="s">
        <v>91</v>
      </c>
      <c r="AA5" s="62" t="s">
        <v>92</v>
      </c>
      <c r="AB5" s="62" t="s">
        <v>93</v>
      </c>
      <c r="AC5" s="62" t="s">
        <v>94</v>
      </c>
      <c r="AD5" s="62" t="s">
        <v>95</v>
      </c>
      <c r="AE5" s="62" t="s">
        <v>96</v>
      </c>
      <c r="AF5" s="62" t="s">
        <v>97</v>
      </c>
      <c r="AG5" s="62" t="s">
        <v>98</v>
      </c>
      <c r="AH5" s="62" t="s">
        <v>99</v>
      </c>
      <c r="AI5" s="62" t="s">
        <v>100</v>
      </c>
      <c r="AJ5" s="62" t="s">
        <v>101</v>
      </c>
      <c r="AK5" s="62" t="s">
        <v>102</v>
      </c>
      <c r="AL5" s="62" t="s">
        <v>103</v>
      </c>
      <c r="AM5" s="62" t="s">
        <v>104</v>
      </c>
      <c r="AN5" s="62" t="s">
        <v>105</v>
      </c>
      <c r="AO5" s="62" t="s">
        <v>106</v>
      </c>
      <c r="AP5" s="62" t="s">
        <v>107</v>
      </c>
      <c r="AQ5" s="62" t="s">
        <v>108</v>
      </c>
      <c r="AR5" s="62" t="s">
        <v>109</v>
      </c>
      <c r="AS5" s="62" t="s">
        <v>110</v>
      </c>
      <c r="AT5" s="62" t="s">
        <v>111</v>
      </c>
      <c r="AU5" s="62" t="s">
        <v>112</v>
      </c>
      <c r="AV5" s="62" t="s">
        <v>113</v>
      </c>
      <c r="AW5" s="62" t="s">
        <v>114</v>
      </c>
      <c r="AX5" s="62" t="s">
        <v>115</v>
      </c>
      <c r="AY5" s="62" t="s">
        <v>116</v>
      </c>
      <c r="AZ5" s="62" t="s">
        <v>117</v>
      </c>
      <c r="BA5" s="62" t="s">
        <v>118</v>
      </c>
      <c r="BB5" s="63" t="s">
        <v>119</v>
      </c>
      <c r="BC5" s="62" t="s">
        <v>120</v>
      </c>
      <c r="BD5" s="62" t="s">
        <v>121</v>
      </c>
      <c r="BE5" s="62" t="s">
        <v>122</v>
      </c>
      <c r="BF5" s="62" t="s">
        <v>123</v>
      </c>
      <c r="BG5" s="62" t="s">
        <v>124</v>
      </c>
      <c r="BH5" s="62" t="s">
        <v>125</v>
      </c>
      <c r="BI5" s="64" t="s">
        <v>126</v>
      </c>
      <c r="BJ5" s="64" t="s">
        <v>132</v>
      </c>
    </row>
    <row r="6" spans="1:62" x14ac:dyDescent="0.25">
      <c r="C6" s="105"/>
      <c r="D6" s="99"/>
      <c r="E6" s="106"/>
      <c r="F6" s="65"/>
      <c r="G6" s="99"/>
      <c r="H6" s="99"/>
      <c r="I6" s="99"/>
      <c r="J6" s="79">
        <v>46028</v>
      </c>
      <c r="K6" s="79">
        <f t="shared" ref="K6:BI6" si="1">J6+7</f>
        <v>46035</v>
      </c>
      <c r="L6" s="79">
        <f t="shared" si="1"/>
        <v>46042</v>
      </c>
      <c r="M6" s="79">
        <f t="shared" si="1"/>
        <v>46049</v>
      </c>
      <c r="N6" s="79">
        <f t="shared" si="1"/>
        <v>46056</v>
      </c>
      <c r="O6" s="79">
        <f t="shared" si="1"/>
        <v>46063</v>
      </c>
      <c r="P6" s="79">
        <f t="shared" si="1"/>
        <v>46070</v>
      </c>
      <c r="Q6" s="79">
        <f t="shared" si="1"/>
        <v>46077</v>
      </c>
      <c r="R6" s="79">
        <f t="shared" si="1"/>
        <v>46084</v>
      </c>
      <c r="S6" s="79">
        <f t="shared" si="1"/>
        <v>46091</v>
      </c>
      <c r="T6" s="79">
        <f t="shared" si="1"/>
        <v>46098</v>
      </c>
      <c r="U6" s="79">
        <f t="shared" si="1"/>
        <v>46105</v>
      </c>
      <c r="V6" s="79">
        <f t="shared" si="1"/>
        <v>46112</v>
      </c>
      <c r="W6" s="79">
        <f t="shared" si="1"/>
        <v>46119</v>
      </c>
      <c r="X6" s="79">
        <f t="shared" si="1"/>
        <v>46126</v>
      </c>
      <c r="Y6" s="79">
        <f t="shared" si="1"/>
        <v>46133</v>
      </c>
      <c r="Z6" s="79">
        <f t="shared" si="1"/>
        <v>46140</v>
      </c>
      <c r="AA6" s="79">
        <f t="shared" si="1"/>
        <v>46147</v>
      </c>
      <c r="AB6" s="79">
        <f t="shared" si="1"/>
        <v>46154</v>
      </c>
      <c r="AC6" s="79">
        <f t="shared" si="1"/>
        <v>46161</v>
      </c>
      <c r="AD6" s="79">
        <f t="shared" si="1"/>
        <v>46168</v>
      </c>
      <c r="AE6" s="79">
        <f t="shared" si="1"/>
        <v>46175</v>
      </c>
      <c r="AF6" s="79">
        <f t="shared" si="1"/>
        <v>46182</v>
      </c>
      <c r="AG6" s="79">
        <f t="shared" si="1"/>
        <v>46189</v>
      </c>
      <c r="AH6" s="79">
        <f t="shared" si="1"/>
        <v>46196</v>
      </c>
      <c r="AI6" s="79">
        <f t="shared" si="1"/>
        <v>46203</v>
      </c>
      <c r="AJ6" s="79">
        <f t="shared" si="1"/>
        <v>46210</v>
      </c>
      <c r="AK6" s="79">
        <f t="shared" si="1"/>
        <v>46217</v>
      </c>
      <c r="AL6" s="79">
        <f t="shared" si="1"/>
        <v>46224</v>
      </c>
      <c r="AM6" s="79">
        <f t="shared" si="1"/>
        <v>46231</v>
      </c>
      <c r="AN6" s="79">
        <f t="shared" si="1"/>
        <v>46238</v>
      </c>
      <c r="AO6" s="79">
        <f t="shared" si="1"/>
        <v>46245</v>
      </c>
      <c r="AP6" s="79">
        <f t="shared" si="1"/>
        <v>46252</v>
      </c>
      <c r="AQ6" s="79">
        <f t="shared" si="1"/>
        <v>46259</v>
      </c>
      <c r="AR6" s="79">
        <f t="shared" si="1"/>
        <v>46266</v>
      </c>
      <c r="AS6" s="79">
        <f t="shared" si="1"/>
        <v>46273</v>
      </c>
      <c r="AT6" s="79">
        <f t="shared" si="1"/>
        <v>46280</v>
      </c>
      <c r="AU6" s="79">
        <f t="shared" si="1"/>
        <v>46287</v>
      </c>
      <c r="AV6" s="79">
        <f t="shared" si="1"/>
        <v>46294</v>
      </c>
      <c r="AW6" s="79">
        <f t="shared" si="1"/>
        <v>46301</v>
      </c>
      <c r="AX6" s="79">
        <f t="shared" si="1"/>
        <v>46308</v>
      </c>
      <c r="AY6" s="79">
        <f t="shared" si="1"/>
        <v>46315</v>
      </c>
      <c r="AZ6" s="79">
        <f t="shared" si="1"/>
        <v>46322</v>
      </c>
      <c r="BA6" s="79">
        <f t="shared" si="1"/>
        <v>46329</v>
      </c>
      <c r="BB6" s="79">
        <f t="shared" si="1"/>
        <v>46336</v>
      </c>
      <c r="BC6" s="79">
        <f t="shared" si="1"/>
        <v>46343</v>
      </c>
      <c r="BD6" s="79">
        <f t="shared" si="1"/>
        <v>46350</v>
      </c>
      <c r="BE6" s="79">
        <f t="shared" si="1"/>
        <v>46357</v>
      </c>
      <c r="BF6" s="79">
        <f t="shared" si="1"/>
        <v>46364</v>
      </c>
      <c r="BG6" s="79">
        <f t="shared" si="1"/>
        <v>46371</v>
      </c>
      <c r="BH6" s="79">
        <f t="shared" si="1"/>
        <v>46378</v>
      </c>
      <c r="BI6" s="79">
        <f t="shared" si="1"/>
        <v>46385</v>
      </c>
      <c r="BJ6" s="79">
        <f>BI6+1</f>
        <v>46386</v>
      </c>
    </row>
    <row r="7" spans="1:62" x14ac:dyDescent="0.25">
      <c r="C7" s="30" t="str">
        <f>PARAMETER!J2</f>
        <v>RIFALDI</v>
      </c>
      <c r="D7" s="59" t="s">
        <v>127</v>
      </c>
      <c r="E7" s="37">
        <f>I8/I7</f>
        <v>1.6811384841730015</v>
      </c>
      <c r="F7" s="23">
        <f>IF(E7&gt;300%,300%,E7)</f>
        <v>1.6811384841730015</v>
      </c>
      <c r="G7" s="60" t="s">
        <v>138</v>
      </c>
      <c r="H7" s="38">
        <f t="shared" ref="H7:J10" si="2">H14+H18+H22+H26+H30+H34+H38+H42+H46+H50+H54+H58+H62+H66+H70+H74+H78+H82+H86+H90+H94+H98</f>
        <v>487510</v>
      </c>
      <c r="I7" s="38">
        <f t="shared" si="2"/>
        <v>20579.602012394178</v>
      </c>
      <c r="J7" s="38">
        <f t="shared" si="2"/>
        <v>2497.0900683605637</v>
      </c>
      <c r="K7" s="38">
        <f t="shared" ref="K7:BJ7" si="3">K14+K18+K22+K26+K30+K34+K38+K42+K46+K50+K54+K58+K62+K66+K70+K74+K78+K82+K86+K90+K94+K98</f>
        <v>2469.6750607294607</v>
      </c>
      <c r="L7" s="38">
        <f t="shared" si="3"/>
        <v>2176.6466080142172</v>
      </c>
      <c r="M7" s="38">
        <f>M14+M18+M22+M26+M30+M34+M38+M42+M46+M50+M54+M58+M62+M66+M70+M74+M78+M82+M86+M90+M94+M98</f>
        <v>2675.7300924599076</v>
      </c>
      <c r="N7" s="38">
        <f t="shared" si="3"/>
        <v>2552.8935361695353</v>
      </c>
      <c r="O7" s="38">
        <f t="shared" si="3"/>
        <v>2146.5567301642718</v>
      </c>
      <c r="P7" s="38">
        <f t="shared" si="3"/>
        <v>1851.1159898918647</v>
      </c>
      <c r="Q7" s="38">
        <f t="shared" si="3"/>
        <v>1510.1886408441392</v>
      </c>
      <c r="R7" s="38">
        <f t="shared" si="3"/>
        <v>2699.7052857602171</v>
      </c>
      <c r="S7" s="38">
        <f t="shared" si="3"/>
        <v>3345.062699034203</v>
      </c>
      <c r="T7" s="38">
        <f t="shared" si="3"/>
        <v>4205.4533404124822</v>
      </c>
      <c r="U7" s="38" t="e">
        <f t="shared" si="3"/>
        <v>#VALUE!</v>
      </c>
      <c r="V7" s="38" t="e">
        <f t="shared" si="3"/>
        <v>#VALUE!</v>
      </c>
      <c r="W7" s="38" t="e">
        <f t="shared" si="3"/>
        <v>#VALUE!</v>
      </c>
      <c r="X7" s="38" t="e">
        <f t="shared" si="3"/>
        <v>#VALUE!</v>
      </c>
      <c r="Y7" s="38" t="e">
        <f t="shared" si="3"/>
        <v>#VALUE!</v>
      </c>
      <c r="Z7" s="38" t="e">
        <f t="shared" si="3"/>
        <v>#VALUE!</v>
      </c>
      <c r="AA7" s="38" t="e">
        <f t="shared" si="3"/>
        <v>#VALUE!</v>
      </c>
      <c r="AB7" s="38" t="e">
        <f t="shared" si="3"/>
        <v>#VALUE!</v>
      </c>
      <c r="AC7" s="38" t="e">
        <f t="shared" si="3"/>
        <v>#VALUE!</v>
      </c>
      <c r="AD7" s="38" t="e">
        <f t="shared" si="3"/>
        <v>#VALUE!</v>
      </c>
      <c r="AE7" s="38" t="e">
        <f t="shared" si="3"/>
        <v>#VALUE!</v>
      </c>
      <c r="AF7" s="38" t="e">
        <f t="shared" si="3"/>
        <v>#VALUE!</v>
      </c>
      <c r="AG7" s="38" t="e">
        <f t="shared" si="3"/>
        <v>#VALUE!</v>
      </c>
      <c r="AH7" s="38" t="e">
        <f t="shared" si="3"/>
        <v>#VALUE!</v>
      </c>
      <c r="AI7" s="38" t="e">
        <f t="shared" si="3"/>
        <v>#VALUE!</v>
      </c>
      <c r="AJ7" s="38" t="e">
        <f t="shared" si="3"/>
        <v>#VALUE!</v>
      </c>
      <c r="AK7" s="38" t="e">
        <f t="shared" si="3"/>
        <v>#VALUE!</v>
      </c>
      <c r="AL7" s="38" t="e">
        <f t="shared" si="3"/>
        <v>#VALUE!</v>
      </c>
      <c r="AM7" s="38" t="e">
        <f t="shared" si="3"/>
        <v>#VALUE!</v>
      </c>
      <c r="AN7" s="38" t="e">
        <f t="shared" si="3"/>
        <v>#VALUE!</v>
      </c>
      <c r="AO7" s="38" t="e">
        <f t="shared" si="3"/>
        <v>#VALUE!</v>
      </c>
      <c r="AP7" s="38" t="e">
        <f t="shared" si="3"/>
        <v>#VALUE!</v>
      </c>
      <c r="AQ7" s="38" t="e">
        <f t="shared" si="3"/>
        <v>#VALUE!</v>
      </c>
      <c r="AR7" s="38" t="e">
        <f t="shared" si="3"/>
        <v>#VALUE!</v>
      </c>
      <c r="AS7" s="38" t="e">
        <f t="shared" si="3"/>
        <v>#VALUE!</v>
      </c>
      <c r="AT7" s="38" t="e">
        <f t="shared" si="3"/>
        <v>#VALUE!</v>
      </c>
      <c r="AU7" s="38" t="e">
        <f t="shared" si="3"/>
        <v>#VALUE!</v>
      </c>
      <c r="AV7" s="38" t="e">
        <f t="shared" si="3"/>
        <v>#VALUE!</v>
      </c>
      <c r="AW7" s="38" t="e">
        <f t="shared" si="3"/>
        <v>#VALUE!</v>
      </c>
      <c r="AX7" s="38" t="e">
        <f t="shared" si="3"/>
        <v>#VALUE!</v>
      </c>
      <c r="AY7" s="38" t="e">
        <f t="shared" si="3"/>
        <v>#VALUE!</v>
      </c>
      <c r="AZ7" s="38" t="e">
        <f t="shared" si="3"/>
        <v>#VALUE!</v>
      </c>
      <c r="BA7" s="38" t="e">
        <f t="shared" si="3"/>
        <v>#VALUE!</v>
      </c>
      <c r="BB7" s="38" t="e">
        <f t="shared" si="3"/>
        <v>#VALUE!</v>
      </c>
      <c r="BC7" s="38" t="e">
        <f t="shared" si="3"/>
        <v>#VALUE!</v>
      </c>
      <c r="BD7" s="38" t="e">
        <f t="shared" si="3"/>
        <v>#VALUE!</v>
      </c>
      <c r="BE7" s="38" t="e">
        <f t="shared" si="3"/>
        <v>#VALUE!</v>
      </c>
      <c r="BF7" s="38" t="e">
        <f t="shared" si="3"/>
        <v>#VALUE!</v>
      </c>
      <c r="BG7" s="38" t="e">
        <f t="shared" si="3"/>
        <v>#VALUE!</v>
      </c>
      <c r="BH7" s="38" t="e">
        <f t="shared" si="3"/>
        <v>#VALUE!</v>
      </c>
      <c r="BI7" s="38" t="e">
        <f t="shared" si="3"/>
        <v>#VALUE!</v>
      </c>
      <c r="BJ7" s="38" t="e">
        <f t="shared" si="3"/>
        <v>#VALUE!</v>
      </c>
    </row>
    <row r="8" spans="1:62" x14ac:dyDescent="0.25">
      <c r="C8" s="32" t="str">
        <f>C7</f>
        <v>RIFALDI</v>
      </c>
      <c r="D8" s="27" t="s">
        <v>128</v>
      </c>
      <c r="E8" s="34">
        <f>I8/I9-1</f>
        <v>1.1040251707642335</v>
      </c>
      <c r="F8" s="28">
        <f>IF(E8&gt;300%,300%,E8)</f>
        <v>1.1040251707642335</v>
      </c>
      <c r="G8" s="39">
        <v>2026</v>
      </c>
      <c r="H8" s="40">
        <f t="shared" si="2"/>
        <v>34597.160931999999</v>
      </c>
      <c r="I8" s="40">
        <f t="shared" si="2"/>
        <v>34597.160931999999</v>
      </c>
      <c r="J8" s="40">
        <f t="shared" si="2"/>
        <v>3306.2705419999998</v>
      </c>
      <c r="K8" s="40">
        <f t="shared" ref="K8:BJ8" si="4">K15+K19+K23+K27+K31+K35+K39+K43+K47+K51+K55+K59+K63+K67+K71+K75+K79+K83+K87+K91+K95+K99</f>
        <v>2951.0037240000001</v>
      </c>
      <c r="L8" s="40">
        <f t="shared" si="4"/>
        <v>1819.6498290000002</v>
      </c>
      <c r="M8" s="40">
        <f t="shared" si="4"/>
        <v>1675.683816</v>
      </c>
      <c r="N8" s="40">
        <f t="shared" si="4"/>
        <v>3587.6928280000002</v>
      </c>
      <c r="O8" s="40">
        <f t="shared" si="4"/>
        <v>5687.494537999999</v>
      </c>
      <c r="P8" s="40">
        <f t="shared" si="4"/>
        <v>5563.1311819999992</v>
      </c>
      <c r="Q8" s="40">
        <f t="shared" si="4"/>
        <v>3864.1882929999997</v>
      </c>
      <c r="R8" s="40">
        <f t="shared" si="4"/>
        <v>2380.3231679999999</v>
      </c>
      <c r="S8" s="40">
        <f t="shared" si="4"/>
        <v>1903.8981610000001</v>
      </c>
      <c r="T8" s="40">
        <f t="shared" si="4"/>
        <v>1857.8248509999999</v>
      </c>
      <c r="U8" s="40" t="e">
        <f t="shared" si="4"/>
        <v>#VALUE!</v>
      </c>
      <c r="V8" s="40" t="e">
        <f t="shared" si="4"/>
        <v>#VALUE!</v>
      </c>
      <c r="W8" s="40" t="e">
        <f t="shared" si="4"/>
        <v>#VALUE!</v>
      </c>
      <c r="X8" s="40" t="e">
        <f t="shared" si="4"/>
        <v>#VALUE!</v>
      </c>
      <c r="Y8" s="40" t="e">
        <f t="shared" si="4"/>
        <v>#VALUE!</v>
      </c>
      <c r="Z8" s="40" t="e">
        <f t="shared" si="4"/>
        <v>#VALUE!</v>
      </c>
      <c r="AA8" s="40" t="e">
        <f t="shared" si="4"/>
        <v>#VALUE!</v>
      </c>
      <c r="AB8" s="40" t="e">
        <f t="shared" si="4"/>
        <v>#VALUE!</v>
      </c>
      <c r="AC8" s="40" t="e">
        <f t="shared" si="4"/>
        <v>#VALUE!</v>
      </c>
      <c r="AD8" s="40" t="e">
        <f t="shared" si="4"/>
        <v>#VALUE!</v>
      </c>
      <c r="AE8" s="40" t="e">
        <f t="shared" si="4"/>
        <v>#VALUE!</v>
      </c>
      <c r="AF8" s="40" t="e">
        <f t="shared" si="4"/>
        <v>#VALUE!</v>
      </c>
      <c r="AG8" s="40" t="e">
        <f t="shared" si="4"/>
        <v>#VALUE!</v>
      </c>
      <c r="AH8" s="40" t="e">
        <f t="shared" si="4"/>
        <v>#VALUE!</v>
      </c>
      <c r="AI8" s="40" t="e">
        <f t="shared" si="4"/>
        <v>#VALUE!</v>
      </c>
      <c r="AJ8" s="40" t="e">
        <f t="shared" si="4"/>
        <v>#VALUE!</v>
      </c>
      <c r="AK8" s="40" t="e">
        <f t="shared" si="4"/>
        <v>#VALUE!</v>
      </c>
      <c r="AL8" s="40" t="e">
        <f t="shared" si="4"/>
        <v>#VALUE!</v>
      </c>
      <c r="AM8" s="40" t="e">
        <f t="shared" si="4"/>
        <v>#VALUE!</v>
      </c>
      <c r="AN8" s="40" t="e">
        <f t="shared" si="4"/>
        <v>#VALUE!</v>
      </c>
      <c r="AO8" s="40" t="e">
        <f t="shared" si="4"/>
        <v>#VALUE!</v>
      </c>
      <c r="AP8" s="40" t="e">
        <f t="shared" si="4"/>
        <v>#VALUE!</v>
      </c>
      <c r="AQ8" s="40" t="e">
        <f t="shared" si="4"/>
        <v>#VALUE!</v>
      </c>
      <c r="AR8" s="40" t="e">
        <f t="shared" si="4"/>
        <v>#VALUE!</v>
      </c>
      <c r="AS8" s="40" t="e">
        <f t="shared" si="4"/>
        <v>#VALUE!</v>
      </c>
      <c r="AT8" s="40" t="e">
        <f t="shared" si="4"/>
        <v>#VALUE!</v>
      </c>
      <c r="AU8" s="40" t="e">
        <f t="shared" si="4"/>
        <v>#VALUE!</v>
      </c>
      <c r="AV8" s="40" t="e">
        <f t="shared" si="4"/>
        <v>#VALUE!</v>
      </c>
      <c r="AW8" s="40" t="e">
        <f t="shared" si="4"/>
        <v>#VALUE!</v>
      </c>
      <c r="AX8" s="40" t="e">
        <f t="shared" si="4"/>
        <v>#VALUE!</v>
      </c>
      <c r="AY8" s="40" t="e">
        <f t="shared" si="4"/>
        <v>#VALUE!</v>
      </c>
      <c r="AZ8" s="40" t="e">
        <f t="shared" si="4"/>
        <v>#VALUE!</v>
      </c>
      <c r="BA8" s="40" t="e">
        <f t="shared" si="4"/>
        <v>#VALUE!</v>
      </c>
      <c r="BB8" s="40" t="e">
        <f t="shared" si="4"/>
        <v>#VALUE!</v>
      </c>
      <c r="BC8" s="40" t="e">
        <f t="shared" si="4"/>
        <v>#VALUE!</v>
      </c>
      <c r="BD8" s="40" t="e">
        <f t="shared" si="4"/>
        <v>#VALUE!</v>
      </c>
      <c r="BE8" s="40" t="e">
        <f t="shared" si="4"/>
        <v>#VALUE!</v>
      </c>
      <c r="BF8" s="40" t="e">
        <f t="shared" si="4"/>
        <v>#VALUE!</v>
      </c>
      <c r="BG8" s="40" t="e">
        <f t="shared" si="4"/>
        <v>#VALUE!</v>
      </c>
      <c r="BH8" s="40" t="e">
        <f t="shared" si="4"/>
        <v>#VALUE!</v>
      </c>
      <c r="BI8" s="40" t="e">
        <f t="shared" si="4"/>
        <v>#VALUE!</v>
      </c>
      <c r="BJ8" s="40" t="e">
        <f t="shared" si="4"/>
        <v>#VALUE!</v>
      </c>
    </row>
    <row r="9" spans="1:62" x14ac:dyDescent="0.25">
      <c r="C9" s="32"/>
      <c r="D9" s="27" t="s">
        <v>128</v>
      </c>
      <c r="E9" s="34">
        <f>I9/I10-1</f>
        <v>-0.83911596048711201</v>
      </c>
      <c r="F9" s="28">
        <f>IF(E9&gt;300%,300%,E9)</f>
        <v>-0.83911596048711201</v>
      </c>
      <c r="G9" s="39">
        <v>2025</v>
      </c>
      <c r="H9" s="40">
        <f t="shared" si="2"/>
        <v>78487.255596999996</v>
      </c>
      <c r="I9" s="40">
        <f t="shared" si="2"/>
        <v>16443.320836999999</v>
      </c>
      <c r="J9" s="40">
        <f t="shared" si="2"/>
        <v>1887.127479</v>
      </c>
      <c r="K9" s="40">
        <f t="shared" ref="K9:BJ9" si="5">K16+K20+K24+K28+K32+K36+K40+K44+K48+K52+K56+K60+K64+K68+K72+K76+K80+K84+K88+K92+K96+K100</f>
        <v>1800.442814</v>
      </c>
      <c r="L9" s="40">
        <f t="shared" si="5"/>
        <v>1772.580199</v>
      </c>
      <c r="M9" s="40">
        <f t="shared" si="5"/>
        <v>2057.1165179999998</v>
      </c>
      <c r="N9" s="40">
        <f t="shared" si="5"/>
        <v>1643.4074080000003</v>
      </c>
      <c r="O9" s="40">
        <f t="shared" si="5"/>
        <v>1263.5455689999999</v>
      </c>
      <c r="P9" s="40">
        <f t="shared" si="5"/>
        <v>1230.1829459999999</v>
      </c>
      <c r="Q9" s="40">
        <f t="shared" si="5"/>
        <v>1523.2817910000001</v>
      </c>
      <c r="R9" s="40">
        <f t="shared" si="5"/>
        <v>1157.994946</v>
      </c>
      <c r="S9" s="40">
        <f t="shared" si="5"/>
        <v>1167.984003</v>
      </c>
      <c r="T9" s="40">
        <f t="shared" si="5"/>
        <v>939.65716399999997</v>
      </c>
      <c r="U9" s="40" t="e">
        <f t="shared" si="5"/>
        <v>#VALUE!</v>
      </c>
      <c r="V9" s="40" t="e">
        <f t="shared" si="5"/>
        <v>#VALUE!</v>
      </c>
      <c r="W9" s="40" t="e">
        <f t="shared" si="5"/>
        <v>#VALUE!</v>
      </c>
      <c r="X9" s="40" t="e">
        <f t="shared" si="5"/>
        <v>#VALUE!</v>
      </c>
      <c r="Y9" s="40" t="e">
        <f t="shared" si="5"/>
        <v>#VALUE!</v>
      </c>
      <c r="Z9" s="40" t="e">
        <f t="shared" si="5"/>
        <v>#VALUE!</v>
      </c>
      <c r="AA9" s="40" t="e">
        <f t="shared" si="5"/>
        <v>#VALUE!</v>
      </c>
      <c r="AB9" s="40" t="e">
        <f t="shared" si="5"/>
        <v>#VALUE!</v>
      </c>
      <c r="AC9" s="40" t="e">
        <f t="shared" si="5"/>
        <v>#VALUE!</v>
      </c>
      <c r="AD9" s="40" t="e">
        <f t="shared" si="5"/>
        <v>#VALUE!</v>
      </c>
      <c r="AE9" s="40" t="e">
        <f t="shared" si="5"/>
        <v>#VALUE!</v>
      </c>
      <c r="AF9" s="40" t="e">
        <f t="shared" si="5"/>
        <v>#VALUE!</v>
      </c>
      <c r="AG9" s="40" t="e">
        <f t="shared" si="5"/>
        <v>#VALUE!</v>
      </c>
      <c r="AH9" s="40" t="e">
        <f t="shared" si="5"/>
        <v>#VALUE!</v>
      </c>
      <c r="AI9" s="40" t="e">
        <f t="shared" si="5"/>
        <v>#VALUE!</v>
      </c>
      <c r="AJ9" s="40" t="e">
        <f t="shared" si="5"/>
        <v>#VALUE!</v>
      </c>
      <c r="AK9" s="40" t="e">
        <f t="shared" si="5"/>
        <v>#VALUE!</v>
      </c>
      <c r="AL9" s="40" t="e">
        <f t="shared" si="5"/>
        <v>#VALUE!</v>
      </c>
      <c r="AM9" s="40" t="e">
        <f t="shared" si="5"/>
        <v>#VALUE!</v>
      </c>
      <c r="AN9" s="40" t="e">
        <f t="shared" si="5"/>
        <v>#VALUE!</v>
      </c>
      <c r="AO9" s="40" t="e">
        <f t="shared" si="5"/>
        <v>#VALUE!</v>
      </c>
      <c r="AP9" s="40" t="e">
        <f t="shared" si="5"/>
        <v>#VALUE!</v>
      </c>
      <c r="AQ9" s="40" t="e">
        <f t="shared" si="5"/>
        <v>#VALUE!</v>
      </c>
      <c r="AR9" s="40" t="e">
        <f t="shared" si="5"/>
        <v>#VALUE!</v>
      </c>
      <c r="AS9" s="40" t="e">
        <f t="shared" si="5"/>
        <v>#VALUE!</v>
      </c>
      <c r="AT9" s="40" t="e">
        <f t="shared" si="5"/>
        <v>#VALUE!</v>
      </c>
      <c r="AU9" s="40" t="e">
        <f t="shared" si="5"/>
        <v>#VALUE!</v>
      </c>
      <c r="AV9" s="40" t="e">
        <f t="shared" si="5"/>
        <v>#VALUE!</v>
      </c>
      <c r="AW9" s="40" t="e">
        <f t="shared" si="5"/>
        <v>#VALUE!</v>
      </c>
      <c r="AX9" s="40" t="e">
        <f t="shared" si="5"/>
        <v>#VALUE!</v>
      </c>
      <c r="AY9" s="40" t="e">
        <f t="shared" si="5"/>
        <v>#VALUE!</v>
      </c>
      <c r="AZ9" s="40" t="e">
        <f t="shared" si="5"/>
        <v>#VALUE!</v>
      </c>
      <c r="BA9" s="40" t="e">
        <f t="shared" si="5"/>
        <v>#VALUE!</v>
      </c>
      <c r="BB9" s="40" t="e">
        <f t="shared" si="5"/>
        <v>#VALUE!</v>
      </c>
      <c r="BC9" s="40" t="e">
        <f t="shared" si="5"/>
        <v>#VALUE!</v>
      </c>
      <c r="BD9" s="40" t="e">
        <f t="shared" si="5"/>
        <v>#VALUE!</v>
      </c>
      <c r="BE9" s="40" t="e">
        <f t="shared" si="5"/>
        <v>#VALUE!</v>
      </c>
      <c r="BF9" s="40" t="e">
        <f t="shared" si="5"/>
        <v>#VALUE!</v>
      </c>
      <c r="BG9" s="40" t="e">
        <f t="shared" si="5"/>
        <v>#VALUE!</v>
      </c>
      <c r="BH9" s="40" t="e">
        <f t="shared" si="5"/>
        <v>#VALUE!</v>
      </c>
      <c r="BI9" s="40" t="e">
        <f t="shared" si="5"/>
        <v>#VALUE!</v>
      </c>
      <c r="BJ9" s="40" t="e">
        <f t="shared" si="5"/>
        <v>#VALUE!</v>
      </c>
    </row>
    <row r="10" spans="1:62" x14ac:dyDescent="0.25">
      <c r="C10" s="33" t="str">
        <f>C7</f>
        <v>RIFALDI</v>
      </c>
      <c r="D10" s="27"/>
      <c r="E10" s="35"/>
      <c r="F10" s="28"/>
      <c r="G10" s="29">
        <f>G9-1</f>
        <v>2024</v>
      </c>
      <c r="H10" s="38">
        <f t="shared" si="2"/>
        <v>347836.263767</v>
      </c>
      <c r="I10" s="38">
        <f t="shared" si="2"/>
        <v>102206.04161100001</v>
      </c>
      <c r="J10" s="38">
        <f t="shared" si="2"/>
        <v>10425.073925000001</v>
      </c>
      <c r="K10" s="38">
        <f t="shared" ref="K10:BJ10" si="6">K17+K21+K25+K29+K33+K37+K41+K45+K49+K53+K57+K61+K65+K69+K73+K77+K81+K85+K89+K93+K97+K101</f>
        <v>10016.308266</v>
      </c>
      <c r="L10" s="38">
        <f t="shared" si="6"/>
        <v>10010.581982</v>
      </c>
      <c r="M10" s="38">
        <f t="shared" si="6"/>
        <v>10208.164352999998</v>
      </c>
      <c r="N10" s="38">
        <f t="shared" si="6"/>
        <v>11075.976155</v>
      </c>
      <c r="O10" s="38">
        <f t="shared" si="6"/>
        <v>10175.504771</v>
      </c>
      <c r="P10" s="38">
        <f t="shared" si="6"/>
        <v>7643.4372039999998</v>
      </c>
      <c r="Q10" s="38">
        <f t="shared" si="6"/>
        <v>8067.2780669999993</v>
      </c>
      <c r="R10" s="38">
        <f t="shared" si="6"/>
        <v>10236.482574</v>
      </c>
      <c r="S10" s="38">
        <f t="shared" si="6"/>
        <v>7960.1885549999997</v>
      </c>
      <c r="T10" s="38">
        <f t="shared" si="6"/>
        <v>6387.0457589999996</v>
      </c>
      <c r="U10" s="38" t="e">
        <f t="shared" si="6"/>
        <v>#VALUE!</v>
      </c>
      <c r="V10" s="38" t="e">
        <f t="shared" si="6"/>
        <v>#VALUE!</v>
      </c>
      <c r="W10" s="38" t="e">
        <f t="shared" si="6"/>
        <v>#VALUE!</v>
      </c>
      <c r="X10" s="38" t="e">
        <f t="shared" si="6"/>
        <v>#VALUE!</v>
      </c>
      <c r="Y10" s="38" t="e">
        <f t="shared" si="6"/>
        <v>#VALUE!</v>
      </c>
      <c r="Z10" s="38" t="e">
        <f t="shared" si="6"/>
        <v>#VALUE!</v>
      </c>
      <c r="AA10" s="38" t="e">
        <f t="shared" si="6"/>
        <v>#VALUE!</v>
      </c>
      <c r="AB10" s="38" t="e">
        <f t="shared" si="6"/>
        <v>#VALUE!</v>
      </c>
      <c r="AC10" s="38" t="e">
        <f t="shared" si="6"/>
        <v>#VALUE!</v>
      </c>
      <c r="AD10" s="38" t="e">
        <f t="shared" si="6"/>
        <v>#VALUE!</v>
      </c>
      <c r="AE10" s="38" t="e">
        <f t="shared" si="6"/>
        <v>#VALUE!</v>
      </c>
      <c r="AF10" s="38" t="e">
        <f t="shared" si="6"/>
        <v>#VALUE!</v>
      </c>
      <c r="AG10" s="38" t="e">
        <f t="shared" si="6"/>
        <v>#VALUE!</v>
      </c>
      <c r="AH10" s="38" t="e">
        <f t="shared" si="6"/>
        <v>#VALUE!</v>
      </c>
      <c r="AI10" s="38" t="e">
        <f t="shared" si="6"/>
        <v>#VALUE!</v>
      </c>
      <c r="AJ10" s="38" t="e">
        <f t="shared" si="6"/>
        <v>#VALUE!</v>
      </c>
      <c r="AK10" s="38" t="e">
        <f t="shared" si="6"/>
        <v>#VALUE!</v>
      </c>
      <c r="AL10" s="38" t="e">
        <f t="shared" si="6"/>
        <v>#VALUE!</v>
      </c>
      <c r="AM10" s="38" t="e">
        <f t="shared" si="6"/>
        <v>#VALUE!</v>
      </c>
      <c r="AN10" s="38" t="e">
        <f t="shared" si="6"/>
        <v>#VALUE!</v>
      </c>
      <c r="AO10" s="38" t="e">
        <f t="shared" si="6"/>
        <v>#VALUE!</v>
      </c>
      <c r="AP10" s="38" t="e">
        <f t="shared" si="6"/>
        <v>#VALUE!</v>
      </c>
      <c r="AQ10" s="38" t="e">
        <f t="shared" si="6"/>
        <v>#VALUE!</v>
      </c>
      <c r="AR10" s="38" t="e">
        <f t="shared" si="6"/>
        <v>#VALUE!</v>
      </c>
      <c r="AS10" s="38" t="e">
        <f t="shared" si="6"/>
        <v>#VALUE!</v>
      </c>
      <c r="AT10" s="38" t="e">
        <f t="shared" si="6"/>
        <v>#VALUE!</v>
      </c>
      <c r="AU10" s="38" t="e">
        <f t="shared" si="6"/>
        <v>#VALUE!</v>
      </c>
      <c r="AV10" s="38" t="e">
        <f t="shared" si="6"/>
        <v>#VALUE!</v>
      </c>
      <c r="AW10" s="38" t="e">
        <f t="shared" si="6"/>
        <v>#VALUE!</v>
      </c>
      <c r="AX10" s="38" t="e">
        <f t="shared" si="6"/>
        <v>#VALUE!</v>
      </c>
      <c r="AY10" s="38" t="e">
        <f t="shared" si="6"/>
        <v>#VALUE!</v>
      </c>
      <c r="AZ10" s="38" t="e">
        <f t="shared" si="6"/>
        <v>#VALUE!</v>
      </c>
      <c r="BA10" s="38" t="e">
        <f t="shared" si="6"/>
        <v>#VALUE!</v>
      </c>
      <c r="BB10" s="38" t="e">
        <f t="shared" si="6"/>
        <v>#VALUE!</v>
      </c>
      <c r="BC10" s="38" t="e">
        <f t="shared" si="6"/>
        <v>#VALUE!</v>
      </c>
      <c r="BD10" s="38" t="e">
        <f t="shared" si="6"/>
        <v>#VALUE!</v>
      </c>
      <c r="BE10" s="38" t="e">
        <f t="shared" si="6"/>
        <v>#VALUE!</v>
      </c>
      <c r="BF10" s="38" t="e">
        <f t="shared" si="6"/>
        <v>#VALUE!</v>
      </c>
      <c r="BG10" s="38" t="e">
        <f t="shared" si="6"/>
        <v>#VALUE!</v>
      </c>
      <c r="BH10" s="38" t="e">
        <f t="shared" si="6"/>
        <v>#VALUE!</v>
      </c>
      <c r="BI10" s="38" t="e">
        <f t="shared" si="6"/>
        <v>#VALUE!</v>
      </c>
      <c r="BJ10" s="38" t="e">
        <f t="shared" si="6"/>
        <v>#VALUE!</v>
      </c>
    </row>
    <row r="12" spans="1:62" x14ac:dyDescent="0.25">
      <c r="C12" s="100" t="s">
        <v>58</v>
      </c>
      <c r="D12" s="98" t="s">
        <v>131</v>
      </c>
      <c r="E12" s="103" t="s">
        <v>62</v>
      </c>
      <c r="F12" s="61"/>
      <c r="G12" s="98" t="s">
        <v>72</v>
      </c>
      <c r="H12" s="98" t="s">
        <v>73</v>
      </c>
      <c r="I12" s="98" t="s">
        <v>74</v>
      </c>
      <c r="J12" s="62" t="str">
        <f t="shared" ref="J12:AO12" si="7">J5</f>
        <v>Week-01</v>
      </c>
      <c r="K12" s="62" t="str">
        <f t="shared" si="7"/>
        <v>Week-02</v>
      </c>
      <c r="L12" s="62" t="str">
        <f t="shared" si="7"/>
        <v>Week-03</v>
      </c>
      <c r="M12" s="62" t="str">
        <f t="shared" si="7"/>
        <v>Week-04</v>
      </c>
      <c r="N12" s="62" t="str">
        <f t="shared" si="7"/>
        <v>Week-05</v>
      </c>
      <c r="O12" s="62" t="str">
        <f t="shared" si="7"/>
        <v>Week-06</v>
      </c>
      <c r="P12" s="62" t="str">
        <f t="shared" si="7"/>
        <v>Week-07</v>
      </c>
      <c r="Q12" s="62" t="str">
        <f t="shared" si="7"/>
        <v>Week-08</v>
      </c>
      <c r="R12" s="62" t="str">
        <f t="shared" si="7"/>
        <v>Week-09</v>
      </c>
      <c r="S12" s="62" t="str">
        <f t="shared" si="7"/>
        <v>Week-10</v>
      </c>
      <c r="T12" s="62" t="str">
        <f t="shared" si="7"/>
        <v>Week-11</v>
      </c>
      <c r="U12" s="62" t="str">
        <f t="shared" si="7"/>
        <v>Week-12</v>
      </c>
      <c r="V12" s="62" t="str">
        <f t="shared" si="7"/>
        <v>Week-13</v>
      </c>
      <c r="W12" s="62" t="str">
        <f t="shared" si="7"/>
        <v>Week-14</v>
      </c>
      <c r="X12" s="62" t="str">
        <f t="shared" si="7"/>
        <v>Week-15</v>
      </c>
      <c r="Y12" s="62" t="str">
        <f t="shared" si="7"/>
        <v>Week-16</v>
      </c>
      <c r="Z12" s="62" t="str">
        <f t="shared" si="7"/>
        <v>Week-17</v>
      </c>
      <c r="AA12" s="62" t="str">
        <f t="shared" si="7"/>
        <v>Week-18</v>
      </c>
      <c r="AB12" s="62" t="str">
        <f t="shared" si="7"/>
        <v>Week-19</v>
      </c>
      <c r="AC12" s="62" t="str">
        <f t="shared" si="7"/>
        <v>Week-20</v>
      </c>
      <c r="AD12" s="62" t="str">
        <f t="shared" si="7"/>
        <v>Week-21</v>
      </c>
      <c r="AE12" s="62" t="str">
        <f t="shared" si="7"/>
        <v>Week-22</v>
      </c>
      <c r="AF12" s="62" t="str">
        <f t="shared" si="7"/>
        <v>Week-23</v>
      </c>
      <c r="AG12" s="62" t="str">
        <f t="shared" si="7"/>
        <v>Week-24</v>
      </c>
      <c r="AH12" s="62" t="str">
        <f t="shared" si="7"/>
        <v>Week-25</v>
      </c>
      <c r="AI12" s="62" t="str">
        <f t="shared" si="7"/>
        <v>Week-26</v>
      </c>
      <c r="AJ12" s="62" t="str">
        <f t="shared" si="7"/>
        <v>Week-27</v>
      </c>
      <c r="AK12" s="62" t="str">
        <f t="shared" si="7"/>
        <v>Week-28</v>
      </c>
      <c r="AL12" s="62" t="str">
        <f t="shared" si="7"/>
        <v>Week-29</v>
      </c>
      <c r="AM12" s="62" t="str">
        <f t="shared" si="7"/>
        <v>Week-30</v>
      </c>
      <c r="AN12" s="62" t="str">
        <f t="shared" si="7"/>
        <v>Week-31</v>
      </c>
      <c r="AO12" s="62" t="str">
        <f t="shared" si="7"/>
        <v>Week-32</v>
      </c>
      <c r="AP12" s="62" t="str">
        <f t="shared" ref="AP12:BJ12" si="8">AP5</f>
        <v>Week-33</v>
      </c>
      <c r="AQ12" s="62" t="str">
        <f t="shared" si="8"/>
        <v>Week-34</v>
      </c>
      <c r="AR12" s="62" t="str">
        <f t="shared" si="8"/>
        <v>Week-35</v>
      </c>
      <c r="AS12" s="62" t="str">
        <f t="shared" si="8"/>
        <v>Week-36</v>
      </c>
      <c r="AT12" s="62" t="str">
        <f t="shared" si="8"/>
        <v>Week-37</v>
      </c>
      <c r="AU12" s="62" t="str">
        <f t="shared" si="8"/>
        <v>Week-38</v>
      </c>
      <c r="AV12" s="62" t="str">
        <f t="shared" si="8"/>
        <v>Week-39</v>
      </c>
      <c r="AW12" s="62" t="str">
        <f t="shared" si="8"/>
        <v>Week-40</v>
      </c>
      <c r="AX12" s="62" t="str">
        <f t="shared" si="8"/>
        <v>Week-41</v>
      </c>
      <c r="AY12" s="62" t="str">
        <f t="shared" si="8"/>
        <v>Week-42</v>
      </c>
      <c r="AZ12" s="62" t="str">
        <f t="shared" si="8"/>
        <v>Week-43</v>
      </c>
      <c r="BA12" s="62" t="str">
        <f t="shared" si="8"/>
        <v>Week-44</v>
      </c>
      <c r="BB12" s="62" t="str">
        <f t="shared" si="8"/>
        <v>Week-45</v>
      </c>
      <c r="BC12" s="62" t="str">
        <f t="shared" si="8"/>
        <v>Week-46</v>
      </c>
      <c r="BD12" s="62" t="str">
        <f t="shared" si="8"/>
        <v>Week-47</v>
      </c>
      <c r="BE12" s="62" t="str">
        <f t="shared" si="8"/>
        <v>Week-48</v>
      </c>
      <c r="BF12" s="62" t="str">
        <f t="shared" si="8"/>
        <v>Week-49</v>
      </c>
      <c r="BG12" s="62" t="str">
        <f t="shared" si="8"/>
        <v>Week-50</v>
      </c>
      <c r="BH12" s="62" t="str">
        <f t="shared" si="8"/>
        <v>Week-51</v>
      </c>
      <c r="BI12" s="62" t="str">
        <f t="shared" si="8"/>
        <v>Week-52</v>
      </c>
      <c r="BJ12" s="62" t="str">
        <f t="shared" si="8"/>
        <v>Week-53</v>
      </c>
    </row>
    <row r="13" spans="1:62" x14ac:dyDescent="0.25">
      <c r="C13" s="101"/>
      <c r="D13" s="102"/>
      <c r="E13" s="104"/>
      <c r="F13" s="41"/>
      <c r="G13" s="102"/>
      <c r="H13" s="102"/>
      <c r="I13" s="102"/>
      <c r="J13" s="42">
        <f t="shared" ref="J13:AO13" si="9">J6</f>
        <v>46028</v>
      </c>
      <c r="K13" s="42">
        <f t="shared" si="9"/>
        <v>46035</v>
      </c>
      <c r="L13" s="42">
        <f t="shared" si="9"/>
        <v>46042</v>
      </c>
      <c r="M13" s="42">
        <f t="shared" si="9"/>
        <v>46049</v>
      </c>
      <c r="N13" s="42">
        <f t="shared" si="9"/>
        <v>46056</v>
      </c>
      <c r="O13" s="42">
        <f t="shared" si="9"/>
        <v>46063</v>
      </c>
      <c r="P13" s="42">
        <f t="shared" si="9"/>
        <v>46070</v>
      </c>
      <c r="Q13" s="42">
        <f t="shared" si="9"/>
        <v>46077</v>
      </c>
      <c r="R13" s="42">
        <f t="shared" si="9"/>
        <v>46084</v>
      </c>
      <c r="S13" s="42">
        <f t="shared" si="9"/>
        <v>46091</v>
      </c>
      <c r="T13" s="42">
        <f t="shared" si="9"/>
        <v>46098</v>
      </c>
      <c r="U13" s="42">
        <f t="shared" si="9"/>
        <v>46105</v>
      </c>
      <c r="V13" s="42">
        <f t="shared" si="9"/>
        <v>46112</v>
      </c>
      <c r="W13" s="42">
        <f t="shared" si="9"/>
        <v>46119</v>
      </c>
      <c r="X13" s="42">
        <f t="shared" si="9"/>
        <v>46126</v>
      </c>
      <c r="Y13" s="42">
        <f t="shared" si="9"/>
        <v>46133</v>
      </c>
      <c r="Z13" s="42">
        <f t="shared" si="9"/>
        <v>46140</v>
      </c>
      <c r="AA13" s="42">
        <f t="shared" si="9"/>
        <v>46147</v>
      </c>
      <c r="AB13" s="42">
        <f t="shared" si="9"/>
        <v>46154</v>
      </c>
      <c r="AC13" s="42">
        <f t="shared" si="9"/>
        <v>46161</v>
      </c>
      <c r="AD13" s="42">
        <f t="shared" si="9"/>
        <v>46168</v>
      </c>
      <c r="AE13" s="42">
        <f t="shared" si="9"/>
        <v>46175</v>
      </c>
      <c r="AF13" s="42">
        <f t="shared" si="9"/>
        <v>46182</v>
      </c>
      <c r="AG13" s="42">
        <f t="shared" si="9"/>
        <v>46189</v>
      </c>
      <c r="AH13" s="42">
        <f t="shared" si="9"/>
        <v>46196</v>
      </c>
      <c r="AI13" s="42">
        <f t="shared" si="9"/>
        <v>46203</v>
      </c>
      <c r="AJ13" s="42">
        <f t="shared" si="9"/>
        <v>46210</v>
      </c>
      <c r="AK13" s="42">
        <f t="shared" si="9"/>
        <v>46217</v>
      </c>
      <c r="AL13" s="42">
        <f t="shared" si="9"/>
        <v>46224</v>
      </c>
      <c r="AM13" s="42">
        <f t="shared" si="9"/>
        <v>46231</v>
      </c>
      <c r="AN13" s="42">
        <f t="shared" si="9"/>
        <v>46238</v>
      </c>
      <c r="AO13" s="42">
        <f t="shared" si="9"/>
        <v>46245</v>
      </c>
      <c r="AP13" s="42">
        <f t="shared" ref="AP13:BJ13" si="10">AP6</f>
        <v>46252</v>
      </c>
      <c r="AQ13" s="42">
        <f t="shared" si="10"/>
        <v>46259</v>
      </c>
      <c r="AR13" s="42">
        <f t="shared" si="10"/>
        <v>46266</v>
      </c>
      <c r="AS13" s="42">
        <f t="shared" si="10"/>
        <v>46273</v>
      </c>
      <c r="AT13" s="42">
        <f t="shared" si="10"/>
        <v>46280</v>
      </c>
      <c r="AU13" s="42">
        <f t="shared" si="10"/>
        <v>46287</v>
      </c>
      <c r="AV13" s="42">
        <f t="shared" si="10"/>
        <v>46294</v>
      </c>
      <c r="AW13" s="42">
        <f t="shared" si="10"/>
        <v>46301</v>
      </c>
      <c r="AX13" s="42">
        <f t="shared" si="10"/>
        <v>46308</v>
      </c>
      <c r="AY13" s="42">
        <f t="shared" si="10"/>
        <v>46315</v>
      </c>
      <c r="AZ13" s="42">
        <f t="shared" si="10"/>
        <v>46322</v>
      </c>
      <c r="BA13" s="42">
        <f t="shared" si="10"/>
        <v>46329</v>
      </c>
      <c r="BB13" s="42">
        <f t="shared" si="10"/>
        <v>46336</v>
      </c>
      <c r="BC13" s="42">
        <f t="shared" si="10"/>
        <v>46343</v>
      </c>
      <c r="BD13" s="42">
        <f t="shared" si="10"/>
        <v>46350</v>
      </c>
      <c r="BE13" s="42">
        <f t="shared" si="10"/>
        <v>46357</v>
      </c>
      <c r="BF13" s="42">
        <f t="shared" si="10"/>
        <v>46364</v>
      </c>
      <c r="BG13" s="42">
        <f t="shared" si="10"/>
        <v>46371</v>
      </c>
      <c r="BH13" s="42">
        <f t="shared" si="10"/>
        <v>46378</v>
      </c>
      <c r="BI13" s="42">
        <f t="shared" si="10"/>
        <v>46385</v>
      </c>
      <c r="BJ13" s="42">
        <f t="shared" si="10"/>
        <v>46386</v>
      </c>
    </row>
    <row r="14" spans="1:62" x14ac:dyDescent="0.25">
      <c r="A14">
        <v>1</v>
      </c>
      <c r="B14" s="78" t="str">
        <f>CONCATENATE(C14,PARAMETER!T$2)</f>
        <v>ANCOLVOL</v>
      </c>
      <c r="C14" s="21" t="str">
        <f>IFERROR(VLOOKUP(A14,PARAMETER!K$2:M22,3,0),"")</f>
        <v>ANCOL</v>
      </c>
      <c r="D14" s="22" t="s">
        <v>127</v>
      </c>
      <c r="E14" s="37">
        <f>IFERROR(I15/I14,"")</f>
        <v>3.0335684929566531</v>
      </c>
      <c r="F14" s="23">
        <f>IFERROR(IF(E14&gt;300%,300%,E14),"")</f>
        <v>3</v>
      </c>
      <c r="G14" s="24" t="str">
        <f>G7</f>
        <v>Target</v>
      </c>
      <c r="H14" s="25">
        <f>IF(H$4&lt;=PARAMETER!$X$2,SUMIF('2026 T'!$F:$F,$B14,'2026 T'!G:G)/PARAMETER!$T$3,"")</f>
        <v>400000</v>
      </c>
      <c r="I14" s="25">
        <f>IF(I$4&lt;=PARAMETER!$X$2,SUMIF('2026 T'!$F:$F,$B14,'2026 T'!H:H)/PARAMETER!$T$3,"")</f>
        <v>5013.270735541395</v>
      </c>
      <c r="J14" s="25">
        <f>IF(J$4&lt;=PARAMETER!$X$2,SUMIF('2026 T'!$F:$F,$B14,'2026 T'!I:I)/PARAMETER!$T$3,"")</f>
        <v>523.26494776043103</v>
      </c>
      <c r="K14" s="25">
        <f>IF(K$4&lt;=PARAMETER!$X$2,SUMIF('2026 T'!$F:$F,$B14,'2026 T'!J:J)/PARAMETER!$T$3,"")</f>
        <v>323.70503393053104</v>
      </c>
      <c r="L14" s="25">
        <f>IF(L$4&lt;=PARAMETER!$X$2,SUMIF('2026 T'!$F:$F,$B14,'2026 T'!K:K)/PARAMETER!$T$3,"")</f>
        <v>277.31895048593998</v>
      </c>
      <c r="M14" s="25">
        <f>IF(M$4&lt;=PARAMETER!$X$2,SUMIF('2026 T'!$F:$F,$B14,'2026 T'!L:L)/PARAMETER!$T$3,"")</f>
        <v>276.82017539513805</v>
      </c>
      <c r="N14" s="25">
        <f>IF(N$4&lt;=PARAMETER!$X$2,SUMIF('2026 T'!$F:$F,$B14,'2026 T'!M:M)/PARAMETER!$T$3,"")</f>
        <v>543.16108613252493</v>
      </c>
      <c r="O14" s="25">
        <f>IF(O$4&lt;=PARAMETER!$X$2,SUMIF('2026 T'!$F:$F,$B14,'2026 T'!N:N)/PARAMETER!$T$3,"")</f>
        <v>631.48667308720599</v>
      </c>
      <c r="P14" s="25">
        <f>IF(P$4&lt;=PARAMETER!$X$2,SUMIF('2026 T'!$F:$F,$B14,'2026 T'!O:O)/PARAMETER!$T$3,"")</f>
        <v>424.95637736334697</v>
      </c>
      <c r="Q14" s="25">
        <f>IF(Q$4&lt;=PARAMETER!$X$2,SUMIF('2026 T'!$F:$F,$B14,'2026 T'!P:P)/PARAMETER!$T$3,"")</f>
        <v>189.03575941397699</v>
      </c>
      <c r="R14" s="25">
        <f>IF(R$4&lt;=PARAMETER!$X$2,SUMIF('2026 T'!$F:$F,$B14,'2026 T'!Q:Q)/PARAMETER!$T$3,"")</f>
        <v>1823.5217319723001</v>
      </c>
      <c r="S14" s="25">
        <f>IF(S$4&lt;=PARAMETER!$X$2,SUMIF('2026 T'!$F:$F,$B14,'2026 T'!R:R)/PARAMETER!$T$3,"")</f>
        <v>1929.4665490095601</v>
      </c>
      <c r="T14" s="25">
        <f>IF(T$4&lt;=PARAMETER!$X$2,SUMIF('2026 T'!$F:$F,$B14,'2026 T'!S:S)/PARAMETER!$T$3,"")</f>
        <v>2867.3796893317299</v>
      </c>
      <c r="U14" s="25" t="str">
        <f>IF(U$4&lt;=PARAMETER!$X$2,SUMIF('2026 T'!$F:$F,$B14,'2026 T'!T:T)/PARAMETER!$T$3,"")</f>
        <v/>
      </c>
      <c r="V14" s="25" t="str">
        <f>IF(V$4&lt;=PARAMETER!$X$2,SUMIF('2026 T'!$F:$F,$B14,'2026 T'!U:U)/PARAMETER!$T$3,"")</f>
        <v/>
      </c>
      <c r="W14" s="25" t="str">
        <f>IF(W$4&lt;=PARAMETER!$X$2,SUMIF('2026 T'!$F:$F,$B14,'2026 T'!V:V)/PARAMETER!$T$3,"")</f>
        <v/>
      </c>
      <c r="X14" s="25" t="str">
        <f>IF(X$4&lt;=PARAMETER!$X$2,SUMIF('2026 T'!$F:$F,$B14,'2026 T'!W:W)/PARAMETER!$T$3,"")</f>
        <v/>
      </c>
      <c r="Y14" s="25" t="str">
        <f>IF(Y$4&lt;=PARAMETER!$X$2,SUMIF('2026 T'!$F:$F,$B14,'2026 T'!X:X)/PARAMETER!$T$3,"")</f>
        <v/>
      </c>
      <c r="Z14" s="25" t="str">
        <f>IF(Z$4&lt;=PARAMETER!$X$2,SUMIF('2026 T'!$F:$F,$B14,'2026 T'!Y:Y)/PARAMETER!$T$3,"")</f>
        <v/>
      </c>
      <c r="AA14" s="25" t="str">
        <f>IF(AA$4&lt;=PARAMETER!$X$2,SUMIF('2026 T'!$F:$F,$B14,'2026 T'!Z:Z)/PARAMETER!$T$3,"")</f>
        <v/>
      </c>
      <c r="AB14" s="25" t="str">
        <f>IF(AB$4&lt;=PARAMETER!$X$2,SUMIF('2026 T'!$F:$F,$B14,'2026 T'!AA:AA)/PARAMETER!$T$3,"")</f>
        <v/>
      </c>
      <c r="AC14" s="25" t="str">
        <f>IF(AC$4&lt;=PARAMETER!$X$2,SUMIF('2026 T'!$F:$F,$B14,'2026 T'!AB:AB)/PARAMETER!$T$3,"")</f>
        <v/>
      </c>
      <c r="AD14" s="25" t="str">
        <f>IF(AD$4&lt;=PARAMETER!$X$2,SUMIF('2026 T'!$F:$F,$B14,'2026 T'!AC:AC)/PARAMETER!$T$3,"")</f>
        <v/>
      </c>
      <c r="AE14" s="25" t="str">
        <f>IF(AE$4&lt;=PARAMETER!$X$2,SUMIF('2026 T'!$F:$F,$B14,'2026 T'!AD:AD)/PARAMETER!$T$3,"")</f>
        <v/>
      </c>
      <c r="AF14" s="25" t="str">
        <f>IF(AF$4&lt;=PARAMETER!$X$2,SUMIF('2026 T'!$F:$F,$B14,'2026 T'!AE:AE)/PARAMETER!$T$3,"")</f>
        <v/>
      </c>
      <c r="AG14" s="25" t="str">
        <f>IF(AG$4&lt;=PARAMETER!$X$2,SUMIF('2026 T'!$F:$F,$B14,'2026 T'!AF:AF)/PARAMETER!$T$3,"")</f>
        <v/>
      </c>
      <c r="AH14" s="25" t="str">
        <f>IF(AH$4&lt;=PARAMETER!$X$2,SUMIF('2026 T'!$F:$F,$B14,'2026 T'!AG:AG)/PARAMETER!$T$3,"")</f>
        <v/>
      </c>
      <c r="AI14" s="25" t="str">
        <f>IF(AI$4&lt;=PARAMETER!$X$2,SUMIF('2026 T'!$F:$F,$B14,'2026 T'!AH:AH)/PARAMETER!$T$3,"")</f>
        <v/>
      </c>
      <c r="AJ14" s="25" t="str">
        <f>IF(AJ$4&lt;=PARAMETER!$X$2,SUMIF('2026 T'!$F:$F,$B14,'2026 T'!AI:AI)/PARAMETER!$T$3,"")</f>
        <v/>
      </c>
      <c r="AK14" s="25" t="str">
        <f>IF(AK$4&lt;=PARAMETER!$X$2,SUMIF('2026 T'!$F:$F,$B14,'2026 T'!AJ:AJ)/PARAMETER!$T$3,"")</f>
        <v/>
      </c>
      <c r="AL14" s="25" t="str">
        <f>IF(AL$4&lt;=PARAMETER!$X$2,SUMIF('2026 T'!$F:$F,$B14,'2026 T'!AK:AK)/PARAMETER!$T$3,"")</f>
        <v/>
      </c>
      <c r="AM14" s="25" t="str">
        <f>IF(AM$4&lt;=PARAMETER!$X$2,SUMIF('2026 T'!$F:$F,$B14,'2026 T'!AL:AL)/PARAMETER!$T$3,"")</f>
        <v/>
      </c>
      <c r="AN14" s="25" t="str">
        <f>IF(AN$4&lt;=PARAMETER!$X$2,SUMIF('2026 T'!$F:$F,$B14,'2026 T'!AM:AM)/PARAMETER!$T$3,"")</f>
        <v/>
      </c>
      <c r="AO14" s="25" t="str">
        <f>IF(AO$4&lt;=PARAMETER!$X$2,SUMIF('2026 T'!$F:$F,$B14,'2026 T'!AN:AN)/PARAMETER!$T$3,"")</f>
        <v/>
      </c>
      <c r="AP14" s="25" t="str">
        <f>IF(AP$4&lt;=PARAMETER!$X$2,SUMIF('2026 T'!$F:$F,$B14,'2026 T'!AO:AO)/PARAMETER!$T$3,"")</f>
        <v/>
      </c>
      <c r="AQ14" s="25" t="str">
        <f>IF(AQ$4&lt;=PARAMETER!$X$2,SUMIF('2026 T'!$F:$F,$B14,'2026 T'!AP:AP)/PARAMETER!$T$3,"")</f>
        <v/>
      </c>
      <c r="AR14" s="25" t="str">
        <f>IF(AR$4&lt;=PARAMETER!$X$2,SUMIF('2026 T'!$F:$F,$B14,'2026 T'!AQ:AQ)/PARAMETER!$T$3,"")</f>
        <v/>
      </c>
      <c r="AS14" s="25" t="str">
        <f>IF(AS$4&lt;=PARAMETER!$X$2,SUMIF('2026 T'!$F:$F,$B14,'2026 T'!AR:AR)/PARAMETER!$T$3,"")</f>
        <v/>
      </c>
      <c r="AT14" s="25" t="str">
        <f>IF(AT$4&lt;=PARAMETER!$X$2,SUMIF('2026 T'!$F:$F,$B14,'2026 T'!AS:AS)/PARAMETER!$T$3,"")</f>
        <v/>
      </c>
      <c r="AU14" s="25" t="str">
        <f>IF(AU$4&lt;=PARAMETER!$X$2,SUMIF('2026 T'!$F:$F,$B14,'2026 T'!AT:AT)/PARAMETER!$T$3,"")</f>
        <v/>
      </c>
      <c r="AV14" s="25" t="str">
        <f>IF(AV$4&lt;=PARAMETER!$X$2,SUMIF('2026 T'!$F:$F,$B14,'2026 T'!AU:AU)/PARAMETER!$T$3,"")</f>
        <v/>
      </c>
      <c r="AW14" s="25" t="str">
        <f>IF(AW$4&lt;=PARAMETER!$X$2,SUMIF('2026 T'!$F:$F,$B14,'2026 T'!AV:AV)/PARAMETER!$T$3,"")</f>
        <v/>
      </c>
      <c r="AX14" s="25" t="str">
        <f>IF(AX$4&lt;=PARAMETER!$X$2,SUMIF('2026 T'!$F:$F,$B14,'2026 T'!AW:AW)/PARAMETER!$T$3,"")</f>
        <v/>
      </c>
      <c r="AY14" s="25" t="str">
        <f>IF(AY$4&lt;=PARAMETER!$X$2,SUMIF('2026 T'!$F:$F,$B14,'2026 T'!AX:AX)/PARAMETER!$T$3,"")</f>
        <v/>
      </c>
      <c r="AZ14" s="25" t="str">
        <f>IF(AZ$4&lt;=PARAMETER!$X$2,SUMIF('2026 T'!$F:$F,$B14,'2026 T'!AY:AY)/PARAMETER!$T$3,"")</f>
        <v/>
      </c>
      <c r="BA14" s="25" t="str">
        <f>IF(BA$4&lt;=PARAMETER!$X$2,SUMIF('2026 T'!$F:$F,$B14,'2026 T'!AZ:AZ)/PARAMETER!$T$3,"")</f>
        <v/>
      </c>
      <c r="BB14" s="25" t="str">
        <f>IF(BB$4&lt;=PARAMETER!$X$2,SUMIF('2026 T'!$F:$F,$B14,'2026 T'!BA:BA)/PARAMETER!$T$3,"")</f>
        <v/>
      </c>
      <c r="BC14" s="25" t="str">
        <f>IF(BC$4&lt;=PARAMETER!$X$2,SUMIF('2026 T'!$F:$F,$B14,'2026 T'!BB:BB)/PARAMETER!$T$3,"")</f>
        <v/>
      </c>
      <c r="BD14" s="25" t="str">
        <f>IF(BD$4&lt;=PARAMETER!$X$2,SUMIF('2026 T'!$F:$F,$B14,'2026 T'!BC:BC)/PARAMETER!$T$3,"")</f>
        <v/>
      </c>
      <c r="BE14" s="25" t="str">
        <f>IF(BE$4&lt;=PARAMETER!$X$2,SUMIF('2026 T'!$F:$F,$B14,'2026 T'!BD:BD)/PARAMETER!$T$3,"")</f>
        <v/>
      </c>
      <c r="BF14" s="25" t="str">
        <f>IF(BF$4&lt;=PARAMETER!$X$2,SUMIF('2026 T'!$F:$F,$B14,'2026 T'!BE:BE)/PARAMETER!$T$3,"")</f>
        <v/>
      </c>
      <c r="BG14" s="25" t="str">
        <f>IF(BG$4&lt;=PARAMETER!$X$2,SUMIF('2026 T'!$F:$F,$B14,'2026 T'!BF:BF)/PARAMETER!$T$3,"")</f>
        <v/>
      </c>
      <c r="BH14" s="25" t="str">
        <f>IF(BH$4&lt;=PARAMETER!$X$2,SUMIF('2026 T'!$F:$F,$B14,'2026 T'!BG:BG)/PARAMETER!$T$3,"")</f>
        <v/>
      </c>
      <c r="BI14" s="25" t="str">
        <f>IF(BI$4&lt;=PARAMETER!$X$2,SUMIF('2026 T'!$F:$F,$B14,'2026 T'!BH:BH)/PARAMETER!$T$3,"")</f>
        <v/>
      </c>
      <c r="BJ14" s="25" t="str">
        <f>IF(BJ$4&lt;=PARAMETER!$X$2,SUMIF('2026 T'!$F:$F,$B14,'2026 T'!BI:BI)/PARAMETER!$T$3,"")</f>
        <v/>
      </c>
    </row>
    <row r="15" spans="1:62" x14ac:dyDescent="0.25">
      <c r="A15">
        <f>A14</f>
        <v>1</v>
      </c>
      <c r="B15" s="78" t="str">
        <f>CONCATENATE(C15,PARAMETER!T$2)</f>
        <v>ANCOLVOL</v>
      </c>
      <c r="C15" s="26" t="str">
        <f>C14</f>
        <v>ANCOL</v>
      </c>
      <c r="D15" s="27" t="s">
        <v>128</v>
      </c>
      <c r="E15" s="35">
        <f>IFERROR(I15/I16-1,"")</f>
        <v>508.33664897876633</v>
      </c>
      <c r="F15" s="28">
        <f>IFERROR(IF(E15&gt;300%,300%,E15),"")</f>
        <v>3</v>
      </c>
      <c r="G15" s="39">
        <f>G8</f>
        <v>2026</v>
      </c>
      <c r="H15" s="40">
        <f>IF(H$4&lt;=PARAMETER!$X$2,SUMIF('2026'!$F:$F,$B15,'2026'!G:G)/PARAMETER!$T$3,"")</f>
        <v>15208.10015</v>
      </c>
      <c r="I15" s="40">
        <f>IF(I$4&lt;=PARAMETER!$X$2,SUMIF('2026'!$F:$F,$B15,'2026'!H:H)/PARAMETER!$T$3,"")</f>
        <v>15208.10015</v>
      </c>
      <c r="J15" s="40">
        <f>IF(J$4&lt;=PARAMETER!$X$2,SUMIF('2026'!$F:$F,$B15,'2026'!I:I)/PARAMETER!$T$3,"")</f>
        <v>2804.3356319999998</v>
      </c>
      <c r="K15" s="40">
        <f>IF(K$4&lt;=PARAMETER!$X$2,SUMIF('2026'!$F:$F,$B15,'2026'!J:J)/PARAMETER!$T$3,"")</f>
        <v>1665.2996000000001</v>
      </c>
      <c r="L15" s="40">
        <f>IF(L$4&lt;=PARAMETER!$X$2,SUMIF('2026'!$F:$F,$B15,'2026'!K:K)/PARAMETER!$T$3,"")</f>
        <v>1070.945641</v>
      </c>
      <c r="M15" s="40">
        <f>IF(M$4&lt;=PARAMETER!$X$2,SUMIF('2026'!$F:$F,$B15,'2026'!L:L)/PARAMETER!$T$3,"")</f>
        <v>507.29957000000002</v>
      </c>
      <c r="N15" s="40">
        <f>IF(N$4&lt;=PARAMETER!$X$2,SUMIF('2026'!$F:$F,$B15,'2026'!M:M)/PARAMETER!$T$3,"")</f>
        <v>868.96318499999995</v>
      </c>
      <c r="O15" s="40">
        <f>IF(O$4&lt;=PARAMETER!$X$2,SUMIF('2026'!$F:$F,$B15,'2026'!N:N)/PARAMETER!$T$3,"")</f>
        <v>1862.48326</v>
      </c>
      <c r="P15" s="40">
        <f>IF(P$4&lt;=PARAMETER!$X$2,SUMIF('2026'!$F:$F,$B15,'2026'!O:O)/PARAMETER!$T$3,"")</f>
        <v>2214.0112119999999</v>
      </c>
      <c r="Q15" s="40">
        <f>IF(Q$4&lt;=PARAMETER!$X$2,SUMIF('2026'!$F:$F,$B15,'2026'!P:P)/PARAMETER!$T$3,"")</f>
        <v>2028.4733670000001</v>
      </c>
      <c r="R15" s="40">
        <f>IF(R$4&lt;=PARAMETER!$X$2,SUMIF('2026'!$F:$F,$B15,'2026'!Q:Q)/PARAMETER!$T$3,"")</f>
        <v>813.67740900000001</v>
      </c>
      <c r="S15" s="40">
        <f>IF(S$4&lt;=PARAMETER!$X$2,SUMIF('2026'!$F:$F,$B15,'2026'!R:R)/PARAMETER!$T$3,"")</f>
        <v>625.51881200000003</v>
      </c>
      <c r="T15" s="40">
        <f>IF(T$4&lt;=PARAMETER!$X$2,SUMIF('2026'!$F:$F,$B15,'2026'!S:S)/PARAMETER!$T$3,"")</f>
        <v>747.09246199999995</v>
      </c>
      <c r="U15" s="40" t="str">
        <f>IF(U$4&lt;=PARAMETER!$X$2,SUMIF('2026'!$F:$F,$B15,'2026'!T:T)/PARAMETER!$T$3,"")</f>
        <v/>
      </c>
      <c r="V15" s="40" t="str">
        <f>IF(V$4&lt;=PARAMETER!$X$2,SUMIF('2026'!$F:$F,$B15,'2026'!U:U)/PARAMETER!$T$3,"")</f>
        <v/>
      </c>
      <c r="W15" s="40" t="str">
        <f>IF(W$4&lt;=PARAMETER!$X$2,SUMIF('2026'!$F:$F,$B15,'2026'!V:V)/PARAMETER!$T$3,"")</f>
        <v/>
      </c>
      <c r="X15" s="40" t="str">
        <f>IF(X$4&lt;=PARAMETER!$X$2,SUMIF('2026'!$F:$F,$B15,'2026'!W:W)/PARAMETER!$T$3,"")</f>
        <v/>
      </c>
      <c r="Y15" s="40" t="str">
        <f>IF(Y$4&lt;=PARAMETER!$X$2,SUMIF('2026'!$F:$F,$B15,'2026'!X:X)/PARAMETER!$T$3,"")</f>
        <v/>
      </c>
      <c r="Z15" s="40" t="str">
        <f>IF(Z$4&lt;=PARAMETER!$X$2,SUMIF('2026'!$F:$F,$B15,'2026'!Y:Y)/PARAMETER!$T$3,"")</f>
        <v/>
      </c>
      <c r="AA15" s="40" t="str">
        <f>IF(AA$4&lt;=PARAMETER!$X$2,SUMIF('2026'!$F:$F,$B15,'2026'!Z:Z)/PARAMETER!$T$3,"")</f>
        <v/>
      </c>
      <c r="AB15" s="40" t="str">
        <f>IF(AB$4&lt;=PARAMETER!$X$2,SUMIF('2026'!$F:$F,$B15,'2026'!AA:AA)/PARAMETER!$T$3,"")</f>
        <v/>
      </c>
      <c r="AC15" s="40" t="str">
        <f>IF(AC$4&lt;=PARAMETER!$X$2,SUMIF('2026'!$F:$F,$B15,'2026'!AB:AB)/PARAMETER!$T$3,"")</f>
        <v/>
      </c>
      <c r="AD15" s="40" t="str">
        <f>IF(AD$4&lt;=PARAMETER!$X$2,SUMIF('2026'!$F:$F,$B15,'2026'!AC:AC)/PARAMETER!$T$3,"")</f>
        <v/>
      </c>
      <c r="AE15" s="40" t="str">
        <f>IF(AE$4&lt;=PARAMETER!$X$2,SUMIF('2026'!$F:$F,$B15,'2026'!AD:AD)/PARAMETER!$T$3,"")</f>
        <v/>
      </c>
      <c r="AF15" s="40" t="str">
        <f>IF(AF$4&lt;=PARAMETER!$X$2,SUMIF('2026'!$F:$F,$B15,'2026'!AE:AE)/PARAMETER!$T$3,"")</f>
        <v/>
      </c>
      <c r="AG15" s="40" t="str">
        <f>IF(AG$4&lt;=PARAMETER!$X$2,SUMIF('2026'!$F:$F,$B15,'2026'!AF:AF)/PARAMETER!$T$3,"")</f>
        <v/>
      </c>
      <c r="AH15" s="40" t="str">
        <f>IF(AH$4&lt;=PARAMETER!$X$2,SUMIF('2026'!$F:$F,$B15,'2026'!AG:AG)/PARAMETER!$T$3,"")</f>
        <v/>
      </c>
      <c r="AI15" s="40" t="str">
        <f>IF(AI$4&lt;=PARAMETER!$X$2,SUMIF('2026'!$F:$F,$B15,'2026'!AH:AH)/PARAMETER!$T$3,"")</f>
        <v/>
      </c>
      <c r="AJ15" s="40" t="str">
        <f>IF(AJ$4&lt;=PARAMETER!$X$2,SUMIF('2026'!$F:$F,$B15,'2026'!AI:AI)/PARAMETER!$T$3,"")</f>
        <v/>
      </c>
      <c r="AK15" s="40" t="str">
        <f>IF(AK$4&lt;=PARAMETER!$X$2,SUMIF('2026'!$F:$F,$B15,'2026'!AJ:AJ)/PARAMETER!$T$3,"")</f>
        <v/>
      </c>
      <c r="AL15" s="40" t="str">
        <f>IF(AL$4&lt;=PARAMETER!$X$2,SUMIF('2026'!$F:$F,$B15,'2026'!AK:AK)/PARAMETER!$T$3,"")</f>
        <v/>
      </c>
      <c r="AM15" s="40" t="str">
        <f>IF(AM$4&lt;=PARAMETER!$X$2,SUMIF('2026'!$F:$F,$B15,'2026'!AL:AL)/PARAMETER!$T$3,"")</f>
        <v/>
      </c>
      <c r="AN15" s="40" t="str">
        <f>IF(AN$4&lt;=PARAMETER!$X$2,SUMIF('2026'!$F:$F,$B15,'2026'!AM:AM)/PARAMETER!$T$3,"")</f>
        <v/>
      </c>
      <c r="AO15" s="40" t="str">
        <f>IF(AO$4&lt;=PARAMETER!$X$2,SUMIF('2026'!$F:$F,$B15,'2026'!AN:AN)/PARAMETER!$T$3,"")</f>
        <v/>
      </c>
      <c r="AP15" s="40" t="str">
        <f>IF(AP$4&lt;=PARAMETER!$X$2,SUMIF('2026'!$F:$F,$B15,'2026'!AO:AO)/PARAMETER!$T$3,"")</f>
        <v/>
      </c>
      <c r="AQ15" s="40" t="str">
        <f>IF(AQ$4&lt;=PARAMETER!$X$2,SUMIF('2026'!$F:$F,$B15,'2026'!AP:AP)/PARAMETER!$T$3,"")</f>
        <v/>
      </c>
      <c r="AR15" s="40" t="str">
        <f>IF(AR$4&lt;=PARAMETER!$X$2,SUMIF('2026'!$F:$F,$B15,'2026'!AQ:AQ)/PARAMETER!$T$3,"")</f>
        <v/>
      </c>
      <c r="AS15" s="40" t="str">
        <f>IF(AS$4&lt;=PARAMETER!$X$2,SUMIF('2026'!$F:$F,$B15,'2026'!AR:AR)/PARAMETER!$T$3,"")</f>
        <v/>
      </c>
      <c r="AT15" s="40" t="str">
        <f>IF(AT$4&lt;=PARAMETER!$X$2,SUMIF('2026'!$F:$F,$B15,'2026'!AS:AS)/PARAMETER!$T$3,"")</f>
        <v/>
      </c>
      <c r="AU15" s="40" t="str">
        <f>IF(AU$4&lt;=PARAMETER!$X$2,SUMIF('2026'!$F:$F,$B15,'2026'!AT:AT)/PARAMETER!$T$3,"")</f>
        <v/>
      </c>
      <c r="AV15" s="40" t="str">
        <f>IF(AV$4&lt;=PARAMETER!$X$2,SUMIF('2026'!$F:$F,$B15,'2026'!AU:AU)/PARAMETER!$T$3,"")</f>
        <v/>
      </c>
      <c r="AW15" s="40" t="str">
        <f>IF(AW$4&lt;=PARAMETER!$X$2,SUMIF('2026'!$F:$F,$B15,'2026'!AV:AV)/PARAMETER!$T$3,"")</f>
        <v/>
      </c>
      <c r="AX15" s="40" t="str">
        <f>IF(AX$4&lt;=PARAMETER!$X$2,SUMIF('2026'!$F:$F,$B15,'2026'!AW:AW)/PARAMETER!$T$3,"")</f>
        <v/>
      </c>
      <c r="AY15" s="40" t="str">
        <f>IF(AY$4&lt;=PARAMETER!$X$2,SUMIF('2026'!$F:$F,$B15,'2026'!AX:AX)/PARAMETER!$T$3,"")</f>
        <v/>
      </c>
      <c r="AZ15" s="40" t="str">
        <f>IF(AZ$4&lt;=PARAMETER!$X$2,SUMIF('2026'!$F:$F,$B15,'2026'!AY:AY)/PARAMETER!$T$3,"")</f>
        <v/>
      </c>
      <c r="BA15" s="40" t="str">
        <f>IF(BA$4&lt;=PARAMETER!$X$2,SUMIF('2026'!$F:$F,$B15,'2026'!AZ:AZ)/PARAMETER!$T$3,"")</f>
        <v/>
      </c>
      <c r="BB15" s="40" t="str">
        <f>IF(BB$4&lt;=PARAMETER!$X$2,SUMIF('2026'!$F:$F,$B15,'2026'!BA:BA)/PARAMETER!$T$3,"")</f>
        <v/>
      </c>
      <c r="BC15" s="40" t="str">
        <f>IF(BC$4&lt;=PARAMETER!$X$2,SUMIF('2026'!$F:$F,$B15,'2026'!BB:BB)/PARAMETER!$T$3,"")</f>
        <v/>
      </c>
      <c r="BD15" s="40" t="str">
        <f>IF(BD$4&lt;=PARAMETER!$X$2,SUMIF('2026'!$F:$F,$B15,'2026'!BC:BC)/PARAMETER!$T$3,"")</f>
        <v/>
      </c>
      <c r="BE15" s="40" t="str">
        <f>IF(BE$4&lt;=PARAMETER!$X$2,SUMIF('2026'!$F:$F,$B15,'2026'!BD:BD)/PARAMETER!$T$3,"")</f>
        <v/>
      </c>
      <c r="BF15" s="40" t="str">
        <f>IF(BF$4&lt;=PARAMETER!$X$2,SUMIF('2026'!$F:$F,$B15,'2026'!BE:BE)/PARAMETER!$T$3,"")</f>
        <v/>
      </c>
      <c r="BG15" s="40" t="str">
        <f>IF(BG$4&lt;=PARAMETER!$X$2,SUMIF('2026'!$F:$F,$B15,'2026'!BF:BF)/PARAMETER!$T$3,"")</f>
        <v/>
      </c>
      <c r="BH15" s="40" t="str">
        <f>IF(BH$4&lt;=PARAMETER!$X$2,SUMIF('2026'!$F:$F,$B15,'2026'!BG:BG)/PARAMETER!$T$3,"")</f>
        <v/>
      </c>
      <c r="BI15" s="40" t="str">
        <f>IF(BI$4&lt;=PARAMETER!$X$2,SUMIF('2026'!$F:$F,$B15,'2026'!BH:BH)/PARAMETER!$T$3,"")</f>
        <v/>
      </c>
      <c r="BJ15" s="40" t="str">
        <f>IF(BJ$4&lt;=PARAMETER!$X$2,SUMIF('2026'!$F:$F,$B15,'2026'!BI:BI)/PARAMETER!$T$3,"")</f>
        <v/>
      </c>
    </row>
    <row r="16" spans="1:62" x14ac:dyDescent="0.25">
      <c r="A16">
        <f>A15</f>
        <v>1</v>
      </c>
      <c r="B16" s="78" t="str">
        <f>CONCATENATE(C16,PARAMETER!T$2)</f>
        <v>ANCOLVOL</v>
      </c>
      <c r="C16" s="26" t="str">
        <f t="shared" ref="C16:C17" si="11">C15</f>
        <v>ANCOL</v>
      </c>
      <c r="D16" s="27" t="s">
        <v>128</v>
      </c>
      <c r="E16" s="35">
        <f>IFERROR(I16/I17-1,"")</f>
        <v>4.9121338903849203</v>
      </c>
      <c r="F16" s="28">
        <f>IFERROR(IF(E16&gt;300%,300%,E16),"")</f>
        <v>3</v>
      </c>
      <c r="G16" s="39">
        <f>G9</f>
        <v>2025</v>
      </c>
      <c r="H16" s="40">
        <f>IF(H$4&lt;=PARAMETER!$X$2,SUMIF('2025'!$F:$F,$B16,'2025'!G:G)/PARAMETER!$T$3,"")</f>
        <v>13151.05884</v>
      </c>
      <c r="I16" s="40">
        <f>IF(I$4&lt;=PARAMETER!$X$2,SUMIF('2025'!$F:$F,$B16,'2025'!H:H)/PARAMETER!$T$3,"")</f>
        <v>29.858640999999999</v>
      </c>
      <c r="J16" s="40">
        <f>IF(J$4&lt;=PARAMETER!$X$2,SUMIF('2025'!$F:$F,$B16,'2025'!I:I)/PARAMETER!$T$3,"")</f>
        <v>3.6419999999999999</v>
      </c>
      <c r="K16" s="40">
        <f>IF(K$4&lt;=PARAMETER!$X$2,SUMIF('2025'!$F:$F,$B16,'2025'!J:J)/PARAMETER!$T$3,"")</f>
        <v>0.78149999999999997</v>
      </c>
      <c r="L16" s="40">
        <f>IF(L$4&lt;=PARAMETER!$X$2,SUMIF('2025'!$F:$F,$B16,'2025'!K:K)/PARAMETER!$T$3,"")</f>
        <v>0.55600000000000005</v>
      </c>
      <c r="M16" s="40">
        <f>IF(M$4&lt;=PARAMETER!$X$2,SUMIF('2025'!$F:$F,$B16,'2025'!L:L)/PARAMETER!$T$3,"")</f>
        <v>0.65510000000000002</v>
      </c>
      <c r="N16" s="40">
        <f>IF(N$4&lt;=PARAMETER!$X$2,SUMIF('2025'!$F:$F,$B16,'2025'!M:M)/PARAMETER!$T$3,"")</f>
        <v>5.6228899999999999</v>
      </c>
      <c r="O16" s="40">
        <f>IF(O$4&lt;=PARAMETER!$X$2,SUMIF('2025'!$F:$F,$B16,'2025'!N:N)/PARAMETER!$T$3,"")</f>
        <v>0.94997500000000001</v>
      </c>
      <c r="P16" s="40">
        <f>IF(P$4&lt;=PARAMETER!$X$2,SUMIF('2025'!$F:$F,$B16,'2025'!O:O)/PARAMETER!$T$3,"")</f>
        <v>1.115523</v>
      </c>
      <c r="Q16" s="40">
        <f>IF(Q$4&lt;=PARAMETER!$X$2,SUMIF('2025'!$F:$F,$B16,'2025'!P:P)/PARAMETER!$T$3,"")</f>
        <v>0.379</v>
      </c>
      <c r="R16" s="40">
        <f>IF(R$4&lt;=PARAMETER!$X$2,SUMIF('2025'!$F:$F,$B16,'2025'!Q:Q)/PARAMETER!$T$3,"")</f>
        <v>5.7873999999999999</v>
      </c>
      <c r="S16" s="40">
        <f>IF(S$4&lt;=PARAMETER!$X$2,SUMIF('2025'!$F:$F,$B16,'2025'!R:R)/PARAMETER!$T$3,"")</f>
        <v>3.9188100000000001</v>
      </c>
      <c r="T16" s="40">
        <f>IF(T$4&lt;=PARAMETER!$X$2,SUMIF('2025'!$F:$F,$B16,'2025'!S:S)/PARAMETER!$T$3,"")</f>
        <v>6.4504429999999999</v>
      </c>
      <c r="U16" s="40" t="str">
        <f>IF(U$4&lt;=PARAMETER!$X$2,SUMIF('2025'!$F:$F,$B16,'2025'!T:T)/PARAMETER!$T$3,"")</f>
        <v/>
      </c>
      <c r="V16" s="40" t="str">
        <f>IF(V$4&lt;=PARAMETER!$X$2,SUMIF('2025'!$F:$F,$B16,'2025'!U:U)/PARAMETER!$T$3,"")</f>
        <v/>
      </c>
      <c r="W16" s="40" t="str">
        <f>IF(W$4&lt;=PARAMETER!$X$2,SUMIF('2025'!$F:$F,$B16,'2025'!V:V)/PARAMETER!$T$3,"")</f>
        <v/>
      </c>
      <c r="X16" s="40" t="str">
        <f>IF(X$4&lt;=PARAMETER!$X$2,SUMIF('2025'!$F:$F,$B16,'2025'!W:W)/PARAMETER!$T$3,"")</f>
        <v/>
      </c>
      <c r="Y16" s="40" t="str">
        <f>IF(Y$4&lt;=PARAMETER!$X$2,SUMIF('2025'!$F:$F,$B16,'2025'!X:X)/PARAMETER!$T$3,"")</f>
        <v/>
      </c>
      <c r="Z16" s="40" t="str">
        <f>IF(Z$4&lt;=PARAMETER!$X$2,SUMIF('2025'!$F:$F,$B16,'2025'!Y:Y)/PARAMETER!$T$3,"")</f>
        <v/>
      </c>
      <c r="AA16" s="40" t="str">
        <f>IF(AA$4&lt;=PARAMETER!$X$2,SUMIF('2025'!$F:$F,$B16,'2025'!Z:Z)/PARAMETER!$T$3,"")</f>
        <v/>
      </c>
      <c r="AB16" s="40" t="str">
        <f>IF(AB$4&lt;=PARAMETER!$X$2,SUMIF('2025'!$F:$F,$B16,'2025'!AA:AA)/PARAMETER!$T$3,"")</f>
        <v/>
      </c>
      <c r="AC16" s="40" t="str">
        <f>IF(AC$4&lt;=PARAMETER!$X$2,SUMIF('2025'!$F:$F,$B16,'2025'!AB:AB)/PARAMETER!$T$3,"")</f>
        <v/>
      </c>
      <c r="AD16" s="40" t="str">
        <f>IF(AD$4&lt;=PARAMETER!$X$2,SUMIF('2025'!$F:$F,$B16,'2025'!AC:AC)/PARAMETER!$T$3,"")</f>
        <v/>
      </c>
      <c r="AE16" s="40" t="str">
        <f>IF(AE$4&lt;=PARAMETER!$X$2,SUMIF('2025'!$F:$F,$B16,'2025'!AD:AD)/PARAMETER!$T$3,"")</f>
        <v/>
      </c>
      <c r="AF16" s="40" t="str">
        <f>IF(AF$4&lt;=PARAMETER!$X$2,SUMIF('2025'!$F:$F,$B16,'2025'!AE:AE)/PARAMETER!$T$3,"")</f>
        <v/>
      </c>
      <c r="AG16" s="40" t="str">
        <f>IF(AG$4&lt;=PARAMETER!$X$2,SUMIF('2025'!$F:$F,$B16,'2025'!AF:AF)/PARAMETER!$T$3,"")</f>
        <v/>
      </c>
      <c r="AH16" s="40" t="str">
        <f>IF(AH$4&lt;=PARAMETER!$X$2,SUMIF('2025'!$F:$F,$B16,'2025'!AG:AG)/PARAMETER!$T$3,"")</f>
        <v/>
      </c>
      <c r="AI16" s="40" t="str">
        <f>IF(AI$4&lt;=PARAMETER!$X$2,SUMIF('2025'!$F:$F,$B16,'2025'!AH:AH)/PARAMETER!$T$3,"")</f>
        <v/>
      </c>
      <c r="AJ16" s="40" t="str">
        <f>IF(AJ$4&lt;=PARAMETER!$X$2,SUMIF('2025'!$F:$F,$B16,'2025'!AI:AI)/PARAMETER!$T$3,"")</f>
        <v/>
      </c>
      <c r="AK16" s="40" t="str">
        <f>IF(AK$4&lt;=PARAMETER!$X$2,SUMIF('2025'!$F:$F,$B16,'2025'!AJ:AJ)/PARAMETER!$T$3,"")</f>
        <v/>
      </c>
      <c r="AL16" s="40" t="str">
        <f>IF(AL$4&lt;=PARAMETER!$X$2,SUMIF('2025'!$F:$F,$B16,'2025'!AK:AK)/PARAMETER!$T$3,"")</f>
        <v/>
      </c>
      <c r="AM16" s="40" t="str">
        <f>IF(AM$4&lt;=PARAMETER!$X$2,SUMIF('2025'!$F:$F,$B16,'2025'!AL:AL)/PARAMETER!$T$3,"")</f>
        <v/>
      </c>
      <c r="AN16" s="40" t="str">
        <f>IF(AN$4&lt;=PARAMETER!$X$2,SUMIF('2025'!$F:$F,$B16,'2025'!AM:AM)/PARAMETER!$T$3,"")</f>
        <v/>
      </c>
      <c r="AO16" s="40" t="str">
        <f>IF(AO$4&lt;=PARAMETER!$X$2,SUMIF('2025'!$F:$F,$B16,'2025'!AN:AN)/PARAMETER!$T$3,"")</f>
        <v/>
      </c>
      <c r="AP16" s="40" t="str">
        <f>IF(AP$4&lt;=PARAMETER!$X$2,SUMIF('2025'!$F:$F,$B16,'2025'!AO:AO)/PARAMETER!$T$3,"")</f>
        <v/>
      </c>
      <c r="AQ16" s="40" t="str">
        <f>IF(AQ$4&lt;=PARAMETER!$X$2,SUMIF('2025'!$F:$F,$B16,'2025'!AP:AP)/PARAMETER!$T$3,"")</f>
        <v/>
      </c>
      <c r="AR16" s="40" t="str">
        <f>IF(AR$4&lt;=PARAMETER!$X$2,SUMIF('2025'!$F:$F,$B16,'2025'!AQ:AQ)/PARAMETER!$T$3,"")</f>
        <v/>
      </c>
      <c r="AS16" s="40" t="str">
        <f>IF(AS$4&lt;=PARAMETER!$X$2,SUMIF('2025'!$F:$F,$B16,'2025'!AR:AR)/PARAMETER!$T$3,"")</f>
        <v/>
      </c>
      <c r="AT16" s="40" t="str">
        <f>IF(AT$4&lt;=PARAMETER!$X$2,SUMIF('2025'!$F:$F,$B16,'2025'!AS:AS)/PARAMETER!$T$3,"")</f>
        <v/>
      </c>
      <c r="AU16" s="40" t="str">
        <f>IF(AU$4&lt;=PARAMETER!$X$2,SUMIF('2025'!$F:$F,$B16,'2025'!AT:AT)/PARAMETER!$T$3,"")</f>
        <v/>
      </c>
      <c r="AV16" s="40" t="str">
        <f>IF(AV$4&lt;=PARAMETER!$X$2,SUMIF('2025'!$F:$F,$B16,'2025'!AU:AU)/PARAMETER!$T$3,"")</f>
        <v/>
      </c>
      <c r="AW16" s="40" t="str">
        <f>IF(AW$4&lt;=PARAMETER!$X$2,SUMIF('2025'!$F:$F,$B16,'2025'!AV:AV)/PARAMETER!$T$3,"")</f>
        <v/>
      </c>
      <c r="AX16" s="40" t="str">
        <f>IF(AX$4&lt;=PARAMETER!$X$2,SUMIF('2025'!$F:$F,$B16,'2025'!AW:AW)/PARAMETER!$T$3,"")</f>
        <v/>
      </c>
      <c r="AY16" s="40" t="str">
        <f>IF(AY$4&lt;=PARAMETER!$X$2,SUMIF('2025'!$F:$F,$B16,'2025'!AX:AX)/PARAMETER!$T$3,"")</f>
        <v/>
      </c>
      <c r="AZ16" s="40" t="str">
        <f>IF(AZ$4&lt;=PARAMETER!$X$2,SUMIF('2025'!$F:$F,$B16,'2025'!AY:AY)/PARAMETER!$T$3,"")</f>
        <v/>
      </c>
      <c r="BA16" s="40" t="str">
        <f>IF(BA$4&lt;=PARAMETER!$X$2,SUMIF('2025'!$F:$F,$B16,'2025'!AZ:AZ)/PARAMETER!$T$3,"")</f>
        <v/>
      </c>
      <c r="BB16" s="40" t="str">
        <f>IF(BB$4&lt;=PARAMETER!$X$2,SUMIF('2025'!$F:$F,$B16,'2025'!BA:BA)/PARAMETER!$T$3,"")</f>
        <v/>
      </c>
      <c r="BC16" s="40" t="str">
        <f>IF(BC$4&lt;=PARAMETER!$X$2,SUMIF('2025'!$F:$F,$B16,'2025'!BB:BB)/PARAMETER!$T$3,"")</f>
        <v/>
      </c>
      <c r="BD16" s="40" t="str">
        <f>IF(BD$4&lt;=PARAMETER!$X$2,SUMIF('2025'!$F:$F,$B16,'2025'!BC:BC)/PARAMETER!$T$3,"")</f>
        <v/>
      </c>
      <c r="BE16" s="40" t="str">
        <f>IF(BE$4&lt;=PARAMETER!$X$2,SUMIF('2025'!$F:$F,$B16,'2025'!BD:BD)/PARAMETER!$T$3,"")</f>
        <v/>
      </c>
      <c r="BF16" s="40" t="str">
        <f>IF(BF$4&lt;=PARAMETER!$X$2,SUMIF('2025'!$F:$F,$B16,'2025'!BE:BE)/PARAMETER!$T$3,"")</f>
        <v/>
      </c>
      <c r="BG16" s="40" t="str">
        <f>IF(BG$4&lt;=PARAMETER!$X$2,SUMIF('2025'!$F:$F,$B16,'2025'!BF:BF)/PARAMETER!$T$3,"")</f>
        <v/>
      </c>
      <c r="BH16" s="40" t="str">
        <f>IF(BH$4&lt;=PARAMETER!$X$2,SUMIF('2025'!$F:$F,$B16,'2025'!BG:BG)/PARAMETER!$T$3,"")</f>
        <v/>
      </c>
      <c r="BI16" s="40" t="str">
        <f>IF(BI$4&lt;=PARAMETER!$X$2,SUMIF('2025'!$F:$F,$B16,'2025'!BH:BH)/PARAMETER!$T$3,"")</f>
        <v/>
      </c>
      <c r="BJ16" s="40" t="str">
        <f>IF(BJ$4&lt;=PARAMETER!$X$2,SUMIF('2025'!$F:$F,$B16,'2025'!BI:BI)/PARAMETER!$T$3,"")</f>
        <v/>
      </c>
    </row>
    <row r="17" spans="1:62" x14ac:dyDescent="0.25">
      <c r="A17">
        <f>A15</f>
        <v>1</v>
      </c>
      <c r="B17" s="78" t="str">
        <f>CONCATENATE(C17,PARAMETER!T$2)</f>
        <v>ANCOLVOL</v>
      </c>
      <c r="C17" s="26" t="str">
        <f t="shared" si="11"/>
        <v>ANCOL</v>
      </c>
      <c r="D17" s="67"/>
      <c r="E17" s="68"/>
      <c r="F17" s="69"/>
      <c r="G17" s="70">
        <f>G10</f>
        <v>2024</v>
      </c>
      <c r="H17" s="71">
        <f>IF(H$4&lt;=PARAMETER!$X$2,SUMIF('2024'!$F:$F,$B17,'2024'!G:G)/PARAMETER!$T$3,"")</f>
        <v>34.514800000000001</v>
      </c>
      <c r="I17" s="71">
        <f>IF(I$4&lt;=PARAMETER!$X$2,SUMIF('2024'!$F:$F,$B17,'2024'!H:H)/PARAMETER!$T$3,"")</f>
        <v>5.0503999999999998</v>
      </c>
      <c r="J17" s="71">
        <f>IF(J$4&lt;=PARAMETER!$X$2,SUMIF('2024'!$F:$F,$B17,'2024'!I:I)/PARAMETER!$T$3,"")</f>
        <v>1.8527</v>
      </c>
      <c r="K17" s="71">
        <f>IF(K$4&lt;=PARAMETER!$X$2,SUMIF('2024'!$F:$F,$B17,'2024'!J:J)/PARAMETER!$T$3,"")</f>
        <v>6.4100000000000004E-2</v>
      </c>
      <c r="L17" s="71">
        <f>IF(L$4&lt;=PARAMETER!$X$2,SUMIF('2024'!$F:$F,$B17,'2024'!K:K)/PARAMETER!$T$3,"")</f>
        <v>0</v>
      </c>
      <c r="M17" s="71">
        <f>IF(M$4&lt;=PARAMETER!$X$2,SUMIF('2024'!$F:$F,$B17,'2024'!L:L)/PARAMETER!$T$3,"")</f>
        <v>1.881</v>
      </c>
      <c r="N17" s="71">
        <f>IF(N$4&lt;=PARAMETER!$X$2,SUMIF('2024'!$F:$F,$B17,'2024'!M:M)/PARAMETER!$T$3,"")</f>
        <v>0.51680000000000004</v>
      </c>
      <c r="O17" s="71">
        <f>IF(O$4&lt;=PARAMETER!$X$2,SUMIF('2024'!$F:$F,$B17,'2024'!N:N)/PARAMETER!$T$3,"")</f>
        <v>0.40050000000000002</v>
      </c>
      <c r="P17" s="71">
        <f>IF(P$4&lt;=PARAMETER!$X$2,SUMIF('2024'!$F:$F,$B17,'2024'!O:O)/PARAMETER!$T$3,"")</f>
        <v>0</v>
      </c>
      <c r="Q17" s="71">
        <f>IF(Q$4&lt;=PARAMETER!$X$2,SUMIF('2024'!$F:$F,$B17,'2024'!P:P)/PARAMETER!$T$3,"")</f>
        <v>0</v>
      </c>
      <c r="R17" s="71">
        <f>IF(R$4&lt;=PARAMETER!$X$2,SUMIF('2024'!$F:$F,$B17,'2024'!Q:Q)/PARAMETER!$T$3,"")</f>
        <v>0.33529999999999999</v>
      </c>
      <c r="S17" s="71">
        <f>IF(S$4&lt;=PARAMETER!$X$2,SUMIF('2024'!$F:$F,$B17,'2024'!R:R)/PARAMETER!$T$3,"")</f>
        <v>0</v>
      </c>
      <c r="T17" s="71">
        <f>IF(T$4&lt;=PARAMETER!$X$2,SUMIF('2024'!$F:$F,$B17,'2024'!S:S)/PARAMETER!$T$3,"")</f>
        <v>0</v>
      </c>
      <c r="U17" s="71" t="str">
        <f>IF(U$4&lt;=PARAMETER!$X$2,SUMIF('2024'!$F:$F,$B17,'2024'!T:T)/PARAMETER!$T$3,"")</f>
        <v/>
      </c>
      <c r="V17" s="71" t="str">
        <f>IF(V$4&lt;=PARAMETER!$X$2,SUMIF('2024'!$F:$F,$B17,'2024'!U:U)/PARAMETER!$T$3,"")</f>
        <v/>
      </c>
      <c r="W17" s="71" t="str">
        <f>IF(W$4&lt;=PARAMETER!$X$2,SUMIF('2024'!$F:$F,$B17,'2024'!V:V)/PARAMETER!$T$3,"")</f>
        <v/>
      </c>
      <c r="X17" s="71" t="str">
        <f>IF(X$4&lt;=PARAMETER!$X$2,SUMIF('2024'!$F:$F,$B17,'2024'!W:W)/PARAMETER!$T$3,"")</f>
        <v/>
      </c>
      <c r="Y17" s="71" t="str">
        <f>IF(Y$4&lt;=PARAMETER!$X$2,SUMIF('2024'!$F:$F,$B17,'2024'!X:X)/PARAMETER!$T$3,"")</f>
        <v/>
      </c>
      <c r="Z17" s="71" t="str">
        <f>IF(Z$4&lt;=PARAMETER!$X$2,SUMIF('2024'!$F:$F,$B17,'2024'!Y:Y)/PARAMETER!$T$3,"")</f>
        <v/>
      </c>
      <c r="AA17" s="71" t="str">
        <f>IF(AA$4&lt;=PARAMETER!$X$2,SUMIF('2024'!$F:$F,$B17,'2024'!Z:Z)/PARAMETER!$T$3,"")</f>
        <v/>
      </c>
      <c r="AB17" s="71" t="str">
        <f>IF(AB$4&lt;=PARAMETER!$X$2,SUMIF('2024'!$F:$F,$B17,'2024'!AA:AA)/PARAMETER!$T$3,"")</f>
        <v/>
      </c>
      <c r="AC17" s="71" t="str">
        <f>IF(AC$4&lt;=PARAMETER!$X$2,SUMIF('2024'!$F:$F,$B17,'2024'!AB:AB)/PARAMETER!$T$3,"")</f>
        <v/>
      </c>
      <c r="AD17" s="71" t="str">
        <f>IF(AD$4&lt;=PARAMETER!$X$2,SUMIF('2024'!$F:$F,$B17,'2024'!AC:AC)/PARAMETER!$T$3,"")</f>
        <v/>
      </c>
      <c r="AE17" s="71" t="str">
        <f>IF(AE$4&lt;=PARAMETER!$X$2,SUMIF('2024'!$F:$F,$B17,'2024'!AD:AD)/PARAMETER!$T$3,"")</f>
        <v/>
      </c>
      <c r="AF17" s="71" t="str">
        <f>IF(AF$4&lt;=PARAMETER!$X$2,SUMIF('2024'!$F:$F,$B17,'2024'!AE:AE)/PARAMETER!$T$3,"")</f>
        <v/>
      </c>
      <c r="AG17" s="71" t="str">
        <f>IF(AG$4&lt;=PARAMETER!$X$2,SUMIF('2024'!$F:$F,$B17,'2024'!AF:AF)/PARAMETER!$T$3,"")</f>
        <v/>
      </c>
      <c r="AH17" s="71" t="str">
        <f>IF(AH$4&lt;=PARAMETER!$X$2,SUMIF('2024'!$F:$F,$B17,'2024'!AG:AG)/PARAMETER!$T$3,"")</f>
        <v/>
      </c>
      <c r="AI17" s="71" t="str">
        <f>IF(AI$4&lt;=PARAMETER!$X$2,SUMIF('2024'!$F:$F,$B17,'2024'!AH:AH)/PARAMETER!$T$3,"")</f>
        <v/>
      </c>
      <c r="AJ17" s="71" t="str">
        <f>IF(AJ$4&lt;=PARAMETER!$X$2,SUMIF('2024'!$F:$F,$B17,'2024'!AI:AI)/PARAMETER!$T$3,"")</f>
        <v/>
      </c>
      <c r="AK17" s="71" t="str">
        <f>IF(AK$4&lt;=PARAMETER!$X$2,SUMIF('2024'!$F:$F,$B17,'2024'!AJ:AJ)/PARAMETER!$T$3,"")</f>
        <v/>
      </c>
      <c r="AL17" s="71" t="str">
        <f>IF(AL$4&lt;=PARAMETER!$X$2,SUMIF('2024'!$F:$F,$B17,'2024'!AK:AK)/PARAMETER!$T$3,"")</f>
        <v/>
      </c>
      <c r="AM17" s="71" t="str">
        <f>IF(AM$4&lt;=PARAMETER!$X$2,SUMIF('2024'!$F:$F,$B17,'2024'!AL:AL)/PARAMETER!$T$3,"")</f>
        <v/>
      </c>
      <c r="AN17" s="71" t="str">
        <f>IF(AN$4&lt;=PARAMETER!$X$2,SUMIF('2024'!$F:$F,$B17,'2024'!AM:AM)/PARAMETER!$T$3,"")</f>
        <v/>
      </c>
      <c r="AO17" s="71" t="str">
        <f>IF(AO$4&lt;=PARAMETER!$X$2,SUMIF('2024'!$F:$F,$B17,'2024'!AN:AN)/PARAMETER!$T$3,"")</f>
        <v/>
      </c>
      <c r="AP17" s="71" t="str">
        <f>IF(AP$4&lt;=PARAMETER!$X$2,SUMIF('2024'!$F:$F,$B17,'2024'!AO:AO)/PARAMETER!$T$3,"")</f>
        <v/>
      </c>
      <c r="AQ17" s="71" t="str">
        <f>IF(AQ$4&lt;=PARAMETER!$X$2,SUMIF('2024'!$F:$F,$B17,'2024'!AP:AP)/PARAMETER!$T$3,"")</f>
        <v/>
      </c>
      <c r="AR17" s="71" t="str">
        <f>IF(AR$4&lt;=PARAMETER!$X$2,SUMIF('2024'!$F:$F,$B17,'2024'!AQ:AQ)/PARAMETER!$T$3,"")</f>
        <v/>
      </c>
      <c r="AS17" s="71" t="str">
        <f>IF(AS$4&lt;=PARAMETER!$X$2,SUMIF('2024'!$F:$F,$B17,'2024'!AR:AR)/PARAMETER!$T$3,"")</f>
        <v/>
      </c>
      <c r="AT17" s="71" t="str">
        <f>IF(AT$4&lt;=PARAMETER!$X$2,SUMIF('2024'!$F:$F,$B17,'2024'!AS:AS)/PARAMETER!$T$3,"")</f>
        <v/>
      </c>
      <c r="AU17" s="71" t="str">
        <f>IF(AU$4&lt;=PARAMETER!$X$2,SUMIF('2024'!$F:$F,$B17,'2024'!AT:AT)/PARAMETER!$T$3,"")</f>
        <v/>
      </c>
      <c r="AV17" s="71" t="str">
        <f>IF(AV$4&lt;=PARAMETER!$X$2,SUMIF('2024'!$F:$F,$B17,'2024'!AU:AU)/PARAMETER!$T$3,"")</f>
        <v/>
      </c>
      <c r="AW17" s="71" t="str">
        <f>IF(AW$4&lt;=PARAMETER!$X$2,SUMIF('2024'!$F:$F,$B17,'2024'!AV:AV)/PARAMETER!$T$3,"")</f>
        <v/>
      </c>
      <c r="AX17" s="71" t="str">
        <f>IF(AX$4&lt;=PARAMETER!$X$2,SUMIF('2024'!$F:$F,$B17,'2024'!AW:AW)/PARAMETER!$T$3,"")</f>
        <v/>
      </c>
      <c r="AY17" s="71" t="str">
        <f>IF(AY$4&lt;=PARAMETER!$X$2,SUMIF('2024'!$F:$F,$B17,'2024'!AX:AX)/PARAMETER!$T$3,"")</f>
        <v/>
      </c>
      <c r="AZ17" s="71" t="str">
        <f>IF(AZ$4&lt;=PARAMETER!$X$2,SUMIF('2024'!$F:$F,$B17,'2024'!AY:AY)/PARAMETER!$T$3,"")</f>
        <v/>
      </c>
      <c r="BA17" s="71" t="str">
        <f>IF(BA$4&lt;=PARAMETER!$X$2,SUMIF('2024'!$F:$F,$B17,'2024'!AZ:AZ)/PARAMETER!$T$3,"")</f>
        <v/>
      </c>
      <c r="BB17" s="71" t="str">
        <f>IF(BB$4&lt;=PARAMETER!$X$2,SUMIF('2024'!$F:$F,$B17,'2024'!BA:BA)/PARAMETER!$T$3,"")</f>
        <v/>
      </c>
      <c r="BC17" s="71" t="str">
        <f>IF(BC$4&lt;=PARAMETER!$X$2,SUMIF('2024'!$F:$F,$B17,'2024'!BB:BB)/PARAMETER!$T$3,"")</f>
        <v/>
      </c>
      <c r="BD17" s="71" t="str">
        <f>IF(BD$4&lt;=PARAMETER!$X$2,SUMIF('2024'!$F:$F,$B17,'2024'!BC:BC)/PARAMETER!$T$3,"")</f>
        <v/>
      </c>
      <c r="BE17" s="71" t="str">
        <f>IF(BE$4&lt;=PARAMETER!$X$2,SUMIF('2024'!$F:$F,$B17,'2024'!BD:BD)/PARAMETER!$T$3,"")</f>
        <v/>
      </c>
      <c r="BF17" s="71" t="str">
        <f>IF(BF$4&lt;=PARAMETER!$X$2,SUMIF('2024'!$F:$F,$B17,'2024'!BE:BE)/PARAMETER!$T$3,"")</f>
        <v/>
      </c>
      <c r="BG17" s="71" t="str">
        <f>IF(BG$4&lt;=PARAMETER!$X$2,SUMIF('2024'!$F:$F,$B17,'2024'!BF:BF)/PARAMETER!$T$3,"")</f>
        <v/>
      </c>
      <c r="BH17" s="71" t="str">
        <f>IF(BH$4&lt;=PARAMETER!$X$2,SUMIF('2024'!$F:$F,$B17,'2024'!BG:BG)/PARAMETER!$T$3,"")</f>
        <v/>
      </c>
      <c r="BI17" s="71" t="str">
        <f>IF(BI$4&lt;=PARAMETER!$X$2,SUMIF('2024'!$F:$F,$B17,'2024'!BH:BH)/PARAMETER!$T$3,"")</f>
        <v/>
      </c>
      <c r="BJ17" s="71" t="str">
        <f>IF(BJ$4&lt;=PARAMETER!$X$2,SUMIF('2024'!$F:$F,$B17,'2024'!BI:BI)/PARAMETER!$T$3,"")</f>
        <v/>
      </c>
    </row>
    <row r="18" spans="1:62" x14ac:dyDescent="0.25">
      <c r="A18">
        <v>2</v>
      </c>
      <c r="B18" s="78" t="str">
        <f>CONCATENATE(C18,PARAMETER!T$2)</f>
        <v>DWIDAYAVOL</v>
      </c>
      <c r="C18" s="21" t="str">
        <f>IFERROR(VLOOKUP(A18,PARAMETER!K$2:M26,3,0),"")</f>
        <v>DWIDAYA</v>
      </c>
      <c r="D18" s="22" t="s">
        <v>127</v>
      </c>
      <c r="E18" s="37">
        <f t="shared" ref="E18" si="12">IFERROR(I19/I18,"")</f>
        <v>3.3859096857843753</v>
      </c>
      <c r="F18" s="23">
        <f t="shared" ref="F18:F20" si="13">IFERROR(IF(E18&gt;300%,300%,E18),"")</f>
        <v>3</v>
      </c>
      <c r="G18" s="24" t="str">
        <f>G14</f>
        <v>Target</v>
      </c>
      <c r="H18" s="25">
        <f>IF(H$4&lt;=PARAMETER!$X$2,SUMIF('2026 T'!$F:$F,$B18,'2026 T'!G:G)/PARAMETER!$T$3,"")</f>
        <v>29100.000000000007</v>
      </c>
      <c r="I18" s="25">
        <f>IF(I$4&lt;=PARAMETER!$X$2,SUMIF('2026 T'!$F:$F,$B18,'2026 T'!H:H)/PARAMETER!$T$3,"")</f>
        <v>1711.4154595820555</v>
      </c>
      <c r="J18" s="25">
        <f>IF(J$4&lt;=PARAMETER!$X$2,SUMIF('2026 T'!$F:$F,$B18,'2026 T'!I:I)/PARAMETER!$T$3,"")</f>
        <v>56.9097421559553</v>
      </c>
      <c r="K18" s="25">
        <f>IF(K$4&lt;=PARAMETER!$X$2,SUMIF('2026 T'!$F:$F,$B18,'2026 T'!J:J)/PARAMETER!$T$3,"")</f>
        <v>209.837725779924</v>
      </c>
      <c r="L18" s="25">
        <f>IF(L$4&lt;=PARAMETER!$X$2,SUMIF('2026 T'!$F:$F,$B18,'2026 T'!K:K)/PARAMETER!$T$3,"")</f>
        <v>68.637113365585591</v>
      </c>
      <c r="M18" s="25">
        <f>IF(M$4&lt;=PARAMETER!$X$2,SUMIF('2026 T'!$F:$F,$B18,'2026 T'!L:L)/PARAMETER!$T$3,"")</f>
        <v>214.385898486738</v>
      </c>
      <c r="N18" s="25">
        <f>IF(N$4&lt;=PARAMETER!$X$2,SUMIF('2026 T'!$F:$F,$B18,'2026 T'!M:M)/PARAMETER!$T$3,"")</f>
        <v>395.34560616871204</v>
      </c>
      <c r="O18" s="25">
        <f>IF(O$4&lt;=PARAMETER!$X$2,SUMIF('2026 T'!$F:$F,$B18,'2026 T'!N:N)/PARAMETER!$T$3,"")</f>
        <v>407.26295858233306</v>
      </c>
      <c r="P18" s="25">
        <f>IF(P$4&lt;=PARAMETER!$X$2,SUMIF('2026 T'!$F:$F,$B18,'2026 T'!O:O)/PARAMETER!$T$3,"")</f>
        <v>171.80578470474899</v>
      </c>
      <c r="Q18" s="25">
        <f>IF(Q$4&lt;=PARAMETER!$X$2,SUMIF('2026 T'!$F:$F,$B18,'2026 T'!P:P)/PARAMETER!$T$3,"")</f>
        <v>141.16606933048902</v>
      </c>
      <c r="R18" s="25">
        <f>IF(R$4&lt;=PARAMETER!$X$2,SUMIF('2026 T'!$F:$F,$B18,'2026 T'!Q:Q)/PARAMETER!$T$3,"")</f>
        <v>46.064561007569502</v>
      </c>
      <c r="S18" s="25">
        <f>IF(S$4&lt;=PARAMETER!$X$2,SUMIF('2026 T'!$F:$F,$B18,'2026 T'!R:R)/PARAMETER!$T$3,"")</f>
        <v>466.36042362489201</v>
      </c>
      <c r="T18" s="25">
        <f>IF(T$4&lt;=PARAMETER!$X$2,SUMIF('2026 T'!$F:$F,$B18,'2026 T'!S:S)/PARAMETER!$T$3,"")</f>
        <v>292.62022046740503</v>
      </c>
      <c r="U18" s="25" t="str">
        <f>IF(U$4&lt;=PARAMETER!$X$2,SUMIF('2026 T'!$F:$F,$B18,'2026 T'!T:T)/PARAMETER!$T$3,"")</f>
        <v/>
      </c>
      <c r="V18" s="25" t="str">
        <f>IF(V$4&lt;=PARAMETER!$X$2,SUMIF('2026 T'!$F:$F,$B18,'2026 T'!U:U)/PARAMETER!$T$3,"")</f>
        <v/>
      </c>
      <c r="W18" s="25" t="str">
        <f>IF(W$4&lt;=PARAMETER!$X$2,SUMIF('2026 T'!$F:$F,$B18,'2026 T'!V:V)/PARAMETER!$T$3,"")</f>
        <v/>
      </c>
      <c r="X18" s="25" t="str">
        <f>IF(X$4&lt;=PARAMETER!$X$2,SUMIF('2026 T'!$F:$F,$B18,'2026 T'!W:W)/PARAMETER!$T$3,"")</f>
        <v/>
      </c>
      <c r="Y18" s="25" t="str">
        <f>IF(Y$4&lt;=PARAMETER!$X$2,SUMIF('2026 T'!$F:$F,$B18,'2026 T'!X:X)/PARAMETER!$T$3,"")</f>
        <v/>
      </c>
      <c r="Z18" s="25" t="str">
        <f>IF(Z$4&lt;=PARAMETER!$X$2,SUMIF('2026 T'!$F:$F,$B18,'2026 T'!Y:Y)/PARAMETER!$T$3,"")</f>
        <v/>
      </c>
      <c r="AA18" s="25" t="str">
        <f>IF(AA$4&lt;=PARAMETER!$X$2,SUMIF('2026 T'!$F:$F,$B18,'2026 T'!Z:Z)/PARAMETER!$T$3,"")</f>
        <v/>
      </c>
      <c r="AB18" s="25" t="str">
        <f>IF(AB$4&lt;=PARAMETER!$X$2,SUMIF('2026 T'!$F:$F,$B18,'2026 T'!AA:AA)/PARAMETER!$T$3,"")</f>
        <v/>
      </c>
      <c r="AC18" s="25" t="str">
        <f>IF(AC$4&lt;=PARAMETER!$X$2,SUMIF('2026 T'!$F:$F,$B18,'2026 T'!AB:AB)/PARAMETER!$T$3,"")</f>
        <v/>
      </c>
      <c r="AD18" s="25" t="str">
        <f>IF(AD$4&lt;=PARAMETER!$X$2,SUMIF('2026 T'!$F:$F,$B18,'2026 T'!AC:AC)/PARAMETER!$T$3,"")</f>
        <v/>
      </c>
      <c r="AE18" s="25" t="str">
        <f>IF(AE$4&lt;=PARAMETER!$X$2,SUMIF('2026 T'!$F:$F,$B18,'2026 T'!AD:AD)/PARAMETER!$T$3,"")</f>
        <v/>
      </c>
      <c r="AF18" s="25" t="str">
        <f>IF(AF$4&lt;=PARAMETER!$X$2,SUMIF('2026 T'!$F:$F,$B18,'2026 T'!AE:AE)/PARAMETER!$T$3,"")</f>
        <v/>
      </c>
      <c r="AG18" s="25" t="str">
        <f>IF(AG$4&lt;=PARAMETER!$X$2,SUMIF('2026 T'!$F:$F,$B18,'2026 T'!AF:AF)/PARAMETER!$T$3,"")</f>
        <v/>
      </c>
      <c r="AH18" s="25" t="str">
        <f>IF(AH$4&lt;=PARAMETER!$X$2,SUMIF('2026 T'!$F:$F,$B18,'2026 T'!AG:AG)/PARAMETER!$T$3,"")</f>
        <v/>
      </c>
      <c r="AI18" s="25" t="str">
        <f>IF(AI$4&lt;=PARAMETER!$X$2,SUMIF('2026 T'!$F:$F,$B18,'2026 T'!AH:AH)/PARAMETER!$T$3,"")</f>
        <v/>
      </c>
      <c r="AJ18" s="25" t="str">
        <f>IF(AJ$4&lt;=PARAMETER!$X$2,SUMIF('2026 T'!$F:$F,$B18,'2026 T'!AI:AI)/PARAMETER!$T$3,"")</f>
        <v/>
      </c>
      <c r="AK18" s="25" t="str">
        <f>IF(AK$4&lt;=PARAMETER!$X$2,SUMIF('2026 T'!$F:$F,$B18,'2026 T'!AJ:AJ)/PARAMETER!$T$3,"")</f>
        <v/>
      </c>
      <c r="AL18" s="25" t="str">
        <f>IF(AL$4&lt;=PARAMETER!$X$2,SUMIF('2026 T'!$F:$F,$B18,'2026 T'!AK:AK)/PARAMETER!$T$3,"")</f>
        <v/>
      </c>
      <c r="AM18" s="25" t="str">
        <f>IF(AM$4&lt;=PARAMETER!$X$2,SUMIF('2026 T'!$F:$F,$B18,'2026 T'!AL:AL)/PARAMETER!$T$3,"")</f>
        <v/>
      </c>
      <c r="AN18" s="25" t="str">
        <f>IF(AN$4&lt;=PARAMETER!$X$2,SUMIF('2026 T'!$F:$F,$B18,'2026 T'!AM:AM)/PARAMETER!$T$3,"")</f>
        <v/>
      </c>
      <c r="AO18" s="25" t="str">
        <f>IF(AO$4&lt;=PARAMETER!$X$2,SUMIF('2026 T'!$F:$F,$B18,'2026 T'!AN:AN)/PARAMETER!$T$3,"")</f>
        <v/>
      </c>
      <c r="AP18" s="25" t="str">
        <f>IF(AP$4&lt;=PARAMETER!$X$2,SUMIF('2026 T'!$F:$F,$B18,'2026 T'!AO:AO)/PARAMETER!$T$3,"")</f>
        <v/>
      </c>
      <c r="AQ18" s="25" t="str">
        <f>IF(AQ$4&lt;=PARAMETER!$X$2,SUMIF('2026 T'!$F:$F,$B18,'2026 T'!AP:AP)/PARAMETER!$T$3,"")</f>
        <v/>
      </c>
      <c r="AR18" s="25" t="str">
        <f>IF(AR$4&lt;=PARAMETER!$X$2,SUMIF('2026 T'!$F:$F,$B18,'2026 T'!AQ:AQ)/PARAMETER!$T$3,"")</f>
        <v/>
      </c>
      <c r="AS18" s="25" t="str">
        <f>IF(AS$4&lt;=PARAMETER!$X$2,SUMIF('2026 T'!$F:$F,$B18,'2026 T'!AR:AR)/PARAMETER!$T$3,"")</f>
        <v/>
      </c>
      <c r="AT18" s="25" t="str">
        <f>IF(AT$4&lt;=PARAMETER!$X$2,SUMIF('2026 T'!$F:$F,$B18,'2026 T'!AS:AS)/PARAMETER!$T$3,"")</f>
        <v/>
      </c>
      <c r="AU18" s="25" t="str">
        <f>IF(AU$4&lt;=PARAMETER!$X$2,SUMIF('2026 T'!$F:$F,$B18,'2026 T'!AT:AT)/PARAMETER!$T$3,"")</f>
        <v/>
      </c>
      <c r="AV18" s="25" t="str">
        <f>IF(AV$4&lt;=PARAMETER!$X$2,SUMIF('2026 T'!$F:$F,$B18,'2026 T'!AU:AU)/PARAMETER!$T$3,"")</f>
        <v/>
      </c>
      <c r="AW18" s="25" t="str">
        <f>IF(AW$4&lt;=PARAMETER!$X$2,SUMIF('2026 T'!$F:$F,$B18,'2026 T'!AV:AV)/PARAMETER!$T$3,"")</f>
        <v/>
      </c>
      <c r="AX18" s="25" t="str">
        <f>IF(AX$4&lt;=PARAMETER!$X$2,SUMIF('2026 T'!$F:$F,$B18,'2026 T'!AW:AW)/PARAMETER!$T$3,"")</f>
        <v/>
      </c>
      <c r="AY18" s="25" t="str">
        <f>IF(AY$4&lt;=PARAMETER!$X$2,SUMIF('2026 T'!$F:$F,$B18,'2026 T'!AX:AX)/PARAMETER!$T$3,"")</f>
        <v/>
      </c>
      <c r="AZ18" s="25" t="str">
        <f>IF(AZ$4&lt;=PARAMETER!$X$2,SUMIF('2026 T'!$F:$F,$B18,'2026 T'!AY:AY)/PARAMETER!$T$3,"")</f>
        <v/>
      </c>
      <c r="BA18" s="25" t="str">
        <f>IF(BA$4&lt;=PARAMETER!$X$2,SUMIF('2026 T'!$F:$F,$B18,'2026 T'!AZ:AZ)/PARAMETER!$T$3,"")</f>
        <v/>
      </c>
      <c r="BB18" s="25" t="str">
        <f>IF(BB$4&lt;=PARAMETER!$X$2,SUMIF('2026 T'!$F:$F,$B18,'2026 T'!BA:BA)/PARAMETER!$T$3,"")</f>
        <v/>
      </c>
      <c r="BC18" s="25" t="str">
        <f>IF(BC$4&lt;=PARAMETER!$X$2,SUMIF('2026 T'!$F:$F,$B18,'2026 T'!BB:BB)/PARAMETER!$T$3,"")</f>
        <v/>
      </c>
      <c r="BD18" s="25" t="str">
        <f>IF(BD$4&lt;=PARAMETER!$X$2,SUMIF('2026 T'!$F:$F,$B18,'2026 T'!BC:BC)/PARAMETER!$T$3,"")</f>
        <v/>
      </c>
      <c r="BE18" s="25" t="str">
        <f>IF(BE$4&lt;=PARAMETER!$X$2,SUMIF('2026 T'!$F:$F,$B18,'2026 T'!BD:BD)/PARAMETER!$T$3,"")</f>
        <v/>
      </c>
      <c r="BF18" s="25" t="str">
        <f>IF(BF$4&lt;=PARAMETER!$X$2,SUMIF('2026 T'!$F:$F,$B18,'2026 T'!BE:BE)/PARAMETER!$T$3,"")</f>
        <v/>
      </c>
      <c r="BG18" s="25" t="str">
        <f>IF(BG$4&lt;=PARAMETER!$X$2,SUMIF('2026 T'!$F:$F,$B18,'2026 T'!BF:BF)/PARAMETER!$T$3,"")</f>
        <v/>
      </c>
      <c r="BH18" s="25" t="str">
        <f>IF(BH$4&lt;=PARAMETER!$X$2,SUMIF('2026 T'!$F:$F,$B18,'2026 T'!BG:BG)/PARAMETER!$T$3,"")</f>
        <v/>
      </c>
      <c r="BI18" s="25" t="str">
        <f>IF(BI$4&lt;=PARAMETER!$X$2,SUMIF('2026 T'!$F:$F,$B18,'2026 T'!BH:BH)/PARAMETER!$T$3,"")</f>
        <v/>
      </c>
      <c r="BJ18" s="25" t="str">
        <f>IF(BJ$4&lt;=PARAMETER!$X$2,SUMIF('2026 T'!$F:$F,$B18,'2026 T'!BI:BI)/PARAMETER!$T$3,"")</f>
        <v/>
      </c>
    </row>
    <row r="19" spans="1:62" x14ac:dyDescent="0.25">
      <c r="A19">
        <f t="shared" ref="A19:A20" si="14">A18</f>
        <v>2</v>
      </c>
      <c r="B19" s="78" t="str">
        <f>CONCATENATE(C19,PARAMETER!T$2)</f>
        <v>DWIDAYAVOL</v>
      </c>
      <c r="C19" s="26" t="str">
        <f t="shared" ref="C19:C21" si="15">C18</f>
        <v>DWIDAYA</v>
      </c>
      <c r="D19" s="27" t="s">
        <v>128</v>
      </c>
      <c r="E19" s="35">
        <f t="shared" ref="E19:E20" si="16">IFERROR(I19/I20-1,"")</f>
        <v>12.504362373946233</v>
      </c>
      <c r="F19" s="28">
        <f t="shared" si="13"/>
        <v>3</v>
      </c>
      <c r="G19" s="39">
        <f>G15</f>
        <v>2026</v>
      </c>
      <c r="H19" s="40">
        <f>IF(H$4&lt;=PARAMETER!$X$2,SUMIF('2026'!$F:$F,$B19,'2026'!G:G)/PARAMETER!$T$3,"")</f>
        <v>5794.6981809999997</v>
      </c>
      <c r="I19" s="40">
        <f>IF(I$4&lt;=PARAMETER!$X$2,SUMIF('2026'!$F:$F,$B19,'2026'!H:H)/PARAMETER!$T$3,"")</f>
        <v>5794.6981809999997</v>
      </c>
      <c r="J19" s="40">
        <f>IF(J$4&lt;=PARAMETER!$X$2,SUMIF('2026'!$F:$F,$B19,'2026'!I:I)/PARAMETER!$T$3,"")</f>
        <v>182.98</v>
      </c>
      <c r="K19" s="40">
        <f>IF(K$4&lt;=PARAMETER!$X$2,SUMIF('2026'!$F:$F,$B19,'2026'!J:J)/PARAMETER!$T$3,"")</f>
        <v>684.08026500000005</v>
      </c>
      <c r="L19" s="40">
        <f>IF(L$4&lt;=PARAMETER!$X$2,SUMIF('2026'!$F:$F,$B19,'2026'!K:K)/PARAMETER!$T$3,"")</f>
        <v>104.26</v>
      </c>
      <c r="M19" s="40">
        <f>IF(M$4&lt;=PARAMETER!$X$2,SUMIF('2026'!$F:$F,$B19,'2026'!L:L)/PARAMETER!$T$3,"")</f>
        <v>437.44081599999998</v>
      </c>
      <c r="N19" s="40">
        <f>IF(N$4&lt;=PARAMETER!$X$2,SUMIF('2026'!$F:$F,$B19,'2026'!M:M)/PARAMETER!$T$3,"")</f>
        <v>1240.085</v>
      </c>
      <c r="O19" s="40">
        <f>IF(O$4&lt;=PARAMETER!$X$2,SUMIF('2026'!$F:$F,$B19,'2026'!N:N)/PARAMETER!$T$3,"")</f>
        <v>1732.4369999999999</v>
      </c>
      <c r="P19" s="40">
        <f>IF(P$4&lt;=PARAMETER!$X$2,SUMIF('2026'!$F:$F,$B19,'2026'!O:O)/PARAMETER!$T$3,"")</f>
        <v>817.72910000000002</v>
      </c>
      <c r="Q19" s="40">
        <f>IF(Q$4&lt;=PARAMETER!$X$2,SUMIF('2026'!$F:$F,$B19,'2026'!P:P)/PARAMETER!$T$3,"")</f>
        <v>67.239999999999995</v>
      </c>
      <c r="R19" s="40">
        <f>IF(R$4&lt;=PARAMETER!$X$2,SUMIF('2026'!$F:$F,$B19,'2026'!Q:Q)/PARAMETER!$T$3,"")</f>
        <v>421.79399999999998</v>
      </c>
      <c r="S19" s="40">
        <f>IF(S$4&lt;=PARAMETER!$X$2,SUMIF('2026'!$F:$F,$B19,'2026'!R:R)/PARAMETER!$T$3,"")</f>
        <v>56.820999999999998</v>
      </c>
      <c r="T19" s="40">
        <f>IF(T$4&lt;=PARAMETER!$X$2,SUMIF('2026'!$F:$F,$B19,'2026'!S:S)/PARAMETER!$T$3,"")</f>
        <v>49.831000000000003</v>
      </c>
      <c r="U19" s="40" t="str">
        <f>IF(U$4&lt;=PARAMETER!$X$2,SUMIF('2026'!$F:$F,$B19,'2026'!T:T)/PARAMETER!$T$3,"")</f>
        <v/>
      </c>
      <c r="V19" s="40" t="str">
        <f>IF(V$4&lt;=PARAMETER!$X$2,SUMIF('2026'!$F:$F,$B19,'2026'!U:U)/PARAMETER!$T$3,"")</f>
        <v/>
      </c>
      <c r="W19" s="40" t="str">
        <f>IF(W$4&lt;=PARAMETER!$X$2,SUMIF('2026'!$F:$F,$B19,'2026'!V:V)/PARAMETER!$T$3,"")</f>
        <v/>
      </c>
      <c r="X19" s="40" t="str">
        <f>IF(X$4&lt;=PARAMETER!$X$2,SUMIF('2026'!$F:$F,$B19,'2026'!W:W)/PARAMETER!$T$3,"")</f>
        <v/>
      </c>
      <c r="Y19" s="40" t="str">
        <f>IF(Y$4&lt;=PARAMETER!$X$2,SUMIF('2026'!$F:$F,$B19,'2026'!X:X)/PARAMETER!$T$3,"")</f>
        <v/>
      </c>
      <c r="Z19" s="40" t="str">
        <f>IF(Z$4&lt;=PARAMETER!$X$2,SUMIF('2026'!$F:$F,$B19,'2026'!Y:Y)/PARAMETER!$T$3,"")</f>
        <v/>
      </c>
      <c r="AA19" s="40" t="str">
        <f>IF(AA$4&lt;=PARAMETER!$X$2,SUMIF('2026'!$F:$F,$B19,'2026'!Z:Z)/PARAMETER!$T$3,"")</f>
        <v/>
      </c>
      <c r="AB19" s="40" t="str">
        <f>IF(AB$4&lt;=PARAMETER!$X$2,SUMIF('2026'!$F:$F,$B19,'2026'!AA:AA)/PARAMETER!$T$3,"")</f>
        <v/>
      </c>
      <c r="AC19" s="40" t="str">
        <f>IF(AC$4&lt;=PARAMETER!$X$2,SUMIF('2026'!$F:$F,$B19,'2026'!AB:AB)/PARAMETER!$T$3,"")</f>
        <v/>
      </c>
      <c r="AD19" s="40" t="str">
        <f>IF(AD$4&lt;=PARAMETER!$X$2,SUMIF('2026'!$F:$F,$B19,'2026'!AC:AC)/PARAMETER!$T$3,"")</f>
        <v/>
      </c>
      <c r="AE19" s="40" t="str">
        <f>IF(AE$4&lt;=PARAMETER!$X$2,SUMIF('2026'!$F:$F,$B19,'2026'!AD:AD)/PARAMETER!$T$3,"")</f>
        <v/>
      </c>
      <c r="AF19" s="40" t="str">
        <f>IF(AF$4&lt;=PARAMETER!$X$2,SUMIF('2026'!$F:$F,$B19,'2026'!AE:AE)/PARAMETER!$T$3,"")</f>
        <v/>
      </c>
      <c r="AG19" s="40" t="str">
        <f>IF(AG$4&lt;=PARAMETER!$X$2,SUMIF('2026'!$F:$F,$B19,'2026'!AF:AF)/PARAMETER!$T$3,"")</f>
        <v/>
      </c>
      <c r="AH19" s="40" t="str">
        <f>IF(AH$4&lt;=PARAMETER!$X$2,SUMIF('2026'!$F:$F,$B19,'2026'!AG:AG)/PARAMETER!$T$3,"")</f>
        <v/>
      </c>
      <c r="AI19" s="40" t="str">
        <f>IF(AI$4&lt;=PARAMETER!$X$2,SUMIF('2026'!$F:$F,$B19,'2026'!AH:AH)/PARAMETER!$T$3,"")</f>
        <v/>
      </c>
      <c r="AJ19" s="40" t="str">
        <f>IF(AJ$4&lt;=PARAMETER!$X$2,SUMIF('2026'!$F:$F,$B19,'2026'!AI:AI)/PARAMETER!$T$3,"")</f>
        <v/>
      </c>
      <c r="AK19" s="40" t="str">
        <f>IF(AK$4&lt;=PARAMETER!$X$2,SUMIF('2026'!$F:$F,$B19,'2026'!AJ:AJ)/PARAMETER!$T$3,"")</f>
        <v/>
      </c>
      <c r="AL19" s="40" t="str">
        <f>IF(AL$4&lt;=PARAMETER!$X$2,SUMIF('2026'!$F:$F,$B19,'2026'!AK:AK)/PARAMETER!$T$3,"")</f>
        <v/>
      </c>
      <c r="AM19" s="40" t="str">
        <f>IF(AM$4&lt;=PARAMETER!$X$2,SUMIF('2026'!$F:$F,$B19,'2026'!AL:AL)/PARAMETER!$T$3,"")</f>
        <v/>
      </c>
      <c r="AN19" s="40" t="str">
        <f>IF(AN$4&lt;=PARAMETER!$X$2,SUMIF('2026'!$F:$F,$B19,'2026'!AM:AM)/PARAMETER!$T$3,"")</f>
        <v/>
      </c>
      <c r="AO19" s="40" t="str">
        <f>IF(AO$4&lt;=PARAMETER!$X$2,SUMIF('2026'!$F:$F,$B19,'2026'!AN:AN)/PARAMETER!$T$3,"")</f>
        <v/>
      </c>
      <c r="AP19" s="40" t="str">
        <f>IF(AP$4&lt;=PARAMETER!$X$2,SUMIF('2026'!$F:$F,$B19,'2026'!AO:AO)/PARAMETER!$T$3,"")</f>
        <v/>
      </c>
      <c r="AQ19" s="40" t="str">
        <f>IF(AQ$4&lt;=PARAMETER!$X$2,SUMIF('2026'!$F:$F,$B19,'2026'!AP:AP)/PARAMETER!$T$3,"")</f>
        <v/>
      </c>
      <c r="AR19" s="40" t="str">
        <f>IF(AR$4&lt;=PARAMETER!$X$2,SUMIF('2026'!$F:$F,$B19,'2026'!AQ:AQ)/PARAMETER!$T$3,"")</f>
        <v/>
      </c>
      <c r="AS19" s="40" t="str">
        <f>IF(AS$4&lt;=PARAMETER!$X$2,SUMIF('2026'!$F:$F,$B19,'2026'!AR:AR)/PARAMETER!$T$3,"")</f>
        <v/>
      </c>
      <c r="AT19" s="40" t="str">
        <f>IF(AT$4&lt;=PARAMETER!$X$2,SUMIF('2026'!$F:$F,$B19,'2026'!AS:AS)/PARAMETER!$T$3,"")</f>
        <v/>
      </c>
      <c r="AU19" s="40" t="str">
        <f>IF(AU$4&lt;=PARAMETER!$X$2,SUMIF('2026'!$F:$F,$B19,'2026'!AT:AT)/PARAMETER!$T$3,"")</f>
        <v/>
      </c>
      <c r="AV19" s="40" t="str">
        <f>IF(AV$4&lt;=PARAMETER!$X$2,SUMIF('2026'!$F:$F,$B19,'2026'!AU:AU)/PARAMETER!$T$3,"")</f>
        <v/>
      </c>
      <c r="AW19" s="40" t="str">
        <f>IF(AW$4&lt;=PARAMETER!$X$2,SUMIF('2026'!$F:$F,$B19,'2026'!AV:AV)/PARAMETER!$T$3,"")</f>
        <v/>
      </c>
      <c r="AX19" s="40" t="str">
        <f>IF(AX$4&lt;=PARAMETER!$X$2,SUMIF('2026'!$F:$F,$B19,'2026'!AW:AW)/PARAMETER!$T$3,"")</f>
        <v/>
      </c>
      <c r="AY19" s="40" t="str">
        <f>IF(AY$4&lt;=PARAMETER!$X$2,SUMIF('2026'!$F:$F,$B19,'2026'!AX:AX)/PARAMETER!$T$3,"")</f>
        <v/>
      </c>
      <c r="AZ19" s="40" t="str">
        <f>IF(AZ$4&lt;=PARAMETER!$X$2,SUMIF('2026'!$F:$F,$B19,'2026'!AY:AY)/PARAMETER!$T$3,"")</f>
        <v/>
      </c>
      <c r="BA19" s="40" t="str">
        <f>IF(BA$4&lt;=PARAMETER!$X$2,SUMIF('2026'!$F:$F,$B19,'2026'!AZ:AZ)/PARAMETER!$T$3,"")</f>
        <v/>
      </c>
      <c r="BB19" s="40" t="str">
        <f>IF(BB$4&lt;=PARAMETER!$X$2,SUMIF('2026'!$F:$F,$B19,'2026'!BA:BA)/PARAMETER!$T$3,"")</f>
        <v/>
      </c>
      <c r="BC19" s="40" t="str">
        <f>IF(BC$4&lt;=PARAMETER!$X$2,SUMIF('2026'!$F:$F,$B19,'2026'!BB:BB)/PARAMETER!$T$3,"")</f>
        <v/>
      </c>
      <c r="BD19" s="40" t="str">
        <f>IF(BD$4&lt;=PARAMETER!$X$2,SUMIF('2026'!$F:$F,$B19,'2026'!BC:BC)/PARAMETER!$T$3,"")</f>
        <v/>
      </c>
      <c r="BE19" s="40" t="str">
        <f>IF(BE$4&lt;=PARAMETER!$X$2,SUMIF('2026'!$F:$F,$B19,'2026'!BD:BD)/PARAMETER!$T$3,"")</f>
        <v/>
      </c>
      <c r="BF19" s="40" t="str">
        <f>IF(BF$4&lt;=PARAMETER!$X$2,SUMIF('2026'!$F:$F,$B19,'2026'!BE:BE)/PARAMETER!$T$3,"")</f>
        <v/>
      </c>
      <c r="BG19" s="40" t="str">
        <f>IF(BG$4&lt;=PARAMETER!$X$2,SUMIF('2026'!$F:$F,$B19,'2026'!BF:BF)/PARAMETER!$T$3,"")</f>
        <v/>
      </c>
      <c r="BH19" s="40" t="str">
        <f>IF(BH$4&lt;=PARAMETER!$X$2,SUMIF('2026'!$F:$F,$B19,'2026'!BG:BG)/PARAMETER!$T$3,"")</f>
        <v/>
      </c>
      <c r="BI19" s="40" t="str">
        <f>IF(BI$4&lt;=PARAMETER!$X$2,SUMIF('2026'!$F:$F,$B19,'2026'!BH:BH)/PARAMETER!$T$3,"")</f>
        <v/>
      </c>
      <c r="BJ19" s="40" t="str">
        <f>IF(BJ$4&lt;=PARAMETER!$X$2,SUMIF('2026'!$F:$F,$B19,'2026'!BI:BI)/PARAMETER!$T$3,"")</f>
        <v/>
      </c>
    </row>
    <row r="20" spans="1:62" x14ac:dyDescent="0.25">
      <c r="A20">
        <f t="shared" si="14"/>
        <v>2</v>
      </c>
      <c r="B20" s="78" t="str">
        <f>CONCATENATE(C20,PARAMETER!T$2)</f>
        <v>DWIDAYAVOL</v>
      </c>
      <c r="C20" s="26" t="str">
        <f t="shared" si="15"/>
        <v>DWIDAYA</v>
      </c>
      <c r="D20" s="27" t="s">
        <v>128</v>
      </c>
      <c r="E20" s="35" t="str">
        <f t="shared" si="16"/>
        <v/>
      </c>
      <c r="F20" s="28">
        <f t="shared" si="13"/>
        <v>3</v>
      </c>
      <c r="G20" s="39">
        <f>G16</f>
        <v>2025</v>
      </c>
      <c r="H20" s="40">
        <f>IF(H$4&lt;=PARAMETER!$X$2,SUMIF('2025'!$F:$F,$B20,'2025'!G:G)/PARAMETER!$T$3,"")</f>
        <v>5284.1012600000004</v>
      </c>
      <c r="I20" s="40">
        <f>IF(I$4&lt;=PARAMETER!$X$2,SUMIF('2025'!$F:$F,$B20,'2025'!H:H)/PARAMETER!$T$3,"")</f>
        <v>429.09824400000002</v>
      </c>
      <c r="J20" s="40">
        <f>IF(J$4&lt;=PARAMETER!$X$2,SUMIF('2025'!$F:$F,$B20,'2025'!I:I)/PARAMETER!$T$3,"")</f>
        <v>9.8850020000000001</v>
      </c>
      <c r="K20" s="40">
        <f>IF(K$4&lt;=PARAMETER!$X$2,SUMIF('2025'!$F:$F,$B20,'2025'!J:J)/PARAMETER!$T$3,"")</f>
        <v>36.448000999999998</v>
      </c>
      <c r="L20" s="40">
        <f>IF(L$4&lt;=PARAMETER!$X$2,SUMIF('2025'!$F:$F,$B20,'2025'!K:K)/PARAMETER!$T$3,"")</f>
        <v>11.922001</v>
      </c>
      <c r="M20" s="40">
        <f>IF(M$4&lt;=PARAMETER!$X$2,SUMIF('2025'!$F:$F,$B20,'2025'!L:L)/PARAMETER!$T$3,"")</f>
        <v>37.238000999999997</v>
      </c>
      <c r="N20" s="40">
        <f>IF(N$4&lt;=PARAMETER!$X$2,SUMIF('2025'!$F:$F,$B20,'2025'!M:M)/PARAMETER!$T$3,"")</f>
        <v>68.670001999999997</v>
      </c>
      <c r="O20" s="40">
        <f>IF(O$4&lt;=PARAMETER!$X$2,SUMIF('2025'!$F:$F,$B20,'2025'!N:N)/PARAMETER!$T$3,"")</f>
        <v>70.739999999999995</v>
      </c>
      <c r="P20" s="40">
        <f>IF(P$4&lt;=PARAMETER!$X$2,SUMIF('2025'!$F:$F,$B20,'2025'!O:O)/PARAMETER!$T$3,"")</f>
        <v>29.841999999999999</v>
      </c>
      <c r="Q20" s="40">
        <f>IF(Q$4&lt;=PARAMETER!$X$2,SUMIF('2025'!$F:$F,$B20,'2025'!P:P)/PARAMETER!$T$3,"")</f>
        <v>24.52</v>
      </c>
      <c r="R20" s="40">
        <f>IF(R$4&lt;=PARAMETER!$X$2,SUMIF('2025'!$F:$F,$B20,'2025'!Q:Q)/PARAMETER!$T$3,"")</f>
        <v>8.0012360000000005</v>
      </c>
      <c r="S20" s="40">
        <f>IF(S$4&lt;=PARAMETER!$X$2,SUMIF('2025'!$F:$F,$B20,'2025'!R:R)/PARAMETER!$T$3,"")</f>
        <v>81.005000999999993</v>
      </c>
      <c r="T20" s="40">
        <f>IF(T$4&lt;=PARAMETER!$X$2,SUMIF('2025'!$F:$F,$B20,'2025'!S:S)/PARAMETER!$T$3,"")</f>
        <v>50.826999999999998</v>
      </c>
      <c r="U20" s="40" t="str">
        <f>IF(U$4&lt;=PARAMETER!$X$2,SUMIF('2025'!$F:$F,$B20,'2025'!T:T)/PARAMETER!$T$3,"")</f>
        <v/>
      </c>
      <c r="V20" s="40" t="str">
        <f>IF(V$4&lt;=PARAMETER!$X$2,SUMIF('2025'!$F:$F,$B20,'2025'!U:U)/PARAMETER!$T$3,"")</f>
        <v/>
      </c>
      <c r="W20" s="40" t="str">
        <f>IF(W$4&lt;=PARAMETER!$X$2,SUMIF('2025'!$F:$F,$B20,'2025'!V:V)/PARAMETER!$T$3,"")</f>
        <v/>
      </c>
      <c r="X20" s="40" t="str">
        <f>IF(X$4&lt;=PARAMETER!$X$2,SUMIF('2025'!$F:$F,$B20,'2025'!W:W)/PARAMETER!$T$3,"")</f>
        <v/>
      </c>
      <c r="Y20" s="40" t="str">
        <f>IF(Y$4&lt;=PARAMETER!$X$2,SUMIF('2025'!$F:$F,$B20,'2025'!X:X)/PARAMETER!$T$3,"")</f>
        <v/>
      </c>
      <c r="Z20" s="40" t="str">
        <f>IF(Z$4&lt;=PARAMETER!$X$2,SUMIF('2025'!$F:$F,$B20,'2025'!Y:Y)/PARAMETER!$T$3,"")</f>
        <v/>
      </c>
      <c r="AA20" s="40" t="str">
        <f>IF(AA$4&lt;=PARAMETER!$X$2,SUMIF('2025'!$F:$F,$B20,'2025'!Z:Z)/PARAMETER!$T$3,"")</f>
        <v/>
      </c>
      <c r="AB20" s="40" t="str">
        <f>IF(AB$4&lt;=PARAMETER!$X$2,SUMIF('2025'!$F:$F,$B20,'2025'!AA:AA)/PARAMETER!$T$3,"")</f>
        <v/>
      </c>
      <c r="AC20" s="40" t="str">
        <f>IF(AC$4&lt;=PARAMETER!$X$2,SUMIF('2025'!$F:$F,$B20,'2025'!AB:AB)/PARAMETER!$T$3,"")</f>
        <v/>
      </c>
      <c r="AD20" s="40" t="str">
        <f>IF(AD$4&lt;=PARAMETER!$X$2,SUMIF('2025'!$F:$F,$B20,'2025'!AC:AC)/PARAMETER!$T$3,"")</f>
        <v/>
      </c>
      <c r="AE20" s="40" t="str">
        <f>IF(AE$4&lt;=PARAMETER!$X$2,SUMIF('2025'!$F:$F,$B20,'2025'!AD:AD)/PARAMETER!$T$3,"")</f>
        <v/>
      </c>
      <c r="AF20" s="40" t="str">
        <f>IF(AF$4&lt;=PARAMETER!$X$2,SUMIF('2025'!$F:$F,$B20,'2025'!AE:AE)/PARAMETER!$T$3,"")</f>
        <v/>
      </c>
      <c r="AG20" s="40" t="str">
        <f>IF(AG$4&lt;=PARAMETER!$X$2,SUMIF('2025'!$F:$F,$B20,'2025'!AF:AF)/PARAMETER!$T$3,"")</f>
        <v/>
      </c>
      <c r="AH20" s="40" t="str">
        <f>IF(AH$4&lt;=PARAMETER!$X$2,SUMIF('2025'!$F:$F,$B20,'2025'!AG:AG)/PARAMETER!$T$3,"")</f>
        <v/>
      </c>
      <c r="AI20" s="40" t="str">
        <f>IF(AI$4&lt;=PARAMETER!$X$2,SUMIF('2025'!$F:$F,$B20,'2025'!AH:AH)/PARAMETER!$T$3,"")</f>
        <v/>
      </c>
      <c r="AJ20" s="40" t="str">
        <f>IF(AJ$4&lt;=PARAMETER!$X$2,SUMIF('2025'!$F:$F,$B20,'2025'!AI:AI)/PARAMETER!$T$3,"")</f>
        <v/>
      </c>
      <c r="AK20" s="40" t="str">
        <f>IF(AK$4&lt;=PARAMETER!$X$2,SUMIF('2025'!$F:$F,$B20,'2025'!AJ:AJ)/PARAMETER!$T$3,"")</f>
        <v/>
      </c>
      <c r="AL20" s="40" t="str">
        <f>IF(AL$4&lt;=PARAMETER!$X$2,SUMIF('2025'!$F:$F,$B20,'2025'!AK:AK)/PARAMETER!$T$3,"")</f>
        <v/>
      </c>
      <c r="AM20" s="40" t="str">
        <f>IF(AM$4&lt;=PARAMETER!$X$2,SUMIF('2025'!$F:$F,$B20,'2025'!AL:AL)/PARAMETER!$T$3,"")</f>
        <v/>
      </c>
      <c r="AN20" s="40" t="str">
        <f>IF(AN$4&lt;=PARAMETER!$X$2,SUMIF('2025'!$F:$F,$B20,'2025'!AM:AM)/PARAMETER!$T$3,"")</f>
        <v/>
      </c>
      <c r="AO20" s="40" t="str">
        <f>IF(AO$4&lt;=PARAMETER!$X$2,SUMIF('2025'!$F:$F,$B20,'2025'!AN:AN)/PARAMETER!$T$3,"")</f>
        <v/>
      </c>
      <c r="AP20" s="40" t="str">
        <f>IF(AP$4&lt;=PARAMETER!$X$2,SUMIF('2025'!$F:$F,$B20,'2025'!AO:AO)/PARAMETER!$T$3,"")</f>
        <v/>
      </c>
      <c r="AQ20" s="40" t="str">
        <f>IF(AQ$4&lt;=PARAMETER!$X$2,SUMIF('2025'!$F:$F,$B20,'2025'!AP:AP)/PARAMETER!$T$3,"")</f>
        <v/>
      </c>
      <c r="AR20" s="40" t="str">
        <f>IF(AR$4&lt;=PARAMETER!$X$2,SUMIF('2025'!$F:$F,$B20,'2025'!AQ:AQ)/PARAMETER!$T$3,"")</f>
        <v/>
      </c>
      <c r="AS20" s="40" t="str">
        <f>IF(AS$4&lt;=PARAMETER!$X$2,SUMIF('2025'!$F:$F,$B20,'2025'!AR:AR)/PARAMETER!$T$3,"")</f>
        <v/>
      </c>
      <c r="AT20" s="40" t="str">
        <f>IF(AT$4&lt;=PARAMETER!$X$2,SUMIF('2025'!$F:$F,$B20,'2025'!AS:AS)/PARAMETER!$T$3,"")</f>
        <v/>
      </c>
      <c r="AU20" s="40" t="str">
        <f>IF(AU$4&lt;=PARAMETER!$X$2,SUMIF('2025'!$F:$F,$B20,'2025'!AT:AT)/PARAMETER!$T$3,"")</f>
        <v/>
      </c>
      <c r="AV20" s="40" t="str">
        <f>IF(AV$4&lt;=PARAMETER!$X$2,SUMIF('2025'!$F:$F,$B20,'2025'!AU:AU)/PARAMETER!$T$3,"")</f>
        <v/>
      </c>
      <c r="AW20" s="40" t="str">
        <f>IF(AW$4&lt;=PARAMETER!$X$2,SUMIF('2025'!$F:$F,$B20,'2025'!AV:AV)/PARAMETER!$T$3,"")</f>
        <v/>
      </c>
      <c r="AX20" s="40" t="str">
        <f>IF(AX$4&lt;=PARAMETER!$X$2,SUMIF('2025'!$F:$F,$B20,'2025'!AW:AW)/PARAMETER!$T$3,"")</f>
        <v/>
      </c>
      <c r="AY20" s="40" t="str">
        <f>IF(AY$4&lt;=PARAMETER!$X$2,SUMIF('2025'!$F:$F,$B20,'2025'!AX:AX)/PARAMETER!$T$3,"")</f>
        <v/>
      </c>
      <c r="AZ20" s="40" t="str">
        <f>IF(AZ$4&lt;=PARAMETER!$X$2,SUMIF('2025'!$F:$F,$B20,'2025'!AY:AY)/PARAMETER!$T$3,"")</f>
        <v/>
      </c>
      <c r="BA20" s="40" t="str">
        <f>IF(BA$4&lt;=PARAMETER!$X$2,SUMIF('2025'!$F:$F,$B20,'2025'!AZ:AZ)/PARAMETER!$T$3,"")</f>
        <v/>
      </c>
      <c r="BB20" s="40" t="str">
        <f>IF(BB$4&lt;=PARAMETER!$X$2,SUMIF('2025'!$F:$F,$B20,'2025'!BA:BA)/PARAMETER!$T$3,"")</f>
        <v/>
      </c>
      <c r="BC20" s="40" t="str">
        <f>IF(BC$4&lt;=PARAMETER!$X$2,SUMIF('2025'!$F:$F,$B20,'2025'!BB:BB)/PARAMETER!$T$3,"")</f>
        <v/>
      </c>
      <c r="BD20" s="40" t="str">
        <f>IF(BD$4&lt;=PARAMETER!$X$2,SUMIF('2025'!$F:$F,$B20,'2025'!BC:BC)/PARAMETER!$T$3,"")</f>
        <v/>
      </c>
      <c r="BE20" s="40" t="str">
        <f>IF(BE$4&lt;=PARAMETER!$X$2,SUMIF('2025'!$F:$F,$B20,'2025'!BD:BD)/PARAMETER!$T$3,"")</f>
        <v/>
      </c>
      <c r="BF20" s="40" t="str">
        <f>IF(BF$4&lt;=PARAMETER!$X$2,SUMIF('2025'!$F:$F,$B20,'2025'!BE:BE)/PARAMETER!$T$3,"")</f>
        <v/>
      </c>
      <c r="BG20" s="40" t="str">
        <f>IF(BG$4&lt;=PARAMETER!$X$2,SUMIF('2025'!$F:$F,$B20,'2025'!BF:BF)/PARAMETER!$T$3,"")</f>
        <v/>
      </c>
      <c r="BH20" s="40" t="str">
        <f>IF(BH$4&lt;=PARAMETER!$X$2,SUMIF('2025'!$F:$F,$B20,'2025'!BG:BG)/PARAMETER!$T$3,"")</f>
        <v/>
      </c>
      <c r="BI20" s="40" t="str">
        <f>IF(BI$4&lt;=PARAMETER!$X$2,SUMIF('2025'!$F:$F,$B20,'2025'!BH:BH)/PARAMETER!$T$3,"")</f>
        <v/>
      </c>
      <c r="BJ20" s="40" t="str">
        <f>IF(BJ$4&lt;=PARAMETER!$X$2,SUMIF('2025'!$F:$F,$B20,'2025'!BI:BI)/PARAMETER!$T$3,"")</f>
        <v/>
      </c>
    </row>
    <row r="21" spans="1:62" x14ac:dyDescent="0.25">
      <c r="A21">
        <f t="shared" ref="A21" si="17">A19</f>
        <v>2</v>
      </c>
      <c r="B21" s="78" t="str">
        <f>CONCATENATE(C21,PARAMETER!T$2)</f>
        <v>DWIDAYAVOL</v>
      </c>
      <c r="C21" s="26" t="str">
        <f t="shared" si="15"/>
        <v>DWIDAYA</v>
      </c>
      <c r="D21" s="67"/>
      <c r="E21" s="68"/>
      <c r="F21" s="69"/>
      <c r="G21" s="70">
        <f>G17</f>
        <v>2024</v>
      </c>
      <c r="H21" s="71">
        <f>IF(H$4&lt;=PARAMETER!$X$2,SUMIF('2024'!$F:$F,$B21,'2024'!G:G)/PARAMETER!$T$3,"")</f>
        <v>119.988248</v>
      </c>
      <c r="I21" s="71">
        <f>IF(I$4&lt;=PARAMETER!$X$2,SUMIF('2024'!$F:$F,$B21,'2024'!H:H)/PARAMETER!$T$3,"")</f>
        <v>0</v>
      </c>
      <c r="J21" s="71">
        <f>IF(J$4&lt;=PARAMETER!$X$2,SUMIF('2024'!$F:$F,$B21,'2024'!I:I)/PARAMETER!$T$3,"")</f>
        <v>0</v>
      </c>
      <c r="K21" s="71">
        <f>IF(K$4&lt;=PARAMETER!$X$2,SUMIF('2024'!$F:$F,$B21,'2024'!J:J)/PARAMETER!$T$3,"")</f>
        <v>0</v>
      </c>
      <c r="L21" s="71">
        <f>IF(L$4&lt;=PARAMETER!$X$2,SUMIF('2024'!$F:$F,$B21,'2024'!K:K)/PARAMETER!$T$3,"")</f>
        <v>0</v>
      </c>
      <c r="M21" s="71">
        <f>IF(M$4&lt;=PARAMETER!$X$2,SUMIF('2024'!$F:$F,$B21,'2024'!L:L)/PARAMETER!$T$3,"")</f>
        <v>0</v>
      </c>
      <c r="N21" s="71">
        <f>IF(N$4&lt;=PARAMETER!$X$2,SUMIF('2024'!$F:$F,$B21,'2024'!M:M)/PARAMETER!$T$3,"")</f>
        <v>0</v>
      </c>
      <c r="O21" s="71">
        <f>IF(O$4&lt;=PARAMETER!$X$2,SUMIF('2024'!$F:$F,$B21,'2024'!N:N)/PARAMETER!$T$3,"")</f>
        <v>0</v>
      </c>
      <c r="P21" s="71">
        <f>IF(P$4&lt;=PARAMETER!$X$2,SUMIF('2024'!$F:$F,$B21,'2024'!O:O)/PARAMETER!$T$3,"")</f>
        <v>0</v>
      </c>
      <c r="Q21" s="71">
        <f>IF(Q$4&lt;=PARAMETER!$X$2,SUMIF('2024'!$F:$F,$B21,'2024'!P:P)/PARAMETER!$T$3,"")</f>
        <v>0</v>
      </c>
      <c r="R21" s="71">
        <f>IF(R$4&lt;=PARAMETER!$X$2,SUMIF('2024'!$F:$F,$B21,'2024'!Q:Q)/PARAMETER!$T$3,"")</f>
        <v>0</v>
      </c>
      <c r="S21" s="71">
        <f>IF(S$4&lt;=PARAMETER!$X$2,SUMIF('2024'!$F:$F,$B21,'2024'!R:R)/PARAMETER!$T$3,"")</f>
        <v>0</v>
      </c>
      <c r="T21" s="71">
        <f>IF(T$4&lt;=PARAMETER!$X$2,SUMIF('2024'!$F:$F,$B21,'2024'!S:S)/PARAMETER!$T$3,"")</f>
        <v>0</v>
      </c>
      <c r="U21" s="71" t="str">
        <f>IF(U$4&lt;=PARAMETER!$X$2,SUMIF('2024'!$F:$F,$B21,'2024'!T:T)/PARAMETER!$T$3,"")</f>
        <v/>
      </c>
      <c r="V21" s="71" t="str">
        <f>IF(V$4&lt;=PARAMETER!$X$2,SUMIF('2024'!$F:$F,$B21,'2024'!U:U)/PARAMETER!$T$3,"")</f>
        <v/>
      </c>
      <c r="W21" s="71" t="str">
        <f>IF(W$4&lt;=PARAMETER!$X$2,SUMIF('2024'!$F:$F,$B21,'2024'!V:V)/PARAMETER!$T$3,"")</f>
        <v/>
      </c>
      <c r="X21" s="71" t="str">
        <f>IF(X$4&lt;=PARAMETER!$X$2,SUMIF('2024'!$F:$F,$B21,'2024'!W:W)/PARAMETER!$T$3,"")</f>
        <v/>
      </c>
      <c r="Y21" s="71" t="str">
        <f>IF(Y$4&lt;=PARAMETER!$X$2,SUMIF('2024'!$F:$F,$B21,'2024'!X:X)/PARAMETER!$T$3,"")</f>
        <v/>
      </c>
      <c r="Z21" s="71" t="str">
        <f>IF(Z$4&lt;=PARAMETER!$X$2,SUMIF('2024'!$F:$F,$B21,'2024'!Y:Y)/PARAMETER!$T$3,"")</f>
        <v/>
      </c>
      <c r="AA21" s="71" t="str">
        <f>IF(AA$4&lt;=PARAMETER!$X$2,SUMIF('2024'!$F:$F,$B21,'2024'!Z:Z)/PARAMETER!$T$3,"")</f>
        <v/>
      </c>
      <c r="AB21" s="71" t="str">
        <f>IF(AB$4&lt;=PARAMETER!$X$2,SUMIF('2024'!$F:$F,$B21,'2024'!AA:AA)/PARAMETER!$T$3,"")</f>
        <v/>
      </c>
      <c r="AC21" s="71" t="str">
        <f>IF(AC$4&lt;=PARAMETER!$X$2,SUMIF('2024'!$F:$F,$B21,'2024'!AB:AB)/PARAMETER!$T$3,"")</f>
        <v/>
      </c>
      <c r="AD21" s="71" t="str">
        <f>IF(AD$4&lt;=PARAMETER!$X$2,SUMIF('2024'!$F:$F,$B21,'2024'!AC:AC)/PARAMETER!$T$3,"")</f>
        <v/>
      </c>
      <c r="AE21" s="71" t="str">
        <f>IF(AE$4&lt;=PARAMETER!$X$2,SUMIF('2024'!$F:$F,$B21,'2024'!AD:AD)/PARAMETER!$T$3,"")</f>
        <v/>
      </c>
      <c r="AF21" s="71" t="str">
        <f>IF(AF$4&lt;=PARAMETER!$X$2,SUMIF('2024'!$F:$F,$B21,'2024'!AE:AE)/PARAMETER!$T$3,"")</f>
        <v/>
      </c>
      <c r="AG21" s="71" t="str">
        <f>IF(AG$4&lt;=PARAMETER!$X$2,SUMIF('2024'!$F:$F,$B21,'2024'!AF:AF)/PARAMETER!$T$3,"")</f>
        <v/>
      </c>
      <c r="AH21" s="71" t="str">
        <f>IF(AH$4&lt;=PARAMETER!$X$2,SUMIF('2024'!$F:$F,$B21,'2024'!AG:AG)/PARAMETER!$T$3,"")</f>
        <v/>
      </c>
      <c r="AI21" s="71" t="str">
        <f>IF(AI$4&lt;=PARAMETER!$X$2,SUMIF('2024'!$F:$F,$B21,'2024'!AH:AH)/PARAMETER!$T$3,"")</f>
        <v/>
      </c>
      <c r="AJ21" s="71" t="str">
        <f>IF(AJ$4&lt;=PARAMETER!$X$2,SUMIF('2024'!$F:$F,$B21,'2024'!AI:AI)/PARAMETER!$T$3,"")</f>
        <v/>
      </c>
      <c r="AK21" s="71" t="str">
        <f>IF(AK$4&lt;=PARAMETER!$X$2,SUMIF('2024'!$F:$F,$B21,'2024'!AJ:AJ)/PARAMETER!$T$3,"")</f>
        <v/>
      </c>
      <c r="AL21" s="71" t="str">
        <f>IF(AL$4&lt;=PARAMETER!$X$2,SUMIF('2024'!$F:$F,$B21,'2024'!AK:AK)/PARAMETER!$T$3,"")</f>
        <v/>
      </c>
      <c r="AM21" s="71" t="str">
        <f>IF(AM$4&lt;=PARAMETER!$X$2,SUMIF('2024'!$F:$F,$B21,'2024'!AL:AL)/PARAMETER!$T$3,"")</f>
        <v/>
      </c>
      <c r="AN21" s="71" t="str">
        <f>IF(AN$4&lt;=PARAMETER!$X$2,SUMIF('2024'!$F:$F,$B21,'2024'!AM:AM)/PARAMETER!$T$3,"")</f>
        <v/>
      </c>
      <c r="AO21" s="71" t="str">
        <f>IF(AO$4&lt;=PARAMETER!$X$2,SUMIF('2024'!$F:$F,$B21,'2024'!AN:AN)/PARAMETER!$T$3,"")</f>
        <v/>
      </c>
      <c r="AP21" s="71" t="str">
        <f>IF(AP$4&lt;=PARAMETER!$X$2,SUMIF('2024'!$F:$F,$B21,'2024'!AO:AO)/PARAMETER!$T$3,"")</f>
        <v/>
      </c>
      <c r="AQ21" s="71" t="str">
        <f>IF(AQ$4&lt;=PARAMETER!$X$2,SUMIF('2024'!$F:$F,$B21,'2024'!AP:AP)/PARAMETER!$T$3,"")</f>
        <v/>
      </c>
      <c r="AR21" s="71" t="str">
        <f>IF(AR$4&lt;=PARAMETER!$X$2,SUMIF('2024'!$F:$F,$B21,'2024'!AQ:AQ)/PARAMETER!$T$3,"")</f>
        <v/>
      </c>
      <c r="AS21" s="71" t="str">
        <f>IF(AS$4&lt;=PARAMETER!$X$2,SUMIF('2024'!$F:$F,$B21,'2024'!AR:AR)/PARAMETER!$T$3,"")</f>
        <v/>
      </c>
      <c r="AT21" s="71" t="str">
        <f>IF(AT$4&lt;=PARAMETER!$X$2,SUMIF('2024'!$F:$F,$B21,'2024'!AS:AS)/PARAMETER!$T$3,"")</f>
        <v/>
      </c>
      <c r="AU21" s="71" t="str">
        <f>IF(AU$4&lt;=PARAMETER!$X$2,SUMIF('2024'!$F:$F,$B21,'2024'!AT:AT)/PARAMETER!$T$3,"")</f>
        <v/>
      </c>
      <c r="AV21" s="71" t="str">
        <f>IF(AV$4&lt;=PARAMETER!$X$2,SUMIF('2024'!$F:$F,$B21,'2024'!AU:AU)/PARAMETER!$T$3,"")</f>
        <v/>
      </c>
      <c r="AW21" s="71" t="str">
        <f>IF(AW$4&lt;=PARAMETER!$X$2,SUMIF('2024'!$F:$F,$B21,'2024'!AV:AV)/PARAMETER!$T$3,"")</f>
        <v/>
      </c>
      <c r="AX21" s="71" t="str">
        <f>IF(AX$4&lt;=PARAMETER!$X$2,SUMIF('2024'!$F:$F,$B21,'2024'!AW:AW)/PARAMETER!$T$3,"")</f>
        <v/>
      </c>
      <c r="AY21" s="71" t="str">
        <f>IF(AY$4&lt;=PARAMETER!$X$2,SUMIF('2024'!$F:$F,$B21,'2024'!AX:AX)/PARAMETER!$T$3,"")</f>
        <v/>
      </c>
      <c r="AZ21" s="71" t="str">
        <f>IF(AZ$4&lt;=PARAMETER!$X$2,SUMIF('2024'!$F:$F,$B21,'2024'!AY:AY)/PARAMETER!$T$3,"")</f>
        <v/>
      </c>
      <c r="BA21" s="71" t="str">
        <f>IF(BA$4&lt;=PARAMETER!$X$2,SUMIF('2024'!$F:$F,$B21,'2024'!AZ:AZ)/PARAMETER!$T$3,"")</f>
        <v/>
      </c>
      <c r="BB21" s="71" t="str">
        <f>IF(BB$4&lt;=PARAMETER!$X$2,SUMIF('2024'!$F:$F,$B21,'2024'!BA:BA)/PARAMETER!$T$3,"")</f>
        <v/>
      </c>
      <c r="BC21" s="71" t="str">
        <f>IF(BC$4&lt;=PARAMETER!$X$2,SUMIF('2024'!$F:$F,$B21,'2024'!BB:BB)/PARAMETER!$T$3,"")</f>
        <v/>
      </c>
      <c r="BD21" s="71" t="str">
        <f>IF(BD$4&lt;=PARAMETER!$X$2,SUMIF('2024'!$F:$F,$B21,'2024'!BC:BC)/PARAMETER!$T$3,"")</f>
        <v/>
      </c>
      <c r="BE21" s="71" t="str">
        <f>IF(BE$4&lt;=PARAMETER!$X$2,SUMIF('2024'!$F:$F,$B21,'2024'!BD:BD)/PARAMETER!$T$3,"")</f>
        <v/>
      </c>
      <c r="BF21" s="71" t="str">
        <f>IF(BF$4&lt;=PARAMETER!$X$2,SUMIF('2024'!$F:$F,$B21,'2024'!BE:BE)/PARAMETER!$T$3,"")</f>
        <v/>
      </c>
      <c r="BG21" s="71" t="str">
        <f>IF(BG$4&lt;=PARAMETER!$X$2,SUMIF('2024'!$F:$F,$B21,'2024'!BF:BF)/PARAMETER!$T$3,"")</f>
        <v/>
      </c>
      <c r="BH21" s="71" t="str">
        <f>IF(BH$4&lt;=PARAMETER!$X$2,SUMIF('2024'!$F:$F,$B21,'2024'!BG:BG)/PARAMETER!$T$3,"")</f>
        <v/>
      </c>
      <c r="BI21" s="71" t="str">
        <f>IF(BI$4&lt;=PARAMETER!$X$2,SUMIF('2024'!$F:$F,$B21,'2024'!BH:BH)/PARAMETER!$T$3,"")</f>
        <v/>
      </c>
      <c r="BJ21" s="71" t="str">
        <f>IF(BJ$4&lt;=PARAMETER!$X$2,SUMIF('2024'!$F:$F,$B21,'2024'!BI:BI)/PARAMETER!$T$3,"")</f>
        <v/>
      </c>
    </row>
    <row r="22" spans="1:62" x14ac:dyDescent="0.25">
      <c r="A22">
        <v>3</v>
      </c>
      <c r="B22" s="78" t="str">
        <f>CONCATENATE(C22,PARAMETER!T$2)</f>
        <v>GRAMEDIAVOL</v>
      </c>
      <c r="C22" s="21" t="str">
        <f>IFERROR(VLOOKUP(A22,PARAMETER!K$2:M30,3,0),"")</f>
        <v>GRAMEDIA</v>
      </c>
      <c r="D22" s="22" t="s">
        <v>127</v>
      </c>
      <c r="E22" s="37">
        <f t="shared" ref="E22" si="18">IFERROR(I23/I22,"")</f>
        <v>0.22654020202020175</v>
      </c>
      <c r="F22" s="23">
        <f t="shared" ref="F22:F24" si="19">IFERROR(IF(E22&gt;300%,300%,E22),"")</f>
        <v>0.22654020202020175</v>
      </c>
      <c r="G22" s="24" t="str">
        <f t="shared" ref="G22:G85" si="20">G18</f>
        <v>Target</v>
      </c>
      <c r="H22" s="25">
        <f>IF(H$4&lt;=PARAMETER!$X$2,SUMIF('2026 T'!$F:$F,$B22,'2026 T'!G:G)/PARAMETER!$T$3,"")</f>
        <v>110</v>
      </c>
      <c r="I22" s="25">
        <f>IF(I$4&lt;=PARAMETER!$X$2,SUMIF('2026 T'!$F:$F,$B22,'2026 T'!H:H)/PARAMETER!$T$3,"")</f>
        <v>18.67924528301889</v>
      </c>
      <c r="J22" s="25">
        <f>IF(J$4&lt;=PARAMETER!$X$2,SUMIF('2026 T'!$F:$F,$B22,'2026 T'!I:I)/PARAMETER!$T$3,"")</f>
        <v>2.0754716981132102</v>
      </c>
      <c r="K22" s="25">
        <f>IF(K$4&lt;=PARAMETER!$X$2,SUMIF('2026 T'!$F:$F,$B22,'2026 T'!J:J)/PARAMETER!$T$3,"")</f>
        <v>2.0754716981132102</v>
      </c>
      <c r="L22" s="25">
        <f>IF(L$4&lt;=PARAMETER!$X$2,SUMIF('2026 T'!$F:$F,$B22,'2026 T'!K:K)/PARAMETER!$T$3,"")</f>
        <v>2.0754716981132102</v>
      </c>
      <c r="M22" s="25">
        <f>IF(M$4&lt;=PARAMETER!$X$2,SUMIF('2026 T'!$F:$F,$B22,'2026 T'!L:L)/PARAMETER!$T$3,"")</f>
        <v>2.0754716981132102</v>
      </c>
      <c r="N22" s="25">
        <f>IF(N$4&lt;=PARAMETER!$X$2,SUMIF('2026 T'!$F:$F,$B22,'2026 T'!M:M)/PARAMETER!$T$3,"")</f>
        <v>2.0754716981132102</v>
      </c>
      <c r="O22" s="25">
        <f>IF(O$4&lt;=PARAMETER!$X$2,SUMIF('2026 T'!$F:$F,$B22,'2026 T'!N:N)/PARAMETER!$T$3,"")</f>
        <v>2.0754716981132102</v>
      </c>
      <c r="P22" s="25">
        <f>IF(P$4&lt;=PARAMETER!$X$2,SUMIF('2026 T'!$F:$F,$B22,'2026 T'!O:O)/PARAMETER!$T$3,"")</f>
        <v>2.0754716981132102</v>
      </c>
      <c r="Q22" s="25">
        <f>IF(Q$4&lt;=PARAMETER!$X$2,SUMIF('2026 T'!$F:$F,$B22,'2026 T'!P:P)/PARAMETER!$T$3,"")</f>
        <v>2.0754716981132102</v>
      </c>
      <c r="R22" s="25">
        <f>IF(R$4&lt;=PARAMETER!$X$2,SUMIF('2026 T'!$F:$F,$B22,'2026 T'!Q:Q)/PARAMETER!$T$3,"")</f>
        <v>2.0754716981132102</v>
      </c>
      <c r="S22" s="25">
        <f>IF(S$4&lt;=PARAMETER!$X$2,SUMIF('2026 T'!$F:$F,$B22,'2026 T'!R:R)/PARAMETER!$T$3,"")</f>
        <v>2.0754716981132102</v>
      </c>
      <c r="T22" s="25">
        <f>IF(T$4&lt;=PARAMETER!$X$2,SUMIF('2026 T'!$F:$F,$B22,'2026 T'!S:S)/PARAMETER!$T$3,"")</f>
        <v>2.0754716981132102</v>
      </c>
      <c r="U22" s="25" t="str">
        <f>IF(U$4&lt;=PARAMETER!$X$2,SUMIF('2026 T'!$F:$F,$B22,'2026 T'!T:T)/PARAMETER!$T$3,"")</f>
        <v/>
      </c>
      <c r="V22" s="25" t="str">
        <f>IF(V$4&lt;=PARAMETER!$X$2,SUMIF('2026 T'!$F:$F,$B22,'2026 T'!U:U)/PARAMETER!$T$3,"")</f>
        <v/>
      </c>
      <c r="W22" s="25" t="str">
        <f>IF(W$4&lt;=PARAMETER!$X$2,SUMIF('2026 T'!$F:$F,$B22,'2026 T'!V:V)/PARAMETER!$T$3,"")</f>
        <v/>
      </c>
      <c r="X22" s="25" t="str">
        <f>IF(X$4&lt;=PARAMETER!$X$2,SUMIF('2026 T'!$F:$F,$B22,'2026 T'!W:W)/PARAMETER!$T$3,"")</f>
        <v/>
      </c>
      <c r="Y22" s="25" t="str">
        <f>IF(Y$4&lt;=PARAMETER!$X$2,SUMIF('2026 T'!$F:$F,$B22,'2026 T'!X:X)/PARAMETER!$T$3,"")</f>
        <v/>
      </c>
      <c r="Z22" s="25" t="str">
        <f>IF(Z$4&lt;=PARAMETER!$X$2,SUMIF('2026 T'!$F:$F,$B22,'2026 T'!Y:Y)/PARAMETER!$T$3,"")</f>
        <v/>
      </c>
      <c r="AA22" s="25" t="str">
        <f>IF(AA$4&lt;=PARAMETER!$X$2,SUMIF('2026 T'!$F:$F,$B22,'2026 T'!Z:Z)/PARAMETER!$T$3,"")</f>
        <v/>
      </c>
      <c r="AB22" s="25" t="str">
        <f>IF(AB$4&lt;=PARAMETER!$X$2,SUMIF('2026 T'!$F:$F,$B22,'2026 T'!AA:AA)/PARAMETER!$T$3,"")</f>
        <v/>
      </c>
      <c r="AC22" s="25" t="str">
        <f>IF(AC$4&lt;=PARAMETER!$X$2,SUMIF('2026 T'!$F:$F,$B22,'2026 T'!AB:AB)/PARAMETER!$T$3,"")</f>
        <v/>
      </c>
      <c r="AD22" s="25" t="str">
        <f>IF(AD$4&lt;=PARAMETER!$X$2,SUMIF('2026 T'!$F:$F,$B22,'2026 T'!AC:AC)/PARAMETER!$T$3,"")</f>
        <v/>
      </c>
      <c r="AE22" s="25" t="str">
        <f>IF(AE$4&lt;=PARAMETER!$X$2,SUMIF('2026 T'!$F:$F,$B22,'2026 T'!AD:AD)/PARAMETER!$T$3,"")</f>
        <v/>
      </c>
      <c r="AF22" s="25" t="str">
        <f>IF(AF$4&lt;=PARAMETER!$X$2,SUMIF('2026 T'!$F:$F,$B22,'2026 T'!AE:AE)/PARAMETER!$T$3,"")</f>
        <v/>
      </c>
      <c r="AG22" s="25" t="str">
        <f>IF(AG$4&lt;=PARAMETER!$X$2,SUMIF('2026 T'!$F:$F,$B22,'2026 T'!AF:AF)/PARAMETER!$T$3,"")</f>
        <v/>
      </c>
      <c r="AH22" s="25" t="str">
        <f>IF(AH$4&lt;=PARAMETER!$X$2,SUMIF('2026 T'!$F:$F,$B22,'2026 T'!AG:AG)/PARAMETER!$T$3,"")</f>
        <v/>
      </c>
      <c r="AI22" s="25" t="str">
        <f>IF(AI$4&lt;=PARAMETER!$X$2,SUMIF('2026 T'!$F:$F,$B22,'2026 T'!AH:AH)/PARAMETER!$T$3,"")</f>
        <v/>
      </c>
      <c r="AJ22" s="25" t="str">
        <f>IF(AJ$4&lt;=PARAMETER!$X$2,SUMIF('2026 T'!$F:$F,$B22,'2026 T'!AI:AI)/PARAMETER!$T$3,"")</f>
        <v/>
      </c>
      <c r="AK22" s="25" t="str">
        <f>IF(AK$4&lt;=PARAMETER!$X$2,SUMIF('2026 T'!$F:$F,$B22,'2026 T'!AJ:AJ)/PARAMETER!$T$3,"")</f>
        <v/>
      </c>
      <c r="AL22" s="25" t="str">
        <f>IF(AL$4&lt;=PARAMETER!$X$2,SUMIF('2026 T'!$F:$F,$B22,'2026 T'!AK:AK)/PARAMETER!$T$3,"")</f>
        <v/>
      </c>
      <c r="AM22" s="25" t="str">
        <f>IF(AM$4&lt;=PARAMETER!$X$2,SUMIF('2026 T'!$F:$F,$B22,'2026 T'!AL:AL)/PARAMETER!$T$3,"")</f>
        <v/>
      </c>
      <c r="AN22" s="25" t="str">
        <f>IF(AN$4&lt;=PARAMETER!$X$2,SUMIF('2026 T'!$F:$F,$B22,'2026 T'!AM:AM)/PARAMETER!$T$3,"")</f>
        <v/>
      </c>
      <c r="AO22" s="25" t="str">
        <f>IF(AO$4&lt;=PARAMETER!$X$2,SUMIF('2026 T'!$F:$F,$B22,'2026 T'!AN:AN)/PARAMETER!$T$3,"")</f>
        <v/>
      </c>
      <c r="AP22" s="25" t="str">
        <f>IF(AP$4&lt;=PARAMETER!$X$2,SUMIF('2026 T'!$F:$F,$B22,'2026 T'!AO:AO)/PARAMETER!$T$3,"")</f>
        <v/>
      </c>
      <c r="AQ22" s="25" t="str">
        <f>IF(AQ$4&lt;=PARAMETER!$X$2,SUMIF('2026 T'!$F:$F,$B22,'2026 T'!AP:AP)/PARAMETER!$T$3,"")</f>
        <v/>
      </c>
      <c r="AR22" s="25" t="str">
        <f>IF(AR$4&lt;=PARAMETER!$X$2,SUMIF('2026 T'!$F:$F,$B22,'2026 T'!AQ:AQ)/PARAMETER!$T$3,"")</f>
        <v/>
      </c>
      <c r="AS22" s="25" t="str">
        <f>IF(AS$4&lt;=PARAMETER!$X$2,SUMIF('2026 T'!$F:$F,$B22,'2026 T'!AR:AR)/PARAMETER!$T$3,"")</f>
        <v/>
      </c>
      <c r="AT22" s="25" t="str">
        <f>IF(AT$4&lt;=PARAMETER!$X$2,SUMIF('2026 T'!$F:$F,$B22,'2026 T'!AS:AS)/PARAMETER!$T$3,"")</f>
        <v/>
      </c>
      <c r="AU22" s="25" t="str">
        <f>IF(AU$4&lt;=PARAMETER!$X$2,SUMIF('2026 T'!$F:$F,$B22,'2026 T'!AT:AT)/PARAMETER!$T$3,"")</f>
        <v/>
      </c>
      <c r="AV22" s="25" t="str">
        <f>IF(AV$4&lt;=PARAMETER!$X$2,SUMIF('2026 T'!$F:$F,$B22,'2026 T'!AU:AU)/PARAMETER!$T$3,"")</f>
        <v/>
      </c>
      <c r="AW22" s="25" t="str">
        <f>IF(AW$4&lt;=PARAMETER!$X$2,SUMIF('2026 T'!$F:$F,$B22,'2026 T'!AV:AV)/PARAMETER!$T$3,"")</f>
        <v/>
      </c>
      <c r="AX22" s="25" t="str">
        <f>IF(AX$4&lt;=PARAMETER!$X$2,SUMIF('2026 T'!$F:$F,$B22,'2026 T'!AW:AW)/PARAMETER!$T$3,"")</f>
        <v/>
      </c>
      <c r="AY22" s="25" t="str">
        <f>IF(AY$4&lt;=PARAMETER!$X$2,SUMIF('2026 T'!$F:$F,$B22,'2026 T'!AX:AX)/PARAMETER!$T$3,"")</f>
        <v/>
      </c>
      <c r="AZ22" s="25" t="str">
        <f>IF(AZ$4&lt;=PARAMETER!$X$2,SUMIF('2026 T'!$F:$F,$B22,'2026 T'!AY:AY)/PARAMETER!$T$3,"")</f>
        <v/>
      </c>
      <c r="BA22" s="25" t="str">
        <f>IF(BA$4&lt;=PARAMETER!$X$2,SUMIF('2026 T'!$F:$F,$B22,'2026 T'!AZ:AZ)/PARAMETER!$T$3,"")</f>
        <v/>
      </c>
      <c r="BB22" s="25" t="str">
        <f>IF(BB$4&lt;=PARAMETER!$X$2,SUMIF('2026 T'!$F:$F,$B22,'2026 T'!BA:BA)/PARAMETER!$T$3,"")</f>
        <v/>
      </c>
      <c r="BC22" s="25" t="str">
        <f>IF(BC$4&lt;=PARAMETER!$X$2,SUMIF('2026 T'!$F:$F,$B22,'2026 T'!BB:BB)/PARAMETER!$T$3,"")</f>
        <v/>
      </c>
      <c r="BD22" s="25" t="str">
        <f>IF(BD$4&lt;=PARAMETER!$X$2,SUMIF('2026 T'!$F:$F,$B22,'2026 T'!BC:BC)/PARAMETER!$T$3,"")</f>
        <v/>
      </c>
      <c r="BE22" s="25" t="str">
        <f>IF(BE$4&lt;=PARAMETER!$X$2,SUMIF('2026 T'!$F:$F,$B22,'2026 T'!BD:BD)/PARAMETER!$T$3,"")</f>
        <v/>
      </c>
      <c r="BF22" s="25" t="str">
        <f>IF(BF$4&lt;=PARAMETER!$X$2,SUMIF('2026 T'!$F:$F,$B22,'2026 T'!BE:BE)/PARAMETER!$T$3,"")</f>
        <v/>
      </c>
      <c r="BG22" s="25" t="str">
        <f>IF(BG$4&lt;=PARAMETER!$X$2,SUMIF('2026 T'!$F:$F,$B22,'2026 T'!BF:BF)/PARAMETER!$T$3,"")</f>
        <v/>
      </c>
      <c r="BH22" s="25" t="str">
        <f>IF(BH$4&lt;=PARAMETER!$X$2,SUMIF('2026 T'!$F:$F,$B22,'2026 T'!BG:BG)/PARAMETER!$T$3,"")</f>
        <v/>
      </c>
      <c r="BI22" s="25" t="str">
        <f>IF(BI$4&lt;=PARAMETER!$X$2,SUMIF('2026 T'!$F:$F,$B22,'2026 T'!BH:BH)/PARAMETER!$T$3,"")</f>
        <v/>
      </c>
      <c r="BJ22" s="25" t="str">
        <f>IF(BJ$4&lt;=PARAMETER!$X$2,SUMIF('2026 T'!$F:$F,$B22,'2026 T'!BI:BI)/PARAMETER!$T$3,"")</f>
        <v/>
      </c>
    </row>
    <row r="23" spans="1:62" x14ac:dyDescent="0.25">
      <c r="A23">
        <f t="shared" ref="A23:A24" si="21">A22</f>
        <v>3</v>
      </c>
      <c r="B23" s="78" t="str">
        <f>CONCATENATE(C23,PARAMETER!T$2)</f>
        <v>GRAMEDIAVOL</v>
      </c>
      <c r="C23" s="26" t="str">
        <f t="shared" ref="C23:C25" si="22">C22</f>
        <v>GRAMEDIA</v>
      </c>
      <c r="D23" s="27" t="s">
        <v>128</v>
      </c>
      <c r="E23" s="35">
        <f t="shared" ref="E23:E24" si="23">IFERROR(I23/I24-1,"")</f>
        <v>-0.50343241372026704</v>
      </c>
      <c r="F23" s="28">
        <f t="shared" si="19"/>
        <v>-0.50343241372026704</v>
      </c>
      <c r="G23" s="39">
        <f t="shared" si="20"/>
        <v>2026</v>
      </c>
      <c r="H23" s="40">
        <f>IF(H$4&lt;=PARAMETER!$X$2,SUMIF('2026'!$F:$F,$B23,'2026'!G:G)/PARAMETER!$T$3,"")</f>
        <v>4.2316000000000003</v>
      </c>
      <c r="I23" s="40">
        <f>IF(I$4&lt;=PARAMETER!$X$2,SUMIF('2026'!$F:$F,$B23,'2026'!H:H)/PARAMETER!$T$3,"")</f>
        <v>4.2316000000000003</v>
      </c>
      <c r="J23" s="40">
        <f>IF(J$4&lt;=PARAMETER!$X$2,SUMIF('2026'!$F:$F,$B23,'2026'!I:I)/PARAMETER!$T$3,"")</f>
        <v>0</v>
      </c>
      <c r="K23" s="40">
        <f>IF(K$4&lt;=PARAMETER!$X$2,SUMIF('2026'!$F:$F,$B23,'2026'!J:J)/PARAMETER!$T$3,"")</f>
        <v>1.7676000000000001</v>
      </c>
      <c r="L23" s="40">
        <f>IF(L$4&lt;=PARAMETER!$X$2,SUMIF('2026'!$F:$F,$B23,'2026'!K:K)/PARAMETER!$T$3,"")</f>
        <v>0.38800000000000001</v>
      </c>
      <c r="M23" s="40">
        <f>IF(M$4&lt;=PARAMETER!$X$2,SUMIF('2026'!$F:$F,$B23,'2026'!L:L)/PARAMETER!$T$3,"")</f>
        <v>0</v>
      </c>
      <c r="N23" s="40">
        <f>IF(N$4&lt;=PARAMETER!$X$2,SUMIF('2026'!$F:$F,$B23,'2026'!M:M)/PARAMETER!$T$3,"")</f>
        <v>0</v>
      </c>
      <c r="O23" s="40">
        <f>IF(O$4&lt;=PARAMETER!$X$2,SUMIF('2026'!$F:$F,$B23,'2026'!N:N)/PARAMETER!$T$3,"")</f>
        <v>2.0760000000000001</v>
      </c>
      <c r="P23" s="40">
        <f>IF(P$4&lt;=PARAMETER!$X$2,SUMIF('2026'!$F:$F,$B23,'2026'!O:O)/PARAMETER!$T$3,"")</f>
        <v>0</v>
      </c>
      <c r="Q23" s="40">
        <f>IF(Q$4&lt;=PARAMETER!$X$2,SUMIF('2026'!$F:$F,$B23,'2026'!P:P)/PARAMETER!$T$3,"")</f>
        <v>0</v>
      </c>
      <c r="R23" s="40">
        <f>IF(R$4&lt;=PARAMETER!$X$2,SUMIF('2026'!$F:$F,$B23,'2026'!Q:Q)/PARAMETER!$T$3,"")</f>
        <v>0</v>
      </c>
      <c r="S23" s="40">
        <f>IF(S$4&lt;=PARAMETER!$X$2,SUMIF('2026'!$F:$F,$B23,'2026'!R:R)/PARAMETER!$T$3,"")</f>
        <v>0</v>
      </c>
      <c r="T23" s="40">
        <f>IF(T$4&lt;=PARAMETER!$X$2,SUMIF('2026'!$F:$F,$B23,'2026'!S:S)/PARAMETER!$T$3,"")</f>
        <v>0</v>
      </c>
      <c r="U23" s="40" t="str">
        <f>IF(U$4&lt;=PARAMETER!$X$2,SUMIF('2026'!$F:$F,$B23,'2026'!T:T)/PARAMETER!$T$3,"")</f>
        <v/>
      </c>
      <c r="V23" s="40" t="str">
        <f>IF(V$4&lt;=PARAMETER!$X$2,SUMIF('2026'!$F:$F,$B23,'2026'!U:U)/PARAMETER!$T$3,"")</f>
        <v/>
      </c>
      <c r="W23" s="40" t="str">
        <f>IF(W$4&lt;=PARAMETER!$X$2,SUMIF('2026'!$F:$F,$B23,'2026'!V:V)/PARAMETER!$T$3,"")</f>
        <v/>
      </c>
      <c r="X23" s="40" t="str">
        <f>IF(X$4&lt;=PARAMETER!$X$2,SUMIF('2026'!$F:$F,$B23,'2026'!W:W)/PARAMETER!$T$3,"")</f>
        <v/>
      </c>
      <c r="Y23" s="40" t="str">
        <f>IF(Y$4&lt;=PARAMETER!$X$2,SUMIF('2026'!$F:$F,$B23,'2026'!X:X)/PARAMETER!$T$3,"")</f>
        <v/>
      </c>
      <c r="Z23" s="40" t="str">
        <f>IF(Z$4&lt;=PARAMETER!$X$2,SUMIF('2026'!$F:$F,$B23,'2026'!Y:Y)/PARAMETER!$T$3,"")</f>
        <v/>
      </c>
      <c r="AA23" s="40" t="str">
        <f>IF(AA$4&lt;=PARAMETER!$X$2,SUMIF('2026'!$F:$F,$B23,'2026'!Z:Z)/PARAMETER!$T$3,"")</f>
        <v/>
      </c>
      <c r="AB23" s="40" t="str">
        <f>IF(AB$4&lt;=PARAMETER!$X$2,SUMIF('2026'!$F:$F,$B23,'2026'!AA:AA)/PARAMETER!$T$3,"")</f>
        <v/>
      </c>
      <c r="AC23" s="40" t="str">
        <f>IF(AC$4&lt;=PARAMETER!$X$2,SUMIF('2026'!$F:$F,$B23,'2026'!AB:AB)/PARAMETER!$T$3,"")</f>
        <v/>
      </c>
      <c r="AD23" s="40" t="str">
        <f>IF(AD$4&lt;=PARAMETER!$X$2,SUMIF('2026'!$F:$F,$B23,'2026'!AC:AC)/PARAMETER!$T$3,"")</f>
        <v/>
      </c>
      <c r="AE23" s="40" t="str">
        <f>IF(AE$4&lt;=PARAMETER!$X$2,SUMIF('2026'!$F:$F,$B23,'2026'!AD:AD)/PARAMETER!$T$3,"")</f>
        <v/>
      </c>
      <c r="AF23" s="40" t="str">
        <f>IF(AF$4&lt;=PARAMETER!$X$2,SUMIF('2026'!$F:$F,$B23,'2026'!AE:AE)/PARAMETER!$T$3,"")</f>
        <v/>
      </c>
      <c r="AG23" s="40" t="str">
        <f>IF(AG$4&lt;=PARAMETER!$X$2,SUMIF('2026'!$F:$F,$B23,'2026'!AF:AF)/PARAMETER!$T$3,"")</f>
        <v/>
      </c>
      <c r="AH23" s="40" t="str">
        <f>IF(AH$4&lt;=PARAMETER!$X$2,SUMIF('2026'!$F:$F,$B23,'2026'!AG:AG)/PARAMETER!$T$3,"")</f>
        <v/>
      </c>
      <c r="AI23" s="40" t="str">
        <f>IF(AI$4&lt;=PARAMETER!$X$2,SUMIF('2026'!$F:$F,$B23,'2026'!AH:AH)/PARAMETER!$T$3,"")</f>
        <v/>
      </c>
      <c r="AJ23" s="40" t="str">
        <f>IF(AJ$4&lt;=PARAMETER!$X$2,SUMIF('2026'!$F:$F,$B23,'2026'!AI:AI)/PARAMETER!$T$3,"")</f>
        <v/>
      </c>
      <c r="AK23" s="40" t="str">
        <f>IF(AK$4&lt;=PARAMETER!$X$2,SUMIF('2026'!$F:$F,$B23,'2026'!AJ:AJ)/PARAMETER!$T$3,"")</f>
        <v/>
      </c>
      <c r="AL23" s="40" t="str">
        <f>IF(AL$4&lt;=PARAMETER!$X$2,SUMIF('2026'!$F:$F,$B23,'2026'!AK:AK)/PARAMETER!$T$3,"")</f>
        <v/>
      </c>
      <c r="AM23" s="40" t="str">
        <f>IF(AM$4&lt;=PARAMETER!$X$2,SUMIF('2026'!$F:$F,$B23,'2026'!AL:AL)/PARAMETER!$T$3,"")</f>
        <v/>
      </c>
      <c r="AN23" s="40" t="str">
        <f>IF(AN$4&lt;=PARAMETER!$X$2,SUMIF('2026'!$F:$F,$B23,'2026'!AM:AM)/PARAMETER!$T$3,"")</f>
        <v/>
      </c>
      <c r="AO23" s="40" t="str">
        <f>IF(AO$4&lt;=PARAMETER!$X$2,SUMIF('2026'!$F:$F,$B23,'2026'!AN:AN)/PARAMETER!$T$3,"")</f>
        <v/>
      </c>
      <c r="AP23" s="40" t="str">
        <f>IF(AP$4&lt;=PARAMETER!$X$2,SUMIF('2026'!$F:$F,$B23,'2026'!AO:AO)/PARAMETER!$T$3,"")</f>
        <v/>
      </c>
      <c r="AQ23" s="40" t="str">
        <f>IF(AQ$4&lt;=PARAMETER!$X$2,SUMIF('2026'!$F:$F,$B23,'2026'!AP:AP)/PARAMETER!$T$3,"")</f>
        <v/>
      </c>
      <c r="AR23" s="40" t="str">
        <f>IF(AR$4&lt;=PARAMETER!$X$2,SUMIF('2026'!$F:$F,$B23,'2026'!AQ:AQ)/PARAMETER!$T$3,"")</f>
        <v/>
      </c>
      <c r="AS23" s="40" t="str">
        <f>IF(AS$4&lt;=PARAMETER!$X$2,SUMIF('2026'!$F:$F,$B23,'2026'!AR:AR)/PARAMETER!$T$3,"")</f>
        <v/>
      </c>
      <c r="AT23" s="40" t="str">
        <f>IF(AT$4&lt;=PARAMETER!$X$2,SUMIF('2026'!$F:$F,$B23,'2026'!AS:AS)/PARAMETER!$T$3,"")</f>
        <v/>
      </c>
      <c r="AU23" s="40" t="str">
        <f>IF(AU$4&lt;=PARAMETER!$X$2,SUMIF('2026'!$F:$F,$B23,'2026'!AT:AT)/PARAMETER!$T$3,"")</f>
        <v/>
      </c>
      <c r="AV23" s="40" t="str">
        <f>IF(AV$4&lt;=PARAMETER!$X$2,SUMIF('2026'!$F:$F,$B23,'2026'!AU:AU)/PARAMETER!$T$3,"")</f>
        <v/>
      </c>
      <c r="AW23" s="40" t="str">
        <f>IF(AW$4&lt;=PARAMETER!$X$2,SUMIF('2026'!$F:$F,$B23,'2026'!AV:AV)/PARAMETER!$T$3,"")</f>
        <v/>
      </c>
      <c r="AX23" s="40" t="str">
        <f>IF(AX$4&lt;=PARAMETER!$X$2,SUMIF('2026'!$F:$F,$B23,'2026'!AW:AW)/PARAMETER!$T$3,"")</f>
        <v/>
      </c>
      <c r="AY23" s="40" t="str">
        <f>IF(AY$4&lt;=PARAMETER!$X$2,SUMIF('2026'!$F:$F,$B23,'2026'!AX:AX)/PARAMETER!$T$3,"")</f>
        <v/>
      </c>
      <c r="AZ23" s="40" t="str">
        <f>IF(AZ$4&lt;=PARAMETER!$X$2,SUMIF('2026'!$F:$F,$B23,'2026'!AY:AY)/PARAMETER!$T$3,"")</f>
        <v/>
      </c>
      <c r="BA23" s="40" t="str">
        <f>IF(BA$4&lt;=PARAMETER!$X$2,SUMIF('2026'!$F:$F,$B23,'2026'!AZ:AZ)/PARAMETER!$T$3,"")</f>
        <v/>
      </c>
      <c r="BB23" s="40" t="str">
        <f>IF(BB$4&lt;=PARAMETER!$X$2,SUMIF('2026'!$F:$F,$B23,'2026'!BA:BA)/PARAMETER!$T$3,"")</f>
        <v/>
      </c>
      <c r="BC23" s="40" t="str">
        <f>IF(BC$4&lt;=PARAMETER!$X$2,SUMIF('2026'!$F:$F,$B23,'2026'!BB:BB)/PARAMETER!$T$3,"")</f>
        <v/>
      </c>
      <c r="BD23" s="40" t="str">
        <f>IF(BD$4&lt;=PARAMETER!$X$2,SUMIF('2026'!$F:$F,$B23,'2026'!BC:BC)/PARAMETER!$T$3,"")</f>
        <v/>
      </c>
      <c r="BE23" s="40" t="str">
        <f>IF(BE$4&lt;=PARAMETER!$X$2,SUMIF('2026'!$F:$F,$B23,'2026'!BD:BD)/PARAMETER!$T$3,"")</f>
        <v/>
      </c>
      <c r="BF23" s="40" t="str">
        <f>IF(BF$4&lt;=PARAMETER!$X$2,SUMIF('2026'!$F:$F,$B23,'2026'!BE:BE)/PARAMETER!$T$3,"")</f>
        <v/>
      </c>
      <c r="BG23" s="40" t="str">
        <f>IF(BG$4&lt;=PARAMETER!$X$2,SUMIF('2026'!$F:$F,$B23,'2026'!BF:BF)/PARAMETER!$T$3,"")</f>
        <v/>
      </c>
      <c r="BH23" s="40" t="str">
        <f>IF(BH$4&lt;=PARAMETER!$X$2,SUMIF('2026'!$F:$F,$B23,'2026'!BG:BG)/PARAMETER!$T$3,"")</f>
        <v/>
      </c>
      <c r="BI23" s="40" t="str">
        <f>IF(BI$4&lt;=PARAMETER!$X$2,SUMIF('2026'!$F:$F,$B23,'2026'!BH:BH)/PARAMETER!$T$3,"")</f>
        <v/>
      </c>
      <c r="BJ23" s="40" t="str">
        <f>IF(BJ$4&lt;=PARAMETER!$X$2,SUMIF('2026'!$F:$F,$B23,'2026'!BI:BI)/PARAMETER!$T$3,"")</f>
        <v/>
      </c>
    </row>
    <row r="24" spans="1:62" x14ac:dyDescent="0.25">
      <c r="A24">
        <f t="shared" si="21"/>
        <v>3</v>
      </c>
      <c r="B24" s="78" t="str">
        <f>CONCATENATE(C24,PARAMETER!T$2)</f>
        <v>GRAMEDIAVOL</v>
      </c>
      <c r="C24" s="26" t="str">
        <f t="shared" si="22"/>
        <v>GRAMEDIA</v>
      </c>
      <c r="D24" s="27" t="s">
        <v>128</v>
      </c>
      <c r="E24" s="35">
        <f t="shared" si="23"/>
        <v>-0.99673822814674495</v>
      </c>
      <c r="F24" s="28">
        <f t="shared" si="19"/>
        <v>-0.99673822814674495</v>
      </c>
      <c r="G24" s="39">
        <f t="shared" si="20"/>
        <v>2025</v>
      </c>
      <c r="H24" s="40">
        <f>IF(H$4&lt;=PARAMETER!$X$2,SUMIF('2025'!$F:$F,$B24,'2025'!G:G)/PARAMETER!$T$3,"")</f>
        <v>108.651566</v>
      </c>
      <c r="I24" s="40">
        <f>IF(I$4&lt;=PARAMETER!$X$2,SUMIF('2025'!$F:$F,$B24,'2025'!H:H)/PARAMETER!$T$3,"")</f>
        <v>8.5216999999999992</v>
      </c>
      <c r="J24" s="40">
        <f>IF(J$4&lt;=PARAMETER!$X$2,SUMIF('2025'!$F:$F,$B24,'2025'!I:I)/PARAMETER!$T$3,"")</f>
        <v>0.29399999999999998</v>
      </c>
      <c r="K24" s="40">
        <f>IF(K$4&lt;=PARAMETER!$X$2,SUMIF('2025'!$F:$F,$B24,'2025'!J:J)/PARAMETER!$T$3,"")</f>
        <v>0</v>
      </c>
      <c r="L24" s="40">
        <f>IF(L$4&lt;=PARAMETER!$X$2,SUMIF('2025'!$F:$F,$B24,'2025'!K:K)/PARAMETER!$T$3,"")</f>
        <v>0.59009999999999996</v>
      </c>
      <c r="M24" s="40">
        <f>IF(M$4&lt;=PARAMETER!$X$2,SUMIF('2025'!$F:$F,$B24,'2025'!L:L)/PARAMETER!$T$3,"")</f>
        <v>2.5123000000000002</v>
      </c>
      <c r="N24" s="40">
        <f>IF(N$4&lt;=PARAMETER!$X$2,SUMIF('2025'!$F:$F,$B24,'2025'!M:M)/PARAMETER!$T$3,"")</f>
        <v>0.155</v>
      </c>
      <c r="O24" s="40">
        <f>IF(O$4&lt;=PARAMETER!$X$2,SUMIF('2025'!$F:$F,$B24,'2025'!N:N)/PARAMETER!$T$3,"")</f>
        <v>1.3253999999999999</v>
      </c>
      <c r="P24" s="40">
        <f>IF(P$4&lt;=PARAMETER!$X$2,SUMIF('2025'!$F:$F,$B24,'2025'!O:O)/PARAMETER!$T$3,"")</f>
        <v>9.8000000000000004E-2</v>
      </c>
      <c r="Q24" s="40">
        <f>IF(Q$4&lt;=PARAMETER!$X$2,SUMIF('2025'!$F:$F,$B24,'2025'!P:P)/PARAMETER!$T$3,"")</f>
        <v>0.55840000000000001</v>
      </c>
      <c r="R24" s="40">
        <f>IF(R$4&lt;=PARAMETER!$X$2,SUMIF('2025'!$F:$F,$B24,'2025'!Q:Q)/PARAMETER!$T$3,"")</f>
        <v>0.34</v>
      </c>
      <c r="S24" s="40">
        <f>IF(S$4&lt;=PARAMETER!$X$2,SUMIF('2025'!$F:$F,$B24,'2025'!R:R)/PARAMETER!$T$3,"")</f>
        <v>1.9556</v>
      </c>
      <c r="T24" s="40">
        <f>IF(T$4&lt;=PARAMETER!$X$2,SUMIF('2025'!$F:$F,$B24,'2025'!S:S)/PARAMETER!$T$3,"")</f>
        <v>0.69289999999999996</v>
      </c>
      <c r="U24" s="40" t="str">
        <f>IF(U$4&lt;=PARAMETER!$X$2,SUMIF('2025'!$F:$F,$B24,'2025'!T:T)/PARAMETER!$T$3,"")</f>
        <v/>
      </c>
      <c r="V24" s="40" t="str">
        <f>IF(V$4&lt;=PARAMETER!$X$2,SUMIF('2025'!$F:$F,$B24,'2025'!U:U)/PARAMETER!$T$3,"")</f>
        <v/>
      </c>
      <c r="W24" s="40" t="str">
        <f>IF(W$4&lt;=PARAMETER!$X$2,SUMIF('2025'!$F:$F,$B24,'2025'!V:V)/PARAMETER!$T$3,"")</f>
        <v/>
      </c>
      <c r="X24" s="40" t="str">
        <f>IF(X$4&lt;=PARAMETER!$X$2,SUMIF('2025'!$F:$F,$B24,'2025'!W:W)/PARAMETER!$T$3,"")</f>
        <v/>
      </c>
      <c r="Y24" s="40" t="str">
        <f>IF(Y$4&lt;=PARAMETER!$X$2,SUMIF('2025'!$F:$F,$B24,'2025'!X:X)/PARAMETER!$T$3,"")</f>
        <v/>
      </c>
      <c r="Z24" s="40" t="str">
        <f>IF(Z$4&lt;=PARAMETER!$X$2,SUMIF('2025'!$F:$F,$B24,'2025'!Y:Y)/PARAMETER!$T$3,"")</f>
        <v/>
      </c>
      <c r="AA24" s="40" t="str">
        <f>IF(AA$4&lt;=PARAMETER!$X$2,SUMIF('2025'!$F:$F,$B24,'2025'!Z:Z)/PARAMETER!$T$3,"")</f>
        <v/>
      </c>
      <c r="AB24" s="40" t="str">
        <f>IF(AB$4&lt;=PARAMETER!$X$2,SUMIF('2025'!$F:$F,$B24,'2025'!AA:AA)/PARAMETER!$T$3,"")</f>
        <v/>
      </c>
      <c r="AC24" s="40" t="str">
        <f>IF(AC$4&lt;=PARAMETER!$X$2,SUMIF('2025'!$F:$F,$B24,'2025'!AB:AB)/PARAMETER!$T$3,"")</f>
        <v/>
      </c>
      <c r="AD24" s="40" t="str">
        <f>IF(AD$4&lt;=PARAMETER!$X$2,SUMIF('2025'!$F:$F,$B24,'2025'!AC:AC)/PARAMETER!$T$3,"")</f>
        <v/>
      </c>
      <c r="AE24" s="40" t="str">
        <f>IF(AE$4&lt;=PARAMETER!$X$2,SUMIF('2025'!$F:$F,$B24,'2025'!AD:AD)/PARAMETER!$T$3,"")</f>
        <v/>
      </c>
      <c r="AF24" s="40" t="str">
        <f>IF(AF$4&lt;=PARAMETER!$X$2,SUMIF('2025'!$F:$F,$B24,'2025'!AE:AE)/PARAMETER!$T$3,"")</f>
        <v/>
      </c>
      <c r="AG24" s="40" t="str">
        <f>IF(AG$4&lt;=PARAMETER!$X$2,SUMIF('2025'!$F:$F,$B24,'2025'!AF:AF)/PARAMETER!$T$3,"")</f>
        <v/>
      </c>
      <c r="AH24" s="40" t="str">
        <f>IF(AH$4&lt;=PARAMETER!$X$2,SUMIF('2025'!$F:$F,$B24,'2025'!AG:AG)/PARAMETER!$T$3,"")</f>
        <v/>
      </c>
      <c r="AI24" s="40" t="str">
        <f>IF(AI$4&lt;=PARAMETER!$X$2,SUMIF('2025'!$F:$F,$B24,'2025'!AH:AH)/PARAMETER!$T$3,"")</f>
        <v/>
      </c>
      <c r="AJ24" s="40" t="str">
        <f>IF(AJ$4&lt;=PARAMETER!$X$2,SUMIF('2025'!$F:$F,$B24,'2025'!AI:AI)/PARAMETER!$T$3,"")</f>
        <v/>
      </c>
      <c r="AK24" s="40" t="str">
        <f>IF(AK$4&lt;=PARAMETER!$X$2,SUMIF('2025'!$F:$F,$B24,'2025'!AJ:AJ)/PARAMETER!$T$3,"")</f>
        <v/>
      </c>
      <c r="AL24" s="40" t="str">
        <f>IF(AL$4&lt;=PARAMETER!$X$2,SUMIF('2025'!$F:$F,$B24,'2025'!AK:AK)/PARAMETER!$T$3,"")</f>
        <v/>
      </c>
      <c r="AM24" s="40" t="str">
        <f>IF(AM$4&lt;=PARAMETER!$X$2,SUMIF('2025'!$F:$F,$B24,'2025'!AL:AL)/PARAMETER!$T$3,"")</f>
        <v/>
      </c>
      <c r="AN24" s="40" t="str">
        <f>IF(AN$4&lt;=PARAMETER!$X$2,SUMIF('2025'!$F:$F,$B24,'2025'!AM:AM)/PARAMETER!$T$3,"")</f>
        <v/>
      </c>
      <c r="AO24" s="40" t="str">
        <f>IF(AO$4&lt;=PARAMETER!$X$2,SUMIF('2025'!$F:$F,$B24,'2025'!AN:AN)/PARAMETER!$T$3,"")</f>
        <v/>
      </c>
      <c r="AP24" s="40" t="str">
        <f>IF(AP$4&lt;=PARAMETER!$X$2,SUMIF('2025'!$F:$F,$B24,'2025'!AO:AO)/PARAMETER!$T$3,"")</f>
        <v/>
      </c>
      <c r="AQ24" s="40" t="str">
        <f>IF(AQ$4&lt;=PARAMETER!$X$2,SUMIF('2025'!$F:$F,$B24,'2025'!AP:AP)/PARAMETER!$T$3,"")</f>
        <v/>
      </c>
      <c r="AR24" s="40" t="str">
        <f>IF(AR$4&lt;=PARAMETER!$X$2,SUMIF('2025'!$F:$F,$B24,'2025'!AQ:AQ)/PARAMETER!$T$3,"")</f>
        <v/>
      </c>
      <c r="AS24" s="40" t="str">
        <f>IF(AS$4&lt;=PARAMETER!$X$2,SUMIF('2025'!$F:$F,$B24,'2025'!AR:AR)/PARAMETER!$T$3,"")</f>
        <v/>
      </c>
      <c r="AT24" s="40" t="str">
        <f>IF(AT$4&lt;=PARAMETER!$X$2,SUMIF('2025'!$F:$F,$B24,'2025'!AS:AS)/PARAMETER!$T$3,"")</f>
        <v/>
      </c>
      <c r="AU24" s="40" t="str">
        <f>IF(AU$4&lt;=PARAMETER!$X$2,SUMIF('2025'!$F:$F,$B24,'2025'!AT:AT)/PARAMETER!$T$3,"")</f>
        <v/>
      </c>
      <c r="AV24" s="40" t="str">
        <f>IF(AV$4&lt;=PARAMETER!$X$2,SUMIF('2025'!$F:$F,$B24,'2025'!AU:AU)/PARAMETER!$T$3,"")</f>
        <v/>
      </c>
      <c r="AW24" s="40" t="str">
        <f>IF(AW$4&lt;=PARAMETER!$X$2,SUMIF('2025'!$F:$F,$B24,'2025'!AV:AV)/PARAMETER!$T$3,"")</f>
        <v/>
      </c>
      <c r="AX24" s="40" t="str">
        <f>IF(AX$4&lt;=PARAMETER!$X$2,SUMIF('2025'!$F:$F,$B24,'2025'!AW:AW)/PARAMETER!$T$3,"")</f>
        <v/>
      </c>
      <c r="AY24" s="40" t="str">
        <f>IF(AY$4&lt;=PARAMETER!$X$2,SUMIF('2025'!$F:$F,$B24,'2025'!AX:AX)/PARAMETER!$T$3,"")</f>
        <v/>
      </c>
      <c r="AZ24" s="40" t="str">
        <f>IF(AZ$4&lt;=PARAMETER!$X$2,SUMIF('2025'!$F:$F,$B24,'2025'!AY:AY)/PARAMETER!$T$3,"")</f>
        <v/>
      </c>
      <c r="BA24" s="40" t="str">
        <f>IF(BA$4&lt;=PARAMETER!$X$2,SUMIF('2025'!$F:$F,$B24,'2025'!AZ:AZ)/PARAMETER!$T$3,"")</f>
        <v/>
      </c>
      <c r="BB24" s="40" t="str">
        <f>IF(BB$4&lt;=PARAMETER!$X$2,SUMIF('2025'!$F:$F,$B24,'2025'!BA:BA)/PARAMETER!$T$3,"")</f>
        <v/>
      </c>
      <c r="BC24" s="40" t="str">
        <f>IF(BC$4&lt;=PARAMETER!$X$2,SUMIF('2025'!$F:$F,$B24,'2025'!BB:BB)/PARAMETER!$T$3,"")</f>
        <v/>
      </c>
      <c r="BD24" s="40" t="str">
        <f>IF(BD$4&lt;=PARAMETER!$X$2,SUMIF('2025'!$F:$F,$B24,'2025'!BC:BC)/PARAMETER!$T$3,"")</f>
        <v/>
      </c>
      <c r="BE24" s="40" t="str">
        <f>IF(BE$4&lt;=PARAMETER!$X$2,SUMIF('2025'!$F:$F,$B24,'2025'!BD:BD)/PARAMETER!$T$3,"")</f>
        <v/>
      </c>
      <c r="BF24" s="40" t="str">
        <f>IF(BF$4&lt;=PARAMETER!$X$2,SUMIF('2025'!$F:$F,$B24,'2025'!BE:BE)/PARAMETER!$T$3,"")</f>
        <v/>
      </c>
      <c r="BG24" s="40" t="str">
        <f>IF(BG$4&lt;=PARAMETER!$X$2,SUMIF('2025'!$F:$F,$B24,'2025'!BF:BF)/PARAMETER!$T$3,"")</f>
        <v/>
      </c>
      <c r="BH24" s="40" t="str">
        <f>IF(BH$4&lt;=PARAMETER!$X$2,SUMIF('2025'!$F:$F,$B24,'2025'!BG:BG)/PARAMETER!$T$3,"")</f>
        <v/>
      </c>
      <c r="BI24" s="40" t="str">
        <f>IF(BI$4&lt;=PARAMETER!$X$2,SUMIF('2025'!$F:$F,$B24,'2025'!BH:BH)/PARAMETER!$T$3,"")</f>
        <v/>
      </c>
      <c r="BJ24" s="40" t="str">
        <f>IF(BJ$4&lt;=PARAMETER!$X$2,SUMIF('2025'!$F:$F,$B24,'2025'!BI:BI)/PARAMETER!$T$3,"")</f>
        <v/>
      </c>
    </row>
    <row r="25" spans="1:62" x14ac:dyDescent="0.25">
      <c r="A25">
        <f t="shared" ref="A25" si="24">A23</f>
        <v>3</v>
      </c>
      <c r="B25" s="78" t="str">
        <f>CONCATENATE(C25,PARAMETER!T$2)</f>
        <v>GRAMEDIAVOL</v>
      </c>
      <c r="C25" s="26" t="str">
        <f t="shared" si="22"/>
        <v>GRAMEDIA</v>
      </c>
      <c r="D25" s="67"/>
      <c r="E25" s="68"/>
      <c r="F25" s="69"/>
      <c r="G25" s="70">
        <f t="shared" si="20"/>
        <v>2024</v>
      </c>
      <c r="H25" s="71">
        <f>IF(H$4&lt;=PARAMETER!$X$2,SUMIF('2024'!$F:$F,$B25,'2024'!G:G)/PARAMETER!$T$3,"")</f>
        <v>7791.2648330000002</v>
      </c>
      <c r="I25" s="71">
        <f>IF(I$4&lt;=PARAMETER!$X$2,SUMIF('2024'!$F:$F,$B25,'2024'!H:H)/PARAMETER!$T$3,"")</f>
        <v>2612.5984229999999</v>
      </c>
      <c r="J25" s="71">
        <f>IF(J$4&lt;=PARAMETER!$X$2,SUMIF('2024'!$F:$F,$B25,'2024'!I:I)/PARAMETER!$T$3,"")</f>
        <v>2.1438999999999999</v>
      </c>
      <c r="K25" s="71">
        <f>IF(K$4&lt;=PARAMETER!$X$2,SUMIF('2024'!$F:$F,$B25,'2024'!J:J)/PARAMETER!$T$3,"")</f>
        <v>0.86550000000000005</v>
      </c>
      <c r="L25" s="71">
        <f>IF(L$4&lt;=PARAMETER!$X$2,SUMIF('2024'!$F:$F,$B25,'2024'!K:K)/PARAMETER!$T$3,"")</f>
        <v>0.10780000000000001</v>
      </c>
      <c r="M25" s="71">
        <f>IF(M$4&lt;=PARAMETER!$X$2,SUMIF('2024'!$F:$F,$B25,'2024'!L:L)/PARAMETER!$T$3,"")</f>
        <v>1.6721999999999999</v>
      </c>
      <c r="N25" s="71">
        <f>IF(N$4&lt;=PARAMETER!$X$2,SUMIF('2024'!$F:$F,$B25,'2024'!M:M)/PARAMETER!$T$3,"")</f>
        <v>0.78690000000000004</v>
      </c>
      <c r="O25" s="71">
        <f>IF(O$4&lt;=PARAMETER!$X$2,SUMIF('2024'!$F:$F,$B25,'2024'!N:N)/PARAMETER!$T$3,"")</f>
        <v>1.6348750000000001</v>
      </c>
      <c r="P25" s="71">
        <f>IF(P$4&lt;=PARAMETER!$X$2,SUMIF('2024'!$F:$F,$B25,'2024'!O:O)/PARAMETER!$T$3,"")</f>
        <v>5.4198500000000003</v>
      </c>
      <c r="Q25" s="71">
        <f>IF(Q$4&lt;=PARAMETER!$X$2,SUMIF('2024'!$F:$F,$B25,'2024'!P:P)/PARAMETER!$T$3,"")</f>
        <v>395.80515600000001</v>
      </c>
      <c r="R25" s="71">
        <f>IF(R$4&lt;=PARAMETER!$X$2,SUMIF('2024'!$F:$F,$B25,'2024'!Q:Q)/PARAMETER!$T$3,"")</f>
        <v>2201.8327720000002</v>
      </c>
      <c r="S25" s="71">
        <f>IF(S$4&lt;=PARAMETER!$X$2,SUMIF('2024'!$F:$F,$B25,'2024'!R:R)/PARAMETER!$T$3,"")</f>
        <v>1.26962</v>
      </c>
      <c r="T25" s="71">
        <f>IF(T$4&lt;=PARAMETER!$X$2,SUMIF('2024'!$F:$F,$B25,'2024'!S:S)/PARAMETER!$T$3,"")</f>
        <v>1.05985</v>
      </c>
      <c r="U25" s="71" t="str">
        <f>IF(U$4&lt;=PARAMETER!$X$2,SUMIF('2024'!$F:$F,$B25,'2024'!T:T)/PARAMETER!$T$3,"")</f>
        <v/>
      </c>
      <c r="V25" s="71" t="str">
        <f>IF(V$4&lt;=PARAMETER!$X$2,SUMIF('2024'!$F:$F,$B25,'2024'!U:U)/PARAMETER!$T$3,"")</f>
        <v/>
      </c>
      <c r="W25" s="71" t="str">
        <f>IF(W$4&lt;=PARAMETER!$X$2,SUMIF('2024'!$F:$F,$B25,'2024'!V:V)/PARAMETER!$T$3,"")</f>
        <v/>
      </c>
      <c r="X25" s="71" t="str">
        <f>IF(X$4&lt;=PARAMETER!$X$2,SUMIF('2024'!$F:$F,$B25,'2024'!W:W)/PARAMETER!$T$3,"")</f>
        <v/>
      </c>
      <c r="Y25" s="71" t="str">
        <f>IF(Y$4&lt;=PARAMETER!$X$2,SUMIF('2024'!$F:$F,$B25,'2024'!X:X)/PARAMETER!$T$3,"")</f>
        <v/>
      </c>
      <c r="Z25" s="71" t="str">
        <f>IF(Z$4&lt;=PARAMETER!$X$2,SUMIF('2024'!$F:$F,$B25,'2024'!Y:Y)/PARAMETER!$T$3,"")</f>
        <v/>
      </c>
      <c r="AA25" s="71" t="str">
        <f>IF(AA$4&lt;=PARAMETER!$X$2,SUMIF('2024'!$F:$F,$B25,'2024'!Z:Z)/PARAMETER!$T$3,"")</f>
        <v/>
      </c>
      <c r="AB25" s="71" t="str">
        <f>IF(AB$4&lt;=PARAMETER!$X$2,SUMIF('2024'!$F:$F,$B25,'2024'!AA:AA)/PARAMETER!$T$3,"")</f>
        <v/>
      </c>
      <c r="AC25" s="71" t="str">
        <f>IF(AC$4&lt;=PARAMETER!$X$2,SUMIF('2024'!$F:$F,$B25,'2024'!AB:AB)/PARAMETER!$T$3,"")</f>
        <v/>
      </c>
      <c r="AD25" s="71" t="str">
        <f>IF(AD$4&lt;=PARAMETER!$X$2,SUMIF('2024'!$F:$F,$B25,'2024'!AC:AC)/PARAMETER!$T$3,"")</f>
        <v/>
      </c>
      <c r="AE25" s="71" t="str">
        <f>IF(AE$4&lt;=PARAMETER!$X$2,SUMIF('2024'!$F:$F,$B25,'2024'!AD:AD)/PARAMETER!$T$3,"")</f>
        <v/>
      </c>
      <c r="AF25" s="71" t="str">
        <f>IF(AF$4&lt;=PARAMETER!$X$2,SUMIF('2024'!$F:$F,$B25,'2024'!AE:AE)/PARAMETER!$T$3,"")</f>
        <v/>
      </c>
      <c r="AG25" s="71" t="str">
        <f>IF(AG$4&lt;=PARAMETER!$X$2,SUMIF('2024'!$F:$F,$B25,'2024'!AF:AF)/PARAMETER!$T$3,"")</f>
        <v/>
      </c>
      <c r="AH25" s="71" t="str">
        <f>IF(AH$4&lt;=PARAMETER!$X$2,SUMIF('2024'!$F:$F,$B25,'2024'!AG:AG)/PARAMETER!$T$3,"")</f>
        <v/>
      </c>
      <c r="AI25" s="71" t="str">
        <f>IF(AI$4&lt;=PARAMETER!$X$2,SUMIF('2024'!$F:$F,$B25,'2024'!AH:AH)/PARAMETER!$T$3,"")</f>
        <v/>
      </c>
      <c r="AJ25" s="71" t="str">
        <f>IF(AJ$4&lt;=PARAMETER!$X$2,SUMIF('2024'!$F:$F,$B25,'2024'!AI:AI)/PARAMETER!$T$3,"")</f>
        <v/>
      </c>
      <c r="AK25" s="71" t="str">
        <f>IF(AK$4&lt;=PARAMETER!$X$2,SUMIF('2024'!$F:$F,$B25,'2024'!AJ:AJ)/PARAMETER!$T$3,"")</f>
        <v/>
      </c>
      <c r="AL25" s="71" t="str">
        <f>IF(AL$4&lt;=PARAMETER!$X$2,SUMIF('2024'!$F:$F,$B25,'2024'!AK:AK)/PARAMETER!$T$3,"")</f>
        <v/>
      </c>
      <c r="AM25" s="71" t="str">
        <f>IF(AM$4&lt;=PARAMETER!$X$2,SUMIF('2024'!$F:$F,$B25,'2024'!AL:AL)/PARAMETER!$T$3,"")</f>
        <v/>
      </c>
      <c r="AN25" s="71" t="str">
        <f>IF(AN$4&lt;=PARAMETER!$X$2,SUMIF('2024'!$F:$F,$B25,'2024'!AM:AM)/PARAMETER!$T$3,"")</f>
        <v/>
      </c>
      <c r="AO25" s="71" t="str">
        <f>IF(AO$4&lt;=PARAMETER!$X$2,SUMIF('2024'!$F:$F,$B25,'2024'!AN:AN)/PARAMETER!$T$3,"")</f>
        <v/>
      </c>
      <c r="AP25" s="71" t="str">
        <f>IF(AP$4&lt;=PARAMETER!$X$2,SUMIF('2024'!$F:$F,$B25,'2024'!AO:AO)/PARAMETER!$T$3,"")</f>
        <v/>
      </c>
      <c r="AQ25" s="71" t="str">
        <f>IF(AQ$4&lt;=PARAMETER!$X$2,SUMIF('2024'!$F:$F,$B25,'2024'!AP:AP)/PARAMETER!$T$3,"")</f>
        <v/>
      </c>
      <c r="AR25" s="71" t="str">
        <f>IF(AR$4&lt;=PARAMETER!$X$2,SUMIF('2024'!$F:$F,$B25,'2024'!AQ:AQ)/PARAMETER!$T$3,"")</f>
        <v/>
      </c>
      <c r="AS25" s="71" t="str">
        <f>IF(AS$4&lt;=PARAMETER!$X$2,SUMIF('2024'!$F:$F,$B25,'2024'!AR:AR)/PARAMETER!$T$3,"")</f>
        <v/>
      </c>
      <c r="AT25" s="71" t="str">
        <f>IF(AT$4&lt;=PARAMETER!$X$2,SUMIF('2024'!$F:$F,$B25,'2024'!AS:AS)/PARAMETER!$T$3,"")</f>
        <v/>
      </c>
      <c r="AU25" s="71" t="str">
        <f>IF(AU$4&lt;=PARAMETER!$X$2,SUMIF('2024'!$F:$F,$B25,'2024'!AT:AT)/PARAMETER!$T$3,"")</f>
        <v/>
      </c>
      <c r="AV25" s="71" t="str">
        <f>IF(AV$4&lt;=PARAMETER!$X$2,SUMIF('2024'!$F:$F,$B25,'2024'!AU:AU)/PARAMETER!$T$3,"")</f>
        <v/>
      </c>
      <c r="AW25" s="71" t="str">
        <f>IF(AW$4&lt;=PARAMETER!$X$2,SUMIF('2024'!$F:$F,$B25,'2024'!AV:AV)/PARAMETER!$T$3,"")</f>
        <v/>
      </c>
      <c r="AX25" s="71" t="str">
        <f>IF(AX$4&lt;=PARAMETER!$X$2,SUMIF('2024'!$F:$F,$B25,'2024'!AW:AW)/PARAMETER!$T$3,"")</f>
        <v/>
      </c>
      <c r="AY25" s="71" t="str">
        <f>IF(AY$4&lt;=PARAMETER!$X$2,SUMIF('2024'!$F:$F,$B25,'2024'!AX:AX)/PARAMETER!$T$3,"")</f>
        <v/>
      </c>
      <c r="AZ25" s="71" t="str">
        <f>IF(AZ$4&lt;=PARAMETER!$X$2,SUMIF('2024'!$F:$F,$B25,'2024'!AY:AY)/PARAMETER!$T$3,"")</f>
        <v/>
      </c>
      <c r="BA25" s="71" t="str">
        <f>IF(BA$4&lt;=PARAMETER!$X$2,SUMIF('2024'!$F:$F,$B25,'2024'!AZ:AZ)/PARAMETER!$T$3,"")</f>
        <v/>
      </c>
      <c r="BB25" s="71" t="str">
        <f>IF(BB$4&lt;=PARAMETER!$X$2,SUMIF('2024'!$F:$F,$B25,'2024'!BA:BA)/PARAMETER!$T$3,"")</f>
        <v/>
      </c>
      <c r="BC25" s="71" t="str">
        <f>IF(BC$4&lt;=PARAMETER!$X$2,SUMIF('2024'!$F:$F,$B25,'2024'!BB:BB)/PARAMETER!$T$3,"")</f>
        <v/>
      </c>
      <c r="BD25" s="71" t="str">
        <f>IF(BD$4&lt;=PARAMETER!$X$2,SUMIF('2024'!$F:$F,$B25,'2024'!BC:BC)/PARAMETER!$T$3,"")</f>
        <v/>
      </c>
      <c r="BE25" s="71" t="str">
        <f>IF(BE$4&lt;=PARAMETER!$X$2,SUMIF('2024'!$F:$F,$B25,'2024'!BD:BD)/PARAMETER!$T$3,"")</f>
        <v/>
      </c>
      <c r="BF25" s="71" t="str">
        <f>IF(BF$4&lt;=PARAMETER!$X$2,SUMIF('2024'!$F:$F,$B25,'2024'!BE:BE)/PARAMETER!$T$3,"")</f>
        <v/>
      </c>
      <c r="BG25" s="71" t="str">
        <f>IF(BG$4&lt;=PARAMETER!$X$2,SUMIF('2024'!$F:$F,$B25,'2024'!BF:BF)/PARAMETER!$T$3,"")</f>
        <v/>
      </c>
      <c r="BH25" s="71" t="str">
        <f>IF(BH$4&lt;=PARAMETER!$X$2,SUMIF('2024'!$F:$F,$B25,'2024'!BG:BG)/PARAMETER!$T$3,"")</f>
        <v/>
      </c>
      <c r="BI25" s="71" t="str">
        <f>IF(BI$4&lt;=PARAMETER!$X$2,SUMIF('2024'!$F:$F,$B25,'2024'!BH:BH)/PARAMETER!$T$3,"")</f>
        <v/>
      </c>
      <c r="BJ25" s="71" t="str">
        <f>IF(BJ$4&lt;=PARAMETER!$X$2,SUMIF('2024'!$F:$F,$B25,'2024'!BI:BI)/PARAMETER!$T$3,"")</f>
        <v/>
      </c>
    </row>
    <row r="26" spans="1:62" x14ac:dyDescent="0.25">
      <c r="A26">
        <v>4</v>
      </c>
      <c r="B26" s="78" t="str">
        <f>CONCATENATE(C26,PARAMETER!T$2)</f>
        <v>KCICVOL</v>
      </c>
      <c r="C26" s="21" t="str">
        <f>IFERROR(VLOOKUP(A26,PARAMETER!K$2:M34,3,0),"")</f>
        <v>KCIC</v>
      </c>
      <c r="D26" s="22" t="s">
        <v>127</v>
      </c>
      <c r="E26" s="37">
        <f t="shared" ref="E26" si="25">IFERROR(I27/I26,"")</f>
        <v>1.1668280008744549</v>
      </c>
      <c r="F26" s="23">
        <f t="shared" ref="F26:F28" si="26">IFERROR(IF(E26&gt;300%,300%,E26),"")</f>
        <v>1.1668280008744549</v>
      </c>
      <c r="G26" s="24" t="str">
        <f t="shared" si="20"/>
        <v>Target</v>
      </c>
      <c r="H26" s="25">
        <f>IF(H$4&lt;=PARAMETER!$X$2,SUMIF('2026 T'!$F:$F,$B26,'2026 T'!G:G)/PARAMETER!$T$3,"")</f>
        <v>35500.000000000007</v>
      </c>
      <c r="I26" s="25">
        <f>IF(I$4&lt;=PARAMETER!$X$2,SUMIF('2026 T'!$F:$F,$B26,'2026 T'!H:H)/PARAMETER!$T$3,"")</f>
        <v>5067.4706088375715</v>
      </c>
      <c r="J26" s="25">
        <f>IF(J$4&lt;=PARAMETER!$X$2,SUMIF('2026 T'!$F:$F,$B26,'2026 T'!I:I)/PARAMETER!$T$3,"")</f>
        <v>441.54940147467397</v>
      </c>
      <c r="K26" s="25">
        <f>IF(K$4&lt;=PARAMETER!$X$2,SUMIF('2026 T'!$F:$F,$B26,'2026 T'!J:J)/PARAMETER!$T$3,"")</f>
        <v>449.50645133845597</v>
      </c>
      <c r="L26" s="25">
        <f>IF(L$4&lt;=PARAMETER!$X$2,SUMIF('2026 T'!$F:$F,$B26,'2026 T'!K:K)/PARAMETER!$T$3,"")</f>
        <v>620.51615744453295</v>
      </c>
      <c r="M26" s="25">
        <f>IF(M$4&lt;=PARAMETER!$X$2,SUMIF('2026 T'!$F:$F,$B26,'2026 T'!L:L)/PARAMETER!$T$3,"")</f>
        <v>581.03180496921004</v>
      </c>
      <c r="N26" s="25">
        <f>IF(N$4&lt;=PARAMETER!$X$2,SUMIF('2026 T'!$F:$F,$B26,'2026 T'!M:M)/PARAMETER!$T$3,"")</f>
        <v>596.11008013125206</v>
      </c>
      <c r="O26" s="25">
        <f>IF(O$4&lt;=PARAMETER!$X$2,SUMIF('2026 T'!$F:$F,$B26,'2026 T'!N:N)/PARAMETER!$T$3,"")</f>
        <v>728.939320084222</v>
      </c>
      <c r="P26" s="25">
        <f>IF(P$4&lt;=PARAMETER!$X$2,SUMIF('2026 T'!$F:$F,$B26,'2026 T'!O:O)/PARAMETER!$T$3,"")</f>
        <v>704.499809788319</v>
      </c>
      <c r="Q26" s="25">
        <f>IF(Q$4&lt;=PARAMETER!$X$2,SUMIF('2026 T'!$F:$F,$B26,'2026 T'!P:P)/PARAMETER!$T$3,"")</f>
        <v>571.50340492224393</v>
      </c>
      <c r="R26" s="25">
        <f>IF(R$4&lt;=PARAMETER!$X$2,SUMIF('2026 T'!$F:$F,$B26,'2026 T'!Q:Q)/PARAMETER!$T$3,"")</f>
        <v>373.81417868466201</v>
      </c>
      <c r="S26" s="25">
        <f>IF(S$4&lt;=PARAMETER!$X$2,SUMIF('2026 T'!$F:$F,$B26,'2026 T'!R:R)/PARAMETER!$T$3,"")</f>
        <v>396.51517388427595</v>
      </c>
      <c r="T26" s="25">
        <f>IF(T$4&lt;=PARAMETER!$X$2,SUMIF('2026 T'!$F:$F,$B26,'2026 T'!S:S)/PARAMETER!$T$3,"")</f>
        <v>394.14143211818998</v>
      </c>
      <c r="U26" s="25" t="str">
        <f>IF(U$4&lt;=PARAMETER!$X$2,SUMIF('2026 T'!$F:$F,$B26,'2026 T'!T:T)/PARAMETER!$T$3,"")</f>
        <v/>
      </c>
      <c r="V26" s="25" t="str">
        <f>IF(V$4&lt;=PARAMETER!$X$2,SUMIF('2026 T'!$F:$F,$B26,'2026 T'!U:U)/PARAMETER!$T$3,"")</f>
        <v/>
      </c>
      <c r="W26" s="25" t="str">
        <f>IF(W$4&lt;=PARAMETER!$X$2,SUMIF('2026 T'!$F:$F,$B26,'2026 T'!V:V)/PARAMETER!$T$3,"")</f>
        <v/>
      </c>
      <c r="X26" s="25" t="str">
        <f>IF(X$4&lt;=PARAMETER!$X$2,SUMIF('2026 T'!$F:$F,$B26,'2026 T'!W:W)/PARAMETER!$T$3,"")</f>
        <v/>
      </c>
      <c r="Y26" s="25" t="str">
        <f>IF(Y$4&lt;=PARAMETER!$X$2,SUMIF('2026 T'!$F:$F,$B26,'2026 T'!X:X)/PARAMETER!$T$3,"")</f>
        <v/>
      </c>
      <c r="Z26" s="25" t="str">
        <f>IF(Z$4&lt;=PARAMETER!$X$2,SUMIF('2026 T'!$F:$F,$B26,'2026 T'!Y:Y)/PARAMETER!$T$3,"")</f>
        <v/>
      </c>
      <c r="AA26" s="25" t="str">
        <f>IF(AA$4&lt;=PARAMETER!$X$2,SUMIF('2026 T'!$F:$F,$B26,'2026 T'!Z:Z)/PARAMETER!$T$3,"")</f>
        <v/>
      </c>
      <c r="AB26" s="25" t="str">
        <f>IF(AB$4&lt;=PARAMETER!$X$2,SUMIF('2026 T'!$F:$F,$B26,'2026 T'!AA:AA)/PARAMETER!$T$3,"")</f>
        <v/>
      </c>
      <c r="AC26" s="25" t="str">
        <f>IF(AC$4&lt;=PARAMETER!$X$2,SUMIF('2026 T'!$F:$F,$B26,'2026 T'!AB:AB)/PARAMETER!$T$3,"")</f>
        <v/>
      </c>
      <c r="AD26" s="25" t="str">
        <f>IF(AD$4&lt;=PARAMETER!$X$2,SUMIF('2026 T'!$F:$F,$B26,'2026 T'!AC:AC)/PARAMETER!$T$3,"")</f>
        <v/>
      </c>
      <c r="AE26" s="25" t="str">
        <f>IF(AE$4&lt;=PARAMETER!$X$2,SUMIF('2026 T'!$F:$F,$B26,'2026 T'!AD:AD)/PARAMETER!$T$3,"")</f>
        <v/>
      </c>
      <c r="AF26" s="25" t="str">
        <f>IF(AF$4&lt;=PARAMETER!$X$2,SUMIF('2026 T'!$F:$F,$B26,'2026 T'!AE:AE)/PARAMETER!$T$3,"")</f>
        <v/>
      </c>
      <c r="AG26" s="25" t="str">
        <f>IF(AG$4&lt;=PARAMETER!$X$2,SUMIF('2026 T'!$F:$F,$B26,'2026 T'!AF:AF)/PARAMETER!$T$3,"")</f>
        <v/>
      </c>
      <c r="AH26" s="25" t="str">
        <f>IF(AH$4&lt;=PARAMETER!$X$2,SUMIF('2026 T'!$F:$F,$B26,'2026 T'!AG:AG)/PARAMETER!$T$3,"")</f>
        <v/>
      </c>
      <c r="AI26" s="25" t="str">
        <f>IF(AI$4&lt;=PARAMETER!$X$2,SUMIF('2026 T'!$F:$F,$B26,'2026 T'!AH:AH)/PARAMETER!$T$3,"")</f>
        <v/>
      </c>
      <c r="AJ26" s="25" t="str">
        <f>IF(AJ$4&lt;=PARAMETER!$X$2,SUMIF('2026 T'!$F:$F,$B26,'2026 T'!AI:AI)/PARAMETER!$T$3,"")</f>
        <v/>
      </c>
      <c r="AK26" s="25" t="str">
        <f>IF(AK$4&lt;=PARAMETER!$X$2,SUMIF('2026 T'!$F:$F,$B26,'2026 T'!AJ:AJ)/PARAMETER!$T$3,"")</f>
        <v/>
      </c>
      <c r="AL26" s="25" t="str">
        <f>IF(AL$4&lt;=PARAMETER!$X$2,SUMIF('2026 T'!$F:$F,$B26,'2026 T'!AK:AK)/PARAMETER!$T$3,"")</f>
        <v/>
      </c>
      <c r="AM26" s="25" t="str">
        <f>IF(AM$4&lt;=PARAMETER!$X$2,SUMIF('2026 T'!$F:$F,$B26,'2026 T'!AL:AL)/PARAMETER!$T$3,"")</f>
        <v/>
      </c>
      <c r="AN26" s="25" t="str">
        <f>IF(AN$4&lt;=PARAMETER!$X$2,SUMIF('2026 T'!$F:$F,$B26,'2026 T'!AM:AM)/PARAMETER!$T$3,"")</f>
        <v/>
      </c>
      <c r="AO26" s="25" t="str">
        <f>IF(AO$4&lt;=PARAMETER!$X$2,SUMIF('2026 T'!$F:$F,$B26,'2026 T'!AN:AN)/PARAMETER!$T$3,"")</f>
        <v/>
      </c>
      <c r="AP26" s="25" t="str">
        <f>IF(AP$4&lt;=PARAMETER!$X$2,SUMIF('2026 T'!$F:$F,$B26,'2026 T'!AO:AO)/PARAMETER!$T$3,"")</f>
        <v/>
      </c>
      <c r="AQ26" s="25" t="str">
        <f>IF(AQ$4&lt;=PARAMETER!$X$2,SUMIF('2026 T'!$F:$F,$B26,'2026 T'!AP:AP)/PARAMETER!$T$3,"")</f>
        <v/>
      </c>
      <c r="AR26" s="25" t="str">
        <f>IF(AR$4&lt;=PARAMETER!$X$2,SUMIF('2026 T'!$F:$F,$B26,'2026 T'!AQ:AQ)/PARAMETER!$T$3,"")</f>
        <v/>
      </c>
      <c r="AS26" s="25" t="str">
        <f>IF(AS$4&lt;=PARAMETER!$X$2,SUMIF('2026 T'!$F:$F,$B26,'2026 T'!AR:AR)/PARAMETER!$T$3,"")</f>
        <v/>
      </c>
      <c r="AT26" s="25" t="str">
        <f>IF(AT$4&lt;=PARAMETER!$X$2,SUMIF('2026 T'!$F:$F,$B26,'2026 T'!AS:AS)/PARAMETER!$T$3,"")</f>
        <v/>
      </c>
      <c r="AU26" s="25" t="str">
        <f>IF(AU$4&lt;=PARAMETER!$X$2,SUMIF('2026 T'!$F:$F,$B26,'2026 T'!AT:AT)/PARAMETER!$T$3,"")</f>
        <v/>
      </c>
      <c r="AV26" s="25" t="str">
        <f>IF(AV$4&lt;=PARAMETER!$X$2,SUMIF('2026 T'!$F:$F,$B26,'2026 T'!AU:AU)/PARAMETER!$T$3,"")</f>
        <v/>
      </c>
      <c r="AW26" s="25" t="str">
        <f>IF(AW$4&lt;=PARAMETER!$X$2,SUMIF('2026 T'!$F:$F,$B26,'2026 T'!AV:AV)/PARAMETER!$T$3,"")</f>
        <v/>
      </c>
      <c r="AX26" s="25" t="str">
        <f>IF(AX$4&lt;=PARAMETER!$X$2,SUMIF('2026 T'!$F:$F,$B26,'2026 T'!AW:AW)/PARAMETER!$T$3,"")</f>
        <v/>
      </c>
      <c r="AY26" s="25" t="str">
        <f>IF(AY$4&lt;=PARAMETER!$X$2,SUMIF('2026 T'!$F:$F,$B26,'2026 T'!AX:AX)/PARAMETER!$T$3,"")</f>
        <v/>
      </c>
      <c r="AZ26" s="25" t="str">
        <f>IF(AZ$4&lt;=PARAMETER!$X$2,SUMIF('2026 T'!$F:$F,$B26,'2026 T'!AY:AY)/PARAMETER!$T$3,"")</f>
        <v/>
      </c>
      <c r="BA26" s="25" t="str">
        <f>IF(BA$4&lt;=PARAMETER!$X$2,SUMIF('2026 T'!$F:$F,$B26,'2026 T'!AZ:AZ)/PARAMETER!$T$3,"")</f>
        <v/>
      </c>
      <c r="BB26" s="25" t="str">
        <f>IF(BB$4&lt;=PARAMETER!$X$2,SUMIF('2026 T'!$F:$F,$B26,'2026 T'!BA:BA)/PARAMETER!$T$3,"")</f>
        <v/>
      </c>
      <c r="BC26" s="25" t="str">
        <f>IF(BC$4&lt;=PARAMETER!$X$2,SUMIF('2026 T'!$F:$F,$B26,'2026 T'!BB:BB)/PARAMETER!$T$3,"")</f>
        <v/>
      </c>
      <c r="BD26" s="25" t="str">
        <f>IF(BD$4&lt;=PARAMETER!$X$2,SUMIF('2026 T'!$F:$F,$B26,'2026 T'!BC:BC)/PARAMETER!$T$3,"")</f>
        <v/>
      </c>
      <c r="BE26" s="25" t="str">
        <f>IF(BE$4&lt;=PARAMETER!$X$2,SUMIF('2026 T'!$F:$F,$B26,'2026 T'!BD:BD)/PARAMETER!$T$3,"")</f>
        <v/>
      </c>
      <c r="BF26" s="25" t="str">
        <f>IF(BF$4&lt;=PARAMETER!$X$2,SUMIF('2026 T'!$F:$F,$B26,'2026 T'!BE:BE)/PARAMETER!$T$3,"")</f>
        <v/>
      </c>
      <c r="BG26" s="25" t="str">
        <f>IF(BG$4&lt;=PARAMETER!$X$2,SUMIF('2026 T'!$F:$F,$B26,'2026 T'!BF:BF)/PARAMETER!$T$3,"")</f>
        <v/>
      </c>
      <c r="BH26" s="25" t="str">
        <f>IF(BH$4&lt;=PARAMETER!$X$2,SUMIF('2026 T'!$F:$F,$B26,'2026 T'!BG:BG)/PARAMETER!$T$3,"")</f>
        <v/>
      </c>
      <c r="BI26" s="25" t="str">
        <f>IF(BI$4&lt;=PARAMETER!$X$2,SUMIF('2026 T'!$F:$F,$B26,'2026 T'!BH:BH)/PARAMETER!$T$3,"")</f>
        <v/>
      </c>
      <c r="BJ26" s="25" t="str">
        <f>IF(BJ$4&lt;=PARAMETER!$X$2,SUMIF('2026 T'!$F:$F,$B26,'2026 T'!BI:BI)/PARAMETER!$T$3,"")</f>
        <v/>
      </c>
    </row>
    <row r="27" spans="1:62" x14ac:dyDescent="0.25">
      <c r="A27">
        <f t="shared" ref="A27:A28" si="27">A26</f>
        <v>4</v>
      </c>
      <c r="B27" s="78" t="str">
        <f>CONCATENATE(C27,PARAMETER!T$2)</f>
        <v>KCICVOL</v>
      </c>
      <c r="C27" s="26" t="str">
        <f t="shared" ref="C27:C29" si="28">C26</f>
        <v>KCIC</v>
      </c>
      <c r="D27" s="27" t="s">
        <v>128</v>
      </c>
      <c r="E27" s="35">
        <f t="shared" ref="E27:E28" si="29">IFERROR(I27/I28-1,"")</f>
        <v>0.34981545485675158</v>
      </c>
      <c r="F27" s="28">
        <f t="shared" si="26"/>
        <v>0.34981545485675158</v>
      </c>
      <c r="G27" s="39">
        <f t="shared" si="20"/>
        <v>2026</v>
      </c>
      <c r="H27" s="40">
        <f>IF(H$4&lt;=PARAMETER!$X$2,SUMIF('2026'!$F:$F,$B27,'2026'!G:G)/PARAMETER!$T$3,"")</f>
        <v>5912.8666000000003</v>
      </c>
      <c r="I27" s="40">
        <f>IF(I$4&lt;=PARAMETER!$X$2,SUMIF('2026'!$F:$F,$B27,'2026'!H:H)/PARAMETER!$T$3,"")</f>
        <v>5912.8666000000003</v>
      </c>
      <c r="J27" s="40">
        <f>IF(J$4&lt;=PARAMETER!$X$2,SUMIF('2026'!$F:$F,$B27,'2026'!I:I)/PARAMETER!$T$3,"")</f>
        <v>147.75</v>
      </c>
      <c r="K27" s="40">
        <f>IF(K$4&lt;=PARAMETER!$X$2,SUMIF('2026'!$F:$F,$B27,'2026'!J:J)/PARAMETER!$T$3,"")</f>
        <v>285.76</v>
      </c>
      <c r="L27" s="40">
        <f>IF(L$4&lt;=PARAMETER!$X$2,SUMIF('2026'!$F:$F,$B27,'2026'!K:K)/PARAMETER!$T$3,"")</f>
        <v>317.935</v>
      </c>
      <c r="M27" s="40">
        <f>IF(M$4&lt;=PARAMETER!$X$2,SUMIF('2026'!$F:$F,$B27,'2026'!L:L)/PARAMETER!$T$3,"")</f>
        <v>342.745</v>
      </c>
      <c r="N27" s="40">
        <f>IF(N$4&lt;=PARAMETER!$X$2,SUMIF('2026'!$F:$F,$B27,'2026'!M:M)/PARAMETER!$T$3,"")</f>
        <v>779.55499999999995</v>
      </c>
      <c r="O27" s="40">
        <f>IF(O$4&lt;=PARAMETER!$X$2,SUMIF('2026'!$F:$F,$B27,'2026'!N:N)/PARAMETER!$T$3,"")</f>
        <v>1038.2865999999999</v>
      </c>
      <c r="P27" s="40">
        <f>IF(P$4&lt;=PARAMETER!$X$2,SUMIF('2026'!$F:$F,$B27,'2026'!O:O)/PARAMETER!$T$3,"")</f>
        <v>1188.9349999999999</v>
      </c>
      <c r="Q27" s="40">
        <f>IF(Q$4&lt;=PARAMETER!$X$2,SUMIF('2026'!$F:$F,$B27,'2026'!P:P)/PARAMETER!$T$3,"")</f>
        <v>773.46</v>
      </c>
      <c r="R27" s="40">
        <f>IF(R$4&lt;=PARAMETER!$X$2,SUMIF('2026'!$F:$F,$B27,'2026'!Q:Q)/PARAMETER!$T$3,"")</f>
        <v>369.12</v>
      </c>
      <c r="S27" s="40">
        <f>IF(S$4&lt;=PARAMETER!$X$2,SUMIF('2026'!$F:$F,$B27,'2026'!R:R)/PARAMETER!$T$3,"")</f>
        <v>350.21</v>
      </c>
      <c r="T27" s="40">
        <f>IF(T$4&lt;=PARAMETER!$X$2,SUMIF('2026'!$F:$F,$B27,'2026'!S:S)/PARAMETER!$T$3,"")</f>
        <v>319.11</v>
      </c>
      <c r="U27" s="40" t="str">
        <f>IF(U$4&lt;=PARAMETER!$X$2,SUMIF('2026'!$F:$F,$B27,'2026'!T:T)/PARAMETER!$T$3,"")</f>
        <v/>
      </c>
      <c r="V27" s="40" t="str">
        <f>IF(V$4&lt;=PARAMETER!$X$2,SUMIF('2026'!$F:$F,$B27,'2026'!U:U)/PARAMETER!$T$3,"")</f>
        <v/>
      </c>
      <c r="W27" s="40" t="str">
        <f>IF(W$4&lt;=PARAMETER!$X$2,SUMIF('2026'!$F:$F,$B27,'2026'!V:V)/PARAMETER!$T$3,"")</f>
        <v/>
      </c>
      <c r="X27" s="40" t="str">
        <f>IF(X$4&lt;=PARAMETER!$X$2,SUMIF('2026'!$F:$F,$B27,'2026'!W:W)/PARAMETER!$T$3,"")</f>
        <v/>
      </c>
      <c r="Y27" s="40" t="str">
        <f>IF(Y$4&lt;=PARAMETER!$X$2,SUMIF('2026'!$F:$F,$B27,'2026'!X:X)/PARAMETER!$T$3,"")</f>
        <v/>
      </c>
      <c r="Z27" s="40" t="str">
        <f>IF(Z$4&lt;=PARAMETER!$X$2,SUMIF('2026'!$F:$F,$B27,'2026'!Y:Y)/PARAMETER!$T$3,"")</f>
        <v/>
      </c>
      <c r="AA27" s="40" t="str">
        <f>IF(AA$4&lt;=PARAMETER!$X$2,SUMIF('2026'!$F:$F,$B27,'2026'!Z:Z)/PARAMETER!$T$3,"")</f>
        <v/>
      </c>
      <c r="AB27" s="40" t="str">
        <f>IF(AB$4&lt;=PARAMETER!$X$2,SUMIF('2026'!$F:$F,$B27,'2026'!AA:AA)/PARAMETER!$T$3,"")</f>
        <v/>
      </c>
      <c r="AC27" s="40" t="str">
        <f>IF(AC$4&lt;=PARAMETER!$X$2,SUMIF('2026'!$F:$F,$B27,'2026'!AB:AB)/PARAMETER!$T$3,"")</f>
        <v/>
      </c>
      <c r="AD27" s="40" t="str">
        <f>IF(AD$4&lt;=PARAMETER!$X$2,SUMIF('2026'!$F:$F,$B27,'2026'!AC:AC)/PARAMETER!$T$3,"")</f>
        <v/>
      </c>
      <c r="AE27" s="40" t="str">
        <f>IF(AE$4&lt;=PARAMETER!$X$2,SUMIF('2026'!$F:$F,$B27,'2026'!AD:AD)/PARAMETER!$T$3,"")</f>
        <v/>
      </c>
      <c r="AF27" s="40" t="str">
        <f>IF(AF$4&lt;=PARAMETER!$X$2,SUMIF('2026'!$F:$F,$B27,'2026'!AE:AE)/PARAMETER!$T$3,"")</f>
        <v/>
      </c>
      <c r="AG27" s="40" t="str">
        <f>IF(AG$4&lt;=PARAMETER!$X$2,SUMIF('2026'!$F:$F,$B27,'2026'!AF:AF)/PARAMETER!$T$3,"")</f>
        <v/>
      </c>
      <c r="AH27" s="40" t="str">
        <f>IF(AH$4&lt;=PARAMETER!$X$2,SUMIF('2026'!$F:$F,$B27,'2026'!AG:AG)/PARAMETER!$T$3,"")</f>
        <v/>
      </c>
      <c r="AI27" s="40" t="str">
        <f>IF(AI$4&lt;=PARAMETER!$X$2,SUMIF('2026'!$F:$F,$B27,'2026'!AH:AH)/PARAMETER!$T$3,"")</f>
        <v/>
      </c>
      <c r="AJ27" s="40" t="str">
        <f>IF(AJ$4&lt;=PARAMETER!$X$2,SUMIF('2026'!$F:$F,$B27,'2026'!AI:AI)/PARAMETER!$T$3,"")</f>
        <v/>
      </c>
      <c r="AK27" s="40" t="str">
        <f>IF(AK$4&lt;=PARAMETER!$X$2,SUMIF('2026'!$F:$F,$B27,'2026'!AJ:AJ)/PARAMETER!$T$3,"")</f>
        <v/>
      </c>
      <c r="AL27" s="40" t="str">
        <f>IF(AL$4&lt;=PARAMETER!$X$2,SUMIF('2026'!$F:$F,$B27,'2026'!AK:AK)/PARAMETER!$T$3,"")</f>
        <v/>
      </c>
      <c r="AM27" s="40" t="str">
        <f>IF(AM$4&lt;=PARAMETER!$X$2,SUMIF('2026'!$F:$F,$B27,'2026'!AL:AL)/PARAMETER!$T$3,"")</f>
        <v/>
      </c>
      <c r="AN27" s="40" t="str">
        <f>IF(AN$4&lt;=PARAMETER!$X$2,SUMIF('2026'!$F:$F,$B27,'2026'!AM:AM)/PARAMETER!$T$3,"")</f>
        <v/>
      </c>
      <c r="AO27" s="40" t="str">
        <f>IF(AO$4&lt;=PARAMETER!$X$2,SUMIF('2026'!$F:$F,$B27,'2026'!AN:AN)/PARAMETER!$T$3,"")</f>
        <v/>
      </c>
      <c r="AP27" s="40" t="str">
        <f>IF(AP$4&lt;=PARAMETER!$X$2,SUMIF('2026'!$F:$F,$B27,'2026'!AO:AO)/PARAMETER!$T$3,"")</f>
        <v/>
      </c>
      <c r="AQ27" s="40" t="str">
        <f>IF(AQ$4&lt;=PARAMETER!$X$2,SUMIF('2026'!$F:$F,$B27,'2026'!AP:AP)/PARAMETER!$T$3,"")</f>
        <v/>
      </c>
      <c r="AR27" s="40" t="str">
        <f>IF(AR$4&lt;=PARAMETER!$X$2,SUMIF('2026'!$F:$F,$B27,'2026'!AQ:AQ)/PARAMETER!$T$3,"")</f>
        <v/>
      </c>
      <c r="AS27" s="40" t="str">
        <f>IF(AS$4&lt;=PARAMETER!$X$2,SUMIF('2026'!$F:$F,$B27,'2026'!AR:AR)/PARAMETER!$T$3,"")</f>
        <v/>
      </c>
      <c r="AT27" s="40" t="str">
        <f>IF(AT$4&lt;=PARAMETER!$X$2,SUMIF('2026'!$F:$F,$B27,'2026'!AS:AS)/PARAMETER!$T$3,"")</f>
        <v/>
      </c>
      <c r="AU27" s="40" t="str">
        <f>IF(AU$4&lt;=PARAMETER!$X$2,SUMIF('2026'!$F:$F,$B27,'2026'!AT:AT)/PARAMETER!$T$3,"")</f>
        <v/>
      </c>
      <c r="AV27" s="40" t="str">
        <f>IF(AV$4&lt;=PARAMETER!$X$2,SUMIF('2026'!$F:$F,$B27,'2026'!AU:AU)/PARAMETER!$T$3,"")</f>
        <v/>
      </c>
      <c r="AW27" s="40" t="str">
        <f>IF(AW$4&lt;=PARAMETER!$X$2,SUMIF('2026'!$F:$F,$B27,'2026'!AV:AV)/PARAMETER!$T$3,"")</f>
        <v/>
      </c>
      <c r="AX27" s="40" t="str">
        <f>IF(AX$4&lt;=PARAMETER!$X$2,SUMIF('2026'!$F:$F,$B27,'2026'!AW:AW)/PARAMETER!$T$3,"")</f>
        <v/>
      </c>
      <c r="AY27" s="40" t="str">
        <f>IF(AY$4&lt;=PARAMETER!$X$2,SUMIF('2026'!$F:$F,$B27,'2026'!AX:AX)/PARAMETER!$T$3,"")</f>
        <v/>
      </c>
      <c r="AZ27" s="40" t="str">
        <f>IF(AZ$4&lt;=PARAMETER!$X$2,SUMIF('2026'!$F:$F,$B27,'2026'!AY:AY)/PARAMETER!$T$3,"")</f>
        <v/>
      </c>
      <c r="BA27" s="40" t="str">
        <f>IF(BA$4&lt;=PARAMETER!$X$2,SUMIF('2026'!$F:$F,$B27,'2026'!AZ:AZ)/PARAMETER!$T$3,"")</f>
        <v/>
      </c>
      <c r="BB27" s="40" t="str">
        <f>IF(BB$4&lt;=PARAMETER!$X$2,SUMIF('2026'!$F:$F,$B27,'2026'!BA:BA)/PARAMETER!$T$3,"")</f>
        <v/>
      </c>
      <c r="BC27" s="40" t="str">
        <f>IF(BC$4&lt;=PARAMETER!$X$2,SUMIF('2026'!$F:$F,$B27,'2026'!BB:BB)/PARAMETER!$T$3,"")</f>
        <v/>
      </c>
      <c r="BD27" s="40" t="str">
        <f>IF(BD$4&lt;=PARAMETER!$X$2,SUMIF('2026'!$F:$F,$B27,'2026'!BC:BC)/PARAMETER!$T$3,"")</f>
        <v/>
      </c>
      <c r="BE27" s="40" t="str">
        <f>IF(BE$4&lt;=PARAMETER!$X$2,SUMIF('2026'!$F:$F,$B27,'2026'!BD:BD)/PARAMETER!$T$3,"")</f>
        <v/>
      </c>
      <c r="BF27" s="40" t="str">
        <f>IF(BF$4&lt;=PARAMETER!$X$2,SUMIF('2026'!$F:$F,$B27,'2026'!BE:BE)/PARAMETER!$T$3,"")</f>
        <v/>
      </c>
      <c r="BG27" s="40" t="str">
        <f>IF(BG$4&lt;=PARAMETER!$X$2,SUMIF('2026'!$F:$F,$B27,'2026'!BF:BF)/PARAMETER!$T$3,"")</f>
        <v/>
      </c>
      <c r="BH27" s="40" t="str">
        <f>IF(BH$4&lt;=PARAMETER!$X$2,SUMIF('2026'!$F:$F,$B27,'2026'!BG:BG)/PARAMETER!$T$3,"")</f>
        <v/>
      </c>
      <c r="BI27" s="40" t="str">
        <f>IF(BI$4&lt;=PARAMETER!$X$2,SUMIF('2026'!$F:$F,$B27,'2026'!BH:BH)/PARAMETER!$T$3,"")</f>
        <v/>
      </c>
      <c r="BJ27" s="40" t="str">
        <f>IF(BJ$4&lt;=PARAMETER!$X$2,SUMIF('2026'!$F:$F,$B27,'2026'!BI:BI)/PARAMETER!$T$3,"")</f>
        <v/>
      </c>
    </row>
    <row r="28" spans="1:62" x14ac:dyDescent="0.25">
      <c r="A28">
        <f t="shared" si="27"/>
        <v>4</v>
      </c>
      <c r="B28" s="78" t="str">
        <f>CONCATENATE(C28,PARAMETER!T$2)</f>
        <v>KCICVOL</v>
      </c>
      <c r="C28" s="26" t="str">
        <f t="shared" si="28"/>
        <v>KCIC</v>
      </c>
      <c r="D28" s="27" t="s">
        <v>128</v>
      </c>
      <c r="E28" s="35">
        <f t="shared" si="29"/>
        <v>0.76430311939907769</v>
      </c>
      <c r="F28" s="28">
        <f t="shared" si="26"/>
        <v>0.76430311939907769</v>
      </c>
      <c r="G28" s="39">
        <f t="shared" si="20"/>
        <v>2025</v>
      </c>
      <c r="H28" s="40">
        <f>IF(H$4&lt;=PARAMETER!$X$2,SUMIF('2025'!$F:$F,$B28,'2025'!G:G)/PARAMETER!$T$3,"")</f>
        <v>27322.724008000001</v>
      </c>
      <c r="I28" s="40">
        <f>IF(I$4&lt;=PARAMETER!$X$2,SUMIF('2025'!$F:$F,$B28,'2025'!H:H)/PARAMETER!$T$3,"")</f>
        <v>4380.5</v>
      </c>
      <c r="J28" s="40">
        <f>IF(J$4&lt;=PARAMETER!$X$2,SUMIF('2025'!$F:$F,$B28,'2025'!I:I)/PARAMETER!$T$3,"")</f>
        <v>330.17500000000001</v>
      </c>
      <c r="K28" s="40">
        <f>IF(K$4&lt;=PARAMETER!$X$2,SUMIF('2025'!$F:$F,$B28,'2025'!J:J)/PARAMETER!$T$3,"")</f>
        <v>336.125</v>
      </c>
      <c r="L28" s="40">
        <f>IF(L$4&lt;=PARAMETER!$X$2,SUMIF('2025'!$F:$F,$B28,'2025'!K:K)/PARAMETER!$T$3,"")</f>
        <v>464</v>
      </c>
      <c r="M28" s="40">
        <f>IF(M$4&lt;=PARAMETER!$X$2,SUMIF('2025'!$F:$F,$B28,'2025'!L:L)/PARAMETER!$T$3,"")</f>
        <v>434.47500000000002</v>
      </c>
      <c r="N28" s="40">
        <f>IF(N$4&lt;=PARAMETER!$X$2,SUMIF('2025'!$F:$F,$B28,'2025'!M:M)/PARAMETER!$T$3,"")</f>
        <v>445.75</v>
      </c>
      <c r="O28" s="40">
        <f>IF(O$4&lt;=PARAMETER!$X$2,SUMIF('2025'!$F:$F,$B28,'2025'!N:N)/PARAMETER!$T$3,"")</f>
        <v>545.07500000000005</v>
      </c>
      <c r="P28" s="40">
        <f>IF(P$4&lt;=PARAMETER!$X$2,SUMIF('2025'!$F:$F,$B28,'2025'!O:O)/PARAMETER!$T$3,"")</f>
        <v>526.79999999999995</v>
      </c>
      <c r="Q28" s="40">
        <f>IF(Q$4&lt;=PARAMETER!$X$2,SUMIF('2025'!$F:$F,$B28,'2025'!P:P)/PARAMETER!$T$3,"")</f>
        <v>427.35</v>
      </c>
      <c r="R28" s="40">
        <f>IF(R$4&lt;=PARAMETER!$X$2,SUMIF('2025'!$F:$F,$B28,'2025'!Q:Q)/PARAMETER!$T$3,"")</f>
        <v>279.52499999999998</v>
      </c>
      <c r="S28" s="40">
        <f>IF(S$4&lt;=PARAMETER!$X$2,SUMIF('2025'!$F:$F,$B28,'2025'!R:R)/PARAMETER!$T$3,"")</f>
        <v>296.5</v>
      </c>
      <c r="T28" s="40">
        <f>IF(T$4&lt;=PARAMETER!$X$2,SUMIF('2025'!$F:$F,$B28,'2025'!S:S)/PARAMETER!$T$3,"")</f>
        <v>294.72500000000002</v>
      </c>
      <c r="U28" s="40" t="str">
        <f>IF(U$4&lt;=PARAMETER!$X$2,SUMIF('2025'!$F:$F,$B28,'2025'!T:T)/PARAMETER!$T$3,"")</f>
        <v/>
      </c>
      <c r="V28" s="40" t="str">
        <f>IF(V$4&lt;=PARAMETER!$X$2,SUMIF('2025'!$F:$F,$B28,'2025'!U:U)/PARAMETER!$T$3,"")</f>
        <v/>
      </c>
      <c r="W28" s="40" t="str">
        <f>IF(W$4&lt;=PARAMETER!$X$2,SUMIF('2025'!$F:$F,$B28,'2025'!V:V)/PARAMETER!$T$3,"")</f>
        <v/>
      </c>
      <c r="X28" s="40" t="str">
        <f>IF(X$4&lt;=PARAMETER!$X$2,SUMIF('2025'!$F:$F,$B28,'2025'!W:W)/PARAMETER!$T$3,"")</f>
        <v/>
      </c>
      <c r="Y28" s="40" t="str">
        <f>IF(Y$4&lt;=PARAMETER!$X$2,SUMIF('2025'!$F:$F,$B28,'2025'!X:X)/PARAMETER!$T$3,"")</f>
        <v/>
      </c>
      <c r="Z28" s="40" t="str">
        <f>IF(Z$4&lt;=PARAMETER!$X$2,SUMIF('2025'!$F:$F,$B28,'2025'!Y:Y)/PARAMETER!$T$3,"")</f>
        <v/>
      </c>
      <c r="AA28" s="40" t="str">
        <f>IF(AA$4&lt;=PARAMETER!$X$2,SUMIF('2025'!$F:$F,$B28,'2025'!Z:Z)/PARAMETER!$T$3,"")</f>
        <v/>
      </c>
      <c r="AB28" s="40" t="str">
        <f>IF(AB$4&lt;=PARAMETER!$X$2,SUMIF('2025'!$F:$F,$B28,'2025'!AA:AA)/PARAMETER!$T$3,"")</f>
        <v/>
      </c>
      <c r="AC28" s="40" t="str">
        <f>IF(AC$4&lt;=PARAMETER!$X$2,SUMIF('2025'!$F:$F,$B28,'2025'!AB:AB)/PARAMETER!$T$3,"")</f>
        <v/>
      </c>
      <c r="AD28" s="40" t="str">
        <f>IF(AD$4&lt;=PARAMETER!$X$2,SUMIF('2025'!$F:$F,$B28,'2025'!AC:AC)/PARAMETER!$T$3,"")</f>
        <v/>
      </c>
      <c r="AE28" s="40" t="str">
        <f>IF(AE$4&lt;=PARAMETER!$X$2,SUMIF('2025'!$F:$F,$B28,'2025'!AD:AD)/PARAMETER!$T$3,"")</f>
        <v/>
      </c>
      <c r="AF28" s="40" t="str">
        <f>IF(AF$4&lt;=PARAMETER!$X$2,SUMIF('2025'!$F:$F,$B28,'2025'!AE:AE)/PARAMETER!$T$3,"")</f>
        <v/>
      </c>
      <c r="AG28" s="40" t="str">
        <f>IF(AG$4&lt;=PARAMETER!$X$2,SUMIF('2025'!$F:$F,$B28,'2025'!AF:AF)/PARAMETER!$T$3,"")</f>
        <v/>
      </c>
      <c r="AH28" s="40" t="str">
        <f>IF(AH$4&lt;=PARAMETER!$X$2,SUMIF('2025'!$F:$F,$B28,'2025'!AG:AG)/PARAMETER!$T$3,"")</f>
        <v/>
      </c>
      <c r="AI28" s="40" t="str">
        <f>IF(AI$4&lt;=PARAMETER!$X$2,SUMIF('2025'!$F:$F,$B28,'2025'!AH:AH)/PARAMETER!$T$3,"")</f>
        <v/>
      </c>
      <c r="AJ28" s="40" t="str">
        <f>IF(AJ$4&lt;=PARAMETER!$X$2,SUMIF('2025'!$F:$F,$B28,'2025'!AI:AI)/PARAMETER!$T$3,"")</f>
        <v/>
      </c>
      <c r="AK28" s="40" t="str">
        <f>IF(AK$4&lt;=PARAMETER!$X$2,SUMIF('2025'!$F:$F,$B28,'2025'!AJ:AJ)/PARAMETER!$T$3,"")</f>
        <v/>
      </c>
      <c r="AL28" s="40" t="str">
        <f>IF(AL$4&lt;=PARAMETER!$X$2,SUMIF('2025'!$F:$F,$B28,'2025'!AK:AK)/PARAMETER!$T$3,"")</f>
        <v/>
      </c>
      <c r="AM28" s="40" t="str">
        <f>IF(AM$4&lt;=PARAMETER!$X$2,SUMIF('2025'!$F:$F,$B28,'2025'!AL:AL)/PARAMETER!$T$3,"")</f>
        <v/>
      </c>
      <c r="AN28" s="40" t="str">
        <f>IF(AN$4&lt;=PARAMETER!$X$2,SUMIF('2025'!$F:$F,$B28,'2025'!AM:AM)/PARAMETER!$T$3,"")</f>
        <v/>
      </c>
      <c r="AO28" s="40" t="str">
        <f>IF(AO$4&lt;=PARAMETER!$X$2,SUMIF('2025'!$F:$F,$B28,'2025'!AN:AN)/PARAMETER!$T$3,"")</f>
        <v/>
      </c>
      <c r="AP28" s="40" t="str">
        <f>IF(AP$4&lt;=PARAMETER!$X$2,SUMIF('2025'!$F:$F,$B28,'2025'!AO:AO)/PARAMETER!$T$3,"")</f>
        <v/>
      </c>
      <c r="AQ28" s="40" t="str">
        <f>IF(AQ$4&lt;=PARAMETER!$X$2,SUMIF('2025'!$F:$F,$B28,'2025'!AP:AP)/PARAMETER!$T$3,"")</f>
        <v/>
      </c>
      <c r="AR28" s="40" t="str">
        <f>IF(AR$4&lt;=PARAMETER!$X$2,SUMIF('2025'!$F:$F,$B28,'2025'!AQ:AQ)/PARAMETER!$T$3,"")</f>
        <v/>
      </c>
      <c r="AS28" s="40" t="str">
        <f>IF(AS$4&lt;=PARAMETER!$X$2,SUMIF('2025'!$F:$F,$B28,'2025'!AR:AR)/PARAMETER!$T$3,"")</f>
        <v/>
      </c>
      <c r="AT28" s="40" t="str">
        <f>IF(AT$4&lt;=PARAMETER!$X$2,SUMIF('2025'!$F:$F,$B28,'2025'!AS:AS)/PARAMETER!$T$3,"")</f>
        <v/>
      </c>
      <c r="AU28" s="40" t="str">
        <f>IF(AU$4&lt;=PARAMETER!$X$2,SUMIF('2025'!$F:$F,$B28,'2025'!AT:AT)/PARAMETER!$T$3,"")</f>
        <v/>
      </c>
      <c r="AV28" s="40" t="str">
        <f>IF(AV$4&lt;=PARAMETER!$X$2,SUMIF('2025'!$F:$F,$B28,'2025'!AU:AU)/PARAMETER!$T$3,"")</f>
        <v/>
      </c>
      <c r="AW28" s="40" t="str">
        <f>IF(AW$4&lt;=PARAMETER!$X$2,SUMIF('2025'!$F:$F,$B28,'2025'!AV:AV)/PARAMETER!$T$3,"")</f>
        <v/>
      </c>
      <c r="AX28" s="40" t="str">
        <f>IF(AX$4&lt;=PARAMETER!$X$2,SUMIF('2025'!$F:$F,$B28,'2025'!AW:AW)/PARAMETER!$T$3,"")</f>
        <v/>
      </c>
      <c r="AY28" s="40" t="str">
        <f>IF(AY$4&lt;=PARAMETER!$X$2,SUMIF('2025'!$F:$F,$B28,'2025'!AX:AX)/PARAMETER!$T$3,"")</f>
        <v/>
      </c>
      <c r="AZ28" s="40" t="str">
        <f>IF(AZ$4&lt;=PARAMETER!$X$2,SUMIF('2025'!$F:$F,$B28,'2025'!AY:AY)/PARAMETER!$T$3,"")</f>
        <v/>
      </c>
      <c r="BA28" s="40" t="str">
        <f>IF(BA$4&lt;=PARAMETER!$X$2,SUMIF('2025'!$F:$F,$B28,'2025'!AZ:AZ)/PARAMETER!$T$3,"")</f>
        <v/>
      </c>
      <c r="BB28" s="40" t="str">
        <f>IF(BB$4&lt;=PARAMETER!$X$2,SUMIF('2025'!$F:$F,$B28,'2025'!BA:BA)/PARAMETER!$T$3,"")</f>
        <v/>
      </c>
      <c r="BC28" s="40" t="str">
        <f>IF(BC$4&lt;=PARAMETER!$X$2,SUMIF('2025'!$F:$F,$B28,'2025'!BB:BB)/PARAMETER!$T$3,"")</f>
        <v/>
      </c>
      <c r="BD28" s="40" t="str">
        <f>IF(BD$4&lt;=PARAMETER!$X$2,SUMIF('2025'!$F:$F,$B28,'2025'!BC:BC)/PARAMETER!$T$3,"")</f>
        <v/>
      </c>
      <c r="BE28" s="40" t="str">
        <f>IF(BE$4&lt;=PARAMETER!$X$2,SUMIF('2025'!$F:$F,$B28,'2025'!BD:BD)/PARAMETER!$T$3,"")</f>
        <v/>
      </c>
      <c r="BF28" s="40" t="str">
        <f>IF(BF$4&lt;=PARAMETER!$X$2,SUMIF('2025'!$F:$F,$B28,'2025'!BE:BE)/PARAMETER!$T$3,"")</f>
        <v/>
      </c>
      <c r="BG28" s="40" t="str">
        <f>IF(BG$4&lt;=PARAMETER!$X$2,SUMIF('2025'!$F:$F,$B28,'2025'!BF:BF)/PARAMETER!$T$3,"")</f>
        <v/>
      </c>
      <c r="BH28" s="40" t="str">
        <f>IF(BH$4&lt;=PARAMETER!$X$2,SUMIF('2025'!$F:$F,$B28,'2025'!BG:BG)/PARAMETER!$T$3,"")</f>
        <v/>
      </c>
      <c r="BI28" s="40" t="str">
        <f>IF(BI$4&lt;=PARAMETER!$X$2,SUMIF('2025'!$F:$F,$B28,'2025'!BH:BH)/PARAMETER!$T$3,"")</f>
        <v/>
      </c>
      <c r="BJ28" s="40" t="str">
        <f>IF(BJ$4&lt;=PARAMETER!$X$2,SUMIF('2025'!$F:$F,$B28,'2025'!BI:BI)/PARAMETER!$T$3,"")</f>
        <v/>
      </c>
    </row>
    <row r="29" spans="1:62" x14ac:dyDescent="0.25">
      <c r="A29">
        <f t="shared" ref="A29" si="30">A27</f>
        <v>4</v>
      </c>
      <c r="B29" s="78" t="str">
        <f>CONCATENATE(C29,PARAMETER!T$2)</f>
        <v>KCICVOL</v>
      </c>
      <c r="C29" s="26" t="str">
        <f t="shared" si="28"/>
        <v>KCIC</v>
      </c>
      <c r="D29" s="67"/>
      <c r="E29" s="68"/>
      <c r="F29" s="69"/>
      <c r="G29" s="70">
        <f t="shared" si="20"/>
        <v>2024</v>
      </c>
      <c r="H29" s="71">
        <f>IF(H$4&lt;=PARAMETER!$X$2,SUMIF('2024'!$F:$F,$B29,'2024'!G:G)/PARAMETER!$T$3,"")</f>
        <v>18287.320299999999</v>
      </c>
      <c r="I29" s="71">
        <f>IF(I$4&lt;=PARAMETER!$X$2,SUMIF('2024'!$F:$F,$B29,'2024'!H:H)/PARAMETER!$T$3,"")</f>
        <v>2482.85</v>
      </c>
      <c r="J29" s="71">
        <f>IF(J$4&lt;=PARAMETER!$X$2,SUMIF('2024'!$F:$F,$B29,'2024'!I:I)/PARAMETER!$T$3,"")</f>
        <v>185.6</v>
      </c>
      <c r="K29" s="71">
        <f>IF(K$4&lt;=PARAMETER!$X$2,SUMIF('2024'!$F:$F,$B29,'2024'!J:J)/PARAMETER!$T$3,"")</f>
        <v>173.95</v>
      </c>
      <c r="L29" s="71">
        <f>IF(L$4&lt;=PARAMETER!$X$2,SUMIF('2024'!$F:$F,$B29,'2024'!K:K)/PARAMETER!$T$3,"")</f>
        <v>157.69999999999999</v>
      </c>
      <c r="M29" s="71">
        <f>IF(M$4&lt;=PARAMETER!$X$2,SUMIF('2024'!$F:$F,$B29,'2024'!L:L)/PARAMETER!$T$3,"")</f>
        <v>188.45</v>
      </c>
      <c r="N29" s="71">
        <f>IF(N$4&lt;=PARAMETER!$X$2,SUMIF('2024'!$F:$F,$B29,'2024'!M:M)/PARAMETER!$T$3,"")</f>
        <v>364.625</v>
      </c>
      <c r="O29" s="71">
        <f>IF(O$4&lt;=PARAMETER!$X$2,SUMIF('2024'!$F:$F,$B29,'2024'!N:N)/PARAMETER!$T$3,"")</f>
        <v>204.2</v>
      </c>
      <c r="P29" s="71">
        <f>IF(P$4&lt;=PARAMETER!$X$2,SUMIF('2024'!$F:$F,$B29,'2024'!O:O)/PARAMETER!$T$3,"")</f>
        <v>242.3</v>
      </c>
      <c r="Q29" s="71">
        <f>IF(Q$4&lt;=PARAMETER!$X$2,SUMIF('2024'!$F:$F,$B29,'2024'!P:P)/PARAMETER!$T$3,"")</f>
        <v>242.02500000000001</v>
      </c>
      <c r="R29" s="71">
        <f>IF(R$4&lt;=PARAMETER!$X$2,SUMIF('2024'!$F:$F,$B29,'2024'!Q:Q)/PARAMETER!$T$3,"")</f>
        <v>311.27499999999998</v>
      </c>
      <c r="S29" s="71">
        <f>IF(S$4&lt;=PARAMETER!$X$2,SUMIF('2024'!$F:$F,$B29,'2024'!R:R)/PARAMETER!$T$3,"")</f>
        <v>266.67500000000001</v>
      </c>
      <c r="T29" s="71">
        <f>IF(T$4&lt;=PARAMETER!$X$2,SUMIF('2024'!$F:$F,$B29,'2024'!S:S)/PARAMETER!$T$3,"")</f>
        <v>146.05000000000001</v>
      </c>
      <c r="U29" s="71" t="str">
        <f>IF(U$4&lt;=PARAMETER!$X$2,SUMIF('2024'!$F:$F,$B29,'2024'!T:T)/PARAMETER!$T$3,"")</f>
        <v/>
      </c>
      <c r="V29" s="71" t="str">
        <f>IF(V$4&lt;=PARAMETER!$X$2,SUMIF('2024'!$F:$F,$B29,'2024'!U:U)/PARAMETER!$T$3,"")</f>
        <v/>
      </c>
      <c r="W29" s="71" t="str">
        <f>IF(W$4&lt;=PARAMETER!$X$2,SUMIF('2024'!$F:$F,$B29,'2024'!V:V)/PARAMETER!$T$3,"")</f>
        <v/>
      </c>
      <c r="X29" s="71" t="str">
        <f>IF(X$4&lt;=PARAMETER!$X$2,SUMIF('2024'!$F:$F,$B29,'2024'!W:W)/PARAMETER!$T$3,"")</f>
        <v/>
      </c>
      <c r="Y29" s="71" t="str">
        <f>IF(Y$4&lt;=PARAMETER!$X$2,SUMIF('2024'!$F:$F,$B29,'2024'!X:X)/PARAMETER!$T$3,"")</f>
        <v/>
      </c>
      <c r="Z29" s="71" t="str">
        <f>IF(Z$4&lt;=PARAMETER!$X$2,SUMIF('2024'!$F:$F,$B29,'2024'!Y:Y)/PARAMETER!$T$3,"")</f>
        <v/>
      </c>
      <c r="AA29" s="71" t="str">
        <f>IF(AA$4&lt;=PARAMETER!$X$2,SUMIF('2024'!$F:$F,$B29,'2024'!Z:Z)/PARAMETER!$T$3,"")</f>
        <v/>
      </c>
      <c r="AB29" s="71" t="str">
        <f>IF(AB$4&lt;=PARAMETER!$X$2,SUMIF('2024'!$F:$F,$B29,'2024'!AA:AA)/PARAMETER!$T$3,"")</f>
        <v/>
      </c>
      <c r="AC29" s="71" t="str">
        <f>IF(AC$4&lt;=PARAMETER!$X$2,SUMIF('2024'!$F:$F,$B29,'2024'!AB:AB)/PARAMETER!$T$3,"")</f>
        <v/>
      </c>
      <c r="AD29" s="71" t="str">
        <f>IF(AD$4&lt;=PARAMETER!$X$2,SUMIF('2024'!$F:$F,$B29,'2024'!AC:AC)/PARAMETER!$T$3,"")</f>
        <v/>
      </c>
      <c r="AE29" s="71" t="str">
        <f>IF(AE$4&lt;=PARAMETER!$X$2,SUMIF('2024'!$F:$F,$B29,'2024'!AD:AD)/PARAMETER!$T$3,"")</f>
        <v/>
      </c>
      <c r="AF29" s="71" t="str">
        <f>IF(AF$4&lt;=PARAMETER!$X$2,SUMIF('2024'!$F:$F,$B29,'2024'!AE:AE)/PARAMETER!$T$3,"")</f>
        <v/>
      </c>
      <c r="AG29" s="71" t="str">
        <f>IF(AG$4&lt;=PARAMETER!$X$2,SUMIF('2024'!$F:$F,$B29,'2024'!AF:AF)/PARAMETER!$T$3,"")</f>
        <v/>
      </c>
      <c r="AH29" s="71" t="str">
        <f>IF(AH$4&lt;=PARAMETER!$X$2,SUMIF('2024'!$F:$F,$B29,'2024'!AG:AG)/PARAMETER!$T$3,"")</f>
        <v/>
      </c>
      <c r="AI29" s="71" t="str">
        <f>IF(AI$4&lt;=PARAMETER!$X$2,SUMIF('2024'!$F:$F,$B29,'2024'!AH:AH)/PARAMETER!$T$3,"")</f>
        <v/>
      </c>
      <c r="AJ29" s="71" t="str">
        <f>IF(AJ$4&lt;=PARAMETER!$X$2,SUMIF('2024'!$F:$F,$B29,'2024'!AI:AI)/PARAMETER!$T$3,"")</f>
        <v/>
      </c>
      <c r="AK29" s="71" t="str">
        <f>IF(AK$4&lt;=PARAMETER!$X$2,SUMIF('2024'!$F:$F,$B29,'2024'!AJ:AJ)/PARAMETER!$T$3,"")</f>
        <v/>
      </c>
      <c r="AL29" s="71" t="str">
        <f>IF(AL$4&lt;=PARAMETER!$X$2,SUMIF('2024'!$F:$F,$B29,'2024'!AK:AK)/PARAMETER!$T$3,"")</f>
        <v/>
      </c>
      <c r="AM29" s="71" t="str">
        <f>IF(AM$4&lt;=PARAMETER!$X$2,SUMIF('2024'!$F:$F,$B29,'2024'!AL:AL)/PARAMETER!$T$3,"")</f>
        <v/>
      </c>
      <c r="AN29" s="71" t="str">
        <f>IF(AN$4&lt;=PARAMETER!$X$2,SUMIF('2024'!$F:$F,$B29,'2024'!AM:AM)/PARAMETER!$T$3,"")</f>
        <v/>
      </c>
      <c r="AO29" s="71" t="str">
        <f>IF(AO$4&lt;=PARAMETER!$X$2,SUMIF('2024'!$F:$F,$B29,'2024'!AN:AN)/PARAMETER!$T$3,"")</f>
        <v/>
      </c>
      <c r="AP29" s="71" t="str">
        <f>IF(AP$4&lt;=PARAMETER!$X$2,SUMIF('2024'!$F:$F,$B29,'2024'!AO:AO)/PARAMETER!$T$3,"")</f>
        <v/>
      </c>
      <c r="AQ29" s="71" t="str">
        <f>IF(AQ$4&lt;=PARAMETER!$X$2,SUMIF('2024'!$F:$F,$B29,'2024'!AP:AP)/PARAMETER!$T$3,"")</f>
        <v/>
      </c>
      <c r="AR29" s="71" t="str">
        <f>IF(AR$4&lt;=PARAMETER!$X$2,SUMIF('2024'!$F:$F,$B29,'2024'!AQ:AQ)/PARAMETER!$T$3,"")</f>
        <v/>
      </c>
      <c r="AS29" s="71" t="str">
        <f>IF(AS$4&lt;=PARAMETER!$X$2,SUMIF('2024'!$F:$F,$B29,'2024'!AR:AR)/PARAMETER!$T$3,"")</f>
        <v/>
      </c>
      <c r="AT29" s="71" t="str">
        <f>IF(AT$4&lt;=PARAMETER!$X$2,SUMIF('2024'!$F:$F,$B29,'2024'!AS:AS)/PARAMETER!$T$3,"")</f>
        <v/>
      </c>
      <c r="AU29" s="71" t="str">
        <f>IF(AU$4&lt;=PARAMETER!$X$2,SUMIF('2024'!$F:$F,$B29,'2024'!AT:AT)/PARAMETER!$T$3,"")</f>
        <v/>
      </c>
      <c r="AV29" s="71" t="str">
        <f>IF(AV$4&lt;=PARAMETER!$X$2,SUMIF('2024'!$F:$F,$B29,'2024'!AU:AU)/PARAMETER!$T$3,"")</f>
        <v/>
      </c>
      <c r="AW29" s="71" t="str">
        <f>IF(AW$4&lt;=PARAMETER!$X$2,SUMIF('2024'!$F:$F,$B29,'2024'!AV:AV)/PARAMETER!$T$3,"")</f>
        <v/>
      </c>
      <c r="AX29" s="71" t="str">
        <f>IF(AX$4&lt;=PARAMETER!$X$2,SUMIF('2024'!$F:$F,$B29,'2024'!AW:AW)/PARAMETER!$T$3,"")</f>
        <v/>
      </c>
      <c r="AY29" s="71" t="str">
        <f>IF(AY$4&lt;=PARAMETER!$X$2,SUMIF('2024'!$F:$F,$B29,'2024'!AX:AX)/PARAMETER!$T$3,"")</f>
        <v/>
      </c>
      <c r="AZ29" s="71" t="str">
        <f>IF(AZ$4&lt;=PARAMETER!$X$2,SUMIF('2024'!$F:$F,$B29,'2024'!AY:AY)/PARAMETER!$T$3,"")</f>
        <v/>
      </c>
      <c r="BA29" s="71" t="str">
        <f>IF(BA$4&lt;=PARAMETER!$X$2,SUMIF('2024'!$F:$F,$B29,'2024'!AZ:AZ)/PARAMETER!$T$3,"")</f>
        <v/>
      </c>
      <c r="BB29" s="71" t="str">
        <f>IF(BB$4&lt;=PARAMETER!$X$2,SUMIF('2024'!$F:$F,$B29,'2024'!BA:BA)/PARAMETER!$T$3,"")</f>
        <v/>
      </c>
      <c r="BC29" s="71" t="str">
        <f>IF(BC$4&lt;=PARAMETER!$X$2,SUMIF('2024'!$F:$F,$B29,'2024'!BB:BB)/PARAMETER!$T$3,"")</f>
        <v/>
      </c>
      <c r="BD29" s="71" t="str">
        <f>IF(BD$4&lt;=PARAMETER!$X$2,SUMIF('2024'!$F:$F,$B29,'2024'!BC:BC)/PARAMETER!$T$3,"")</f>
        <v/>
      </c>
      <c r="BE29" s="71" t="str">
        <f>IF(BE$4&lt;=PARAMETER!$X$2,SUMIF('2024'!$F:$F,$B29,'2024'!BD:BD)/PARAMETER!$T$3,"")</f>
        <v/>
      </c>
      <c r="BF29" s="71" t="str">
        <f>IF(BF$4&lt;=PARAMETER!$X$2,SUMIF('2024'!$F:$F,$B29,'2024'!BE:BE)/PARAMETER!$T$3,"")</f>
        <v/>
      </c>
      <c r="BG29" s="71" t="str">
        <f>IF(BG$4&lt;=PARAMETER!$X$2,SUMIF('2024'!$F:$F,$B29,'2024'!BF:BF)/PARAMETER!$T$3,"")</f>
        <v/>
      </c>
      <c r="BH29" s="71" t="str">
        <f>IF(BH$4&lt;=PARAMETER!$X$2,SUMIF('2024'!$F:$F,$B29,'2024'!BG:BG)/PARAMETER!$T$3,"")</f>
        <v/>
      </c>
      <c r="BI29" s="71" t="str">
        <f>IF(BI$4&lt;=PARAMETER!$X$2,SUMIF('2024'!$F:$F,$B29,'2024'!BH:BH)/PARAMETER!$T$3,"")</f>
        <v/>
      </c>
      <c r="BJ29" s="71" t="str">
        <f>IF(BJ$4&lt;=PARAMETER!$X$2,SUMIF('2024'!$F:$F,$B29,'2024'!BI:BI)/PARAMETER!$T$3,"")</f>
        <v/>
      </c>
    </row>
    <row r="30" spans="1:62" x14ac:dyDescent="0.25">
      <c r="A30">
        <v>5</v>
      </c>
      <c r="B30" s="78" t="str">
        <f>CONCATENATE(C30,PARAMETER!T$2)</f>
        <v>OPTIK MELAWAIVOL</v>
      </c>
      <c r="C30" s="21" t="str">
        <f>IFERROR(VLOOKUP(A30,PARAMETER!K$2:M38,3,0),"")</f>
        <v>OPTIK MELAWAI</v>
      </c>
      <c r="D30" s="22" t="s">
        <v>127</v>
      </c>
      <c r="E30" s="37">
        <f t="shared" ref="E30" si="31">IFERROR(I31/I30,"")</f>
        <v>0.16394352970797416</v>
      </c>
      <c r="F30" s="23">
        <f t="shared" ref="F30:F32" si="32">IFERROR(IF(E30&gt;300%,300%,E30),"")</f>
        <v>0.16394352970797416</v>
      </c>
      <c r="G30" s="24" t="str">
        <f t="shared" si="20"/>
        <v>Target</v>
      </c>
      <c r="H30" s="25">
        <f>IF(H$4&lt;=PARAMETER!$X$2,SUMIF('2026 T'!$F:$F,$B30,'2026 T'!G:G)/PARAMETER!$T$3,"")</f>
        <v>8200</v>
      </c>
      <c r="I30" s="25">
        <f>IF(I$4&lt;=PARAMETER!$X$2,SUMIF('2026 T'!$F:$F,$B30,'2026 T'!H:H)/PARAMETER!$T$3,"")</f>
        <v>5937.7518694026958</v>
      </c>
      <c r="J30" s="25">
        <f>IF(J$4&lt;=PARAMETER!$X$2,SUMIF('2026 T'!$F:$F,$B30,'2026 T'!I:I)/PARAMETER!$T$3,"")</f>
        <v>1063.00427431195</v>
      </c>
      <c r="K30" s="25">
        <f>IF(K$4&lt;=PARAMETER!$X$2,SUMIF('2026 T'!$F:$F,$B30,'2026 T'!J:J)/PARAMETER!$T$3,"")</f>
        <v>1042.7516781397701</v>
      </c>
      <c r="L30" s="25">
        <f>IF(L$4&lt;=PARAMETER!$X$2,SUMIF('2026 T'!$F:$F,$B30,'2026 T'!K:K)/PARAMETER!$T$3,"")</f>
        <v>954.21964799284399</v>
      </c>
      <c r="M30" s="25">
        <f>IF(M$4&lt;=PARAMETER!$X$2,SUMIF('2026 T'!$F:$F,$B30,'2026 T'!L:L)/PARAMETER!$T$3,"")</f>
        <v>1196.5661011188699</v>
      </c>
      <c r="N30" s="25">
        <f>IF(N$4&lt;=PARAMETER!$X$2,SUMIF('2026 T'!$F:$F,$B30,'2026 T'!M:M)/PARAMETER!$T$3,"")</f>
        <v>736.95615809612298</v>
      </c>
      <c r="O30" s="25">
        <f>IF(O$4&lt;=PARAMETER!$X$2,SUMIF('2026 T'!$F:$F,$B30,'2026 T'!N:N)/PARAMETER!$T$3,"")</f>
        <v>187.36551451661597</v>
      </c>
      <c r="P30" s="25">
        <f>IF(P$4&lt;=PARAMETER!$X$2,SUMIF('2026 T'!$F:$F,$B30,'2026 T'!O:O)/PARAMETER!$T$3,"")</f>
        <v>243.16531075439599</v>
      </c>
      <c r="Q30" s="25">
        <f>IF(Q$4&lt;=PARAMETER!$X$2,SUMIF('2026 T'!$F:$F,$B30,'2026 T'!P:P)/PARAMETER!$T$3,"")</f>
        <v>249.82102273040499</v>
      </c>
      <c r="R30" s="25">
        <f>IF(R$4&lt;=PARAMETER!$X$2,SUMIF('2026 T'!$F:$F,$B30,'2026 T'!Q:Q)/PARAMETER!$T$3,"")</f>
        <v>263.90216174172201</v>
      </c>
      <c r="S30" s="25">
        <f>IF(S$4&lt;=PARAMETER!$X$2,SUMIF('2026 T'!$F:$F,$B30,'2026 T'!R:R)/PARAMETER!$T$3,"")</f>
        <v>223.10726359889199</v>
      </c>
      <c r="T30" s="25">
        <f>IF(T$4&lt;=PARAMETER!$X$2,SUMIF('2026 T'!$F:$F,$B30,'2026 T'!S:S)/PARAMETER!$T$3,"")</f>
        <v>38.946874913187699</v>
      </c>
      <c r="U30" s="25" t="str">
        <f>IF(U$4&lt;=PARAMETER!$X$2,SUMIF('2026 T'!$F:$F,$B30,'2026 T'!T:T)/PARAMETER!$T$3,"")</f>
        <v/>
      </c>
      <c r="V30" s="25" t="str">
        <f>IF(V$4&lt;=PARAMETER!$X$2,SUMIF('2026 T'!$F:$F,$B30,'2026 T'!U:U)/PARAMETER!$T$3,"")</f>
        <v/>
      </c>
      <c r="W30" s="25" t="str">
        <f>IF(W$4&lt;=PARAMETER!$X$2,SUMIF('2026 T'!$F:$F,$B30,'2026 T'!V:V)/PARAMETER!$T$3,"")</f>
        <v/>
      </c>
      <c r="X30" s="25" t="str">
        <f>IF(X$4&lt;=PARAMETER!$X$2,SUMIF('2026 T'!$F:$F,$B30,'2026 T'!W:W)/PARAMETER!$T$3,"")</f>
        <v/>
      </c>
      <c r="Y30" s="25" t="str">
        <f>IF(Y$4&lt;=PARAMETER!$X$2,SUMIF('2026 T'!$F:$F,$B30,'2026 T'!X:X)/PARAMETER!$T$3,"")</f>
        <v/>
      </c>
      <c r="Z30" s="25" t="str">
        <f>IF(Z$4&lt;=PARAMETER!$X$2,SUMIF('2026 T'!$F:$F,$B30,'2026 T'!Y:Y)/PARAMETER!$T$3,"")</f>
        <v/>
      </c>
      <c r="AA30" s="25" t="str">
        <f>IF(AA$4&lt;=PARAMETER!$X$2,SUMIF('2026 T'!$F:$F,$B30,'2026 T'!Z:Z)/PARAMETER!$T$3,"")</f>
        <v/>
      </c>
      <c r="AB30" s="25" t="str">
        <f>IF(AB$4&lt;=PARAMETER!$X$2,SUMIF('2026 T'!$F:$F,$B30,'2026 T'!AA:AA)/PARAMETER!$T$3,"")</f>
        <v/>
      </c>
      <c r="AC30" s="25" t="str">
        <f>IF(AC$4&lt;=PARAMETER!$X$2,SUMIF('2026 T'!$F:$F,$B30,'2026 T'!AB:AB)/PARAMETER!$T$3,"")</f>
        <v/>
      </c>
      <c r="AD30" s="25" t="str">
        <f>IF(AD$4&lt;=PARAMETER!$X$2,SUMIF('2026 T'!$F:$F,$B30,'2026 T'!AC:AC)/PARAMETER!$T$3,"")</f>
        <v/>
      </c>
      <c r="AE30" s="25" t="str">
        <f>IF(AE$4&lt;=PARAMETER!$X$2,SUMIF('2026 T'!$F:$F,$B30,'2026 T'!AD:AD)/PARAMETER!$T$3,"")</f>
        <v/>
      </c>
      <c r="AF30" s="25" t="str">
        <f>IF(AF$4&lt;=PARAMETER!$X$2,SUMIF('2026 T'!$F:$F,$B30,'2026 T'!AE:AE)/PARAMETER!$T$3,"")</f>
        <v/>
      </c>
      <c r="AG30" s="25" t="str">
        <f>IF(AG$4&lt;=PARAMETER!$X$2,SUMIF('2026 T'!$F:$F,$B30,'2026 T'!AF:AF)/PARAMETER!$T$3,"")</f>
        <v/>
      </c>
      <c r="AH30" s="25" t="str">
        <f>IF(AH$4&lt;=PARAMETER!$X$2,SUMIF('2026 T'!$F:$F,$B30,'2026 T'!AG:AG)/PARAMETER!$T$3,"")</f>
        <v/>
      </c>
      <c r="AI30" s="25" t="str">
        <f>IF(AI$4&lt;=PARAMETER!$X$2,SUMIF('2026 T'!$F:$F,$B30,'2026 T'!AH:AH)/PARAMETER!$T$3,"")</f>
        <v/>
      </c>
      <c r="AJ30" s="25" t="str">
        <f>IF(AJ$4&lt;=PARAMETER!$X$2,SUMIF('2026 T'!$F:$F,$B30,'2026 T'!AI:AI)/PARAMETER!$T$3,"")</f>
        <v/>
      </c>
      <c r="AK30" s="25" t="str">
        <f>IF(AK$4&lt;=PARAMETER!$X$2,SUMIF('2026 T'!$F:$F,$B30,'2026 T'!AJ:AJ)/PARAMETER!$T$3,"")</f>
        <v/>
      </c>
      <c r="AL30" s="25" t="str">
        <f>IF(AL$4&lt;=PARAMETER!$X$2,SUMIF('2026 T'!$F:$F,$B30,'2026 T'!AK:AK)/PARAMETER!$T$3,"")</f>
        <v/>
      </c>
      <c r="AM30" s="25" t="str">
        <f>IF(AM$4&lt;=PARAMETER!$X$2,SUMIF('2026 T'!$F:$F,$B30,'2026 T'!AL:AL)/PARAMETER!$T$3,"")</f>
        <v/>
      </c>
      <c r="AN30" s="25" t="str">
        <f>IF(AN$4&lt;=PARAMETER!$X$2,SUMIF('2026 T'!$F:$F,$B30,'2026 T'!AM:AM)/PARAMETER!$T$3,"")</f>
        <v/>
      </c>
      <c r="AO30" s="25" t="str">
        <f>IF(AO$4&lt;=PARAMETER!$X$2,SUMIF('2026 T'!$F:$F,$B30,'2026 T'!AN:AN)/PARAMETER!$T$3,"")</f>
        <v/>
      </c>
      <c r="AP30" s="25" t="str">
        <f>IF(AP$4&lt;=PARAMETER!$X$2,SUMIF('2026 T'!$F:$F,$B30,'2026 T'!AO:AO)/PARAMETER!$T$3,"")</f>
        <v/>
      </c>
      <c r="AQ30" s="25" t="str">
        <f>IF(AQ$4&lt;=PARAMETER!$X$2,SUMIF('2026 T'!$F:$F,$B30,'2026 T'!AP:AP)/PARAMETER!$T$3,"")</f>
        <v/>
      </c>
      <c r="AR30" s="25" t="str">
        <f>IF(AR$4&lt;=PARAMETER!$X$2,SUMIF('2026 T'!$F:$F,$B30,'2026 T'!AQ:AQ)/PARAMETER!$T$3,"")</f>
        <v/>
      </c>
      <c r="AS30" s="25" t="str">
        <f>IF(AS$4&lt;=PARAMETER!$X$2,SUMIF('2026 T'!$F:$F,$B30,'2026 T'!AR:AR)/PARAMETER!$T$3,"")</f>
        <v/>
      </c>
      <c r="AT30" s="25" t="str">
        <f>IF(AT$4&lt;=PARAMETER!$X$2,SUMIF('2026 T'!$F:$F,$B30,'2026 T'!AS:AS)/PARAMETER!$T$3,"")</f>
        <v/>
      </c>
      <c r="AU30" s="25" t="str">
        <f>IF(AU$4&lt;=PARAMETER!$X$2,SUMIF('2026 T'!$F:$F,$B30,'2026 T'!AT:AT)/PARAMETER!$T$3,"")</f>
        <v/>
      </c>
      <c r="AV30" s="25" t="str">
        <f>IF(AV$4&lt;=PARAMETER!$X$2,SUMIF('2026 T'!$F:$F,$B30,'2026 T'!AU:AU)/PARAMETER!$T$3,"")</f>
        <v/>
      </c>
      <c r="AW30" s="25" t="str">
        <f>IF(AW$4&lt;=PARAMETER!$X$2,SUMIF('2026 T'!$F:$F,$B30,'2026 T'!AV:AV)/PARAMETER!$T$3,"")</f>
        <v/>
      </c>
      <c r="AX30" s="25" t="str">
        <f>IF(AX$4&lt;=PARAMETER!$X$2,SUMIF('2026 T'!$F:$F,$B30,'2026 T'!AW:AW)/PARAMETER!$T$3,"")</f>
        <v/>
      </c>
      <c r="AY30" s="25" t="str">
        <f>IF(AY$4&lt;=PARAMETER!$X$2,SUMIF('2026 T'!$F:$F,$B30,'2026 T'!AX:AX)/PARAMETER!$T$3,"")</f>
        <v/>
      </c>
      <c r="AZ30" s="25" t="str">
        <f>IF(AZ$4&lt;=PARAMETER!$X$2,SUMIF('2026 T'!$F:$F,$B30,'2026 T'!AY:AY)/PARAMETER!$T$3,"")</f>
        <v/>
      </c>
      <c r="BA30" s="25" t="str">
        <f>IF(BA$4&lt;=PARAMETER!$X$2,SUMIF('2026 T'!$F:$F,$B30,'2026 T'!AZ:AZ)/PARAMETER!$T$3,"")</f>
        <v/>
      </c>
      <c r="BB30" s="25" t="str">
        <f>IF(BB$4&lt;=PARAMETER!$X$2,SUMIF('2026 T'!$F:$F,$B30,'2026 T'!BA:BA)/PARAMETER!$T$3,"")</f>
        <v/>
      </c>
      <c r="BC30" s="25" t="str">
        <f>IF(BC$4&lt;=PARAMETER!$X$2,SUMIF('2026 T'!$F:$F,$B30,'2026 T'!BB:BB)/PARAMETER!$T$3,"")</f>
        <v/>
      </c>
      <c r="BD30" s="25" t="str">
        <f>IF(BD$4&lt;=PARAMETER!$X$2,SUMIF('2026 T'!$F:$F,$B30,'2026 T'!BC:BC)/PARAMETER!$T$3,"")</f>
        <v/>
      </c>
      <c r="BE30" s="25" t="str">
        <f>IF(BE$4&lt;=PARAMETER!$X$2,SUMIF('2026 T'!$F:$F,$B30,'2026 T'!BD:BD)/PARAMETER!$T$3,"")</f>
        <v/>
      </c>
      <c r="BF30" s="25" t="str">
        <f>IF(BF$4&lt;=PARAMETER!$X$2,SUMIF('2026 T'!$F:$F,$B30,'2026 T'!BE:BE)/PARAMETER!$T$3,"")</f>
        <v/>
      </c>
      <c r="BG30" s="25" t="str">
        <f>IF(BG$4&lt;=PARAMETER!$X$2,SUMIF('2026 T'!$F:$F,$B30,'2026 T'!BF:BF)/PARAMETER!$T$3,"")</f>
        <v/>
      </c>
      <c r="BH30" s="25" t="str">
        <f>IF(BH$4&lt;=PARAMETER!$X$2,SUMIF('2026 T'!$F:$F,$B30,'2026 T'!BG:BG)/PARAMETER!$T$3,"")</f>
        <v/>
      </c>
      <c r="BI30" s="25" t="str">
        <f>IF(BI$4&lt;=PARAMETER!$X$2,SUMIF('2026 T'!$F:$F,$B30,'2026 T'!BH:BH)/PARAMETER!$T$3,"")</f>
        <v/>
      </c>
      <c r="BJ30" s="25" t="str">
        <f>IF(BJ$4&lt;=PARAMETER!$X$2,SUMIF('2026 T'!$F:$F,$B30,'2026 T'!BI:BI)/PARAMETER!$T$3,"")</f>
        <v/>
      </c>
    </row>
    <row r="31" spans="1:62" x14ac:dyDescent="0.25">
      <c r="A31">
        <f t="shared" ref="A31:A32" si="33">A30</f>
        <v>5</v>
      </c>
      <c r="B31" s="78" t="str">
        <f>CONCATENATE(C31,PARAMETER!T$2)</f>
        <v>OPTIK MELAWAIVOL</v>
      </c>
      <c r="C31" s="26" t="str">
        <f t="shared" ref="C31:C33" si="34">C30</f>
        <v>OPTIK MELAWAI</v>
      </c>
      <c r="D31" s="27" t="s">
        <v>128</v>
      </c>
      <c r="E31" s="35">
        <f t="shared" ref="E31:E32" si="35">IFERROR(I31/I32-1,"")</f>
        <v>-0.84139632802647635</v>
      </c>
      <c r="F31" s="28">
        <f t="shared" si="32"/>
        <v>-0.84139632802647635</v>
      </c>
      <c r="G31" s="39">
        <f t="shared" si="20"/>
        <v>2026</v>
      </c>
      <c r="H31" s="40">
        <f>IF(H$4&lt;=PARAMETER!$X$2,SUMIF('2026'!$F:$F,$B31,'2026'!G:G)/PARAMETER!$T$3,"")</f>
        <v>973.45600000000002</v>
      </c>
      <c r="I31" s="40">
        <f>IF(I$4&lt;=PARAMETER!$X$2,SUMIF('2026'!$F:$F,$B31,'2026'!H:H)/PARAMETER!$T$3,"")</f>
        <v>973.45600000000002</v>
      </c>
      <c r="J31" s="40">
        <f>IF(J$4&lt;=PARAMETER!$X$2,SUMIF('2026'!$F:$F,$B31,'2026'!I:I)/PARAMETER!$T$3,"")</f>
        <v>29.997</v>
      </c>
      <c r="K31" s="40">
        <f>IF(K$4&lt;=PARAMETER!$X$2,SUMIF('2026'!$F:$F,$B31,'2026'!J:J)/PARAMETER!$T$3,"")</f>
        <v>79.022000000000006</v>
      </c>
      <c r="L31" s="40">
        <f>IF(L$4&lt;=PARAMETER!$X$2,SUMIF('2026'!$F:$F,$B31,'2026'!K:K)/PARAMETER!$T$3,"")</f>
        <v>81.316000000000003</v>
      </c>
      <c r="M31" s="40">
        <f>IF(M$4&lt;=PARAMETER!$X$2,SUMIF('2026'!$F:$F,$B31,'2026'!L:L)/PARAMETER!$T$3,"")</f>
        <v>80.516000000000005</v>
      </c>
      <c r="N31" s="40">
        <f>IF(N$4&lt;=PARAMETER!$X$2,SUMIF('2026'!$F:$F,$B31,'2026'!M:M)/PARAMETER!$T$3,"")</f>
        <v>97.283000000000001</v>
      </c>
      <c r="O31" s="40">
        <f>IF(O$4&lt;=PARAMETER!$X$2,SUMIF('2026'!$F:$F,$B31,'2026'!N:N)/PARAMETER!$T$3,"")</f>
        <v>167.55600000000001</v>
      </c>
      <c r="P31" s="40">
        <f>IF(P$4&lt;=PARAMETER!$X$2,SUMIF('2026'!$F:$F,$B31,'2026'!O:O)/PARAMETER!$T$3,"")</f>
        <v>159.72800000000001</v>
      </c>
      <c r="Q31" s="40">
        <f>IF(Q$4&lt;=PARAMETER!$X$2,SUMIF('2026'!$F:$F,$B31,'2026'!P:P)/PARAMETER!$T$3,"")</f>
        <v>213.864</v>
      </c>
      <c r="R31" s="40">
        <f>IF(R$4&lt;=PARAMETER!$X$2,SUMIF('2026'!$F:$F,$B31,'2026'!Q:Q)/PARAMETER!$T$3,"")</f>
        <v>64.174000000000007</v>
      </c>
      <c r="S31" s="40">
        <f>IF(S$4&lt;=PARAMETER!$X$2,SUMIF('2026'!$F:$F,$B31,'2026'!R:R)/PARAMETER!$T$3,"")</f>
        <v>0</v>
      </c>
      <c r="T31" s="40">
        <f>IF(T$4&lt;=PARAMETER!$X$2,SUMIF('2026'!$F:$F,$B31,'2026'!S:S)/PARAMETER!$T$3,"")</f>
        <v>0</v>
      </c>
      <c r="U31" s="40" t="str">
        <f>IF(U$4&lt;=PARAMETER!$X$2,SUMIF('2026'!$F:$F,$B31,'2026'!T:T)/PARAMETER!$T$3,"")</f>
        <v/>
      </c>
      <c r="V31" s="40" t="str">
        <f>IF(V$4&lt;=PARAMETER!$X$2,SUMIF('2026'!$F:$F,$B31,'2026'!U:U)/PARAMETER!$T$3,"")</f>
        <v/>
      </c>
      <c r="W31" s="40" t="str">
        <f>IF(W$4&lt;=PARAMETER!$X$2,SUMIF('2026'!$F:$F,$B31,'2026'!V:V)/PARAMETER!$T$3,"")</f>
        <v/>
      </c>
      <c r="X31" s="40" t="str">
        <f>IF(X$4&lt;=PARAMETER!$X$2,SUMIF('2026'!$F:$F,$B31,'2026'!W:W)/PARAMETER!$T$3,"")</f>
        <v/>
      </c>
      <c r="Y31" s="40" t="str">
        <f>IF(Y$4&lt;=PARAMETER!$X$2,SUMIF('2026'!$F:$F,$B31,'2026'!X:X)/PARAMETER!$T$3,"")</f>
        <v/>
      </c>
      <c r="Z31" s="40" t="str">
        <f>IF(Z$4&lt;=PARAMETER!$X$2,SUMIF('2026'!$F:$F,$B31,'2026'!Y:Y)/PARAMETER!$T$3,"")</f>
        <v/>
      </c>
      <c r="AA31" s="40" t="str">
        <f>IF(AA$4&lt;=PARAMETER!$X$2,SUMIF('2026'!$F:$F,$B31,'2026'!Z:Z)/PARAMETER!$T$3,"")</f>
        <v/>
      </c>
      <c r="AB31" s="40" t="str">
        <f>IF(AB$4&lt;=PARAMETER!$X$2,SUMIF('2026'!$F:$F,$B31,'2026'!AA:AA)/PARAMETER!$T$3,"")</f>
        <v/>
      </c>
      <c r="AC31" s="40" t="str">
        <f>IF(AC$4&lt;=PARAMETER!$X$2,SUMIF('2026'!$F:$F,$B31,'2026'!AB:AB)/PARAMETER!$T$3,"")</f>
        <v/>
      </c>
      <c r="AD31" s="40" t="str">
        <f>IF(AD$4&lt;=PARAMETER!$X$2,SUMIF('2026'!$F:$F,$B31,'2026'!AC:AC)/PARAMETER!$T$3,"")</f>
        <v/>
      </c>
      <c r="AE31" s="40" t="str">
        <f>IF(AE$4&lt;=PARAMETER!$X$2,SUMIF('2026'!$F:$F,$B31,'2026'!AD:AD)/PARAMETER!$T$3,"")</f>
        <v/>
      </c>
      <c r="AF31" s="40" t="str">
        <f>IF(AF$4&lt;=PARAMETER!$X$2,SUMIF('2026'!$F:$F,$B31,'2026'!AE:AE)/PARAMETER!$T$3,"")</f>
        <v/>
      </c>
      <c r="AG31" s="40" t="str">
        <f>IF(AG$4&lt;=PARAMETER!$X$2,SUMIF('2026'!$F:$F,$B31,'2026'!AF:AF)/PARAMETER!$T$3,"")</f>
        <v/>
      </c>
      <c r="AH31" s="40" t="str">
        <f>IF(AH$4&lt;=PARAMETER!$X$2,SUMIF('2026'!$F:$F,$B31,'2026'!AG:AG)/PARAMETER!$T$3,"")</f>
        <v/>
      </c>
      <c r="AI31" s="40" t="str">
        <f>IF(AI$4&lt;=PARAMETER!$X$2,SUMIF('2026'!$F:$F,$B31,'2026'!AH:AH)/PARAMETER!$T$3,"")</f>
        <v/>
      </c>
      <c r="AJ31" s="40" t="str">
        <f>IF(AJ$4&lt;=PARAMETER!$X$2,SUMIF('2026'!$F:$F,$B31,'2026'!AI:AI)/PARAMETER!$T$3,"")</f>
        <v/>
      </c>
      <c r="AK31" s="40" t="str">
        <f>IF(AK$4&lt;=PARAMETER!$X$2,SUMIF('2026'!$F:$F,$B31,'2026'!AJ:AJ)/PARAMETER!$T$3,"")</f>
        <v/>
      </c>
      <c r="AL31" s="40" t="str">
        <f>IF(AL$4&lt;=PARAMETER!$X$2,SUMIF('2026'!$F:$F,$B31,'2026'!AK:AK)/PARAMETER!$T$3,"")</f>
        <v/>
      </c>
      <c r="AM31" s="40" t="str">
        <f>IF(AM$4&lt;=PARAMETER!$X$2,SUMIF('2026'!$F:$F,$B31,'2026'!AL:AL)/PARAMETER!$T$3,"")</f>
        <v/>
      </c>
      <c r="AN31" s="40" t="str">
        <f>IF(AN$4&lt;=PARAMETER!$X$2,SUMIF('2026'!$F:$F,$B31,'2026'!AM:AM)/PARAMETER!$T$3,"")</f>
        <v/>
      </c>
      <c r="AO31" s="40" t="str">
        <f>IF(AO$4&lt;=PARAMETER!$X$2,SUMIF('2026'!$F:$F,$B31,'2026'!AN:AN)/PARAMETER!$T$3,"")</f>
        <v/>
      </c>
      <c r="AP31" s="40" t="str">
        <f>IF(AP$4&lt;=PARAMETER!$X$2,SUMIF('2026'!$F:$F,$B31,'2026'!AO:AO)/PARAMETER!$T$3,"")</f>
        <v/>
      </c>
      <c r="AQ31" s="40" t="str">
        <f>IF(AQ$4&lt;=PARAMETER!$X$2,SUMIF('2026'!$F:$F,$B31,'2026'!AP:AP)/PARAMETER!$T$3,"")</f>
        <v/>
      </c>
      <c r="AR31" s="40" t="str">
        <f>IF(AR$4&lt;=PARAMETER!$X$2,SUMIF('2026'!$F:$F,$B31,'2026'!AQ:AQ)/PARAMETER!$T$3,"")</f>
        <v/>
      </c>
      <c r="AS31" s="40" t="str">
        <f>IF(AS$4&lt;=PARAMETER!$X$2,SUMIF('2026'!$F:$F,$B31,'2026'!AR:AR)/PARAMETER!$T$3,"")</f>
        <v/>
      </c>
      <c r="AT31" s="40" t="str">
        <f>IF(AT$4&lt;=PARAMETER!$X$2,SUMIF('2026'!$F:$F,$B31,'2026'!AS:AS)/PARAMETER!$T$3,"")</f>
        <v/>
      </c>
      <c r="AU31" s="40" t="str">
        <f>IF(AU$4&lt;=PARAMETER!$X$2,SUMIF('2026'!$F:$F,$B31,'2026'!AT:AT)/PARAMETER!$T$3,"")</f>
        <v/>
      </c>
      <c r="AV31" s="40" t="str">
        <f>IF(AV$4&lt;=PARAMETER!$X$2,SUMIF('2026'!$F:$F,$B31,'2026'!AU:AU)/PARAMETER!$T$3,"")</f>
        <v/>
      </c>
      <c r="AW31" s="40" t="str">
        <f>IF(AW$4&lt;=PARAMETER!$X$2,SUMIF('2026'!$F:$F,$B31,'2026'!AV:AV)/PARAMETER!$T$3,"")</f>
        <v/>
      </c>
      <c r="AX31" s="40" t="str">
        <f>IF(AX$4&lt;=PARAMETER!$X$2,SUMIF('2026'!$F:$F,$B31,'2026'!AW:AW)/PARAMETER!$T$3,"")</f>
        <v/>
      </c>
      <c r="AY31" s="40" t="str">
        <f>IF(AY$4&lt;=PARAMETER!$X$2,SUMIF('2026'!$F:$F,$B31,'2026'!AX:AX)/PARAMETER!$T$3,"")</f>
        <v/>
      </c>
      <c r="AZ31" s="40" t="str">
        <f>IF(AZ$4&lt;=PARAMETER!$X$2,SUMIF('2026'!$F:$F,$B31,'2026'!AY:AY)/PARAMETER!$T$3,"")</f>
        <v/>
      </c>
      <c r="BA31" s="40" t="str">
        <f>IF(BA$4&lt;=PARAMETER!$X$2,SUMIF('2026'!$F:$F,$B31,'2026'!AZ:AZ)/PARAMETER!$T$3,"")</f>
        <v/>
      </c>
      <c r="BB31" s="40" t="str">
        <f>IF(BB$4&lt;=PARAMETER!$X$2,SUMIF('2026'!$F:$F,$B31,'2026'!BA:BA)/PARAMETER!$T$3,"")</f>
        <v/>
      </c>
      <c r="BC31" s="40" t="str">
        <f>IF(BC$4&lt;=PARAMETER!$X$2,SUMIF('2026'!$F:$F,$B31,'2026'!BB:BB)/PARAMETER!$T$3,"")</f>
        <v/>
      </c>
      <c r="BD31" s="40" t="str">
        <f>IF(BD$4&lt;=PARAMETER!$X$2,SUMIF('2026'!$F:$F,$B31,'2026'!BC:BC)/PARAMETER!$T$3,"")</f>
        <v/>
      </c>
      <c r="BE31" s="40" t="str">
        <f>IF(BE$4&lt;=PARAMETER!$X$2,SUMIF('2026'!$F:$F,$B31,'2026'!BD:BD)/PARAMETER!$T$3,"")</f>
        <v/>
      </c>
      <c r="BF31" s="40" t="str">
        <f>IF(BF$4&lt;=PARAMETER!$X$2,SUMIF('2026'!$F:$F,$B31,'2026'!BE:BE)/PARAMETER!$T$3,"")</f>
        <v/>
      </c>
      <c r="BG31" s="40" t="str">
        <f>IF(BG$4&lt;=PARAMETER!$X$2,SUMIF('2026'!$F:$F,$B31,'2026'!BF:BF)/PARAMETER!$T$3,"")</f>
        <v/>
      </c>
      <c r="BH31" s="40" t="str">
        <f>IF(BH$4&lt;=PARAMETER!$X$2,SUMIF('2026'!$F:$F,$B31,'2026'!BG:BG)/PARAMETER!$T$3,"")</f>
        <v/>
      </c>
      <c r="BI31" s="40" t="str">
        <f>IF(BI$4&lt;=PARAMETER!$X$2,SUMIF('2026'!$F:$F,$B31,'2026'!BH:BH)/PARAMETER!$T$3,"")</f>
        <v/>
      </c>
      <c r="BJ31" s="40" t="str">
        <f>IF(BJ$4&lt;=PARAMETER!$X$2,SUMIF('2026'!$F:$F,$B31,'2026'!BI:BI)/PARAMETER!$T$3,"")</f>
        <v/>
      </c>
    </row>
    <row r="32" spans="1:62" x14ac:dyDescent="0.25">
      <c r="A32">
        <f t="shared" si="33"/>
        <v>5</v>
      </c>
      <c r="B32" s="78" t="str">
        <f>CONCATENATE(C32,PARAMETER!T$2)</f>
        <v>OPTIK MELAWAIVOL</v>
      </c>
      <c r="C32" s="26" t="str">
        <f t="shared" si="34"/>
        <v>OPTIK MELAWAI</v>
      </c>
      <c r="D32" s="27" t="s">
        <v>128</v>
      </c>
      <c r="E32" s="35">
        <f t="shared" si="35"/>
        <v>3.1528616252665884</v>
      </c>
      <c r="F32" s="28">
        <f t="shared" si="32"/>
        <v>3</v>
      </c>
      <c r="G32" s="39">
        <f t="shared" si="20"/>
        <v>2025</v>
      </c>
      <c r="H32" s="40">
        <f>IF(H$4&lt;=PARAMETER!$X$2,SUMIF('2025'!$F:$F,$B32,'2025'!G:G)/PARAMETER!$T$3,"")</f>
        <v>8081.4187110000003</v>
      </c>
      <c r="I32" s="40">
        <f>IF(I$4&lt;=PARAMETER!$X$2,SUMIF('2025'!$F:$F,$B32,'2025'!H:H)/PARAMETER!$T$3,"")</f>
        <v>6137.6636989999997</v>
      </c>
      <c r="J32" s="40">
        <f>IF(J$4&lt;=PARAMETER!$X$2,SUMIF('2025'!$F:$F,$B32,'2025'!I:I)/PARAMETER!$T$3,"")</f>
        <v>1052.3494989999999</v>
      </c>
      <c r="K32" s="40">
        <f>IF(K$4&lt;=PARAMETER!$X$2,SUMIF('2025'!$F:$F,$B32,'2025'!J:J)/PARAMETER!$T$3,"")</f>
        <v>1032.2999</v>
      </c>
      <c r="L32" s="40">
        <f>IF(L$4&lt;=PARAMETER!$X$2,SUMIF('2025'!$F:$F,$B32,'2025'!K:K)/PARAMETER!$T$3,"")</f>
        <v>944.65525000000002</v>
      </c>
      <c r="M32" s="40">
        <f>IF(M$4&lt;=PARAMETER!$X$2,SUMIF('2025'!$F:$F,$B32,'2025'!L:L)/PARAMETER!$T$3,"")</f>
        <v>1184.5726</v>
      </c>
      <c r="N32" s="40">
        <f>IF(N$4&lt;=PARAMETER!$X$2,SUMIF('2025'!$F:$F,$B32,'2025'!M:M)/PARAMETER!$T$3,"")</f>
        <v>729.56944999999996</v>
      </c>
      <c r="O32" s="40">
        <f>IF(O$4&lt;=PARAMETER!$X$2,SUMIF('2025'!$F:$F,$B32,'2025'!N:N)/PARAMETER!$T$3,"")</f>
        <v>185.48750000000001</v>
      </c>
      <c r="P32" s="40">
        <f>IF(P$4&lt;=PARAMETER!$X$2,SUMIF('2025'!$F:$F,$B32,'2025'!O:O)/PARAMETER!$T$3,"")</f>
        <v>240.72800000000001</v>
      </c>
      <c r="Q32" s="40">
        <f>IF(Q$4&lt;=PARAMETER!$X$2,SUMIF('2025'!$F:$F,$B32,'2025'!P:P)/PARAMETER!$T$3,"")</f>
        <v>247.31700000000001</v>
      </c>
      <c r="R32" s="40">
        <f>IF(R$4&lt;=PARAMETER!$X$2,SUMIF('2025'!$F:$F,$B32,'2025'!Q:Q)/PARAMETER!$T$3,"")</f>
        <v>261.25700000000001</v>
      </c>
      <c r="S32" s="40">
        <f>IF(S$4&lt;=PARAMETER!$X$2,SUMIF('2025'!$F:$F,$B32,'2025'!R:R)/PARAMETER!$T$3,"")</f>
        <v>220.87100000000001</v>
      </c>
      <c r="T32" s="40">
        <f>IF(T$4&lt;=PARAMETER!$X$2,SUMIF('2025'!$F:$F,$B32,'2025'!S:S)/PARAMETER!$T$3,"")</f>
        <v>38.5565</v>
      </c>
      <c r="U32" s="40" t="str">
        <f>IF(U$4&lt;=PARAMETER!$X$2,SUMIF('2025'!$F:$F,$B32,'2025'!T:T)/PARAMETER!$T$3,"")</f>
        <v/>
      </c>
      <c r="V32" s="40" t="str">
        <f>IF(V$4&lt;=PARAMETER!$X$2,SUMIF('2025'!$F:$F,$B32,'2025'!U:U)/PARAMETER!$T$3,"")</f>
        <v/>
      </c>
      <c r="W32" s="40" t="str">
        <f>IF(W$4&lt;=PARAMETER!$X$2,SUMIF('2025'!$F:$F,$B32,'2025'!V:V)/PARAMETER!$T$3,"")</f>
        <v/>
      </c>
      <c r="X32" s="40" t="str">
        <f>IF(X$4&lt;=PARAMETER!$X$2,SUMIF('2025'!$F:$F,$B32,'2025'!W:W)/PARAMETER!$T$3,"")</f>
        <v/>
      </c>
      <c r="Y32" s="40" t="str">
        <f>IF(Y$4&lt;=PARAMETER!$X$2,SUMIF('2025'!$F:$F,$B32,'2025'!X:X)/PARAMETER!$T$3,"")</f>
        <v/>
      </c>
      <c r="Z32" s="40" t="str">
        <f>IF(Z$4&lt;=PARAMETER!$X$2,SUMIF('2025'!$F:$F,$B32,'2025'!Y:Y)/PARAMETER!$T$3,"")</f>
        <v/>
      </c>
      <c r="AA32" s="40" t="str">
        <f>IF(AA$4&lt;=PARAMETER!$X$2,SUMIF('2025'!$F:$F,$B32,'2025'!Z:Z)/PARAMETER!$T$3,"")</f>
        <v/>
      </c>
      <c r="AB32" s="40" t="str">
        <f>IF(AB$4&lt;=PARAMETER!$X$2,SUMIF('2025'!$F:$F,$B32,'2025'!AA:AA)/PARAMETER!$T$3,"")</f>
        <v/>
      </c>
      <c r="AC32" s="40" t="str">
        <f>IF(AC$4&lt;=PARAMETER!$X$2,SUMIF('2025'!$F:$F,$B32,'2025'!AB:AB)/PARAMETER!$T$3,"")</f>
        <v/>
      </c>
      <c r="AD32" s="40" t="str">
        <f>IF(AD$4&lt;=PARAMETER!$X$2,SUMIF('2025'!$F:$F,$B32,'2025'!AC:AC)/PARAMETER!$T$3,"")</f>
        <v/>
      </c>
      <c r="AE32" s="40" t="str">
        <f>IF(AE$4&lt;=PARAMETER!$X$2,SUMIF('2025'!$F:$F,$B32,'2025'!AD:AD)/PARAMETER!$T$3,"")</f>
        <v/>
      </c>
      <c r="AF32" s="40" t="str">
        <f>IF(AF$4&lt;=PARAMETER!$X$2,SUMIF('2025'!$F:$F,$B32,'2025'!AE:AE)/PARAMETER!$T$3,"")</f>
        <v/>
      </c>
      <c r="AG32" s="40" t="str">
        <f>IF(AG$4&lt;=PARAMETER!$X$2,SUMIF('2025'!$F:$F,$B32,'2025'!AF:AF)/PARAMETER!$T$3,"")</f>
        <v/>
      </c>
      <c r="AH32" s="40" t="str">
        <f>IF(AH$4&lt;=PARAMETER!$X$2,SUMIF('2025'!$F:$F,$B32,'2025'!AG:AG)/PARAMETER!$T$3,"")</f>
        <v/>
      </c>
      <c r="AI32" s="40" t="str">
        <f>IF(AI$4&lt;=PARAMETER!$X$2,SUMIF('2025'!$F:$F,$B32,'2025'!AH:AH)/PARAMETER!$T$3,"")</f>
        <v/>
      </c>
      <c r="AJ32" s="40" t="str">
        <f>IF(AJ$4&lt;=PARAMETER!$X$2,SUMIF('2025'!$F:$F,$B32,'2025'!AI:AI)/PARAMETER!$T$3,"")</f>
        <v/>
      </c>
      <c r="AK32" s="40" t="str">
        <f>IF(AK$4&lt;=PARAMETER!$X$2,SUMIF('2025'!$F:$F,$B32,'2025'!AJ:AJ)/PARAMETER!$T$3,"")</f>
        <v/>
      </c>
      <c r="AL32" s="40" t="str">
        <f>IF(AL$4&lt;=PARAMETER!$X$2,SUMIF('2025'!$F:$F,$B32,'2025'!AK:AK)/PARAMETER!$T$3,"")</f>
        <v/>
      </c>
      <c r="AM32" s="40" t="str">
        <f>IF(AM$4&lt;=PARAMETER!$X$2,SUMIF('2025'!$F:$F,$B32,'2025'!AL:AL)/PARAMETER!$T$3,"")</f>
        <v/>
      </c>
      <c r="AN32" s="40" t="str">
        <f>IF(AN$4&lt;=PARAMETER!$X$2,SUMIF('2025'!$F:$F,$B32,'2025'!AM:AM)/PARAMETER!$T$3,"")</f>
        <v/>
      </c>
      <c r="AO32" s="40" t="str">
        <f>IF(AO$4&lt;=PARAMETER!$X$2,SUMIF('2025'!$F:$F,$B32,'2025'!AN:AN)/PARAMETER!$T$3,"")</f>
        <v/>
      </c>
      <c r="AP32" s="40" t="str">
        <f>IF(AP$4&lt;=PARAMETER!$X$2,SUMIF('2025'!$F:$F,$B32,'2025'!AO:AO)/PARAMETER!$T$3,"")</f>
        <v/>
      </c>
      <c r="AQ32" s="40" t="str">
        <f>IF(AQ$4&lt;=PARAMETER!$X$2,SUMIF('2025'!$F:$F,$B32,'2025'!AP:AP)/PARAMETER!$T$3,"")</f>
        <v/>
      </c>
      <c r="AR32" s="40" t="str">
        <f>IF(AR$4&lt;=PARAMETER!$X$2,SUMIF('2025'!$F:$F,$B32,'2025'!AQ:AQ)/PARAMETER!$T$3,"")</f>
        <v/>
      </c>
      <c r="AS32" s="40" t="str">
        <f>IF(AS$4&lt;=PARAMETER!$X$2,SUMIF('2025'!$F:$F,$B32,'2025'!AR:AR)/PARAMETER!$T$3,"")</f>
        <v/>
      </c>
      <c r="AT32" s="40" t="str">
        <f>IF(AT$4&lt;=PARAMETER!$X$2,SUMIF('2025'!$F:$F,$B32,'2025'!AS:AS)/PARAMETER!$T$3,"")</f>
        <v/>
      </c>
      <c r="AU32" s="40" t="str">
        <f>IF(AU$4&lt;=PARAMETER!$X$2,SUMIF('2025'!$F:$F,$B32,'2025'!AT:AT)/PARAMETER!$T$3,"")</f>
        <v/>
      </c>
      <c r="AV32" s="40" t="str">
        <f>IF(AV$4&lt;=PARAMETER!$X$2,SUMIF('2025'!$F:$F,$B32,'2025'!AU:AU)/PARAMETER!$T$3,"")</f>
        <v/>
      </c>
      <c r="AW32" s="40" t="str">
        <f>IF(AW$4&lt;=PARAMETER!$X$2,SUMIF('2025'!$F:$F,$B32,'2025'!AV:AV)/PARAMETER!$T$3,"")</f>
        <v/>
      </c>
      <c r="AX32" s="40" t="str">
        <f>IF(AX$4&lt;=PARAMETER!$X$2,SUMIF('2025'!$F:$F,$B32,'2025'!AW:AW)/PARAMETER!$T$3,"")</f>
        <v/>
      </c>
      <c r="AY32" s="40" t="str">
        <f>IF(AY$4&lt;=PARAMETER!$X$2,SUMIF('2025'!$F:$F,$B32,'2025'!AX:AX)/PARAMETER!$T$3,"")</f>
        <v/>
      </c>
      <c r="AZ32" s="40" t="str">
        <f>IF(AZ$4&lt;=PARAMETER!$X$2,SUMIF('2025'!$F:$F,$B32,'2025'!AY:AY)/PARAMETER!$T$3,"")</f>
        <v/>
      </c>
      <c r="BA32" s="40" t="str">
        <f>IF(BA$4&lt;=PARAMETER!$X$2,SUMIF('2025'!$F:$F,$B32,'2025'!AZ:AZ)/PARAMETER!$T$3,"")</f>
        <v/>
      </c>
      <c r="BB32" s="40" t="str">
        <f>IF(BB$4&lt;=PARAMETER!$X$2,SUMIF('2025'!$F:$F,$B32,'2025'!BA:BA)/PARAMETER!$T$3,"")</f>
        <v/>
      </c>
      <c r="BC32" s="40" t="str">
        <f>IF(BC$4&lt;=PARAMETER!$X$2,SUMIF('2025'!$F:$F,$B32,'2025'!BB:BB)/PARAMETER!$T$3,"")</f>
        <v/>
      </c>
      <c r="BD32" s="40" t="str">
        <f>IF(BD$4&lt;=PARAMETER!$X$2,SUMIF('2025'!$F:$F,$B32,'2025'!BC:BC)/PARAMETER!$T$3,"")</f>
        <v/>
      </c>
      <c r="BE32" s="40" t="str">
        <f>IF(BE$4&lt;=PARAMETER!$X$2,SUMIF('2025'!$F:$F,$B32,'2025'!BD:BD)/PARAMETER!$T$3,"")</f>
        <v/>
      </c>
      <c r="BF32" s="40" t="str">
        <f>IF(BF$4&lt;=PARAMETER!$X$2,SUMIF('2025'!$F:$F,$B32,'2025'!BE:BE)/PARAMETER!$T$3,"")</f>
        <v/>
      </c>
      <c r="BG32" s="40" t="str">
        <f>IF(BG$4&lt;=PARAMETER!$X$2,SUMIF('2025'!$F:$F,$B32,'2025'!BF:BF)/PARAMETER!$T$3,"")</f>
        <v/>
      </c>
      <c r="BH32" s="40" t="str">
        <f>IF(BH$4&lt;=PARAMETER!$X$2,SUMIF('2025'!$F:$F,$B32,'2025'!BG:BG)/PARAMETER!$T$3,"")</f>
        <v/>
      </c>
      <c r="BI32" s="40" t="str">
        <f>IF(BI$4&lt;=PARAMETER!$X$2,SUMIF('2025'!$F:$F,$B32,'2025'!BH:BH)/PARAMETER!$T$3,"")</f>
        <v/>
      </c>
      <c r="BJ32" s="40" t="str">
        <f>IF(BJ$4&lt;=PARAMETER!$X$2,SUMIF('2025'!$F:$F,$B32,'2025'!BI:BI)/PARAMETER!$T$3,"")</f>
        <v/>
      </c>
    </row>
    <row r="33" spans="1:62" x14ac:dyDescent="0.25">
      <c r="A33">
        <f t="shared" ref="A33" si="36">A31</f>
        <v>5</v>
      </c>
      <c r="B33" s="78" t="str">
        <f>CONCATENATE(C33,PARAMETER!T$2)</f>
        <v>OPTIK MELAWAIVOL</v>
      </c>
      <c r="C33" s="26" t="str">
        <f t="shared" si="34"/>
        <v>OPTIK MELAWAI</v>
      </c>
      <c r="D33" s="67"/>
      <c r="E33" s="68"/>
      <c r="F33" s="69"/>
      <c r="G33" s="70">
        <f t="shared" si="20"/>
        <v>2024</v>
      </c>
      <c r="H33" s="71">
        <f>IF(H$4&lt;=PARAMETER!$X$2,SUMIF('2024'!$F:$F,$B33,'2024'!G:G)/PARAMETER!$T$3,"")</f>
        <v>14034.752356000001</v>
      </c>
      <c r="I33" s="71">
        <f>IF(I$4&lt;=PARAMETER!$X$2,SUMIF('2024'!$F:$F,$B33,'2024'!H:H)/PARAMETER!$T$3,"")</f>
        <v>1477.9359999999999</v>
      </c>
      <c r="J33" s="71">
        <f>IF(J$4&lt;=PARAMETER!$X$2,SUMIF('2024'!$F:$F,$B33,'2024'!I:I)/PARAMETER!$T$3,"")</f>
        <v>0.28000000000000003</v>
      </c>
      <c r="K33" s="71">
        <f>IF(K$4&lt;=PARAMETER!$X$2,SUMIF('2024'!$F:$F,$B33,'2024'!J:J)/PARAMETER!$T$3,"")</f>
        <v>21.659500000000001</v>
      </c>
      <c r="L33" s="71">
        <f>IF(L$4&lt;=PARAMETER!$X$2,SUMIF('2024'!$F:$F,$B33,'2024'!K:K)/PARAMETER!$T$3,"")</f>
        <v>83.73</v>
      </c>
      <c r="M33" s="71">
        <f>IF(M$4&lt;=PARAMETER!$X$2,SUMIF('2024'!$F:$F,$B33,'2024'!L:L)/PARAMETER!$T$3,"")</f>
        <v>164.5445</v>
      </c>
      <c r="N33" s="71">
        <f>IF(N$4&lt;=PARAMETER!$X$2,SUMIF('2024'!$F:$F,$B33,'2024'!M:M)/PARAMETER!$T$3,"")</f>
        <v>85.18</v>
      </c>
      <c r="O33" s="71">
        <f>IF(O$4&lt;=PARAMETER!$X$2,SUMIF('2024'!$F:$F,$B33,'2024'!N:N)/PARAMETER!$T$3,"")</f>
        <v>142.71799999999999</v>
      </c>
      <c r="P33" s="71">
        <f>IF(P$4&lt;=PARAMETER!$X$2,SUMIF('2024'!$F:$F,$B33,'2024'!O:O)/PARAMETER!$T$3,"")</f>
        <v>160.62649999999999</v>
      </c>
      <c r="Q33" s="71">
        <f>IF(Q$4&lt;=PARAMETER!$X$2,SUMIF('2024'!$F:$F,$B33,'2024'!P:P)/PARAMETER!$T$3,"")</f>
        <v>165.79949999999999</v>
      </c>
      <c r="R33" s="71">
        <f>IF(R$4&lt;=PARAMETER!$X$2,SUMIF('2024'!$F:$F,$B33,'2024'!Q:Q)/PARAMETER!$T$3,"")</f>
        <v>166.74549999999999</v>
      </c>
      <c r="S33" s="71">
        <f>IF(S$4&lt;=PARAMETER!$X$2,SUMIF('2024'!$F:$F,$B33,'2024'!R:R)/PARAMETER!$T$3,"")</f>
        <v>215.46799999999999</v>
      </c>
      <c r="T33" s="71">
        <f>IF(T$4&lt;=PARAMETER!$X$2,SUMIF('2024'!$F:$F,$B33,'2024'!S:S)/PARAMETER!$T$3,"")</f>
        <v>271.18450000000001</v>
      </c>
      <c r="U33" s="71" t="str">
        <f>IF(U$4&lt;=PARAMETER!$X$2,SUMIF('2024'!$F:$F,$B33,'2024'!T:T)/PARAMETER!$T$3,"")</f>
        <v/>
      </c>
      <c r="V33" s="71" t="str">
        <f>IF(V$4&lt;=PARAMETER!$X$2,SUMIF('2024'!$F:$F,$B33,'2024'!U:U)/PARAMETER!$T$3,"")</f>
        <v/>
      </c>
      <c r="W33" s="71" t="str">
        <f>IF(W$4&lt;=PARAMETER!$X$2,SUMIF('2024'!$F:$F,$B33,'2024'!V:V)/PARAMETER!$T$3,"")</f>
        <v/>
      </c>
      <c r="X33" s="71" t="str">
        <f>IF(X$4&lt;=PARAMETER!$X$2,SUMIF('2024'!$F:$F,$B33,'2024'!W:W)/PARAMETER!$T$3,"")</f>
        <v/>
      </c>
      <c r="Y33" s="71" t="str">
        <f>IF(Y$4&lt;=PARAMETER!$X$2,SUMIF('2024'!$F:$F,$B33,'2024'!X:X)/PARAMETER!$T$3,"")</f>
        <v/>
      </c>
      <c r="Z33" s="71" t="str">
        <f>IF(Z$4&lt;=PARAMETER!$X$2,SUMIF('2024'!$F:$F,$B33,'2024'!Y:Y)/PARAMETER!$T$3,"")</f>
        <v/>
      </c>
      <c r="AA33" s="71" t="str">
        <f>IF(AA$4&lt;=PARAMETER!$X$2,SUMIF('2024'!$F:$F,$B33,'2024'!Z:Z)/PARAMETER!$T$3,"")</f>
        <v/>
      </c>
      <c r="AB33" s="71" t="str">
        <f>IF(AB$4&lt;=PARAMETER!$X$2,SUMIF('2024'!$F:$F,$B33,'2024'!AA:AA)/PARAMETER!$T$3,"")</f>
        <v/>
      </c>
      <c r="AC33" s="71" t="str">
        <f>IF(AC$4&lt;=PARAMETER!$X$2,SUMIF('2024'!$F:$F,$B33,'2024'!AB:AB)/PARAMETER!$T$3,"")</f>
        <v/>
      </c>
      <c r="AD33" s="71" t="str">
        <f>IF(AD$4&lt;=PARAMETER!$X$2,SUMIF('2024'!$F:$F,$B33,'2024'!AC:AC)/PARAMETER!$T$3,"")</f>
        <v/>
      </c>
      <c r="AE33" s="71" t="str">
        <f>IF(AE$4&lt;=PARAMETER!$X$2,SUMIF('2024'!$F:$F,$B33,'2024'!AD:AD)/PARAMETER!$T$3,"")</f>
        <v/>
      </c>
      <c r="AF33" s="71" t="str">
        <f>IF(AF$4&lt;=PARAMETER!$X$2,SUMIF('2024'!$F:$F,$B33,'2024'!AE:AE)/PARAMETER!$T$3,"")</f>
        <v/>
      </c>
      <c r="AG33" s="71" t="str">
        <f>IF(AG$4&lt;=PARAMETER!$X$2,SUMIF('2024'!$F:$F,$B33,'2024'!AF:AF)/PARAMETER!$T$3,"")</f>
        <v/>
      </c>
      <c r="AH33" s="71" t="str">
        <f>IF(AH$4&lt;=PARAMETER!$X$2,SUMIF('2024'!$F:$F,$B33,'2024'!AG:AG)/PARAMETER!$T$3,"")</f>
        <v/>
      </c>
      <c r="AI33" s="71" t="str">
        <f>IF(AI$4&lt;=PARAMETER!$X$2,SUMIF('2024'!$F:$F,$B33,'2024'!AH:AH)/PARAMETER!$T$3,"")</f>
        <v/>
      </c>
      <c r="AJ33" s="71" t="str">
        <f>IF(AJ$4&lt;=PARAMETER!$X$2,SUMIF('2024'!$F:$F,$B33,'2024'!AI:AI)/PARAMETER!$T$3,"")</f>
        <v/>
      </c>
      <c r="AK33" s="71" t="str">
        <f>IF(AK$4&lt;=PARAMETER!$X$2,SUMIF('2024'!$F:$F,$B33,'2024'!AJ:AJ)/PARAMETER!$T$3,"")</f>
        <v/>
      </c>
      <c r="AL33" s="71" t="str">
        <f>IF(AL$4&lt;=PARAMETER!$X$2,SUMIF('2024'!$F:$F,$B33,'2024'!AK:AK)/PARAMETER!$T$3,"")</f>
        <v/>
      </c>
      <c r="AM33" s="71" t="str">
        <f>IF(AM$4&lt;=PARAMETER!$X$2,SUMIF('2024'!$F:$F,$B33,'2024'!AL:AL)/PARAMETER!$T$3,"")</f>
        <v/>
      </c>
      <c r="AN33" s="71" t="str">
        <f>IF(AN$4&lt;=PARAMETER!$X$2,SUMIF('2024'!$F:$F,$B33,'2024'!AM:AM)/PARAMETER!$T$3,"")</f>
        <v/>
      </c>
      <c r="AO33" s="71" t="str">
        <f>IF(AO$4&lt;=PARAMETER!$X$2,SUMIF('2024'!$F:$F,$B33,'2024'!AN:AN)/PARAMETER!$T$3,"")</f>
        <v/>
      </c>
      <c r="AP33" s="71" t="str">
        <f>IF(AP$4&lt;=PARAMETER!$X$2,SUMIF('2024'!$F:$F,$B33,'2024'!AO:AO)/PARAMETER!$T$3,"")</f>
        <v/>
      </c>
      <c r="AQ33" s="71" t="str">
        <f>IF(AQ$4&lt;=PARAMETER!$X$2,SUMIF('2024'!$F:$F,$B33,'2024'!AP:AP)/PARAMETER!$T$3,"")</f>
        <v/>
      </c>
      <c r="AR33" s="71" t="str">
        <f>IF(AR$4&lt;=PARAMETER!$X$2,SUMIF('2024'!$F:$F,$B33,'2024'!AQ:AQ)/PARAMETER!$T$3,"")</f>
        <v/>
      </c>
      <c r="AS33" s="71" t="str">
        <f>IF(AS$4&lt;=PARAMETER!$X$2,SUMIF('2024'!$F:$F,$B33,'2024'!AR:AR)/PARAMETER!$T$3,"")</f>
        <v/>
      </c>
      <c r="AT33" s="71" t="str">
        <f>IF(AT$4&lt;=PARAMETER!$X$2,SUMIF('2024'!$F:$F,$B33,'2024'!AS:AS)/PARAMETER!$T$3,"")</f>
        <v/>
      </c>
      <c r="AU33" s="71" t="str">
        <f>IF(AU$4&lt;=PARAMETER!$X$2,SUMIF('2024'!$F:$F,$B33,'2024'!AT:AT)/PARAMETER!$T$3,"")</f>
        <v/>
      </c>
      <c r="AV33" s="71" t="str">
        <f>IF(AV$4&lt;=PARAMETER!$X$2,SUMIF('2024'!$F:$F,$B33,'2024'!AU:AU)/PARAMETER!$T$3,"")</f>
        <v/>
      </c>
      <c r="AW33" s="71" t="str">
        <f>IF(AW$4&lt;=PARAMETER!$X$2,SUMIF('2024'!$F:$F,$B33,'2024'!AV:AV)/PARAMETER!$T$3,"")</f>
        <v/>
      </c>
      <c r="AX33" s="71" t="str">
        <f>IF(AX$4&lt;=PARAMETER!$X$2,SUMIF('2024'!$F:$F,$B33,'2024'!AW:AW)/PARAMETER!$T$3,"")</f>
        <v/>
      </c>
      <c r="AY33" s="71" t="str">
        <f>IF(AY$4&lt;=PARAMETER!$X$2,SUMIF('2024'!$F:$F,$B33,'2024'!AX:AX)/PARAMETER!$T$3,"")</f>
        <v/>
      </c>
      <c r="AZ33" s="71" t="str">
        <f>IF(AZ$4&lt;=PARAMETER!$X$2,SUMIF('2024'!$F:$F,$B33,'2024'!AY:AY)/PARAMETER!$T$3,"")</f>
        <v/>
      </c>
      <c r="BA33" s="71" t="str">
        <f>IF(BA$4&lt;=PARAMETER!$X$2,SUMIF('2024'!$F:$F,$B33,'2024'!AZ:AZ)/PARAMETER!$T$3,"")</f>
        <v/>
      </c>
      <c r="BB33" s="71" t="str">
        <f>IF(BB$4&lt;=PARAMETER!$X$2,SUMIF('2024'!$F:$F,$B33,'2024'!BA:BA)/PARAMETER!$T$3,"")</f>
        <v/>
      </c>
      <c r="BC33" s="71" t="str">
        <f>IF(BC$4&lt;=PARAMETER!$X$2,SUMIF('2024'!$F:$F,$B33,'2024'!BB:BB)/PARAMETER!$T$3,"")</f>
        <v/>
      </c>
      <c r="BD33" s="71" t="str">
        <f>IF(BD$4&lt;=PARAMETER!$X$2,SUMIF('2024'!$F:$F,$B33,'2024'!BC:BC)/PARAMETER!$T$3,"")</f>
        <v/>
      </c>
      <c r="BE33" s="71" t="str">
        <f>IF(BE$4&lt;=PARAMETER!$X$2,SUMIF('2024'!$F:$F,$B33,'2024'!BD:BD)/PARAMETER!$T$3,"")</f>
        <v/>
      </c>
      <c r="BF33" s="71" t="str">
        <f>IF(BF$4&lt;=PARAMETER!$X$2,SUMIF('2024'!$F:$F,$B33,'2024'!BE:BE)/PARAMETER!$T$3,"")</f>
        <v/>
      </c>
      <c r="BG33" s="71" t="str">
        <f>IF(BG$4&lt;=PARAMETER!$X$2,SUMIF('2024'!$F:$F,$B33,'2024'!BF:BF)/PARAMETER!$T$3,"")</f>
        <v/>
      </c>
      <c r="BH33" s="71" t="str">
        <f>IF(BH$4&lt;=PARAMETER!$X$2,SUMIF('2024'!$F:$F,$B33,'2024'!BG:BG)/PARAMETER!$T$3,"")</f>
        <v/>
      </c>
      <c r="BI33" s="71" t="str">
        <f>IF(BI$4&lt;=PARAMETER!$X$2,SUMIF('2024'!$F:$F,$B33,'2024'!BH:BH)/PARAMETER!$T$3,"")</f>
        <v/>
      </c>
      <c r="BJ33" s="71" t="str">
        <f>IF(BJ$4&lt;=PARAMETER!$X$2,SUMIF('2024'!$F:$F,$B33,'2024'!BI:BI)/PARAMETER!$T$3,"")</f>
        <v/>
      </c>
    </row>
    <row r="34" spans="1:62" x14ac:dyDescent="0.25">
      <c r="A34">
        <v>6</v>
      </c>
      <c r="B34" s="78" t="str">
        <f>CONCATENATE(C34,PARAMETER!T$2)</f>
        <v>PATRA JASAVOL</v>
      </c>
      <c r="C34" s="21" t="str">
        <f>IFERROR(VLOOKUP(A34,PARAMETER!K$2:M42,3,0),"")</f>
        <v>PATRA JASA</v>
      </c>
      <c r="D34" s="22" t="s">
        <v>127</v>
      </c>
      <c r="E34" s="37">
        <f t="shared" ref="E34" si="37">IFERROR(I35/I34,"")</f>
        <v>0.13371903329870252</v>
      </c>
      <c r="F34" s="23">
        <f t="shared" ref="F34:F36" si="38">IFERROR(IF(E34&gt;300%,300%,E34),"")</f>
        <v>0.13371903329870252</v>
      </c>
      <c r="G34" s="24" t="str">
        <f t="shared" si="20"/>
        <v>Target</v>
      </c>
      <c r="H34" s="25">
        <f>IF(H$4&lt;=PARAMETER!$X$2,SUMIF('2026 T'!$F:$F,$B34,'2026 T'!G:G)/PARAMETER!$T$3,"")</f>
        <v>1100.0000000000011</v>
      </c>
      <c r="I34" s="25">
        <f>IF(I$4&lt;=PARAMETER!$X$2,SUMIF('2026 T'!$F:$F,$B34,'2026 T'!H:H)/PARAMETER!$T$3,"")</f>
        <v>192.3232419916809</v>
      </c>
      <c r="J34" s="25">
        <f>IF(J$4&lt;=PARAMETER!$X$2,SUMIF('2026 T'!$F:$F,$B34,'2026 T'!I:I)/PARAMETER!$T$3,"")</f>
        <v>0</v>
      </c>
      <c r="K34" s="25">
        <f>IF(K$4&lt;=PARAMETER!$X$2,SUMIF('2026 T'!$F:$F,$B34,'2026 T'!J:J)/PARAMETER!$T$3,"")</f>
        <v>0</v>
      </c>
      <c r="L34" s="25">
        <f>IF(L$4&lt;=PARAMETER!$X$2,SUMIF('2026 T'!$F:$F,$B34,'2026 T'!K:K)/PARAMETER!$T$3,"")</f>
        <v>0</v>
      </c>
      <c r="M34" s="25">
        <f>IF(M$4&lt;=PARAMETER!$X$2,SUMIF('2026 T'!$F:$F,$B34,'2026 T'!L:L)/PARAMETER!$T$3,"")</f>
        <v>0</v>
      </c>
      <c r="N34" s="25">
        <f>IF(N$4&lt;=PARAMETER!$X$2,SUMIF('2026 T'!$F:$F,$B34,'2026 T'!M:M)/PARAMETER!$T$3,"")</f>
        <v>0</v>
      </c>
      <c r="O34" s="25">
        <f>IF(O$4&lt;=PARAMETER!$X$2,SUMIF('2026 T'!$F:$F,$B34,'2026 T'!N:N)/PARAMETER!$T$3,"")</f>
        <v>0</v>
      </c>
      <c r="P34" s="25">
        <f>IF(P$4&lt;=PARAMETER!$X$2,SUMIF('2026 T'!$F:$F,$B34,'2026 T'!O:O)/PARAMETER!$T$3,"")</f>
        <v>118.35276430257299</v>
      </c>
      <c r="Q34" s="25">
        <f>IF(Q$4&lt;=PARAMETER!$X$2,SUMIF('2026 T'!$F:$F,$B34,'2026 T'!P:P)/PARAMETER!$T$3,"")</f>
        <v>0</v>
      </c>
      <c r="R34" s="25">
        <f>IF(R$4&lt;=PARAMETER!$X$2,SUMIF('2026 T'!$F:$F,$B34,'2026 T'!Q:Q)/PARAMETER!$T$3,"")</f>
        <v>73.970477689107895</v>
      </c>
      <c r="S34" s="25">
        <f>IF(S$4&lt;=PARAMETER!$X$2,SUMIF('2026 T'!$F:$F,$B34,'2026 T'!R:R)/PARAMETER!$T$3,"")</f>
        <v>0</v>
      </c>
      <c r="T34" s="25">
        <f>IF(T$4&lt;=PARAMETER!$X$2,SUMIF('2026 T'!$F:$F,$B34,'2026 T'!S:S)/PARAMETER!$T$3,"")</f>
        <v>0</v>
      </c>
      <c r="U34" s="25" t="str">
        <f>IF(U$4&lt;=PARAMETER!$X$2,SUMIF('2026 T'!$F:$F,$B34,'2026 T'!T:T)/PARAMETER!$T$3,"")</f>
        <v/>
      </c>
      <c r="V34" s="25" t="str">
        <f>IF(V$4&lt;=PARAMETER!$X$2,SUMIF('2026 T'!$F:$F,$B34,'2026 T'!U:U)/PARAMETER!$T$3,"")</f>
        <v/>
      </c>
      <c r="W34" s="25" t="str">
        <f>IF(W$4&lt;=PARAMETER!$X$2,SUMIF('2026 T'!$F:$F,$B34,'2026 T'!V:V)/PARAMETER!$T$3,"")</f>
        <v/>
      </c>
      <c r="X34" s="25" t="str">
        <f>IF(X$4&lt;=PARAMETER!$X$2,SUMIF('2026 T'!$F:$F,$B34,'2026 T'!W:W)/PARAMETER!$T$3,"")</f>
        <v/>
      </c>
      <c r="Y34" s="25" t="str">
        <f>IF(Y$4&lt;=PARAMETER!$X$2,SUMIF('2026 T'!$F:$F,$B34,'2026 T'!X:X)/PARAMETER!$T$3,"")</f>
        <v/>
      </c>
      <c r="Z34" s="25" t="str">
        <f>IF(Z$4&lt;=PARAMETER!$X$2,SUMIF('2026 T'!$F:$F,$B34,'2026 T'!Y:Y)/PARAMETER!$T$3,"")</f>
        <v/>
      </c>
      <c r="AA34" s="25" t="str">
        <f>IF(AA$4&lt;=PARAMETER!$X$2,SUMIF('2026 T'!$F:$F,$B34,'2026 T'!Z:Z)/PARAMETER!$T$3,"")</f>
        <v/>
      </c>
      <c r="AB34" s="25" t="str">
        <f>IF(AB$4&lt;=PARAMETER!$X$2,SUMIF('2026 T'!$F:$F,$B34,'2026 T'!AA:AA)/PARAMETER!$T$3,"")</f>
        <v/>
      </c>
      <c r="AC34" s="25" t="str">
        <f>IF(AC$4&lt;=PARAMETER!$X$2,SUMIF('2026 T'!$F:$F,$B34,'2026 T'!AB:AB)/PARAMETER!$T$3,"")</f>
        <v/>
      </c>
      <c r="AD34" s="25" t="str">
        <f>IF(AD$4&lt;=PARAMETER!$X$2,SUMIF('2026 T'!$F:$F,$B34,'2026 T'!AC:AC)/PARAMETER!$T$3,"")</f>
        <v/>
      </c>
      <c r="AE34" s="25" t="str">
        <f>IF(AE$4&lt;=PARAMETER!$X$2,SUMIF('2026 T'!$F:$F,$B34,'2026 T'!AD:AD)/PARAMETER!$T$3,"")</f>
        <v/>
      </c>
      <c r="AF34" s="25" t="str">
        <f>IF(AF$4&lt;=PARAMETER!$X$2,SUMIF('2026 T'!$F:$F,$B34,'2026 T'!AE:AE)/PARAMETER!$T$3,"")</f>
        <v/>
      </c>
      <c r="AG34" s="25" t="str">
        <f>IF(AG$4&lt;=PARAMETER!$X$2,SUMIF('2026 T'!$F:$F,$B34,'2026 T'!AF:AF)/PARAMETER!$T$3,"")</f>
        <v/>
      </c>
      <c r="AH34" s="25" t="str">
        <f>IF(AH$4&lt;=PARAMETER!$X$2,SUMIF('2026 T'!$F:$F,$B34,'2026 T'!AG:AG)/PARAMETER!$T$3,"")</f>
        <v/>
      </c>
      <c r="AI34" s="25" t="str">
        <f>IF(AI$4&lt;=PARAMETER!$X$2,SUMIF('2026 T'!$F:$F,$B34,'2026 T'!AH:AH)/PARAMETER!$T$3,"")</f>
        <v/>
      </c>
      <c r="AJ34" s="25" t="str">
        <f>IF(AJ$4&lt;=PARAMETER!$X$2,SUMIF('2026 T'!$F:$F,$B34,'2026 T'!AI:AI)/PARAMETER!$T$3,"")</f>
        <v/>
      </c>
      <c r="AK34" s="25" t="str">
        <f>IF(AK$4&lt;=PARAMETER!$X$2,SUMIF('2026 T'!$F:$F,$B34,'2026 T'!AJ:AJ)/PARAMETER!$T$3,"")</f>
        <v/>
      </c>
      <c r="AL34" s="25" t="str">
        <f>IF(AL$4&lt;=PARAMETER!$X$2,SUMIF('2026 T'!$F:$F,$B34,'2026 T'!AK:AK)/PARAMETER!$T$3,"")</f>
        <v/>
      </c>
      <c r="AM34" s="25" t="str">
        <f>IF(AM$4&lt;=PARAMETER!$X$2,SUMIF('2026 T'!$F:$F,$B34,'2026 T'!AL:AL)/PARAMETER!$T$3,"")</f>
        <v/>
      </c>
      <c r="AN34" s="25" t="str">
        <f>IF(AN$4&lt;=PARAMETER!$X$2,SUMIF('2026 T'!$F:$F,$B34,'2026 T'!AM:AM)/PARAMETER!$T$3,"")</f>
        <v/>
      </c>
      <c r="AO34" s="25" t="str">
        <f>IF(AO$4&lt;=PARAMETER!$X$2,SUMIF('2026 T'!$F:$F,$B34,'2026 T'!AN:AN)/PARAMETER!$T$3,"")</f>
        <v/>
      </c>
      <c r="AP34" s="25" t="str">
        <f>IF(AP$4&lt;=PARAMETER!$X$2,SUMIF('2026 T'!$F:$F,$B34,'2026 T'!AO:AO)/PARAMETER!$T$3,"")</f>
        <v/>
      </c>
      <c r="AQ34" s="25" t="str">
        <f>IF(AQ$4&lt;=PARAMETER!$X$2,SUMIF('2026 T'!$F:$F,$B34,'2026 T'!AP:AP)/PARAMETER!$T$3,"")</f>
        <v/>
      </c>
      <c r="AR34" s="25" t="str">
        <f>IF(AR$4&lt;=PARAMETER!$X$2,SUMIF('2026 T'!$F:$F,$B34,'2026 T'!AQ:AQ)/PARAMETER!$T$3,"")</f>
        <v/>
      </c>
      <c r="AS34" s="25" t="str">
        <f>IF(AS$4&lt;=PARAMETER!$X$2,SUMIF('2026 T'!$F:$F,$B34,'2026 T'!AR:AR)/PARAMETER!$T$3,"")</f>
        <v/>
      </c>
      <c r="AT34" s="25" t="str">
        <f>IF(AT$4&lt;=PARAMETER!$X$2,SUMIF('2026 T'!$F:$F,$B34,'2026 T'!AS:AS)/PARAMETER!$T$3,"")</f>
        <v/>
      </c>
      <c r="AU34" s="25" t="str">
        <f>IF(AU$4&lt;=PARAMETER!$X$2,SUMIF('2026 T'!$F:$F,$B34,'2026 T'!AT:AT)/PARAMETER!$T$3,"")</f>
        <v/>
      </c>
      <c r="AV34" s="25" t="str">
        <f>IF(AV$4&lt;=PARAMETER!$X$2,SUMIF('2026 T'!$F:$F,$B34,'2026 T'!AU:AU)/PARAMETER!$T$3,"")</f>
        <v/>
      </c>
      <c r="AW34" s="25" t="str">
        <f>IF(AW$4&lt;=PARAMETER!$X$2,SUMIF('2026 T'!$F:$F,$B34,'2026 T'!AV:AV)/PARAMETER!$T$3,"")</f>
        <v/>
      </c>
      <c r="AX34" s="25" t="str">
        <f>IF(AX$4&lt;=PARAMETER!$X$2,SUMIF('2026 T'!$F:$F,$B34,'2026 T'!AW:AW)/PARAMETER!$T$3,"")</f>
        <v/>
      </c>
      <c r="AY34" s="25" t="str">
        <f>IF(AY$4&lt;=PARAMETER!$X$2,SUMIF('2026 T'!$F:$F,$B34,'2026 T'!AX:AX)/PARAMETER!$T$3,"")</f>
        <v/>
      </c>
      <c r="AZ34" s="25" t="str">
        <f>IF(AZ$4&lt;=PARAMETER!$X$2,SUMIF('2026 T'!$F:$F,$B34,'2026 T'!AY:AY)/PARAMETER!$T$3,"")</f>
        <v/>
      </c>
      <c r="BA34" s="25" t="str">
        <f>IF(BA$4&lt;=PARAMETER!$X$2,SUMIF('2026 T'!$F:$F,$B34,'2026 T'!AZ:AZ)/PARAMETER!$T$3,"")</f>
        <v/>
      </c>
      <c r="BB34" s="25" t="str">
        <f>IF(BB$4&lt;=PARAMETER!$X$2,SUMIF('2026 T'!$F:$F,$B34,'2026 T'!BA:BA)/PARAMETER!$T$3,"")</f>
        <v/>
      </c>
      <c r="BC34" s="25" t="str">
        <f>IF(BC$4&lt;=PARAMETER!$X$2,SUMIF('2026 T'!$F:$F,$B34,'2026 T'!BB:BB)/PARAMETER!$T$3,"")</f>
        <v/>
      </c>
      <c r="BD34" s="25" t="str">
        <f>IF(BD$4&lt;=PARAMETER!$X$2,SUMIF('2026 T'!$F:$F,$B34,'2026 T'!BC:BC)/PARAMETER!$T$3,"")</f>
        <v/>
      </c>
      <c r="BE34" s="25" t="str">
        <f>IF(BE$4&lt;=PARAMETER!$X$2,SUMIF('2026 T'!$F:$F,$B34,'2026 T'!BD:BD)/PARAMETER!$T$3,"")</f>
        <v/>
      </c>
      <c r="BF34" s="25" t="str">
        <f>IF(BF$4&lt;=PARAMETER!$X$2,SUMIF('2026 T'!$F:$F,$B34,'2026 T'!BE:BE)/PARAMETER!$T$3,"")</f>
        <v/>
      </c>
      <c r="BG34" s="25" t="str">
        <f>IF(BG$4&lt;=PARAMETER!$X$2,SUMIF('2026 T'!$F:$F,$B34,'2026 T'!BF:BF)/PARAMETER!$T$3,"")</f>
        <v/>
      </c>
      <c r="BH34" s="25" t="str">
        <f>IF(BH$4&lt;=PARAMETER!$X$2,SUMIF('2026 T'!$F:$F,$B34,'2026 T'!BG:BG)/PARAMETER!$T$3,"")</f>
        <v/>
      </c>
      <c r="BI34" s="25" t="str">
        <f>IF(BI$4&lt;=PARAMETER!$X$2,SUMIF('2026 T'!$F:$F,$B34,'2026 T'!BH:BH)/PARAMETER!$T$3,"")</f>
        <v/>
      </c>
      <c r="BJ34" s="25" t="str">
        <f>IF(BJ$4&lt;=PARAMETER!$X$2,SUMIF('2026 T'!$F:$F,$B34,'2026 T'!BI:BI)/PARAMETER!$T$3,"")</f>
        <v/>
      </c>
    </row>
    <row r="35" spans="1:62" x14ac:dyDescent="0.25">
      <c r="A35">
        <f t="shared" ref="A35:A36" si="39">A34</f>
        <v>6</v>
      </c>
      <c r="B35" s="78" t="str">
        <f>CONCATENATE(C35,PARAMETER!T$2)</f>
        <v>PATRA JASAVOL</v>
      </c>
      <c r="C35" s="26" t="str">
        <f t="shared" ref="C35:C37" si="40">C34</f>
        <v>PATRA JASA</v>
      </c>
      <c r="D35" s="27" t="s">
        <v>128</v>
      </c>
      <c r="E35" s="35">
        <f>IFERROR(I35/I36-1,"")</f>
        <v>5.5941738461538462</v>
      </c>
      <c r="F35" s="28">
        <f t="shared" si="38"/>
        <v>3</v>
      </c>
      <c r="G35" s="39">
        <f t="shared" si="20"/>
        <v>2026</v>
      </c>
      <c r="H35" s="40">
        <f>IF(H$4&lt;=PARAMETER!$X$2,SUMIF('2026'!$F:$F,$B35,'2026'!G:G)/PARAMETER!$T$3,"")</f>
        <v>25.717278</v>
      </c>
      <c r="I35" s="40">
        <f>IF(I$4&lt;=PARAMETER!$X$2,SUMIF('2026'!$F:$F,$B35,'2026'!H:H)/PARAMETER!$T$3,"")</f>
        <v>25.717278</v>
      </c>
      <c r="J35" s="40">
        <f>IF(J$4&lt;=PARAMETER!$X$2,SUMIF('2026'!$F:$F,$B35,'2026'!I:I)/PARAMETER!$T$3,"")</f>
        <v>1.2</v>
      </c>
      <c r="K35" s="40">
        <f>IF(K$4&lt;=PARAMETER!$X$2,SUMIF('2026'!$F:$F,$B35,'2026'!J:J)/PARAMETER!$T$3,"")</f>
        <v>4.1938599999999999</v>
      </c>
      <c r="L35" s="40">
        <f>IF(L$4&lt;=PARAMETER!$X$2,SUMIF('2026'!$F:$F,$B35,'2026'!K:K)/PARAMETER!$T$3,"")</f>
        <v>0.15873000000000001</v>
      </c>
      <c r="M35" s="40">
        <f>IF(M$4&lt;=PARAMETER!$X$2,SUMIF('2026'!$F:$F,$B35,'2026'!L:L)/PARAMETER!$T$3,"")</f>
        <v>4.8434699999999999</v>
      </c>
      <c r="N35" s="40">
        <f>IF(N$4&lt;=PARAMETER!$X$2,SUMIF('2026'!$F:$F,$B35,'2026'!M:M)/PARAMETER!$T$3,"")</f>
        <v>1.2319100000000001</v>
      </c>
      <c r="O35" s="40">
        <f>IF(O$4&lt;=PARAMETER!$X$2,SUMIF('2026'!$F:$F,$B35,'2026'!N:N)/PARAMETER!$T$3,"")</f>
        <v>6.1123079999999996</v>
      </c>
      <c r="P35" s="40">
        <f>IF(P$4&lt;=PARAMETER!$X$2,SUMIF('2026'!$F:$F,$B35,'2026'!O:O)/PARAMETER!$T$3,"")</f>
        <v>0.44</v>
      </c>
      <c r="Q35" s="40">
        <f>IF(Q$4&lt;=PARAMETER!$X$2,SUMIF('2026'!$F:$F,$B35,'2026'!P:P)/PARAMETER!$T$3,"")</f>
        <v>2.5369999999999999</v>
      </c>
      <c r="R35" s="40">
        <f>IF(R$4&lt;=PARAMETER!$X$2,SUMIF('2026'!$F:$F,$B35,'2026'!Q:Q)/PARAMETER!$T$3,"")</f>
        <v>0</v>
      </c>
      <c r="S35" s="40">
        <f>IF(S$4&lt;=PARAMETER!$X$2,SUMIF('2026'!$F:$F,$B35,'2026'!R:R)/PARAMETER!$T$3,"")</f>
        <v>0</v>
      </c>
      <c r="T35" s="40">
        <f>IF(T$4&lt;=PARAMETER!$X$2,SUMIF('2026'!$F:$F,$B35,'2026'!S:S)/PARAMETER!$T$3,"")</f>
        <v>5</v>
      </c>
      <c r="U35" s="40" t="str">
        <f>IF(U$4&lt;=PARAMETER!$X$2,SUMIF('2026'!$F:$F,$B35,'2026'!T:T)/PARAMETER!$T$3,"")</f>
        <v/>
      </c>
      <c r="V35" s="40" t="str">
        <f>IF(V$4&lt;=PARAMETER!$X$2,SUMIF('2026'!$F:$F,$B35,'2026'!U:U)/PARAMETER!$T$3,"")</f>
        <v/>
      </c>
      <c r="W35" s="40" t="str">
        <f>IF(W$4&lt;=PARAMETER!$X$2,SUMIF('2026'!$F:$F,$B35,'2026'!V:V)/PARAMETER!$T$3,"")</f>
        <v/>
      </c>
      <c r="X35" s="40" t="str">
        <f>IF(X$4&lt;=PARAMETER!$X$2,SUMIF('2026'!$F:$F,$B35,'2026'!W:W)/PARAMETER!$T$3,"")</f>
        <v/>
      </c>
      <c r="Y35" s="40" t="str">
        <f>IF(Y$4&lt;=PARAMETER!$X$2,SUMIF('2026'!$F:$F,$B35,'2026'!X:X)/PARAMETER!$T$3,"")</f>
        <v/>
      </c>
      <c r="Z35" s="40" t="str">
        <f>IF(Z$4&lt;=PARAMETER!$X$2,SUMIF('2026'!$F:$F,$B35,'2026'!Y:Y)/PARAMETER!$T$3,"")</f>
        <v/>
      </c>
      <c r="AA35" s="40" t="str">
        <f>IF(AA$4&lt;=PARAMETER!$X$2,SUMIF('2026'!$F:$F,$B35,'2026'!Z:Z)/PARAMETER!$T$3,"")</f>
        <v/>
      </c>
      <c r="AB35" s="40" t="str">
        <f>IF(AB$4&lt;=PARAMETER!$X$2,SUMIF('2026'!$F:$F,$B35,'2026'!AA:AA)/PARAMETER!$T$3,"")</f>
        <v/>
      </c>
      <c r="AC35" s="40" t="str">
        <f>IF(AC$4&lt;=PARAMETER!$X$2,SUMIF('2026'!$F:$F,$B35,'2026'!AB:AB)/PARAMETER!$T$3,"")</f>
        <v/>
      </c>
      <c r="AD35" s="40" t="str">
        <f>IF(AD$4&lt;=PARAMETER!$X$2,SUMIF('2026'!$F:$F,$B35,'2026'!AC:AC)/PARAMETER!$T$3,"")</f>
        <v/>
      </c>
      <c r="AE35" s="40" t="str">
        <f>IF(AE$4&lt;=PARAMETER!$X$2,SUMIF('2026'!$F:$F,$B35,'2026'!AD:AD)/PARAMETER!$T$3,"")</f>
        <v/>
      </c>
      <c r="AF35" s="40" t="str">
        <f>IF(AF$4&lt;=PARAMETER!$X$2,SUMIF('2026'!$F:$F,$B35,'2026'!AE:AE)/PARAMETER!$T$3,"")</f>
        <v/>
      </c>
      <c r="AG35" s="40" t="str">
        <f>IF(AG$4&lt;=PARAMETER!$X$2,SUMIF('2026'!$F:$F,$B35,'2026'!AF:AF)/PARAMETER!$T$3,"")</f>
        <v/>
      </c>
      <c r="AH35" s="40" t="str">
        <f>IF(AH$4&lt;=PARAMETER!$X$2,SUMIF('2026'!$F:$F,$B35,'2026'!AG:AG)/PARAMETER!$T$3,"")</f>
        <v/>
      </c>
      <c r="AI35" s="40" t="str">
        <f>IF(AI$4&lt;=PARAMETER!$X$2,SUMIF('2026'!$F:$F,$B35,'2026'!AH:AH)/PARAMETER!$T$3,"")</f>
        <v/>
      </c>
      <c r="AJ35" s="40" t="str">
        <f>IF(AJ$4&lt;=PARAMETER!$X$2,SUMIF('2026'!$F:$F,$B35,'2026'!AI:AI)/PARAMETER!$T$3,"")</f>
        <v/>
      </c>
      <c r="AK35" s="40" t="str">
        <f>IF(AK$4&lt;=PARAMETER!$X$2,SUMIF('2026'!$F:$F,$B35,'2026'!AJ:AJ)/PARAMETER!$T$3,"")</f>
        <v/>
      </c>
      <c r="AL35" s="40" t="str">
        <f>IF(AL$4&lt;=PARAMETER!$X$2,SUMIF('2026'!$F:$F,$B35,'2026'!AK:AK)/PARAMETER!$T$3,"")</f>
        <v/>
      </c>
      <c r="AM35" s="40" t="str">
        <f>IF(AM$4&lt;=PARAMETER!$X$2,SUMIF('2026'!$F:$F,$B35,'2026'!AL:AL)/PARAMETER!$T$3,"")</f>
        <v/>
      </c>
      <c r="AN35" s="40" t="str">
        <f>IF(AN$4&lt;=PARAMETER!$X$2,SUMIF('2026'!$F:$F,$B35,'2026'!AM:AM)/PARAMETER!$T$3,"")</f>
        <v/>
      </c>
      <c r="AO35" s="40" t="str">
        <f>IF(AO$4&lt;=PARAMETER!$X$2,SUMIF('2026'!$F:$F,$B35,'2026'!AN:AN)/PARAMETER!$T$3,"")</f>
        <v/>
      </c>
      <c r="AP35" s="40" t="str">
        <f>IF(AP$4&lt;=PARAMETER!$X$2,SUMIF('2026'!$F:$F,$B35,'2026'!AO:AO)/PARAMETER!$T$3,"")</f>
        <v/>
      </c>
      <c r="AQ35" s="40" t="str">
        <f>IF(AQ$4&lt;=PARAMETER!$X$2,SUMIF('2026'!$F:$F,$B35,'2026'!AP:AP)/PARAMETER!$T$3,"")</f>
        <v/>
      </c>
      <c r="AR35" s="40" t="str">
        <f>IF(AR$4&lt;=PARAMETER!$X$2,SUMIF('2026'!$F:$F,$B35,'2026'!AQ:AQ)/PARAMETER!$T$3,"")</f>
        <v/>
      </c>
      <c r="AS35" s="40" t="str">
        <f>IF(AS$4&lt;=PARAMETER!$X$2,SUMIF('2026'!$F:$F,$B35,'2026'!AR:AR)/PARAMETER!$T$3,"")</f>
        <v/>
      </c>
      <c r="AT35" s="40" t="str">
        <f>IF(AT$4&lt;=PARAMETER!$X$2,SUMIF('2026'!$F:$F,$B35,'2026'!AS:AS)/PARAMETER!$T$3,"")</f>
        <v/>
      </c>
      <c r="AU35" s="40" t="str">
        <f>IF(AU$4&lt;=PARAMETER!$X$2,SUMIF('2026'!$F:$F,$B35,'2026'!AT:AT)/PARAMETER!$T$3,"")</f>
        <v/>
      </c>
      <c r="AV35" s="40" t="str">
        <f>IF(AV$4&lt;=PARAMETER!$X$2,SUMIF('2026'!$F:$F,$B35,'2026'!AU:AU)/PARAMETER!$T$3,"")</f>
        <v/>
      </c>
      <c r="AW35" s="40" t="str">
        <f>IF(AW$4&lt;=PARAMETER!$X$2,SUMIF('2026'!$F:$F,$B35,'2026'!AV:AV)/PARAMETER!$T$3,"")</f>
        <v/>
      </c>
      <c r="AX35" s="40" t="str">
        <f>IF(AX$4&lt;=PARAMETER!$X$2,SUMIF('2026'!$F:$F,$B35,'2026'!AW:AW)/PARAMETER!$T$3,"")</f>
        <v/>
      </c>
      <c r="AY35" s="40" t="str">
        <f>IF(AY$4&lt;=PARAMETER!$X$2,SUMIF('2026'!$F:$F,$B35,'2026'!AX:AX)/PARAMETER!$T$3,"")</f>
        <v/>
      </c>
      <c r="AZ35" s="40" t="str">
        <f>IF(AZ$4&lt;=PARAMETER!$X$2,SUMIF('2026'!$F:$F,$B35,'2026'!AY:AY)/PARAMETER!$T$3,"")</f>
        <v/>
      </c>
      <c r="BA35" s="40" t="str">
        <f>IF(BA$4&lt;=PARAMETER!$X$2,SUMIF('2026'!$F:$F,$B35,'2026'!AZ:AZ)/PARAMETER!$T$3,"")</f>
        <v/>
      </c>
      <c r="BB35" s="40" t="str">
        <f>IF(BB$4&lt;=PARAMETER!$X$2,SUMIF('2026'!$F:$F,$B35,'2026'!BA:BA)/PARAMETER!$T$3,"")</f>
        <v/>
      </c>
      <c r="BC35" s="40" t="str">
        <f>IF(BC$4&lt;=PARAMETER!$X$2,SUMIF('2026'!$F:$F,$B35,'2026'!BB:BB)/PARAMETER!$T$3,"")</f>
        <v/>
      </c>
      <c r="BD35" s="40" t="str">
        <f>IF(BD$4&lt;=PARAMETER!$X$2,SUMIF('2026'!$F:$F,$B35,'2026'!BC:BC)/PARAMETER!$T$3,"")</f>
        <v/>
      </c>
      <c r="BE35" s="40" t="str">
        <f>IF(BE$4&lt;=PARAMETER!$X$2,SUMIF('2026'!$F:$F,$B35,'2026'!BD:BD)/PARAMETER!$T$3,"")</f>
        <v/>
      </c>
      <c r="BF35" s="40" t="str">
        <f>IF(BF$4&lt;=PARAMETER!$X$2,SUMIF('2026'!$F:$F,$B35,'2026'!BE:BE)/PARAMETER!$T$3,"")</f>
        <v/>
      </c>
      <c r="BG35" s="40" t="str">
        <f>IF(BG$4&lt;=PARAMETER!$X$2,SUMIF('2026'!$F:$F,$B35,'2026'!BF:BF)/PARAMETER!$T$3,"")</f>
        <v/>
      </c>
      <c r="BH35" s="40" t="str">
        <f>IF(BH$4&lt;=PARAMETER!$X$2,SUMIF('2026'!$F:$F,$B35,'2026'!BG:BG)/PARAMETER!$T$3,"")</f>
        <v/>
      </c>
      <c r="BI35" s="40" t="str">
        <f>IF(BI$4&lt;=PARAMETER!$X$2,SUMIF('2026'!$F:$F,$B35,'2026'!BH:BH)/PARAMETER!$T$3,"")</f>
        <v/>
      </c>
      <c r="BJ35" s="40" t="str">
        <f>IF(BJ$4&lt;=PARAMETER!$X$2,SUMIF('2026'!$F:$F,$B35,'2026'!BI:BI)/PARAMETER!$T$3,"")</f>
        <v/>
      </c>
    </row>
    <row r="36" spans="1:62" x14ac:dyDescent="0.25">
      <c r="A36">
        <f t="shared" si="39"/>
        <v>6</v>
      </c>
      <c r="B36" s="78" t="str">
        <f>CONCATENATE(C36,PARAMETER!T$2)</f>
        <v>PATRA JASAVOL</v>
      </c>
      <c r="C36" s="26" t="str">
        <f t="shared" si="40"/>
        <v>PATRA JASA</v>
      </c>
      <c r="D36" s="27" t="s">
        <v>128</v>
      </c>
      <c r="E36" s="35">
        <f>IFERROR(I36/I37-1,"")</f>
        <v>1.2941176470588234</v>
      </c>
      <c r="F36" s="28">
        <f t="shared" si="38"/>
        <v>1.2941176470588234</v>
      </c>
      <c r="G36" s="39">
        <f t="shared" si="20"/>
        <v>2025</v>
      </c>
      <c r="H36" s="40">
        <f>IF(H$4&lt;=PARAMETER!$X$2,SUMIF('2025'!$F:$F,$B36,'2025'!G:G)/PARAMETER!$T$3,"")</f>
        <v>30.519714</v>
      </c>
      <c r="I36" s="40">
        <f>IF(I$4&lt;=PARAMETER!$X$2,SUMIF('2025'!$F:$F,$B36,'2025'!H:H)/PARAMETER!$T$3,"")</f>
        <v>3.9</v>
      </c>
      <c r="J36" s="40">
        <f>IF(J$4&lt;=PARAMETER!$X$2,SUMIF('2025'!$F:$F,$B36,'2025'!I:I)/PARAMETER!$T$3,"")</f>
        <v>0</v>
      </c>
      <c r="K36" s="40">
        <f>IF(K$4&lt;=PARAMETER!$X$2,SUMIF('2025'!$F:$F,$B36,'2025'!J:J)/PARAMETER!$T$3,"")</f>
        <v>0</v>
      </c>
      <c r="L36" s="40">
        <f>IF(L$4&lt;=PARAMETER!$X$2,SUMIF('2025'!$F:$F,$B36,'2025'!K:K)/PARAMETER!$T$3,"")</f>
        <v>0</v>
      </c>
      <c r="M36" s="40">
        <f>IF(M$4&lt;=PARAMETER!$X$2,SUMIF('2025'!$F:$F,$B36,'2025'!L:L)/PARAMETER!$T$3,"")</f>
        <v>0</v>
      </c>
      <c r="N36" s="40">
        <f>IF(N$4&lt;=PARAMETER!$X$2,SUMIF('2025'!$F:$F,$B36,'2025'!M:M)/PARAMETER!$T$3,"")</f>
        <v>0</v>
      </c>
      <c r="O36" s="40">
        <f>IF(O$4&lt;=PARAMETER!$X$2,SUMIF('2025'!$F:$F,$B36,'2025'!N:N)/PARAMETER!$T$3,"")</f>
        <v>0</v>
      </c>
      <c r="P36" s="40">
        <f>IF(P$4&lt;=PARAMETER!$X$2,SUMIF('2025'!$F:$F,$B36,'2025'!O:O)/PARAMETER!$T$3,"")</f>
        <v>2.4</v>
      </c>
      <c r="Q36" s="40">
        <f>IF(Q$4&lt;=PARAMETER!$X$2,SUMIF('2025'!$F:$F,$B36,'2025'!P:P)/PARAMETER!$T$3,"")</f>
        <v>0</v>
      </c>
      <c r="R36" s="40">
        <f>IF(R$4&lt;=PARAMETER!$X$2,SUMIF('2025'!$F:$F,$B36,'2025'!Q:Q)/PARAMETER!$T$3,"")</f>
        <v>1.5</v>
      </c>
      <c r="S36" s="40">
        <f>IF(S$4&lt;=PARAMETER!$X$2,SUMIF('2025'!$F:$F,$B36,'2025'!R:R)/PARAMETER!$T$3,"")</f>
        <v>0</v>
      </c>
      <c r="T36" s="40">
        <f>IF(T$4&lt;=PARAMETER!$X$2,SUMIF('2025'!$F:$F,$B36,'2025'!S:S)/PARAMETER!$T$3,"")</f>
        <v>0</v>
      </c>
      <c r="U36" s="40" t="str">
        <f>IF(U$4&lt;=PARAMETER!$X$2,SUMIF('2025'!$F:$F,$B36,'2025'!T:T)/PARAMETER!$T$3,"")</f>
        <v/>
      </c>
      <c r="V36" s="40" t="str">
        <f>IF(V$4&lt;=PARAMETER!$X$2,SUMIF('2025'!$F:$F,$B36,'2025'!U:U)/PARAMETER!$T$3,"")</f>
        <v/>
      </c>
      <c r="W36" s="40" t="str">
        <f>IF(W$4&lt;=PARAMETER!$X$2,SUMIF('2025'!$F:$F,$B36,'2025'!V:V)/PARAMETER!$T$3,"")</f>
        <v/>
      </c>
      <c r="X36" s="40" t="str">
        <f>IF(X$4&lt;=PARAMETER!$X$2,SUMIF('2025'!$F:$F,$B36,'2025'!W:W)/PARAMETER!$T$3,"")</f>
        <v/>
      </c>
      <c r="Y36" s="40" t="str">
        <f>IF(Y$4&lt;=PARAMETER!$X$2,SUMIF('2025'!$F:$F,$B36,'2025'!X:X)/PARAMETER!$T$3,"")</f>
        <v/>
      </c>
      <c r="Z36" s="40" t="str">
        <f>IF(Z$4&lt;=PARAMETER!$X$2,SUMIF('2025'!$F:$F,$B36,'2025'!Y:Y)/PARAMETER!$T$3,"")</f>
        <v/>
      </c>
      <c r="AA36" s="40" t="str">
        <f>IF(AA$4&lt;=PARAMETER!$X$2,SUMIF('2025'!$F:$F,$B36,'2025'!Z:Z)/PARAMETER!$T$3,"")</f>
        <v/>
      </c>
      <c r="AB36" s="40" t="str">
        <f>IF(AB$4&lt;=PARAMETER!$X$2,SUMIF('2025'!$F:$F,$B36,'2025'!AA:AA)/PARAMETER!$T$3,"")</f>
        <v/>
      </c>
      <c r="AC36" s="40" t="str">
        <f>IF(AC$4&lt;=PARAMETER!$X$2,SUMIF('2025'!$F:$F,$B36,'2025'!AB:AB)/PARAMETER!$T$3,"")</f>
        <v/>
      </c>
      <c r="AD36" s="40" t="str">
        <f>IF(AD$4&lt;=PARAMETER!$X$2,SUMIF('2025'!$F:$F,$B36,'2025'!AC:AC)/PARAMETER!$T$3,"")</f>
        <v/>
      </c>
      <c r="AE36" s="40" t="str">
        <f>IF(AE$4&lt;=PARAMETER!$X$2,SUMIF('2025'!$F:$F,$B36,'2025'!AD:AD)/PARAMETER!$T$3,"")</f>
        <v/>
      </c>
      <c r="AF36" s="40" t="str">
        <f>IF(AF$4&lt;=PARAMETER!$X$2,SUMIF('2025'!$F:$F,$B36,'2025'!AE:AE)/PARAMETER!$T$3,"")</f>
        <v/>
      </c>
      <c r="AG36" s="40" t="str">
        <f>IF(AG$4&lt;=PARAMETER!$X$2,SUMIF('2025'!$F:$F,$B36,'2025'!AF:AF)/PARAMETER!$T$3,"")</f>
        <v/>
      </c>
      <c r="AH36" s="40" t="str">
        <f>IF(AH$4&lt;=PARAMETER!$X$2,SUMIF('2025'!$F:$F,$B36,'2025'!AG:AG)/PARAMETER!$T$3,"")</f>
        <v/>
      </c>
      <c r="AI36" s="40" t="str">
        <f>IF(AI$4&lt;=PARAMETER!$X$2,SUMIF('2025'!$F:$F,$B36,'2025'!AH:AH)/PARAMETER!$T$3,"")</f>
        <v/>
      </c>
      <c r="AJ36" s="40" t="str">
        <f>IF(AJ$4&lt;=PARAMETER!$X$2,SUMIF('2025'!$F:$F,$B36,'2025'!AI:AI)/PARAMETER!$T$3,"")</f>
        <v/>
      </c>
      <c r="AK36" s="40" t="str">
        <f>IF(AK$4&lt;=PARAMETER!$X$2,SUMIF('2025'!$F:$F,$B36,'2025'!AJ:AJ)/PARAMETER!$T$3,"")</f>
        <v/>
      </c>
      <c r="AL36" s="40" t="str">
        <f>IF(AL$4&lt;=PARAMETER!$X$2,SUMIF('2025'!$F:$F,$B36,'2025'!AK:AK)/PARAMETER!$T$3,"")</f>
        <v/>
      </c>
      <c r="AM36" s="40" t="str">
        <f>IF(AM$4&lt;=PARAMETER!$X$2,SUMIF('2025'!$F:$F,$B36,'2025'!AL:AL)/PARAMETER!$T$3,"")</f>
        <v/>
      </c>
      <c r="AN36" s="40" t="str">
        <f>IF(AN$4&lt;=PARAMETER!$X$2,SUMIF('2025'!$F:$F,$B36,'2025'!AM:AM)/PARAMETER!$T$3,"")</f>
        <v/>
      </c>
      <c r="AO36" s="40" t="str">
        <f>IF(AO$4&lt;=PARAMETER!$X$2,SUMIF('2025'!$F:$F,$B36,'2025'!AN:AN)/PARAMETER!$T$3,"")</f>
        <v/>
      </c>
      <c r="AP36" s="40" t="str">
        <f>IF(AP$4&lt;=PARAMETER!$X$2,SUMIF('2025'!$F:$F,$B36,'2025'!AO:AO)/PARAMETER!$T$3,"")</f>
        <v/>
      </c>
      <c r="AQ36" s="40" t="str">
        <f>IF(AQ$4&lt;=PARAMETER!$X$2,SUMIF('2025'!$F:$F,$B36,'2025'!AP:AP)/PARAMETER!$T$3,"")</f>
        <v/>
      </c>
      <c r="AR36" s="40" t="str">
        <f>IF(AR$4&lt;=PARAMETER!$X$2,SUMIF('2025'!$F:$F,$B36,'2025'!AQ:AQ)/PARAMETER!$T$3,"")</f>
        <v/>
      </c>
      <c r="AS36" s="40" t="str">
        <f>IF(AS$4&lt;=PARAMETER!$X$2,SUMIF('2025'!$F:$F,$B36,'2025'!AR:AR)/PARAMETER!$T$3,"")</f>
        <v/>
      </c>
      <c r="AT36" s="40" t="str">
        <f>IF(AT$4&lt;=PARAMETER!$X$2,SUMIF('2025'!$F:$F,$B36,'2025'!AS:AS)/PARAMETER!$T$3,"")</f>
        <v/>
      </c>
      <c r="AU36" s="40" t="str">
        <f>IF(AU$4&lt;=PARAMETER!$X$2,SUMIF('2025'!$F:$F,$B36,'2025'!AT:AT)/PARAMETER!$T$3,"")</f>
        <v/>
      </c>
      <c r="AV36" s="40" t="str">
        <f>IF(AV$4&lt;=PARAMETER!$X$2,SUMIF('2025'!$F:$F,$B36,'2025'!AU:AU)/PARAMETER!$T$3,"")</f>
        <v/>
      </c>
      <c r="AW36" s="40" t="str">
        <f>IF(AW$4&lt;=PARAMETER!$X$2,SUMIF('2025'!$F:$F,$B36,'2025'!AV:AV)/PARAMETER!$T$3,"")</f>
        <v/>
      </c>
      <c r="AX36" s="40" t="str">
        <f>IF(AX$4&lt;=PARAMETER!$X$2,SUMIF('2025'!$F:$F,$B36,'2025'!AW:AW)/PARAMETER!$T$3,"")</f>
        <v/>
      </c>
      <c r="AY36" s="40" t="str">
        <f>IF(AY$4&lt;=PARAMETER!$X$2,SUMIF('2025'!$F:$F,$B36,'2025'!AX:AX)/PARAMETER!$T$3,"")</f>
        <v/>
      </c>
      <c r="AZ36" s="40" t="str">
        <f>IF(AZ$4&lt;=PARAMETER!$X$2,SUMIF('2025'!$F:$F,$B36,'2025'!AY:AY)/PARAMETER!$T$3,"")</f>
        <v/>
      </c>
      <c r="BA36" s="40" t="str">
        <f>IF(BA$4&lt;=PARAMETER!$X$2,SUMIF('2025'!$F:$F,$B36,'2025'!AZ:AZ)/PARAMETER!$T$3,"")</f>
        <v/>
      </c>
      <c r="BB36" s="40" t="str">
        <f>IF(BB$4&lt;=PARAMETER!$X$2,SUMIF('2025'!$F:$F,$B36,'2025'!BA:BA)/PARAMETER!$T$3,"")</f>
        <v/>
      </c>
      <c r="BC36" s="40" t="str">
        <f>IF(BC$4&lt;=PARAMETER!$X$2,SUMIF('2025'!$F:$F,$B36,'2025'!BB:BB)/PARAMETER!$T$3,"")</f>
        <v/>
      </c>
      <c r="BD36" s="40" t="str">
        <f>IF(BD$4&lt;=PARAMETER!$X$2,SUMIF('2025'!$F:$F,$B36,'2025'!BC:BC)/PARAMETER!$T$3,"")</f>
        <v/>
      </c>
      <c r="BE36" s="40" t="str">
        <f>IF(BE$4&lt;=PARAMETER!$X$2,SUMIF('2025'!$F:$F,$B36,'2025'!BD:BD)/PARAMETER!$T$3,"")</f>
        <v/>
      </c>
      <c r="BF36" s="40" t="str">
        <f>IF(BF$4&lt;=PARAMETER!$X$2,SUMIF('2025'!$F:$F,$B36,'2025'!BE:BE)/PARAMETER!$T$3,"")</f>
        <v/>
      </c>
      <c r="BG36" s="40" t="str">
        <f>IF(BG$4&lt;=PARAMETER!$X$2,SUMIF('2025'!$F:$F,$B36,'2025'!BF:BF)/PARAMETER!$T$3,"")</f>
        <v/>
      </c>
      <c r="BH36" s="40" t="str">
        <f>IF(BH$4&lt;=PARAMETER!$X$2,SUMIF('2025'!$F:$F,$B36,'2025'!BG:BG)/PARAMETER!$T$3,"")</f>
        <v/>
      </c>
      <c r="BI36" s="40" t="str">
        <f>IF(BI$4&lt;=PARAMETER!$X$2,SUMIF('2025'!$F:$F,$B36,'2025'!BH:BH)/PARAMETER!$T$3,"")</f>
        <v/>
      </c>
      <c r="BJ36" s="40" t="str">
        <f>IF(BJ$4&lt;=PARAMETER!$X$2,SUMIF('2025'!$F:$F,$B36,'2025'!BI:BI)/PARAMETER!$T$3,"")</f>
        <v/>
      </c>
    </row>
    <row r="37" spans="1:62" x14ac:dyDescent="0.25">
      <c r="A37">
        <f t="shared" ref="A37" si="41">A35</f>
        <v>6</v>
      </c>
      <c r="B37" s="78" t="str">
        <f>CONCATENATE(C37,PARAMETER!T$2)</f>
        <v>PATRA JASAVOL</v>
      </c>
      <c r="C37" s="26" t="str">
        <f t="shared" si="40"/>
        <v>PATRA JASA</v>
      </c>
      <c r="D37" s="67"/>
      <c r="E37" s="68"/>
      <c r="F37" s="69"/>
      <c r="G37" s="70">
        <f t="shared" si="20"/>
        <v>2024</v>
      </c>
      <c r="H37" s="71">
        <f>IF(H$4&lt;=PARAMETER!$X$2,SUMIF('2024'!$F:$F,$B37,'2024'!G:G)/PARAMETER!$T$3,"")</f>
        <v>9.1999999999999993</v>
      </c>
      <c r="I37" s="71">
        <f>IF(I$4&lt;=PARAMETER!$X$2,SUMIF('2024'!$F:$F,$B37,'2024'!H:H)/PARAMETER!$T$3,"")</f>
        <v>1.7</v>
      </c>
      <c r="J37" s="71">
        <f>IF(J$4&lt;=PARAMETER!$X$2,SUMIF('2024'!$F:$F,$B37,'2024'!I:I)/PARAMETER!$T$3,"")</f>
        <v>1.05</v>
      </c>
      <c r="K37" s="71">
        <f>IF(K$4&lt;=PARAMETER!$X$2,SUMIF('2024'!$F:$F,$B37,'2024'!J:J)/PARAMETER!$T$3,"")</f>
        <v>0</v>
      </c>
      <c r="L37" s="71">
        <f>IF(L$4&lt;=PARAMETER!$X$2,SUMIF('2024'!$F:$F,$B37,'2024'!K:K)/PARAMETER!$T$3,"")</f>
        <v>0</v>
      </c>
      <c r="M37" s="71">
        <f>IF(M$4&lt;=PARAMETER!$X$2,SUMIF('2024'!$F:$F,$B37,'2024'!L:L)/PARAMETER!$T$3,"")</f>
        <v>0</v>
      </c>
      <c r="N37" s="71">
        <f>IF(N$4&lt;=PARAMETER!$X$2,SUMIF('2024'!$F:$F,$B37,'2024'!M:M)/PARAMETER!$T$3,"")</f>
        <v>0</v>
      </c>
      <c r="O37" s="71">
        <f>IF(O$4&lt;=PARAMETER!$X$2,SUMIF('2024'!$F:$F,$B37,'2024'!N:N)/PARAMETER!$T$3,"")</f>
        <v>0</v>
      </c>
      <c r="P37" s="71">
        <f>IF(P$4&lt;=PARAMETER!$X$2,SUMIF('2024'!$F:$F,$B37,'2024'!O:O)/PARAMETER!$T$3,"")</f>
        <v>0</v>
      </c>
      <c r="Q37" s="71">
        <f>IF(Q$4&lt;=PARAMETER!$X$2,SUMIF('2024'!$F:$F,$B37,'2024'!P:P)/PARAMETER!$T$3,"")</f>
        <v>0</v>
      </c>
      <c r="R37" s="71">
        <f>IF(R$4&lt;=PARAMETER!$X$2,SUMIF('2024'!$F:$F,$B37,'2024'!Q:Q)/PARAMETER!$T$3,"")</f>
        <v>0.65</v>
      </c>
      <c r="S37" s="71">
        <f>IF(S$4&lt;=PARAMETER!$X$2,SUMIF('2024'!$F:$F,$B37,'2024'!R:R)/PARAMETER!$T$3,"")</f>
        <v>0</v>
      </c>
      <c r="T37" s="71">
        <f>IF(T$4&lt;=PARAMETER!$X$2,SUMIF('2024'!$F:$F,$B37,'2024'!S:S)/PARAMETER!$T$3,"")</f>
        <v>0</v>
      </c>
      <c r="U37" s="71" t="str">
        <f>IF(U$4&lt;=PARAMETER!$X$2,SUMIF('2024'!$F:$F,$B37,'2024'!T:T)/PARAMETER!$T$3,"")</f>
        <v/>
      </c>
      <c r="V37" s="71" t="str">
        <f>IF(V$4&lt;=PARAMETER!$X$2,SUMIF('2024'!$F:$F,$B37,'2024'!U:U)/PARAMETER!$T$3,"")</f>
        <v/>
      </c>
      <c r="W37" s="71" t="str">
        <f>IF(W$4&lt;=PARAMETER!$X$2,SUMIF('2024'!$F:$F,$B37,'2024'!V:V)/PARAMETER!$T$3,"")</f>
        <v/>
      </c>
      <c r="X37" s="71" t="str">
        <f>IF(X$4&lt;=PARAMETER!$X$2,SUMIF('2024'!$F:$F,$B37,'2024'!W:W)/PARAMETER!$T$3,"")</f>
        <v/>
      </c>
      <c r="Y37" s="71" t="str">
        <f>IF(Y$4&lt;=PARAMETER!$X$2,SUMIF('2024'!$F:$F,$B37,'2024'!X:X)/PARAMETER!$T$3,"")</f>
        <v/>
      </c>
      <c r="Z37" s="71" t="str">
        <f>IF(Z$4&lt;=PARAMETER!$X$2,SUMIF('2024'!$F:$F,$B37,'2024'!Y:Y)/PARAMETER!$T$3,"")</f>
        <v/>
      </c>
      <c r="AA37" s="71" t="str">
        <f>IF(AA$4&lt;=PARAMETER!$X$2,SUMIF('2024'!$F:$F,$B37,'2024'!Z:Z)/PARAMETER!$T$3,"")</f>
        <v/>
      </c>
      <c r="AB37" s="71" t="str">
        <f>IF(AB$4&lt;=PARAMETER!$X$2,SUMIF('2024'!$F:$F,$B37,'2024'!AA:AA)/PARAMETER!$T$3,"")</f>
        <v/>
      </c>
      <c r="AC37" s="71" t="str">
        <f>IF(AC$4&lt;=PARAMETER!$X$2,SUMIF('2024'!$F:$F,$B37,'2024'!AB:AB)/PARAMETER!$T$3,"")</f>
        <v/>
      </c>
      <c r="AD37" s="71" t="str">
        <f>IF(AD$4&lt;=PARAMETER!$X$2,SUMIF('2024'!$F:$F,$B37,'2024'!AC:AC)/PARAMETER!$T$3,"")</f>
        <v/>
      </c>
      <c r="AE37" s="71" t="str">
        <f>IF(AE$4&lt;=PARAMETER!$X$2,SUMIF('2024'!$F:$F,$B37,'2024'!AD:AD)/PARAMETER!$T$3,"")</f>
        <v/>
      </c>
      <c r="AF37" s="71" t="str">
        <f>IF(AF$4&lt;=PARAMETER!$X$2,SUMIF('2024'!$F:$F,$B37,'2024'!AE:AE)/PARAMETER!$T$3,"")</f>
        <v/>
      </c>
      <c r="AG37" s="71" t="str">
        <f>IF(AG$4&lt;=PARAMETER!$X$2,SUMIF('2024'!$F:$F,$B37,'2024'!AF:AF)/PARAMETER!$T$3,"")</f>
        <v/>
      </c>
      <c r="AH37" s="71" t="str">
        <f>IF(AH$4&lt;=PARAMETER!$X$2,SUMIF('2024'!$F:$F,$B37,'2024'!AG:AG)/PARAMETER!$T$3,"")</f>
        <v/>
      </c>
      <c r="AI37" s="71" t="str">
        <f>IF(AI$4&lt;=PARAMETER!$X$2,SUMIF('2024'!$F:$F,$B37,'2024'!AH:AH)/PARAMETER!$T$3,"")</f>
        <v/>
      </c>
      <c r="AJ37" s="71" t="str">
        <f>IF(AJ$4&lt;=PARAMETER!$X$2,SUMIF('2024'!$F:$F,$B37,'2024'!AI:AI)/PARAMETER!$T$3,"")</f>
        <v/>
      </c>
      <c r="AK37" s="71" t="str">
        <f>IF(AK$4&lt;=PARAMETER!$X$2,SUMIF('2024'!$F:$F,$B37,'2024'!AJ:AJ)/PARAMETER!$T$3,"")</f>
        <v/>
      </c>
      <c r="AL37" s="71" t="str">
        <f>IF(AL$4&lt;=PARAMETER!$X$2,SUMIF('2024'!$F:$F,$B37,'2024'!AK:AK)/PARAMETER!$T$3,"")</f>
        <v/>
      </c>
      <c r="AM37" s="71" t="str">
        <f>IF(AM$4&lt;=PARAMETER!$X$2,SUMIF('2024'!$F:$F,$B37,'2024'!AL:AL)/PARAMETER!$T$3,"")</f>
        <v/>
      </c>
      <c r="AN37" s="71" t="str">
        <f>IF(AN$4&lt;=PARAMETER!$X$2,SUMIF('2024'!$F:$F,$B37,'2024'!AM:AM)/PARAMETER!$T$3,"")</f>
        <v/>
      </c>
      <c r="AO37" s="71" t="str">
        <f>IF(AO$4&lt;=PARAMETER!$X$2,SUMIF('2024'!$F:$F,$B37,'2024'!AN:AN)/PARAMETER!$T$3,"")</f>
        <v/>
      </c>
      <c r="AP37" s="71" t="str">
        <f>IF(AP$4&lt;=PARAMETER!$X$2,SUMIF('2024'!$F:$F,$B37,'2024'!AO:AO)/PARAMETER!$T$3,"")</f>
        <v/>
      </c>
      <c r="AQ37" s="71" t="str">
        <f>IF(AQ$4&lt;=PARAMETER!$X$2,SUMIF('2024'!$F:$F,$B37,'2024'!AP:AP)/PARAMETER!$T$3,"")</f>
        <v/>
      </c>
      <c r="AR37" s="71" t="str">
        <f>IF(AR$4&lt;=PARAMETER!$X$2,SUMIF('2024'!$F:$F,$B37,'2024'!AQ:AQ)/PARAMETER!$T$3,"")</f>
        <v/>
      </c>
      <c r="AS37" s="71" t="str">
        <f>IF(AS$4&lt;=PARAMETER!$X$2,SUMIF('2024'!$F:$F,$B37,'2024'!AR:AR)/PARAMETER!$T$3,"")</f>
        <v/>
      </c>
      <c r="AT37" s="71" t="str">
        <f>IF(AT$4&lt;=PARAMETER!$X$2,SUMIF('2024'!$F:$F,$B37,'2024'!AS:AS)/PARAMETER!$T$3,"")</f>
        <v/>
      </c>
      <c r="AU37" s="71" t="str">
        <f>IF(AU$4&lt;=PARAMETER!$X$2,SUMIF('2024'!$F:$F,$B37,'2024'!AT:AT)/PARAMETER!$T$3,"")</f>
        <v/>
      </c>
      <c r="AV37" s="71" t="str">
        <f>IF(AV$4&lt;=PARAMETER!$X$2,SUMIF('2024'!$F:$F,$B37,'2024'!AU:AU)/PARAMETER!$T$3,"")</f>
        <v/>
      </c>
      <c r="AW37" s="71" t="str">
        <f>IF(AW$4&lt;=PARAMETER!$X$2,SUMIF('2024'!$F:$F,$B37,'2024'!AV:AV)/PARAMETER!$T$3,"")</f>
        <v/>
      </c>
      <c r="AX37" s="71" t="str">
        <f>IF(AX$4&lt;=PARAMETER!$X$2,SUMIF('2024'!$F:$F,$B37,'2024'!AW:AW)/PARAMETER!$T$3,"")</f>
        <v/>
      </c>
      <c r="AY37" s="71" t="str">
        <f>IF(AY$4&lt;=PARAMETER!$X$2,SUMIF('2024'!$F:$F,$B37,'2024'!AX:AX)/PARAMETER!$T$3,"")</f>
        <v/>
      </c>
      <c r="AZ37" s="71" t="str">
        <f>IF(AZ$4&lt;=PARAMETER!$X$2,SUMIF('2024'!$F:$F,$B37,'2024'!AY:AY)/PARAMETER!$T$3,"")</f>
        <v/>
      </c>
      <c r="BA37" s="71" t="str">
        <f>IF(BA$4&lt;=PARAMETER!$X$2,SUMIF('2024'!$F:$F,$B37,'2024'!AZ:AZ)/PARAMETER!$T$3,"")</f>
        <v/>
      </c>
      <c r="BB37" s="71" t="str">
        <f>IF(BB$4&lt;=PARAMETER!$X$2,SUMIF('2024'!$F:$F,$B37,'2024'!BA:BA)/PARAMETER!$T$3,"")</f>
        <v/>
      </c>
      <c r="BC37" s="71" t="str">
        <f>IF(BC$4&lt;=PARAMETER!$X$2,SUMIF('2024'!$F:$F,$B37,'2024'!BB:BB)/PARAMETER!$T$3,"")</f>
        <v/>
      </c>
      <c r="BD37" s="71" t="str">
        <f>IF(BD$4&lt;=PARAMETER!$X$2,SUMIF('2024'!$F:$F,$B37,'2024'!BC:BC)/PARAMETER!$T$3,"")</f>
        <v/>
      </c>
      <c r="BE37" s="71" t="str">
        <f>IF(BE$4&lt;=PARAMETER!$X$2,SUMIF('2024'!$F:$F,$B37,'2024'!BD:BD)/PARAMETER!$T$3,"")</f>
        <v/>
      </c>
      <c r="BF37" s="71" t="str">
        <f>IF(BF$4&lt;=PARAMETER!$X$2,SUMIF('2024'!$F:$F,$B37,'2024'!BE:BE)/PARAMETER!$T$3,"")</f>
        <v/>
      </c>
      <c r="BG37" s="71" t="str">
        <f>IF(BG$4&lt;=PARAMETER!$X$2,SUMIF('2024'!$F:$F,$B37,'2024'!BF:BF)/PARAMETER!$T$3,"")</f>
        <v/>
      </c>
      <c r="BH37" s="71" t="str">
        <f>IF(BH$4&lt;=PARAMETER!$X$2,SUMIF('2024'!$F:$F,$B37,'2024'!BG:BG)/PARAMETER!$T$3,"")</f>
        <v/>
      </c>
      <c r="BI37" s="71" t="str">
        <f>IF(BI$4&lt;=PARAMETER!$X$2,SUMIF('2024'!$F:$F,$B37,'2024'!BH:BH)/PARAMETER!$T$3,"")</f>
        <v/>
      </c>
      <c r="BJ37" s="71" t="str">
        <f>IF(BJ$4&lt;=PARAMETER!$X$2,SUMIF('2024'!$F:$F,$B37,'2024'!BI:BI)/PARAMETER!$T$3,"")</f>
        <v/>
      </c>
    </row>
    <row r="38" spans="1:62" x14ac:dyDescent="0.25">
      <c r="A38">
        <v>7</v>
      </c>
      <c r="B38" s="78" t="str">
        <f>CONCATENATE(C38,PARAMETER!T$2)</f>
        <v>PERTAMINA RETAILVOL</v>
      </c>
      <c r="C38" s="21" t="str">
        <f>IFERROR(VLOOKUP(A38,PARAMETER!K$2:M46,3,0),"")</f>
        <v>PERTAMINA RETAIL</v>
      </c>
      <c r="D38" s="22" t="s">
        <v>127</v>
      </c>
      <c r="E38" s="37">
        <f t="shared" ref="E38" si="42">IFERROR(I39/I38,"")</f>
        <v>3.339769291428905</v>
      </c>
      <c r="F38" s="23">
        <f t="shared" ref="F38:F40" si="43">IFERROR(IF(E38&gt;300%,300%,E38),"")</f>
        <v>3</v>
      </c>
      <c r="G38" s="24" t="str">
        <f t="shared" si="20"/>
        <v>Target</v>
      </c>
      <c r="H38" s="25">
        <f>IF(H$4&lt;=PARAMETER!$X$2,SUMIF('2026 T'!$F:$F,$B38,'2026 T'!G:G)/PARAMETER!$T$3,"")</f>
        <v>11000.000000000004</v>
      </c>
      <c r="I38" s="25">
        <f>IF(I$4&lt;=PARAMETER!$X$2,SUMIF('2026 T'!$F:$F,$B38,'2026 T'!H:H)/PARAMETER!$T$3,"")</f>
        <v>1997.6670574587874</v>
      </c>
      <c r="J38" s="25">
        <f>IF(J$4&lt;=PARAMETER!$X$2,SUMIF('2026 T'!$F:$F,$B38,'2026 T'!I:I)/PARAMETER!$T$3,"")</f>
        <v>311.611177945924</v>
      </c>
      <c r="K38" s="25">
        <f>IF(K$4&lt;=PARAMETER!$X$2,SUMIF('2026 T'!$F:$F,$B38,'2026 T'!J:J)/PARAMETER!$T$3,"")</f>
        <v>399.37715805072497</v>
      </c>
      <c r="L38" s="25">
        <f>IF(L$4&lt;=PARAMETER!$X$2,SUMIF('2026 T'!$F:$F,$B38,'2026 T'!K:K)/PARAMETER!$T$3,"")</f>
        <v>216.37482488818</v>
      </c>
      <c r="M38" s="25">
        <f>IF(M$4&lt;=PARAMETER!$X$2,SUMIF('2026 T'!$F:$F,$B38,'2026 T'!L:L)/PARAMETER!$T$3,"")</f>
        <v>335.938749950952</v>
      </c>
      <c r="N38" s="25">
        <f>IF(N$4&lt;=PARAMETER!$X$2,SUMIF('2026 T'!$F:$F,$B38,'2026 T'!M:M)/PARAMETER!$T$3,"")</f>
        <v>207.35776741451599</v>
      </c>
      <c r="O38" s="25">
        <f>IF(O$4&lt;=PARAMETER!$X$2,SUMIF('2026 T'!$F:$F,$B38,'2026 T'!N:N)/PARAMETER!$T$3,"")</f>
        <v>94.057122837839401</v>
      </c>
      <c r="P38" s="25">
        <f>IF(P$4&lt;=PARAMETER!$X$2,SUMIF('2026 T'!$F:$F,$B38,'2026 T'!O:O)/PARAMETER!$T$3,"")</f>
        <v>82.112514044531707</v>
      </c>
      <c r="Q38" s="25">
        <f>IF(Q$4&lt;=PARAMETER!$X$2,SUMIF('2026 T'!$F:$F,$B38,'2026 T'!P:P)/PARAMETER!$T$3,"")</f>
        <v>282.45848349418998</v>
      </c>
      <c r="R38" s="25">
        <f>IF(R$4&lt;=PARAMETER!$X$2,SUMIF('2026 T'!$F:$F,$B38,'2026 T'!Q:Q)/PARAMETER!$T$3,"")</f>
        <v>68.379258831929405</v>
      </c>
      <c r="S38" s="25">
        <f>IF(S$4&lt;=PARAMETER!$X$2,SUMIF('2026 T'!$F:$F,$B38,'2026 T'!R:R)/PARAMETER!$T$3,"")</f>
        <v>295.01666645846495</v>
      </c>
      <c r="T38" s="25">
        <f>IF(T$4&lt;=PARAMETER!$X$2,SUMIF('2026 T'!$F:$F,$B38,'2026 T'!S:S)/PARAMETER!$T$3,"")</f>
        <v>591.36512219402903</v>
      </c>
      <c r="U38" s="25" t="str">
        <f>IF(U$4&lt;=PARAMETER!$X$2,SUMIF('2026 T'!$F:$F,$B38,'2026 T'!T:T)/PARAMETER!$T$3,"")</f>
        <v/>
      </c>
      <c r="V38" s="25" t="str">
        <f>IF(V$4&lt;=PARAMETER!$X$2,SUMIF('2026 T'!$F:$F,$B38,'2026 T'!U:U)/PARAMETER!$T$3,"")</f>
        <v/>
      </c>
      <c r="W38" s="25" t="str">
        <f>IF(W$4&lt;=PARAMETER!$X$2,SUMIF('2026 T'!$F:$F,$B38,'2026 T'!V:V)/PARAMETER!$T$3,"")</f>
        <v/>
      </c>
      <c r="X38" s="25" t="str">
        <f>IF(X$4&lt;=PARAMETER!$X$2,SUMIF('2026 T'!$F:$F,$B38,'2026 T'!W:W)/PARAMETER!$T$3,"")</f>
        <v/>
      </c>
      <c r="Y38" s="25" t="str">
        <f>IF(Y$4&lt;=PARAMETER!$X$2,SUMIF('2026 T'!$F:$F,$B38,'2026 T'!X:X)/PARAMETER!$T$3,"")</f>
        <v/>
      </c>
      <c r="Z38" s="25" t="str">
        <f>IF(Z$4&lt;=PARAMETER!$X$2,SUMIF('2026 T'!$F:$F,$B38,'2026 T'!Y:Y)/PARAMETER!$T$3,"")</f>
        <v/>
      </c>
      <c r="AA38" s="25" t="str">
        <f>IF(AA$4&lt;=PARAMETER!$X$2,SUMIF('2026 T'!$F:$F,$B38,'2026 T'!Z:Z)/PARAMETER!$T$3,"")</f>
        <v/>
      </c>
      <c r="AB38" s="25" t="str">
        <f>IF(AB$4&lt;=PARAMETER!$X$2,SUMIF('2026 T'!$F:$F,$B38,'2026 T'!AA:AA)/PARAMETER!$T$3,"")</f>
        <v/>
      </c>
      <c r="AC38" s="25" t="str">
        <f>IF(AC$4&lt;=PARAMETER!$X$2,SUMIF('2026 T'!$F:$F,$B38,'2026 T'!AB:AB)/PARAMETER!$T$3,"")</f>
        <v/>
      </c>
      <c r="AD38" s="25" t="str">
        <f>IF(AD$4&lt;=PARAMETER!$X$2,SUMIF('2026 T'!$F:$F,$B38,'2026 T'!AC:AC)/PARAMETER!$T$3,"")</f>
        <v/>
      </c>
      <c r="AE38" s="25" t="str">
        <f>IF(AE$4&lt;=PARAMETER!$X$2,SUMIF('2026 T'!$F:$F,$B38,'2026 T'!AD:AD)/PARAMETER!$T$3,"")</f>
        <v/>
      </c>
      <c r="AF38" s="25" t="str">
        <f>IF(AF$4&lt;=PARAMETER!$X$2,SUMIF('2026 T'!$F:$F,$B38,'2026 T'!AE:AE)/PARAMETER!$T$3,"")</f>
        <v/>
      </c>
      <c r="AG38" s="25" t="str">
        <f>IF(AG$4&lt;=PARAMETER!$X$2,SUMIF('2026 T'!$F:$F,$B38,'2026 T'!AF:AF)/PARAMETER!$T$3,"")</f>
        <v/>
      </c>
      <c r="AH38" s="25" t="str">
        <f>IF(AH$4&lt;=PARAMETER!$X$2,SUMIF('2026 T'!$F:$F,$B38,'2026 T'!AG:AG)/PARAMETER!$T$3,"")</f>
        <v/>
      </c>
      <c r="AI38" s="25" t="str">
        <f>IF(AI$4&lt;=PARAMETER!$X$2,SUMIF('2026 T'!$F:$F,$B38,'2026 T'!AH:AH)/PARAMETER!$T$3,"")</f>
        <v/>
      </c>
      <c r="AJ38" s="25" t="str">
        <f>IF(AJ$4&lt;=PARAMETER!$X$2,SUMIF('2026 T'!$F:$F,$B38,'2026 T'!AI:AI)/PARAMETER!$T$3,"")</f>
        <v/>
      </c>
      <c r="AK38" s="25" t="str">
        <f>IF(AK$4&lt;=PARAMETER!$X$2,SUMIF('2026 T'!$F:$F,$B38,'2026 T'!AJ:AJ)/PARAMETER!$T$3,"")</f>
        <v/>
      </c>
      <c r="AL38" s="25" t="str">
        <f>IF(AL$4&lt;=PARAMETER!$X$2,SUMIF('2026 T'!$F:$F,$B38,'2026 T'!AK:AK)/PARAMETER!$T$3,"")</f>
        <v/>
      </c>
      <c r="AM38" s="25" t="str">
        <f>IF(AM$4&lt;=PARAMETER!$X$2,SUMIF('2026 T'!$F:$F,$B38,'2026 T'!AL:AL)/PARAMETER!$T$3,"")</f>
        <v/>
      </c>
      <c r="AN38" s="25" t="str">
        <f>IF(AN$4&lt;=PARAMETER!$X$2,SUMIF('2026 T'!$F:$F,$B38,'2026 T'!AM:AM)/PARAMETER!$T$3,"")</f>
        <v/>
      </c>
      <c r="AO38" s="25" t="str">
        <f>IF(AO$4&lt;=PARAMETER!$X$2,SUMIF('2026 T'!$F:$F,$B38,'2026 T'!AN:AN)/PARAMETER!$T$3,"")</f>
        <v/>
      </c>
      <c r="AP38" s="25" t="str">
        <f>IF(AP$4&lt;=PARAMETER!$X$2,SUMIF('2026 T'!$F:$F,$B38,'2026 T'!AO:AO)/PARAMETER!$T$3,"")</f>
        <v/>
      </c>
      <c r="AQ38" s="25" t="str">
        <f>IF(AQ$4&lt;=PARAMETER!$X$2,SUMIF('2026 T'!$F:$F,$B38,'2026 T'!AP:AP)/PARAMETER!$T$3,"")</f>
        <v/>
      </c>
      <c r="AR38" s="25" t="str">
        <f>IF(AR$4&lt;=PARAMETER!$X$2,SUMIF('2026 T'!$F:$F,$B38,'2026 T'!AQ:AQ)/PARAMETER!$T$3,"")</f>
        <v/>
      </c>
      <c r="AS38" s="25" t="str">
        <f>IF(AS$4&lt;=PARAMETER!$X$2,SUMIF('2026 T'!$F:$F,$B38,'2026 T'!AR:AR)/PARAMETER!$T$3,"")</f>
        <v/>
      </c>
      <c r="AT38" s="25" t="str">
        <f>IF(AT$4&lt;=PARAMETER!$X$2,SUMIF('2026 T'!$F:$F,$B38,'2026 T'!AS:AS)/PARAMETER!$T$3,"")</f>
        <v/>
      </c>
      <c r="AU38" s="25" t="str">
        <f>IF(AU$4&lt;=PARAMETER!$X$2,SUMIF('2026 T'!$F:$F,$B38,'2026 T'!AT:AT)/PARAMETER!$T$3,"")</f>
        <v/>
      </c>
      <c r="AV38" s="25" t="str">
        <f>IF(AV$4&lt;=PARAMETER!$X$2,SUMIF('2026 T'!$F:$F,$B38,'2026 T'!AU:AU)/PARAMETER!$T$3,"")</f>
        <v/>
      </c>
      <c r="AW38" s="25" t="str">
        <f>IF(AW$4&lt;=PARAMETER!$X$2,SUMIF('2026 T'!$F:$F,$B38,'2026 T'!AV:AV)/PARAMETER!$T$3,"")</f>
        <v/>
      </c>
      <c r="AX38" s="25" t="str">
        <f>IF(AX$4&lt;=PARAMETER!$X$2,SUMIF('2026 T'!$F:$F,$B38,'2026 T'!AW:AW)/PARAMETER!$T$3,"")</f>
        <v/>
      </c>
      <c r="AY38" s="25" t="str">
        <f>IF(AY$4&lt;=PARAMETER!$X$2,SUMIF('2026 T'!$F:$F,$B38,'2026 T'!AX:AX)/PARAMETER!$T$3,"")</f>
        <v/>
      </c>
      <c r="AZ38" s="25" t="str">
        <f>IF(AZ$4&lt;=PARAMETER!$X$2,SUMIF('2026 T'!$F:$F,$B38,'2026 T'!AY:AY)/PARAMETER!$T$3,"")</f>
        <v/>
      </c>
      <c r="BA38" s="25" t="str">
        <f>IF(BA$4&lt;=PARAMETER!$X$2,SUMIF('2026 T'!$F:$F,$B38,'2026 T'!AZ:AZ)/PARAMETER!$T$3,"")</f>
        <v/>
      </c>
      <c r="BB38" s="25" t="str">
        <f>IF(BB$4&lt;=PARAMETER!$X$2,SUMIF('2026 T'!$F:$F,$B38,'2026 T'!BA:BA)/PARAMETER!$T$3,"")</f>
        <v/>
      </c>
      <c r="BC38" s="25" t="str">
        <f>IF(BC$4&lt;=PARAMETER!$X$2,SUMIF('2026 T'!$F:$F,$B38,'2026 T'!BB:BB)/PARAMETER!$T$3,"")</f>
        <v/>
      </c>
      <c r="BD38" s="25" t="str">
        <f>IF(BD$4&lt;=PARAMETER!$X$2,SUMIF('2026 T'!$F:$F,$B38,'2026 T'!BC:BC)/PARAMETER!$T$3,"")</f>
        <v/>
      </c>
      <c r="BE38" s="25" t="str">
        <f>IF(BE$4&lt;=PARAMETER!$X$2,SUMIF('2026 T'!$F:$F,$B38,'2026 T'!BD:BD)/PARAMETER!$T$3,"")</f>
        <v/>
      </c>
      <c r="BF38" s="25" t="str">
        <f>IF(BF$4&lt;=PARAMETER!$X$2,SUMIF('2026 T'!$F:$F,$B38,'2026 T'!BE:BE)/PARAMETER!$T$3,"")</f>
        <v/>
      </c>
      <c r="BG38" s="25" t="str">
        <f>IF(BG$4&lt;=PARAMETER!$X$2,SUMIF('2026 T'!$F:$F,$B38,'2026 T'!BF:BF)/PARAMETER!$T$3,"")</f>
        <v/>
      </c>
      <c r="BH38" s="25" t="str">
        <f>IF(BH$4&lt;=PARAMETER!$X$2,SUMIF('2026 T'!$F:$F,$B38,'2026 T'!BG:BG)/PARAMETER!$T$3,"")</f>
        <v/>
      </c>
      <c r="BI38" s="25" t="str">
        <f>IF(BI$4&lt;=PARAMETER!$X$2,SUMIF('2026 T'!$F:$F,$B38,'2026 T'!BH:BH)/PARAMETER!$T$3,"")</f>
        <v/>
      </c>
      <c r="BJ38" s="25" t="str">
        <f>IF(BJ$4&lt;=PARAMETER!$X$2,SUMIF('2026 T'!$F:$F,$B38,'2026 T'!BI:BI)/PARAMETER!$T$3,"")</f>
        <v/>
      </c>
    </row>
    <row r="39" spans="1:62" x14ac:dyDescent="0.25">
      <c r="A39">
        <f t="shared" ref="A39:A40" si="44">A38</f>
        <v>7</v>
      </c>
      <c r="B39" s="78" t="str">
        <f>CONCATENATE(C39,PARAMETER!T$2)</f>
        <v>PERTAMINA RETAILVOL</v>
      </c>
      <c r="C39" s="26" t="str">
        <f t="shared" ref="C39:C41" si="45">C38</f>
        <v>PERTAMINA RETAIL</v>
      </c>
      <c r="D39" s="27" t="s">
        <v>128</v>
      </c>
      <c r="E39" s="35">
        <f t="shared" ref="E39:E40" si="46">IFERROR(I39/I40-1,"")</f>
        <v>0.39148387189171929</v>
      </c>
      <c r="F39" s="28">
        <f t="shared" si="43"/>
        <v>0.39148387189171929</v>
      </c>
      <c r="G39" s="39">
        <f t="shared" si="20"/>
        <v>2026</v>
      </c>
      <c r="H39" s="40">
        <f>IF(H$4&lt;=PARAMETER!$X$2,SUMIF('2026'!$F:$F,$B39,'2026'!G:G)/PARAMETER!$T$3,"")</f>
        <v>6671.7470929999999</v>
      </c>
      <c r="I39" s="40">
        <f>IF(I$4&lt;=PARAMETER!$X$2,SUMIF('2026'!$F:$F,$B39,'2026'!H:H)/PARAMETER!$T$3,"")</f>
        <v>6671.7470929999999</v>
      </c>
      <c r="J39" s="40">
        <f>IF(J$4&lt;=PARAMETER!$X$2,SUMIF('2026'!$F:$F,$B39,'2026'!I:I)/PARAMETER!$T$3,"")</f>
        <v>139.77291</v>
      </c>
      <c r="K39" s="40">
        <f>IF(K$4&lt;=PARAMETER!$X$2,SUMIF('2026'!$F:$F,$B39,'2026'!J:J)/PARAMETER!$T$3,"")</f>
        <v>230.425399</v>
      </c>
      <c r="L39" s="40">
        <f>IF(L$4&lt;=PARAMETER!$X$2,SUMIF('2026'!$F:$F,$B39,'2026'!K:K)/PARAMETER!$T$3,"")</f>
        <v>244.361458</v>
      </c>
      <c r="M39" s="40">
        <f>IF(M$4&lt;=PARAMETER!$X$2,SUMIF('2026'!$F:$F,$B39,'2026'!L:L)/PARAMETER!$T$3,"")</f>
        <v>302.56896</v>
      </c>
      <c r="N39" s="40">
        <f>IF(N$4&lt;=PARAMETER!$X$2,SUMIF('2026'!$F:$F,$B39,'2026'!M:M)/PARAMETER!$T$3,"")</f>
        <v>599.81973300000004</v>
      </c>
      <c r="O39" s="40">
        <f>IF(O$4&lt;=PARAMETER!$X$2,SUMIF('2026'!$F:$F,$B39,'2026'!N:N)/PARAMETER!$T$3,"")</f>
        <v>877.52337</v>
      </c>
      <c r="P39" s="40">
        <f>IF(P$4&lt;=PARAMETER!$X$2,SUMIF('2026'!$F:$F,$B39,'2026'!O:O)/PARAMETER!$T$3,"")</f>
        <v>1182.00784</v>
      </c>
      <c r="Q39" s="40">
        <f>IF(Q$4&lt;=PARAMETER!$X$2,SUMIF('2026'!$F:$F,$B39,'2026'!P:P)/PARAMETER!$T$3,"")</f>
        <v>776.97492599999998</v>
      </c>
      <c r="R39" s="40">
        <f>IF(R$4&lt;=PARAMETER!$X$2,SUMIF('2026'!$F:$F,$B39,'2026'!Q:Q)/PARAMETER!$T$3,"")</f>
        <v>711.55775900000003</v>
      </c>
      <c r="S39" s="40">
        <f>IF(S$4&lt;=PARAMETER!$X$2,SUMIF('2026'!$F:$F,$B39,'2026'!R:R)/PARAMETER!$T$3,"")</f>
        <v>870.96834899999999</v>
      </c>
      <c r="T39" s="40">
        <f>IF(T$4&lt;=PARAMETER!$X$2,SUMIF('2026'!$F:$F,$B39,'2026'!S:S)/PARAMETER!$T$3,"")</f>
        <v>735.766389</v>
      </c>
      <c r="U39" s="40" t="str">
        <f>IF(U$4&lt;=PARAMETER!$X$2,SUMIF('2026'!$F:$F,$B39,'2026'!T:T)/PARAMETER!$T$3,"")</f>
        <v/>
      </c>
      <c r="V39" s="40" t="str">
        <f>IF(V$4&lt;=PARAMETER!$X$2,SUMIF('2026'!$F:$F,$B39,'2026'!U:U)/PARAMETER!$T$3,"")</f>
        <v/>
      </c>
      <c r="W39" s="40" t="str">
        <f>IF(W$4&lt;=PARAMETER!$X$2,SUMIF('2026'!$F:$F,$B39,'2026'!V:V)/PARAMETER!$T$3,"")</f>
        <v/>
      </c>
      <c r="X39" s="40" t="str">
        <f>IF(X$4&lt;=PARAMETER!$X$2,SUMIF('2026'!$F:$F,$B39,'2026'!W:W)/PARAMETER!$T$3,"")</f>
        <v/>
      </c>
      <c r="Y39" s="40" t="str">
        <f>IF(Y$4&lt;=PARAMETER!$X$2,SUMIF('2026'!$F:$F,$B39,'2026'!X:X)/PARAMETER!$T$3,"")</f>
        <v/>
      </c>
      <c r="Z39" s="40" t="str">
        <f>IF(Z$4&lt;=PARAMETER!$X$2,SUMIF('2026'!$F:$F,$B39,'2026'!Y:Y)/PARAMETER!$T$3,"")</f>
        <v/>
      </c>
      <c r="AA39" s="40" t="str">
        <f>IF(AA$4&lt;=PARAMETER!$X$2,SUMIF('2026'!$F:$F,$B39,'2026'!Z:Z)/PARAMETER!$T$3,"")</f>
        <v/>
      </c>
      <c r="AB39" s="40" t="str">
        <f>IF(AB$4&lt;=PARAMETER!$X$2,SUMIF('2026'!$F:$F,$B39,'2026'!AA:AA)/PARAMETER!$T$3,"")</f>
        <v/>
      </c>
      <c r="AC39" s="40" t="str">
        <f>IF(AC$4&lt;=PARAMETER!$X$2,SUMIF('2026'!$F:$F,$B39,'2026'!AB:AB)/PARAMETER!$T$3,"")</f>
        <v/>
      </c>
      <c r="AD39" s="40" t="str">
        <f>IF(AD$4&lt;=PARAMETER!$X$2,SUMIF('2026'!$F:$F,$B39,'2026'!AC:AC)/PARAMETER!$T$3,"")</f>
        <v/>
      </c>
      <c r="AE39" s="40" t="str">
        <f>IF(AE$4&lt;=PARAMETER!$X$2,SUMIF('2026'!$F:$F,$B39,'2026'!AD:AD)/PARAMETER!$T$3,"")</f>
        <v/>
      </c>
      <c r="AF39" s="40" t="str">
        <f>IF(AF$4&lt;=PARAMETER!$X$2,SUMIF('2026'!$F:$F,$B39,'2026'!AE:AE)/PARAMETER!$T$3,"")</f>
        <v/>
      </c>
      <c r="AG39" s="40" t="str">
        <f>IF(AG$4&lt;=PARAMETER!$X$2,SUMIF('2026'!$F:$F,$B39,'2026'!AF:AF)/PARAMETER!$T$3,"")</f>
        <v/>
      </c>
      <c r="AH39" s="40" t="str">
        <f>IF(AH$4&lt;=PARAMETER!$X$2,SUMIF('2026'!$F:$F,$B39,'2026'!AG:AG)/PARAMETER!$T$3,"")</f>
        <v/>
      </c>
      <c r="AI39" s="40" t="str">
        <f>IF(AI$4&lt;=PARAMETER!$X$2,SUMIF('2026'!$F:$F,$B39,'2026'!AH:AH)/PARAMETER!$T$3,"")</f>
        <v/>
      </c>
      <c r="AJ39" s="40" t="str">
        <f>IF(AJ$4&lt;=PARAMETER!$X$2,SUMIF('2026'!$F:$F,$B39,'2026'!AI:AI)/PARAMETER!$T$3,"")</f>
        <v/>
      </c>
      <c r="AK39" s="40" t="str">
        <f>IF(AK$4&lt;=PARAMETER!$X$2,SUMIF('2026'!$F:$F,$B39,'2026'!AJ:AJ)/PARAMETER!$T$3,"")</f>
        <v/>
      </c>
      <c r="AL39" s="40" t="str">
        <f>IF(AL$4&lt;=PARAMETER!$X$2,SUMIF('2026'!$F:$F,$B39,'2026'!AK:AK)/PARAMETER!$T$3,"")</f>
        <v/>
      </c>
      <c r="AM39" s="40" t="str">
        <f>IF(AM$4&lt;=PARAMETER!$X$2,SUMIF('2026'!$F:$F,$B39,'2026'!AL:AL)/PARAMETER!$T$3,"")</f>
        <v/>
      </c>
      <c r="AN39" s="40" t="str">
        <f>IF(AN$4&lt;=PARAMETER!$X$2,SUMIF('2026'!$F:$F,$B39,'2026'!AM:AM)/PARAMETER!$T$3,"")</f>
        <v/>
      </c>
      <c r="AO39" s="40" t="str">
        <f>IF(AO$4&lt;=PARAMETER!$X$2,SUMIF('2026'!$F:$F,$B39,'2026'!AN:AN)/PARAMETER!$T$3,"")</f>
        <v/>
      </c>
      <c r="AP39" s="40" t="str">
        <f>IF(AP$4&lt;=PARAMETER!$X$2,SUMIF('2026'!$F:$F,$B39,'2026'!AO:AO)/PARAMETER!$T$3,"")</f>
        <v/>
      </c>
      <c r="AQ39" s="40" t="str">
        <f>IF(AQ$4&lt;=PARAMETER!$X$2,SUMIF('2026'!$F:$F,$B39,'2026'!AP:AP)/PARAMETER!$T$3,"")</f>
        <v/>
      </c>
      <c r="AR39" s="40" t="str">
        <f>IF(AR$4&lt;=PARAMETER!$X$2,SUMIF('2026'!$F:$F,$B39,'2026'!AQ:AQ)/PARAMETER!$T$3,"")</f>
        <v/>
      </c>
      <c r="AS39" s="40" t="str">
        <f>IF(AS$4&lt;=PARAMETER!$X$2,SUMIF('2026'!$F:$F,$B39,'2026'!AR:AR)/PARAMETER!$T$3,"")</f>
        <v/>
      </c>
      <c r="AT39" s="40" t="str">
        <f>IF(AT$4&lt;=PARAMETER!$X$2,SUMIF('2026'!$F:$F,$B39,'2026'!AS:AS)/PARAMETER!$T$3,"")</f>
        <v/>
      </c>
      <c r="AU39" s="40" t="str">
        <f>IF(AU$4&lt;=PARAMETER!$X$2,SUMIF('2026'!$F:$F,$B39,'2026'!AT:AT)/PARAMETER!$T$3,"")</f>
        <v/>
      </c>
      <c r="AV39" s="40" t="str">
        <f>IF(AV$4&lt;=PARAMETER!$X$2,SUMIF('2026'!$F:$F,$B39,'2026'!AU:AU)/PARAMETER!$T$3,"")</f>
        <v/>
      </c>
      <c r="AW39" s="40" t="str">
        <f>IF(AW$4&lt;=PARAMETER!$X$2,SUMIF('2026'!$F:$F,$B39,'2026'!AV:AV)/PARAMETER!$T$3,"")</f>
        <v/>
      </c>
      <c r="AX39" s="40" t="str">
        <f>IF(AX$4&lt;=PARAMETER!$X$2,SUMIF('2026'!$F:$F,$B39,'2026'!AW:AW)/PARAMETER!$T$3,"")</f>
        <v/>
      </c>
      <c r="AY39" s="40" t="str">
        <f>IF(AY$4&lt;=PARAMETER!$X$2,SUMIF('2026'!$F:$F,$B39,'2026'!AX:AX)/PARAMETER!$T$3,"")</f>
        <v/>
      </c>
      <c r="AZ39" s="40" t="str">
        <f>IF(AZ$4&lt;=PARAMETER!$X$2,SUMIF('2026'!$F:$F,$B39,'2026'!AY:AY)/PARAMETER!$T$3,"")</f>
        <v/>
      </c>
      <c r="BA39" s="40" t="str">
        <f>IF(BA$4&lt;=PARAMETER!$X$2,SUMIF('2026'!$F:$F,$B39,'2026'!AZ:AZ)/PARAMETER!$T$3,"")</f>
        <v/>
      </c>
      <c r="BB39" s="40" t="str">
        <f>IF(BB$4&lt;=PARAMETER!$X$2,SUMIF('2026'!$F:$F,$B39,'2026'!BA:BA)/PARAMETER!$T$3,"")</f>
        <v/>
      </c>
      <c r="BC39" s="40" t="str">
        <f>IF(BC$4&lt;=PARAMETER!$X$2,SUMIF('2026'!$F:$F,$B39,'2026'!BB:BB)/PARAMETER!$T$3,"")</f>
        <v/>
      </c>
      <c r="BD39" s="40" t="str">
        <f>IF(BD$4&lt;=PARAMETER!$X$2,SUMIF('2026'!$F:$F,$B39,'2026'!BC:BC)/PARAMETER!$T$3,"")</f>
        <v/>
      </c>
      <c r="BE39" s="40" t="str">
        <f>IF(BE$4&lt;=PARAMETER!$X$2,SUMIF('2026'!$F:$F,$B39,'2026'!BD:BD)/PARAMETER!$T$3,"")</f>
        <v/>
      </c>
      <c r="BF39" s="40" t="str">
        <f>IF(BF$4&lt;=PARAMETER!$X$2,SUMIF('2026'!$F:$F,$B39,'2026'!BE:BE)/PARAMETER!$T$3,"")</f>
        <v/>
      </c>
      <c r="BG39" s="40" t="str">
        <f>IF(BG$4&lt;=PARAMETER!$X$2,SUMIF('2026'!$F:$F,$B39,'2026'!BF:BF)/PARAMETER!$T$3,"")</f>
        <v/>
      </c>
      <c r="BH39" s="40" t="str">
        <f>IF(BH$4&lt;=PARAMETER!$X$2,SUMIF('2026'!$F:$F,$B39,'2026'!BG:BG)/PARAMETER!$T$3,"")</f>
        <v/>
      </c>
      <c r="BI39" s="40" t="str">
        <f>IF(BI$4&lt;=PARAMETER!$X$2,SUMIF('2026'!$F:$F,$B39,'2026'!BH:BH)/PARAMETER!$T$3,"")</f>
        <v/>
      </c>
      <c r="BJ39" s="40" t="str">
        <f>IF(BJ$4&lt;=PARAMETER!$X$2,SUMIF('2026'!$F:$F,$B39,'2026'!BI:BI)/PARAMETER!$T$3,"")</f>
        <v/>
      </c>
    </row>
    <row r="40" spans="1:62" x14ac:dyDescent="0.25">
      <c r="A40">
        <f t="shared" si="44"/>
        <v>7</v>
      </c>
      <c r="B40" s="78" t="str">
        <f>CONCATENATE(C40,PARAMETER!T$2)</f>
        <v>PERTAMINA RETAILVOL</v>
      </c>
      <c r="C40" s="26" t="str">
        <f t="shared" si="45"/>
        <v>PERTAMINA RETAIL</v>
      </c>
      <c r="D40" s="27" t="s">
        <v>128</v>
      </c>
      <c r="E40" s="35">
        <f t="shared" si="46"/>
        <v>-0.94984961787666788</v>
      </c>
      <c r="F40" s="28">
        <f t="shared" si="43"/>
        <v>-0.94984961787666788</v>
      </c>
      <c r="G40" s="39">
        <f t="shared" si="20"/>
        <v>2025</v>
      </c>
      <c r="H40" s="40">
        <f>IF(H$4&lt;=PARAMETER!$X$2,SUMIF('2025'!$F:$F,$B40,'2025'!G:G)/PARAMETER!$T$3,"")</f>
        <v>22081.732248</v>
      </c>
      <c r="I40" s="40">
        <f>IF(I$4&lt;=PARAMETER!$X$2,SUMIF('2025'!$F:$F,$B40,'2025'!H:H)/PARAMETER!$T$3,"")</f>
        <v>4794.6995489999999</v>
      </c>
      <c r="J40" s="40">
        <f>IF(J$4&lt;=PARAMETER!$X$2,SUMIF('2025'!$F:$F,$B40,'2025'!I:I)/PARAMETER!$T$3,"")</f>
        <v>396.86497800000001</v>
      </c>
      <c r="K40" s="40">
        <f>IF(K$4&lt;=PARAMETER!$X$2,SUMIF('2025'!$F:$F,$B40,'2025'!J:J)/PARAMETER!$T$3,"")</f>
        <v>354.41241300000002</v>
      </c>
      <c r="L40" s="40">
        <f>IF(L$4&lt;=PARAMETER!$X$2,SUMIF('2025'!$F:$F,$B40,'2025'!K:K)/PARAMETER!$T$3,"")</f>
        <v>315.16084799999999</v>
      </c>
      <c r="M40" s="40">
        <f>IF(M$4&lt;=PARAMETER!$X$2,SUMIF('2025'!$F:$F,$B40,'2025'!L:L)/PARAMETER!$T$3,"")</f>
        <v>332.07451700000001</v>
      </c>
      <c r="N40" s="40">
        <f>IF(N$4&lt;=PARAMETER!$X$2,SUMIF('2025'!$F:$F,$B40,'2025'!M:M)/PARAMETER!$T$3,"")</f>
        <v>325.219066</v>
      </c>
      <c r="O40" s="40">
        <f>IF(O$4&lt;=PARAMETER!$X$2,SUMIF('2025'!$F:$F,$B40,'2025'!N:N)/PARAMETER!$T$3,"")</f>
        <v>369.19669399999998</v>
      </c>
      <c r="P40" s="40">
        <f>IF(P$4&lt;=PARAMETER!$X$2,SUMIF('2025'!$F:$F,$B40,'2025'!O:O)/PARAMETER!$T$3,"")</f>
        <v>330.073419</v>
      </c>
      <c r="Q40" s="40">
        <f>IF(Q$4&lt;=PARAMETER!$X$2,SUMIF('2025'!$F:$F,$B40,'2025'!P:P)/PARAMETER!$T$3,"")</f>
        <v>752.60339099999999</v>
      </c>
      <c r="R40" s="40">
        <f>IF(R$4&lt;=PARAMETER!$X$2,SUMIF('2025'!$F:$F,$B40,'2025'!Q:Q)/PARAMETER!$T$3,"")</f>
        <v>555.92030999999997</v>
      </c>
      <c r="S40" s="40">
        <f>IF(S$4&lt;=PARAMETER!$X$2,SUMIF('2025'!$F:$F,$B40,'2025'!R:R)/PARAMETER!$T$3,"")</f>
        <v>532.78059199999996</v>
      </c>
      <c r="T40" s="40">
        <f>IF(T$4&lt;=PARAMETER!$X$2,SUMIF('2025'!$F:$F,$B40,'2025'!S:S)/PARAMETER!$T$3,"")</f>
        <v>530.39332100000001</v>
      </c>
      <c r="U40" s="40" t="str">
        <f>IF(U$4&lt;=PARAMETER!$X$2,SUMIF('2025'!$F:$F,$B40,'2025'!T:T)/PARAMETER!$T$3,"")</f>
        <v/>
      </c>
      <c r="V40" s="40" t="str">
        <f>IF(V$4&lt;=PARAMETER!$X$2,SUMIF('2025'!$F:$F,$B40,'2025'!U:U)/PARAMETER!$T$3,"")</f>
        <v/>
      </c>
      <c r="W40" s="40" t="str">
        <f>IF(W$4&lt;=PARAMETER!$X$2,SUMIF('2025'!$F:$F,$B40,'2025'!V:V)/PARAMETER!$T$3,"")</f>
        <v/>
      </c>
      <c r="X40" s="40" t="str">
        <f>IF(X$4&lt;=PARAMETER!$X$2,SUMIF('2025'!$F:$F,$B40,'2025'!W:W)/PARAMETER!$T$3,"")</f>
        <v/>
      </c>
      <c r="Y40" s="40" t="str">
        <f>IF(Y$4&lt;=PARAMETER!$X$2,SUMIF('2025'!$F:$F,$B40,'2025'!X:X)/PARAMETER!$T$3,"")</f>
        <v/>
      </c>
      <c r="Z40" s="40" t="str">
        <f>IF(Z$4&lt;=PARAMETER!$X$2,SUMIF('2025'!$F:$F,$B40,'2025'!Y:Y)/PARAMETER!$T$3,"")</f>
        <v/>
      </c>
      <c r="AA40" s="40" t="str">
        <f>IF(AA$4&lt;=PARAMETER!$X$2,SUMIF('2025'!$F:$F,$B40,'2025'!Z:Z)/PARAMETER!$T$3,"")</f>
        <v/>
      </c>
      <c r="AB40" s="40" t="str">
        <f>IF(AB$4&lt;=PARAMETER!$X$2,SUMIF('2025'!$F:$F,$B40,'2025'!AA:AA)/PARAMETER!$T$3,"")</f>
        <v/>
      </c>
      <c r="AC40" s="40" t="str">
        <f>IF(AC$4&lt;=PARAMETER!$X$2,SUMIF('2025'!$F:$F,$B40,'2025'!AB:AB)/PARAMETER!$T$3,"")</f>
        <v/>
      </c>
      <c r="AD40" s="40" t="str">
        <f>IF(AD$4&lt;=PARAMETER!$X$2,SUMIF('2025'!$F:$F,$B40,'2025'!AC:AC)/PARAMETER!$T$3,"")</f>
        <v/>
      </c>
      <c r="AE40" s="40" t="str">
        <f>IF(AE$4&lt;=PARAMETER!$X$2,SUMIF('2025'!$F:$F,$B40,'2025'!AD:AD)/PARAMETER!$T$3,"")</f>
        <v/>
      </c>
      <c r="AF40" s="40" t="str">
        <f>IF(AF$4&lt;=PARAMETER!$X$2,SUMIF('2025'!$F:$F,$B40,'2025'!AE:AE)/PARAMETER!$T$3,"")</f>
        <v/>
      </c>
      <c r="AG40" s="40" t="str">
        <f>IF(AG$4&lt;=PARAMETER!$X$2,SUMIF('2025'!$F:$F,$B40,'2025'!AF:AF)/PARAMETER!$T$3,"")</f>
        <v/>
      </c>
      <c r="AH40" s="40" t="str">
        <f>IF(AH$4&lt;=PARAMETER!$X$2,SUMIF('2025'!$F:$F,$B40,'2025'!AG:AG)/PARAMETER!$T$3,"")</f>
        <v/>
      </c>
      <c r="AI40" s="40" t="str">
        <f>IF(AI$4&lt;=PARAMETER!$X$2,SUMIF('2025'!$F:$F,$B40,'2025'!AH:AH)/PARAMETER!$T$3,"")</f>
        <v/>
      </c>
      <c r="AJ40" s="40" t="str">
        <f>IF(AJ$4&lt;=PARAMETER!$X$2,SUMIF('2025'!$F:$F,$B40,'2025'!AI:AI)/PARAMETER!$T$3,"")</f>
        <v/>
      </c>
      <c r="AK40" s="40" t="str">
        <f>IF(AK$4&lt;=PARAMETER!$X$2,SUMIF('2025'!$F:$F,$B40,'2025'!AJ:AJ)/PARAMETER!$T$3,"")</f>
        <v/>
      </c>
      <c r="AL40" s="40" t="str">
        <f>IF(AL$4&lt;=PARAMETER!$X$2,SUMIF('2025'!$F:$F,$B40,'2025'!AK:AK)/PARAMETER!$T$3,"")</f>
        <v/>
      </c>
      <c r="AM40" s="40" t="str">
        <f>IF(AM$4&lt;=PARAMETER!$X$2,SUMIF('2025'!$F:$F,$B40,'2025'!AL:AL)/PARAMETER!$T$3,"")</f>
        <v/>
      </c>
      <c r="AN40" s="40" t="str">
        <f>IF(AN$4&lt;=PARAMETER!$X$2,SUMIF('2025'!$F:$F,$B40,'2025'!AM:AM)/PARAMETER!$T$3,"")</f>
        <v/>
      </c>
      <c r="AO40" s="40" t="str">
        <f>IF(AO$4&lt;=PARAMETER!$X$2,SUMIF('2025'!$F:$F,$B40,'2025'!AN:AN)/PARAMETER!$T$3,"")</f>
        <v/>
      </c>
      <c r="AP40" s="40" t="str">
        <f>IF(AP$4&lt;=PARAMETER!$X$2,SUMIF('2025'!$F:$F,$B40,'2025'!AO:AO)/PARAMETER!$T$3,"")</f>
        <v/>
      </c>
      <c r="AQ40" s="40" t="str">
        <f>IF(AQ$4&lt;=PARAMETER!$X$2,SUMIF('2025'!$F:$F,$B40,'2025'!AP:AP)/PARAMETER!$T$3,"")</f>
        <v/>
      </c>
      <c r="AR40" s="40" t="str">
        <f>IF(AR$4&lt;=PARAMETER!$X$2,SUMIF('2025'!$F:$F,$B40,'2025'!AQ:AQ)/PARAMETER!$T$3,"")</f>
        <v/>
      </c>
      <c r="AS40" s="40" t="str">
        <f>IF(AS$4&lt;=PARAMETER!$X$2,SUMIF('2025'!$F:$F,$B40,'2025'!AR:AR)/PARAMETER!$T$3,"")</f>
        <v/>
      </c>
      <c r="AT40" s="40" t="str">
        <f>IF(AT$4&lt;=PARAMETER!$X$2,SUMIF('2025'!$F:$F,$B40,'2025'!AS:AS)/PARAMETER!$T$3,"")</f>
        <v/>
      </c>
      <c r="AU40" s="40" t="str">
        <f>IF(AU$4&lt;=PARAMETER!$X$2,SUMIF('2025'!$F:$F,$B40,'2025'!AT:AT)/PARAMETER!$T$3,"")</f>
        <v/>
      </c>
      <c r="AV40" s="40" t="str">
        <f>IF(AV$4&lt;=PARAMETER!$X$2,SUMIF('2025'!$F:$F,$B40,'2025'!AU:AU)/PARAMETER!$T$3,"")</f>
        <v/>
      </c>
      <c r="AW40" s="40" t="str">
        <f>IF(AW$4&lt;=PARAMETER!$X$2,SUMIF('2025'!$F:$F,$B40,'2025'!AV:AV)/PARAMETER!$T$3,"")</f>
        <v/>
      </c>
      <c r="AX40" s="40" t="str">
        <f>IF(AX$4&lt;=PARAMETER!$X$2,SUMIF('2025'!$F:$F,$B40,'2025'!AW:AW)/PARAMETER!$T$3,"")</f>
        <v/>
      </c>
      <c r="AY40" s="40" t="str">
        <f>IF(AY$4&lt;=PARAMETER!$X$2,SUMIF('2025'!$F:$F,$B40,'2025'!AX:AX)/PARAMETER!$T$3,"")</f>
        <v/>
      </c>
      <c r="AZ40" s="40" t="str">
        <f>IF(AZ$4&lt;=PARAMETER!$X$2,SUMIF('2025'!$F:$F,$B40,'2025'!AY:AY)/PARAMETER!$T$3,"")</f>
        <v/>
      </c>
      <c r="BA40" s="40" t="str">
        <f>IF(BA$4&lt;=PARAMETER!$X$2,SUMIF('2025'!$F:$F,$B40,'2025'!AZ:AZ)/PARAMETER!$T$3,"")</f>
        <v/>
      </c>
      <c r="BB40" s="40" t="str">
        <f>IF(BB$4&lt;=PARAMETER!$X$2,SUMIF('2025'!$F:$F,$B40,'2025'!BA:BA)/PARAMETER!$T$3,"")</f>
        <v/>
      </c>
      <c r="BC40" s="40" t="str">
        <f>IF(BC$4&lt;=PARAMETER!$X$2,SUMIF('2025'!$F:$F,$B40,'2025'!BB:BB)/PARAMETER!$T$3,"")</f>
        <v/>
      </c>
      <c r="BD40" s="40" t="str">
        <f>IF(BD$4&lt;=PARAMETER!$X$2,SUMIF('2025'!$F:$F,$B40,'2025'!BC:BC)/PARAMETER!$T$3,"")</f>
        <v/>
      </c>
      <c r="BE40" s="40" t="str">
        <f>IF(BE$4&lt;=PARAMETER!$X$2,SUMIF('2025'!$F:$F,$B40,'2025'!BD:BD)/PARAMETER!$T$3,"")</f>
        <v/>
      </c>
      <c r="BF40" s="40" t="str">
        <f>IF(BF$4&lt;=PARAMETER!$X$2,SUMIF('2025'!$F:$F,$B40,'2025'!BE:BE)/PARAMETER!$T$3,"")</f>
        <v/>
      </c>
      <c r="BG40" s="40" t="str">
        <f>IF(BG$4&lt;=PARAMETER!$X$2,SUMIF('2025'!$F:$F,$B40,'2025'!BF:BF)/PARAMETER!$T$3,"")</f>
        <v/>
      </c>
      <c r="BH40" s="40" t="str">
        <f>IF(BH$4&lt;=PARAMETER!$X$2,SUMIF('2025'!$F:$F,$B40,'2025'!BG:BG)/PARAMETER!$T$3,"")</f>
        <v/>
      </c>
      <c r="BI40" s="40" t="str">
        <f>IF(BI$4&lt;=PARAMETER!$X$2,SUMIF('2025'!$F:$F,$B40,'2025'!BH:BH)/PARAMETER!$T$3,"")</f>
        <v/>
      </c>
      <c r="BJ40" s="40" t="str">
        <f>IF(BJ$4&lt;=PARAMETER!$X$2,SUMIF('2025'!$F:$F,$B40,'2025'!BI:BI)/PARAMETER!$T$3,"")</f>
        <v/>
      </c>
    </row>
    <row r="41" spans="1:62" x14ac:dyDescent="0.25">
      <c r="A41">
        <f t="shared" ref="A41" si="47">A39</f>
        <v>7</v>
      </c>
      <c r="B41" s="78" t="str">
        <f>CONCATENATE(C41,PARAMETER!T$2)</f>
        <v>PERTAMINA RETAILVOL</v>
      </c>
      <c r="C41" s="26" t="str">
        <f t="shared" si="45"/>
        <v>PERTAMINA RETAIL</v>
      </c>
      <c r="D41" s="67"/>
      <c r="E41" s="68"/>
      <c r="F41" s="69"/>
      <c r="G41" s="70">
        <f t="shared" si="20"/>
        <v>2024</v>
      </c>
      <c r="H41" s="71">
        <f>IF(H$4&lt;=PARAMETER!$X$2,SUMIF('2024'!$F:$F,$B41,'2024'!G:G)/PARAMETER!$T$3,"")</f>
        <v>306534.41041700001</v>
      </c>
      <c r="I41" s="71">
        <f>IF(I$4&lt;=PARAMETER!$X$2,SUMIF('2024'!$F:$F,$B41,'2024'!H:H)/PARAMETER!$T$3,"")</f>
        <v>95606.440988000002</v>
      </c>
      <c r="J41" s="71">
        <f>IF(J$4&lt;=PARAMETER!$X$2,SUMIF('2024'!$F:$F,$B41,'2024'!I:I)/PARAMETER!$T$3,"")</f>
        <v>10233.947324999999</v>
      </c>
      <c r="K41" s="71">
        <f>IF(K$4&lt;=PARAMETER!$X$2,SUMIF('2024'!$F:$F,$B41,'2024'!J:J)/PARAMETER!$T$3,"")</f>
        <v>9819.769166</v>
      </c>
      <c r="L41" s="71">
        <f>IF(L$4&lt;=PARAMETER!$X$2,SUMIF('2024'!$F:$F,$B41,'2024'!K:K)/PARAMETER!$T$3,"")</f>
        <v>9769.0441819999996</v>
      </c>
      <c r="M41" s="71">
        <f>IF(M$4&lt;=PARAMETER!$X$2,SUMIF('2024'!$F:$F,$B41,'2024'!L:L)/PARAMETER!$T$3,"")</f>
        <v>9851.6166529999991</v>
      </c>
      <c r="N41" s="71">
        <f>IF(N$4&lt;=PARAMETER!$X$2,SUMIF('2024'!$F:$F,$B41,'2024'!M:M)/PARAMETER!$T$3,"")</f>
        <v>10624.797455</v>
      </c>
      <c r="O41" s="71">
        <f>IF(O$4&lt;=PARAMETER!$X$2,SUMIF('2024'!$F:$F,$B41,'2024'!N:N)/PARAMETER!$T$3,"")</f>
        <v>9819.447596</v>
      </c>
      <c r="P41" s="71">
        <f>IF(P$4&lt;=PARAMETER!$X$2,SUMIF('2024'!$F:$F,$B41,'2024'!O:O)/PARAMETER!$T$3,"")</f>
        <v>7234.1528539999999</v>
      </c>
      <c r="Q41" s="71">
        <f>IF(Q$4&lt;=PARAMETER!$X$2,SUMIF('2024'!$F:$F,$B41,'2024'!P:P)/PARAMETER!$T$3,"")</f>
        <v>7259.0434109999997</v>
      </c>
      <c r="R41" s="71">
        <f>IF(R$4&lt;=PARAMETER!$X$2,SUMIF('2024'!$F:$F,$B41,'2024'!Q:Q)/PARAMETER!$T$3,"")</f>
        <v>7551.5490019999997</v>
      </c>
      <c r="S41" s="71">
        <f>IF(S$4&lt;=PARAMETER!$X$2,SUMIF('2024'!$F:$F,$B41,'2024'!R:R)/PARAMETER!$T$3,"")</f>
        <v>7475.5169349999996</v>
      </c>
      <c r="T41" s="71">
        <f>IF(T$4&lt;=PARAMETER!$X$2,SUMIF('2024'!$F:$F,$B41,'2024'!S:S)/PARAMETER!$T$3,"")</f>
        <v>5967.5564089999998</v>
      </c>
      <c r="U41" s="71" t="str">
        <f>IF(U$4&lt;=PARAMETER!$X$2,SUMIF('2024'!$F:$F,$B41,'2024'!T:T)/PARAMETER!$T$3,"")</f>
        <v/>
      </c>
      <c r="V41" s="71" t="str">
        <f>IF(V$4&lt;=PARAMETER!$X$2,SUMIF('2024'!$F:$F,$B41,'2024'!U:U)/PARAMETER!$T$3,"")</f>
        <v/>
      </c>
      <c r="W41" s="71" t="str">
        <f>IF(W$4&lt;=PARAMETER!$X$2,SUMIF('2024'!$F:$F,$B41,'2024'!V:V)/PARAMETER!$T$3,"")</f>
        <v/>
      </c>
      <c r="X41" s="71" t="str">
        <f>IF(X$4&lt;=PARAMETER!$X$2,SUMIF('2024'!$F:$F,$B41,'2024'!W:W)/PARAMETER!$T$3,"")</f>
        <v/>
      </c>
      <c r="Y41" s="71" t="str">
        <f>IF(Y$4&lt;=PARAMETER!$X$2,SUMIF('2024'!$F:$F,$B41,'2024'!X:X)/PARAMETER!$T$3,"")</f>
        <v/>
      </c>
      <c r="Z41" s="71" t="str">
        <f>IF(Z$4&lt;=PARAMETER!$X$2,SUMIF('2024'!$F:$F,$B41,'2024'!Y:Y)/PARAMETER!$T$3,"")</f>
        <v/>
      </c>
      <c r="AA41" s="71" t="str">
        <f>IF(AA$4&lt;=PARAMETER!$X$2,SUMIF('2024'!$F:$F,$B41,'2024'!Z:Z)/PARAMETER!$T$3,"")</f>
        <v/>
      </c>
      <c r="AB41" s="71" t="str">
        <f>IF(AB$4&lt;=PARAMETER!$X$2,SUMIF('2024'!$F:$F,$B41,'2024'!AA:AA)/PARAMETER!$T$3,"")</f>
        <v/>
      </c>
      <c r="AC41" s="71" t="str">
        <f>IF(AC$4&lt;=PARAMETER!$X$2,SUMIF('2024'!$F:$F,$B41,'2024'!AB:AB)/PARAMETER!$T$3,"")</f>
        <v/>
      </c>
      <c r="AD41" s="71" t="str">
        <f>IF(AD$4&lt;=PARAMETER!$X$2,SUMIF('2024'!$F:$F,$B41,'2024'!AC:AC)/PARAMETER!$T$3,"")</f>
        <v/>
      </c>
      <c r="AE41" s="71" t="str">
        <f>IF(AE$4&lt;=PARAMETER!$X$2,SUMIF('2024'!$F:$F,$B41,'2024'!AD:AD)/PARAMETER!$T$3,"")</f>
        <v/>
      </c>
      <c r="AF41" s="71" t="str">
        <f>IF(AF$4&lt;=PARAMETER!$X$2,SUMIF('2024'!$F:$F,$B41,'2024'!AE:AE)/PARAMETER!$T$3,"")</f>
        <v/>
      </c>
      <c r="AG41" s="71" t="str">
        <f>IF(AG$4&lt;=PARAMETER!$X$2,SUMIF('2024'!$F:$F,$B41,'2024'!AF:AF)/PARAMETER!$T$3,"")</f>
        <v/>
      </c>
      <c r="AH41" s="71" t="str">
        <f>IF(AH$4&lt;=PARAMETER!$X$2,SUMIF('2024'!$F:$F,$B41,'2024'!AG:AG)/PARAMETER!$T$3,"")</f>
        <v/>
      </c>
      <c r="AI41" s="71" t="str">
        <f>IF(AI$4&lt;=PARAMETER!$X$2,SUMIF('2024'!$F:$F,$B41,'2024'!AH:AH)/PARAMETER!$T$3,"")</f>
        <v/>
      </c>
      <c r="AJ41" s="71" t="str">
        <f>IF(AJ$4&lt;=PARAMETER!$X$2,SUMIF('2024'!$F:$F,$B41,'2024'!AI:AI)/PARAMETER!$T$3,"")</f>
        <v/>
      </c>
      <c r="AK41" s="71" t="str">
        <f>IF(AK$4&lt;=PARAMETER!$X$2,SUMIF('2024'!$F:$F,$B41,'2024'!AJ:AJ)/PARAMETER!$T$3,"")</f>
        <v/>
      </c>
      <c r="AL41" s="71" t="str">
        <f>IF(AL$4&lt;=PARAMETER!$X$2,SUMIF('2024'!$F:$F,$B41,'2024'!AK:AK)/PARAMETER!$T$3,"")</f>
        <v/>
      </c>
      <c r="AM41" s="71" t="str">
        <f>IF(AM$4&lt;=PARAMETER!$X$2,SUMIF('2024'!$F:$F,$B41,'2024'!AL:AL)/PARAMETER!$T$3,"")</f>
        <v/>
      </c>
      <c r="AN41" s="71" t="str">
        <f>IF(AN$4&lt;=PARAMETER!$X$2,SUMIF('2024'!$F:$F,$B41,'2024'!AM:AM)/PARAMETER!$T$3,"")</f>
        <v/>
      </c>
      <c r="AO41" s="71" t="str">
        <f>IF(AO$4&lt;=PARAMETER!$X$2,SUMIF('2024'!$F:$F,$B41,'2024'!AN:AN)/PARAMETER!$T$3,"")</f>
        <v/>
      </c>
      <c r="AP41" s="71" t="str">
        <f>IF(AP$4&lt;=PARAMETER!$X$2,SUMIF('2024'!$F:$F,$B41,'2024'!AO:AO)/PARAMETER!$T$3,"")</f>
        <v/>
      </c>
      <c r="AQ41" s="71" t="str">
        <f>IF(AQ$4&lt;=PARAMETER!$X$2,SUMIF('2024'!$F:$F,$B41,'2024'!AP:AP)/PARAMETER!$T$3,"")</f>
        <v/>
      </c>
      <c r="AR41" s="71" t="str">
        <f>IF(AR$4&lt;=PARAMETER!$X$2,SUMIF('2024'!$F:$F,$B41,'2024'!AQ:AQ)/PARAMETER!$T$3,"")</f>
        <v/>
      </c>
      <c r="AS41" s="71" t="str">
        <f>IF(AS$4&lt;=PARAMETER!$X$2,SUMIF('2024'!$F:$F,$B41,'2024'!AR:AR)/PARAMETER!$T$3,"")</f>
        <v/>
      </c>
      <c r="AT41" s="71" t="str">
        <f>IF(AT$4&lt;=PARAMETER!$X$2,SUMIF('2024'!$F:$F,$B41,'2024'!AS:AS)/PARAMETER!$T$3,"")</f>
        <v/>
      </c>
      <c r="AU41" s="71" t="str">
        <f>IF(AU$4&lt;=PARAMETER!$X$2,SUMIF('2024'!$F:$F,$B41,'2024'!AT:AT)/PARAMETER!$T$3,"")</f>
        <v/>
      </c>
      <c r="AV41" s="71" t="str">
        <f>IF(AV$4&lt;=PARAMETER!$X$2,SUMIF('2024'!$F:$F,$B41,'2024'!AU:AU)/PARAMETER!$T$3,"")</f>
        <v/>
      </c>
      <c r="AW41" s="71" t="str">
        <f>IF(AW$4&lt;=PARAMETER!$X$2,SUMIF('2024'!$F:$F,$B41,'2024'!AV:AV)/PARAMETER!$T$3,"")</f>
        <v/>
      </c>
      <c r="AX41" s="71" t="str">
        <f>IF(AX$4&lt;=PARAMETER!$X$2,SUMIF('2024'!$F:$F,$B41,'2024'!AW:AW)/PARAMETER!$T$3,"")</f>
        <v/>
      </c>
      <c r="AY41" s="71" t="str">
        <f>IF(AY$4&lt;=PARAMETER!$X$2,SUMIF('2024'!$F:$F,$B41,'2024'!AX:AX)/PARAMETER!$T$3,"")</f>
        <v/>
      </c>
      <c r="AZ41" s="71" t="str">
        <f>IF(AZ$4&lt;=PARAMETER!$X$2,SUMIF('2024'!$F:$F,$B41,'2024'!AY:AY)/PARAMETER!$T$3,"")</f>
        <v/>
      </c>
      <c r="BA41" s="71" t="str">
        <f>IF(BA$4&lt;=PARAMETER!$X$2,SUMIF('2024'!$F:$F,$B41,'2024'!AZ:AZ)/PARAMETER!$T$3,"")</f>
        <v/>
      </c>
      <c r="BB41" s="71" t="str">
        <f>IF(BB$4&lt;=PARAMETER!$X$2,SUMIF('2024'!$F:$F,$B41,'2024'!BA:BA)/PARAMETER!$T$3,"")</f>
        <v/>
      </c>
      <c r="BC41" s="71" t="str">
        <f>IF(BC$4&lt;=PARAMETER!$X$2,SUMIF('2024'!$F:$F,$B41,'2024'!BB:BB)/PARAMETER!$T$3,"")</f>
        <v/>
      </c>
      <c r="BD41" s="71" t="str">
        <f>IF(BD$4&lt;=PARAMETER!$X$2,SUMIF('2024'!$F:$F,$B41,'2024'!BC:BC)/PARAMETER!$T$3,"")</f>
        <v/>
      </c>
      <c r="BE41" s="71" t="str">
        <f>IF(BE$4&lt;=PARAMETER!$X$2,SUMIF('2024'!$F:$F,$B41,'2024'!BD:BD)/PARAMETER!$T$3,"")</f>
        <v/>
      </c>
      <c r="BF41" s="71" t="str">
        <f>IF(BF$4&lt;=PARAMETER!$X$2,SUMIF('2024'!$F:$F,$B41,'2024'!BE:BE)/PARAMETER!$T$3,"")</f>
        <v/>
      </c>
      <c r="BG41" s="71" t="str">
        <f>IF(BG$4&lt;=PARAMETER!$X$2,SUMIF('2024'!$F:$F,$B41,'2024'!BF:BF)/PARAMETER!$T$3,"")</f>
        <v/>
      </c>
      <c r="BH41" s="71" t="str">
        <f>IF(BH$4&lt;=PARAMETER!$X$2,SUMIF('2024'!$F:$F,$B41,'2024'!BG:BG)/PARAMETER!$T$3,"")</f>
        <v/>
      </c>
      <c r="BI41" s="71" t="str">
        <f>IF(BI$4&lt;=PARAMETER!$X$2,SUMIF('2024'!$F:$F,$B41,'2024'!BH:BH)/PARAMETER!$T$3,"")</f>
        <v/>
      </c>
      <c r="BJ41" s="71" t="str">
        <f>IF(BJ$4&lt;=PARAMETER!$X$2,SUMIF('2024'!$F:$F,$B41,'2024'!BI:BI)/PARAMETER!$T$3,"")</f>
        <v/>
      </c>
    </row>
    <row r="42" spans="1:62" x14ac:dyDescent="0.25">
      <c r="A42">
        <v>8</v>
      </c>
      <c r="B42" s="78" t="str">
        <f>CONCATENATE(C42,PARAMETER!T$2)</f>
        <v>PLATINUM CINEPLEXVOL</v>
      </c>
      <c r="C42" s="21" t="str">
        <f>IFERROR(VLOOKUP(A42,PARAMETER!K$2:M50,3,0),"")</f>
        <v>PLATINUM CINEPLEX</v>
      </c>
      <c r="D42" s="22" t="s">
        <v>127</v>
      </c>
      <c r="E42" s="37">
        <f t="shared" ref="E42" si="48">IFERROR(I43/I42,"")</f>
        <v>9.8967153114147312E-3</v>
      </c>
      <c r="F42" s="23">
        <f t="shared" ref="F42:F44" si="49">IFERROR(IF(E42&gt;300%,300%,E42),"")</f>
        <v>9.8967153114147312E-3</v>
      </c>
      <c r="G42" s="24" t="str">
        <f t="shared" si="20"/>
        <v>Target</v>
      </c>
      <c r="H42" s="25">
        <f>IF(H$4&lt;=PARAMETER!$X$2,SUMIF('2026 T'!$F:$F,$B42,'2026 T'!G:G)/PARAMETER!$T$3,"")</f>
        <v>2500.0000000000009</v>
      </c>
      <c r="I42" s="25">
        <f>IF(I$4&lt;=PARAMETER!$X$2,SUMIF('2026 T'!$F:$F,$B42,'2026 T'!H:H)/PARAMETER!$T$3,"")</f>
        <v>641.023794296971</v>
      </c>
      <c r="J42" s="25">
        <f>IF(J$4&lt;=PARAMETER!$X$2,SUMIF('2026 T'!$F:$F,$B42,'2026 T'!I:I)/PARAMETER!$T$3,"")</f>
        <v>98.675053013516205</v>
      </c>
      <c r="K42" s="25">
        <f>IF(K$4&lt;=PARAMETER!$X$2,SUMIF('2026 T'!$F:$F,$B42,'2026 T'!J:J)/PARAMETER!$T$3,"")</f>
        <v>42.421541791941102</v>
      </c>
      <c r="L42" s="25">
        <f>IF(L$4&lt;=PARAMETER!$X$2,SUMIF('2026 T'!$F:$F,$B42,'2026 T'!K:K)/PARAMETER!$T$3,"")</f>
        <v>37.5044421390214</v>
      </c>
      <c r="M42" s="25">
        <f>IF(M$4&lt;=PARAMETER!$X$2,SUMIF('2026 T'!$F:$F,$B42,'2026 T'!L:L)/PARAMETER!$T$3,"")</f>
        <v>68.911890840886201</v>
      </c>
      <c r="N42" s="25">
        <f>IF(N$4&lt;=PARAMETER!$X$2,SUMIF('2026 T'!$F:$F,$B42,'2026 T'!M:M)/PARAMETER!$T$3,"")</f>
        <v>71.887366528293995</v>
      </c>
      <c r="O42" s="25">
        <f>IF(O$4&lt;=PARAMETER!$X$2,SUMIF('2026 T'!$F:$F,$B42,'2026 T'!N:N)/PARAMETER!$T$3,"")</f>
        <v>95.369669357942399</v>
      </c>
      <c r="P42" s="25">
        <f>IF(P$4&lt;=PARAMETER!$X$2,SUMIF('2026 T'!$F:$F,$B42,'2026 T'!O:O)/PARAMETER!$T$3,"")</f>
        <v>104.147957235836</v>
      </c>
      <c r="Q42" s="25">
        <f>IF(Q$4&lt;=PARAMETER!$X$2,SUMIF('2026 T'!$F:$F,$B42,'2026 T'!P:P)/PARAMETER!$T$3,"")</f>
        <v>74.128429254720899</v>
      </c>
      <c r="R42" s="25">
        <f>IF(R$4&lt;=PARAMETER!$X$2,SUMIF('2026 T'!$F:$F,$B42,'2026 T'!Q:Q)/PARAMETER!$T$3,"")</f>
        <v>47.9774441348127</v>
      </c>
      <c r="S42" s="25">
        <f>IF(S$4&lt;=PARAMETER!$X$2,SUMIF('2026 T'!$F:$F,$B42,'2026 T'!R:R)/PARAMETER!$T$3,"")</f>
        <v>32.521150760004801</v>
      </c>
      <c r="T42" s="25">
        <f>IF(T$4&lt;=PARAMETER!$X$2,SUMIF('2026 T'!$F:$F,$B42,'2026 T'!S:S)/PARAMETER!$T$3,"")</f>
        <v>18.924529689826702</v>
      </c>
      <c r="U42" s="25" t="str">
        <f>IF(U$4&lt;=PARAMETER!$X$2,SUMIF('2026 T'!$F:$F,$B42,'2026 T'!T:T)/PARAMETER!$T$3,"")</f>
        <v/>
      </c>
      <c r="V42" s="25" t="str">
        <f>IF(V$4&lt;=PARAMETER!$X$2,SUMIF('2026 T'!$F:$F,$B42,'2026 T'!U:U)/PARAMETER!$T$3,"")</f>
        <v/>
      </c>
      <c r="W42" s="25" t="str">
        <f>IF(W$4&lt;=PARAMETER!$X$2,SUMIF('2026 T'!$F:$F,$B42,'2026 T'!V:V)/PARAMETER!$T$3,"")</f>
        <v/>
      </c>
      <c r="X42" s="25" t="str">
        <f>IF(X$4&lt;=PARAMETER!$X$2,SUMIF('2026 T'!$F:$F,$B42,'2026 T'!W:W)/PARAMETER!$T$3,"")</f>
        <v/>
      </c>
      <c r="Y42" s="25" t="str">
        <f>IF(Y$4&lt;=PARAMETER!$X$2,SUMIF('2026 T'!$F:$F,$B42,'2026 T'!X:X)/PARAMETER!$T$3,"")</f>
        <v/>
      </c>
      <c r="Z42" s="25" t="str">
        <f>IF(Z$4&lt;=PARAMETER!$X$2,SUMIF('2026 T'!$F:$F,$B42,'2026 T'!Y:Y)/PARAMETER!$T$3,"")</f>
        <v/>
      </c>
      <c r="AA42" s="25" t="str">
        <f>IF(AA$4&lt;=PARAMETER!$X$2,SUMIF('2026 T'!$F:$F,$B42,'2026 T'!Z:Z)/PARAMETER!$T$3,"")</f>
        <v/>
      </c>
      <c r="AB42" s="25" t="str">
        <f>IF(AB$4&lt;=PARAMETER!$X$2,SUMIF('2026 T'!$F:$F,$B42,'2026 T'!AA:AA)/PARAMETER!$T$3,"")</f>
        <v/>
      </c>
      <c r="AC42" s="25" t="str">
        <f>IF(AC$4&lt;=PARAMETER!$X$2,SUMIF('2026 T'!$F:$F,$B42,'2026 T'!AB:AB)/PARAMETER!$T$3,"")</f>
        <v/>
      </c>
      <c r="AD42" s="25" t="str">
        <f>IF(AD$4&lt;=PARAMETER!$X$2,SUMIF('2026 T'!$F:$F,$B42,'2026 T'!AC:AC)/PARAMETER!$T$3,"")</f>
        <v/>
      </c>
      <c r="AE42" s="25" t="str">
        <f>IF(AE$4&lt;=PARAMETER!$X$2,SUMIF('2026 T'!$F:$F,$B42,'2026 T'!AD:AD)/PARAMETER!$T$3,"")</f>
        <v/>
      </c>
      <c r="AF42" s="25" t="str">
        <f>IF(AF$4&lt;=PARAMETER!$X$2,SUMIF('2026 T'!$F:$F,$B42,'2026 T'!AE:AE)/PARAMETER!$T$3,"")</f>
        <v/>
      </c>
      <c r="AG42" s="25" t="str">
        <f>IF(AG$4&lt;=PARAMETER!$X$2,SUMIF('2026 T'!$F:$F,$B42,'2026 T'!AF:AF)/PARAMETER!$T$3,"")</f>
        <v/>
      </c>
      <c r="AH42" s="25" t="str">
        <f>IF(AH$4&lt;=PARAMETER!$X$2,SUMIF('2026 T'!$F:$F,$B42,'2026 T'!AG:AG)/PARAMETER!$T$3,"")</f>
        <v/>
      </c>
      <c r="AI42" s="25" t="str">
        <f>IF(AI$4&lt;=PARAMETER!$X$2,SUMIF('2026 T'!$F:$F,$B42,'2026 T'!AH:AH)/PARAMETER!$T$3,"")</f>
        <v/>
      </c>
      <c r="AJ42" s="25" t="str">
        <f>IF(AJ$4&lt;=PARAMETER!$X$2,SUMIF('2026 T'!$F:$F,$B42,'2026 T'!AI:AI)/PARAMETER!$T$3,"")</f>
        <v/>
      </c>
      <c r="AK42" s="25" t="str">
        <f>IF(AK$4&lt;=PARAMETER!$X$2,SUMIF('2026 T'!$F:$F,$B42,'2026 T'!AJ:AJ)/PARAMETER!$T$3,"")</f>
        <v/>
      </c>
      <c r="AL42" s="25" t="str">
        <f>IF(AL$4&lt;=PARAMETER!$X$2,SUMIF('2026 T'!$F:$F,$B42,'2026 T'!AK:AK)/PARAMETER!$T$3,"")</f>
        <v/>
      </c>
      <c r="AM42" s="25" t="str">
        <f>IF(AM$4&lt;=PARAMETER!$X$2,SUMIF('2026 T'!$F:$F,$B42,'2026 T'!AL:AL)/PARAMETER!$T$3,"")</f>
        <v/>
      </c>
      <c r="AN42" s="25" t="str">
        <f>IF(AN$4&lt;=PARAMETER!$X$2,SUMIF('2026 T'!$F:$F,$B42,'2026 T'!AM:AM)/PARAMETER!$T$3,"")</f>
        <v/>
      </c>
      <c r="AO42" s="25" t="str">
        <f>IF(AO$4&lt;=PARAMETER!$X$2,SUMIF('2026 T'!$F:$F,$B42,'2026 T'!AN:AN)/PARAMETER!$T$3,"")</f>
        <v/>
      </c>
      <c r="AP42" s="25" t="str">
        <f>IF(AP$4&lt;=PARAMETER!$X$2,SUMIF('2026 T'!$F:$F,$B42,'2026 T'!AO:AO)/PARAMETER!$T$3,"")</f>
        <v/>
      </c>
      <c r="AQ42" s="25" t="str">
        <f>IF(AQ$4&lt;=PARAMETER!$X$2,SUMIF('2026 T'!$F:$F,$B42,'2026 T'!AP:AP)/PARAMETER!$T$3,"")</f>
        <v/>
      </c>
      <c r="AR42" s="25" t="str">
        <f>IF(AR$4&lt;=PARAMETER!$X$2,SUMIF('2026 T'!$F:$F,$B42,'2026 T'!AQ:AQ)/PARAMETER!$T$3,"")</f>
        <v/>
      </c>
      <c r="AS42" s="25" t="str">
        <f>IF(AS$4&lt;=PARAMETER!$X$2,SUMIF('2026 T'!$F:$F,$B42,'2026 T'!AR:AR)/PARAMETER!$T$3,"")</f>
        <v/>
      </c>
      <c r="AT42" s="25" t="str">
        <f>IF(AT$4&lt;=PARAMETER!$X$2,SUMIF('2026 T'!$F:$F,$B42,'2026 T'!AS:AS)/PARAMETER!$T$3,"")</f>
        <v/>
      </c>
      <c r="AU42" s="25" t="str">
        <f>IF(AU$4&lt;=PARAMETER!$X$2,SUMIF('2026 T'!$F:$F,$B42,'2026 T'!AT:AT)/PARAMETER!$T$3,"")</f>
        <v/>
      </c>
      <c r="AV42" s="25" t="str">
        <f>IF(AV$4&lt;=PARAMETER!$X$2,SUMIF('2026 T'!$F:$F,$B42,'2026 T'!AU:AU)/PARAMETER!$T$3,"")</f>
        <v/>
      </c>
      <c r="AW42" s="25" t="str">
        <f>IF(AW$4&lt;=PARAMETER!$X$2,SUMIF('2026 T'!$F:$F,$B42,'2026 T'!AV:AV)/PARAMETER!$T$3,"")</f>
        <v/>
      </c>
      <c r="AX42" s="25" t="str">
        <f>IF(AX$4&lt;=PARAMETER!$X$2,SUMIF('2026 T'!$F:$F,$B42,'2026 T'!AW:AW)/PARAMETER!$T$3,"")</f>
        <v/>
      </c>
      <c r="AY42" s="25" t="str">
        <f>IF(AY$4&lt;=PARAMETER!$X$2,SUMIF('2026 T'!$F:$F,$B42,'2026 T'!AX:AX)/PARAMETER!$T$3,"")</f>
        <v/>
      </c>
      <c r="AZ42" s="25" t="str">
        <f>IF(AZ$4&lt;=PARAMETER!$X$2,SUMIF('2026 T'!$F:$F,$B42,'2026 T'!AY:AY)/PARAMETER!$T$3,"")</f>
        <v/>
      </c>
      <c r="BA42" s="25" t="str">
        <f>IF(BA$4&lt;=PARAMETER!$X$2,SUMIF('2026 T'!$F:$F,$B42,'2026 T'!AZ:AZ)/PARAMETER!$T$3,"")</f>
        <v/>
      </c>
      <c r="BB42" s="25" t="str">
        <f>IF(BB$4&lt;=PARAMETER!$X$2,SUMIF('2026 T'!$F:$F,$B42,'2026 T'!BA:BA)/PARAMETER!$T$3,"")</f>
        <v/>
      </c>
      <c r="BC42" s="25" t="str">
        <f>IF(BC$4&lt;=PARAMETER!$X$2,SUMIF('2026 T'!$F:$F,$B42,'2026 T'!BB:BB)/PARAMETER!$T$3,"")</f>
        <v/>
      </c>
      <c r="BD42" s="25" t="str">
        <f>IF(BD$4&lt;=PARAMETER!$X$2,SUMIF('2026 T'!$F:$F,$B42,'2026 T'!BC:BC)/PARAMETER!$T$3,"")</f>
        <v/>
      </c>
      <c r="BE42" s="25" t="str">
        <f>IF(BE$4&lt;=PARAMETER!$X$2,SUMIF('2026 T'!$F:$F,$B42,'2026 T'!BD:BD)/PARAMETER!$T$3,"")</f>
        <v/>
      </c>
      <c r="BF42" s="25" t="str">
        <f>IF(BF$4&lt;=PARAMETER!$X$2,SUMIF('2026 T'!$F:$F,$B42,'2026 T'!BE:BE)/PARAMETER!$T$3,"")</f>
        <v/>
      </c>
      <c r="BG42" s="25" t="str">
        <f>IF(BG$4&lt;=PARAMETER!$X$2,SUMIF('2026 T'!$F:$F,$B42,'2026 T'!BF:BF)/PARAMETER!$T$3,"")</f>
        <v/>
      </c>
      <c r="BH42" s="25" t="str">
        <f>IF(BH$4&lt;=PARAMETER!$X$2,SUMIF('2026 T'!$F:$F,$B42,'2026 T'!BG:BG)/PARAMETER!$T$3,"")</f>
        <v/>
      </c>
      <c r="BI42" s="25" t="str">
        <f>IF(BI$4&lt;=PARAMETER!$X$2,SUMIF('2026 T'!$F:$F,$B42,'2026 T'!BH:BH)/PARAMETER!$T$3,"")</f>
        <v/>
      </c>
      <c r="BJ42" s="25" t="str">
        <f>IF(BJ$4&lt;=PARAMETER!$X$2,SUMIF('2026 T'!$F:$F,$B42,'2026 T'!BI:BI)/PARAMETER!$T$3,"")</f>
        <v/>
      </c>
    </row>
    <row r="43" spans="1:62" x14ac:dyDescent="0.25">
      <c r="A43">
        <f t="shared" ref="A43:A44" si="50">A42</f>
        <v>8</v>
      </c>
      <c r="B43" s="78" t="str">
        <f>CONCATENATE(C43,PARAMETER!T$2)</f>
        <v>PLATINUM CINEPLEXVOL</v>
      </c>
      <c r="C43" s="26" t="str">
        <f t="shared" ref="C43:C45" si="51">C42</f>
        <v>PLATINUM CINEPLEX</v>
      </c>
      <c r="D43" s="27" t="s">
        <v>128</v>
      </c>
      <c r="E43" s="35">
        <f t="shared" ref="E43:E44" si="52">IFERROR(I43/I44-1,"")</f>
        <v>-0.99037440130622034</v>
      </c>
      <c r="F43" s="28">
        <f t="shared" si="49"/>
        <v>-0.99037440130622034</v>
      </c>
      <c r="G43" s="39">
        <f t="shared" si="20"/>
        <v>2026</v>
      </c>
      <c r="H43" s="40">
        <f>IF(H$4&lt;=PARAMETER!$X$2,SUMIF('2026'!$F:$F,$B43,'2026'!G:G)/PARAMETER!$T$3,"")</f>
        <v>6.3440300000000001</v>
      </c>
      <c r="I43" s="40">
        <f>IF(I$4&lt;=PARAMETER!$X$2,SUMIF('2026'!$F:$F,$B43,'2026'!H:H)/PARAMETER!$T$3,"")</f>
        <v>6.3440300000000001</v>
      </c>
      <c r="J43" s="40">
        <f>IF(J$4&lt;=PARAMETER!$X$2,SUMIF('2026'!$F:$F,$B43,'2026'!I:I)/PARAMETER!$T$3,"")</f>
        <v>0.23499999999999999</v>
      </c>
      <c r="K43" s="40">
        <f>IF(K$4&lt;=PARAMETER!$X$2,SUMIF('2026'!$F:$F,$B43,'2026'!J:J)/PARAMETER!$T$3,"")</f>
        <v>0.45500000000000002</v>
      </c>
      <c r="L43" s="40">
        <f>IF(L$4&lt;=PARAMETER!$X$2,SUMIF('2026'!$F:$F,$B43,'2026'!K:K)/PARAMETER!$T$3,"")</f>
        <v>0.28499999999999998</v>
      </c>
      <c r="M43" s="40">
        <f>IF(M$4&lt;=PARAMETER!$X$2,SUMIF('2026'!$F:$F,$B43,'2026'!L:L)/PARAMETER!$T$3,"")</f>
        <v>0.27</v>
      </c>
      <c r="N43" s="40">
        <f>IF(N$4&lt;=PARAMETER!$X$2,SUMIF('2026'!$F:$F,$B43,'2026'!M:M)/PARAMETER!$T$3,"")</f>
        <v>0.755</v>
      </c>
      <c r="O43" s="40">
        <f>IF(O$4&lt;=PARAMETER!$X$2,SUMIF('2026'!$F:$F,$B43,'2026'!N:N)/PARAMETER!$T$3,"")</f>
        <v>1.02</v>
      </c>
      <c r="P43" s="40">
        <f>IF(P$4&lt;=PARAMETER!$X$2,SUMIF('2026'!$F:$F,$B43,'2026'!O:O)/PARAMETER!$T$3,"")</f>
        <v>0.28003</v>
      </c>
      <c r="Q43" s="40">
        <f>IF(Q$4&lt;=PARAMETER!$X$2,SUMIF('2026'!$F:$F,$B43,'2026'!P:P)/PARAMETER!$T$3,"")</f>
        <v>1.639</v>
      </c>
      <c r="R43" s="40">
        <f>IF(R$4&lt;=PARAMETER!$X$2,SUMIF('2026'!$F:$F,$B43,'2026'!Q:Q)/PARAMETER!$T$3,"")</f>
        <v>0</v>
      </c>
      <c r="S43" s="40">
        <f>IF(S$4&lt;=PARAMETER!$X$2,SUMIF('2026'!$F:$F,$B43,'2026'!R:R)/PARAMETER!$T$3,"")</f>
        <v>0.38</v>
      </c>
      <c r="T43" s="40">
        <f>IF(T$4&lt;=PARAMETER!$X$2,SUMIF('2026'!$F:$F,$B43,'2026'!S:S)/PARAMETER!$T$3,"")</f>
        <v>1.0249999999999999</v>
      </c>
      <c r="U43" s="40" t="str">
        <f>IF(U$4&lt;=PARAMETER!$X$2,SUMIF('2026'!$F:$F,$B43,'2026'!T:T)/PARAMETER!$T$3,"")</f>
        <v/>
      </c>
      <c r="V43" s="40" t="str">
        <f>IF(V$4&lt;=PARAMETER!$X$2,SUMIF('2026'!$F:$F,$B43,'2026'!U:U)/PARAMETER!$T$3,"")</f>
        <v/>
      </c>
      <c r="W43" s="40" t="str">
        <f>IF(W$4&lt;=PARAMETER!$X$2,SUMIF('2026'!$F:$F,$B43,'2026'!V:V)/PARAMETER!$T$3,"")</f>
        <v/>
      </c>
      <c r="X43" s="40" t="str">
        <f>IF(X$4&lt;=PARAMETER!$X$2,SUMIF('2026'!$F:$F,$B43,'2026'!W:W)/PARAMETER!$T$3,"")</f>
        <v/>
      </c>
      <c r="Y43" s="40" t="str">
        <f>IF(Y$4&lt;=PARAMETER!$X$2,SUMIF('2026'!$F:$F,$B43,'2026'!X:X)/PARAMETER!$T$3,"")</f>
        <v/>
      </c>
      <c r="Z43" s="40" t="str">
        <f>IF(Z$4&lt;=PARAMETER!$X$2,SUMIF('2026'!$F:$F,$B43,'2026'!Y:Y)/PARAMETER!$T$3,"")</f>
        <v/>
      </c>
      <c r="AA43" s="40" t="str">
        <f>IF(AA$4&lt;=PARAMETER!$X$2,SUMIF('2026'!$F:$F,$B43,'2026'!Z:Z)/PARAMETER!$T$3,"")</f>
        <v/>
      </c>
      <c r="AB43" s="40" t="str">
        <f>IF(AB$4&lt;=PARAMETER!$X$2,SUMIF('2026'!$F:$F,$B43,'2026'!AA:AA)/PARAMETER!$T$3,"")</f>
        <v/>
      </c>
      <c r="AC43" s="40" t="str">
        <f>IF(AC$4&lt;=PARAMETER!$X$2,SUMIF('2026'!$F:$F,$B43,'2026'!AB:AB)/PARAMETER!$T$3,"")</f>
        <v/>
      </c>
      <c r="AD43" s="40" t="str">
        <f>IF(AD$4&lt;=PARAMETER!$X$2,SUMIF('2026'!$F:$F,$B43,'2026'!AC:AC)/PARAMETER!$T$3,"")</f>
        <v/>
      </c>
      <c r="AE43" s="40" t="str">
        <f>IF(AE$4&lt;=PARAMETER!$X$2,SUMIF('2026'!$F:$F,$B43,'2026'!AD:AD)/PARAMETER!$T$3,"")</f>
        <v/>
      </c>
      <c r="AF43" s="40" t="str">
        <f>IF(AF$4&lt;=PARAMETER!$X$2,SUMIF('2026'!$F:$F,$B43,'2026'!AE:AE)/PARAMETER!$T$3,"")</f>
        <v/>
      </c>
      <c r="AG43" s="40" t="str">
        <f>IF(AG$4&lt;=PARAMETER!$X$2,SUMIF('2026'!$F:$F,$B43,'2026'!AF:AF)/PARAMETER!$T$3,"")</f>
        <v/>
      </c>
      <c r="AH43" s="40" t="str">
        <f>IF(AH$4&lt;=PARAMETER!$X$2,SUMIF('2026'!$F:$F,$B43,'2026'!AG:AG)/PARAMETER!$T$3,"")</f>
        <v/>
      </c>
      <c r="AI43" s="40" t="str">
        <f>IF(AI$4&lt;=PARAMETER!$X$2,SUMIF('2026'!$F:$F,$B43,'2026'!AH:AH)/PARAMETER!$T$3,"")</f>
        <v/>
      </c>
      <c r="AJ43" s="40" t="str">
        <f>IF(AJ$4&lt;=PARAMETER!$X$2,SUMIF('2026'!$F:$F,$B43,'2026'!AI:AI)/PARAMETER!$T$3,"")</f>
        <v/>
      </c>
      <c r="AK43" s="40" t="str">
        <f>IF(AK$4&lt;=PARAMETER!$X$2,SUMIF('2026'!$F:$F,$B43,'2026'!AJ:AJ)/PARAMETER!$T$3,"")</f>
        <v/>
      </c>
      <c r="AL43" s="40" t="str">
        <f>IF(AL$4&lt;=PARAMETER!$X$2,SUMIF('2026'!$F:$F,$B43,'2026'!AK:AK)/PARAMETER!$T$3,"")</f>
        <v/>
      </c>
      <c r="AM43" s="40" t="str">
        <f>IF(AM$4&lt;=PARAMETER!$X$2,SUMIF('2026'!$F:$F,$B43,'2026'!AL:AL)/PARAMETER!$T$3,"")</f>
        <v/>
      </c>
      <c r="AN43" s="40" t="str">
        <f>IF(AN$4&lt;=PARAMETER!$X$2,SUMIF('2026'!$F:$F,$B43,'2026'!AM:AM)/PARAMETER!$T$3,"")</f>
        <v/>
      </c>
      <c r="AO43" s="40" t="str">
        <f>IF(AO$4&lt;=PARAMETER!$X$2,SUMIF('2026'!$F:$F,$B43,'2026'!AN:AN)/PARAMETER!$T$3,"")</f>
        <v/>
      </c>
      <c r="AP43" s="40" t="str">
        <f>IF(AP$4&lt;=PARAMETER!$X$2,SUMIF('2026'!$F:$F,$B43,'2026'!AO:AO)/PARAMETER!$T$3,"")</f>
        <v/>
      </c>
      <c r="AQ43" s="40" t="str">
        <f>IF(AQ$4&lt;=PARAMETER!$X$2,SUMIF('2026'!$F:$F,$B43,'2026'!AP:AP)/PARAMETER!$T$3,"")</f>
        <v/>
      </c>
      <c r="AR43" s="40" t="str">
        <f>IF(AR$4&lt;=PARAMETER!$X$2,SUMIF('2026'!$F:$F,$B43,'2026'!AQ:AQ)/PARAMETER!$T$3,"")</f>
        <v/>
      </c>
      <c r="AS43" s="40" t="str">
        <f>IF(AS$4&lt;=PARAMETER!$X$2,SUMIF('2026'!$F:$F,$B43,'2026'!AR:AR)/PARAMETER!$T$3,"")</f>
        <v/>
      </c>
      <c r="AT43" s="40" t="str">
        <f>IF(AT$4&lt;=PARAMETER!$X$2,SUMIF('2026'!$F:$F,$B43,'2026'!AS:AS)/PARAMETER!$T$3,"")</f>
        <v/>
      </c>
      <c r="AU43" s="40" t="str">
        <f>IF(AU$4&lt;=PARAMETER!$X$2,SUMIF('2026'!$F:$F,$B43,'2026'!AT:AT)/PARAMETER!$T$3,"")</f>
        <v/>
      </c>
      <c r="AV43" s="40" t="str">
        <f>IF(AV$4&lt;=PARAMETER!$X$2,SUMIF('2026'!$F:$F,$B43,'2026'!AU:AU)/PARAMETER!$T$3,"")</f>
        <v/>
      </c>
      <c r="AW43" s="40" t="str">
        <f>IF(AW$4&lt;=PARAMETER!$X$2,SUMIF('2026'!$F:$F,$B43,'2026'!AV:AV)/PARAMETER!$T$3,"")</f>
        <v/>
      </c>
      <c r="AX43" s="40" t="str">
        <f>IF(AX$4&lt;=PARAMETER!$X$2,SUMIF('2026'!$F:$F,$B43,'2026'!AW:AW)/PARAMETER!$T$3,"")</f>
        <v/>
      </c>
      <c r="AY43" s="40" t="str">
        <f>IF(AY$4&lt;=PARAMETER!$X$2,SUMIF('2026'!$F:$F,$B43,'2026'!AX:AX)/PARAMETER!$T$3,"")</f>
        <v/>
      </c>
      <c r="AZ43" s="40" t="str">
        <f>IF(AZ$4&lt;=PARAMETER!$X$2,SUMIF('2026'!$F:$F,$B43,'2026'!AY:AY)/PARAMETER!$T$3,"")</f>
        <v/>
      </c>
      <c r="BA43" s="40" t="str">
        <f>IF(BA$4&lt;=PARAMETER!$X$2,SUMIF('2026'!$F:$F,$B43,'2026'!AZ:AZ)/PARAMETER!$T$3,"")</f>
        <v/>
      </c>
      <c r="BB43" s="40" t="str">
        <f>IF(BB$4&lt;=PARAMETER!$X$2,SUMIF('2026'!$F:$F,$B43,'2026'!BA:BA)/PARAMETER!$T$3,"")</f>
        <v/>
      </c>
      <c r="BC43" s="40" t="str">
        <f>IF(BC$4&lt;=PARAMETER!$X$2,SUMIF('2026'!$F:$F,$B43,'2026'!BB:BB)/PARAMETER!$T$3,"")</f>
        <v/>
      </c>
      <c r="BD43" s="40" t="str">
        <f>IF(BD$4&lt;=PARAMETER!$X$2,SUMIF('2026'!$F:$F,$B43,'2026'!BC:BC)/PARAMETER!$T$3,"")</f>
        <v/>
      </c>
      <c r="BE43" s="40" t="str">
        <f>IF(BE$4&lt;=PARAMETER!$X$2,SUMIF('2026'!$F:$F,$B43,'2026'!BD:BD)/PARAMETER!$T$3,"")</f>
        <v/>
      </c>
      <c r="BF43" s="40" t="str">
        <f>IF(BF$4&lt;=PARAMETER!$X$2,SUMIF('2026'!$F:$F,$B43,'2026'!BE:BE)/PARAMETER!$T$3,"")</f>
        <v/>
      </c>
      <c r="BG43" s="40" t="str">
        <f>IF(BG$4&lt;=PARAMETER!$X$2,SUMIF('2026'!$F:$F,$B43,'2026'!BF:BF)/PARAMETER!$T$3,"")</f>
        <v/>
      </c>
      <c r="BH43" s="40" t="str">
        <f>IF(BH$4&lt;=PARAMETER!$X$2,SUMIF('2026'!$F:$F,$B43,'2026'!BG:BG)/PARAMETER!$T$3,"")</f>
        <v/>
      </c>
      <c r="BI43" s="40" t="str">
        <f>IF(BI$4&lt;=PARAMETER!$X$2,SUMIF('2026'!$F:$F,$B43,'2026'!BH:BH)/PARAMETER!$T$3,"")</f>
        <v/>
      </c>
      <c r="BJ43" s="40" t="str">
        <f>IF(BJ$4&lt;=PARAMETER!$X$2,SUMIF('2026'!$F:$F,$B43,'2026'!BI:BI)/PARAMETER!$T$3,"")</f>
        <v/>
      </c>
    </row>
    <row r="44" spans="1:62" x14ac:dyDescent="0.25">
      <c r="A44">
        <f t="shared" si="50"/>
        <v>8</v>
      </c>
      <c r="B44" s="78" t="str">
        <f>CONCATENATE(C44,PARAMETER!T$2)</f>
        <v>PLATINUM CINEPLEXVOL</v>
      </c>
      <c r="C44" s="26" t="str">
        <f t="shared" si="51"/>
        <v>PLATINUM CINEPLEX</v>
      </c>
      <c r="D44" s="27" t="s">
        <v>128</v>
      </c>
      <c r="E44" s="35">
        <f t="shared" si="52"/>
        <v>32.858305541000114</v>
      </c>
      <c r="F44" s="28">
        <f t="shared" si="49"/>
        <v>3</v>
      </c>
      <c r="G44" s="39">
        <f t="shared" si="20"/>
        <v>2025</v>
      </c>
      <c r="H44" s="40">
        <f>IF(H$4&lt;=PARAMETER!$X$2,SUMIF('2025'!$F:$F,$B44,'2025'!G:G)/PARAMETER!$T$3,"")</f>
        <v>2427.04925</v>
      </c>
      <c r="I44" s="40">
        <f>IF(I$4&lt;=PARAMETER!$X$2,SUMIF('2025'!$F:$F,$B44,'2025'!H:H)/PARAMETER!$T$3,"")</f>
        <v>659.07900400000005</v>
      </c>
      <c r="J44" s="40">
        <f>IF(J$4&lt;=PARAMETER!$X$2,SUMIF('2025'!$F:$F,$B44,'2025'!I:I)/PARAMETER!$T$3,"")</f>
        <v>93.917000000000002</v>
      </c>
      <c r="K44" s="40">
        <f>IF(K$4&lt;=PARAMETER!$X$2,SUMIF('2025'!$F:$F,$B44,'2025'!J:J)/PARAMETER!$T$3,"")</f>
        <v>40.375999999999998</v>
      </c>
      <c r="L44" s="40">
        <f>IF(L$4&lt;=PARAMETER!$X$2,SUMIF('2025'!$F:$F,$B44,'2025'!K:K)/PARAMETER!$T$3,"")</f>
        <v>35.695999999999998</v>
      </c>
      <c r="M44" s="40">
        <f>IF(M$4&lt;=PARAMETER!$X$2,SUMIF('2025'!$F:$F,$B44,'2025'!L:L)/PARAMETER!$T$3,"")</f>
        <v>65.588999999999999</v>
      </c>
      <c r="N44" s="40">
        <f>IF(N$4&lt;=PARAMETER!$X$2,SUMIF('2025'!$F:$F,$B44,'2025'!M:M)/PARAMETER!$T$3,"")</f>
        <v>68.421000000000006</v>
      </c>
      <c r="O44" s="40">
        <f>IF(O$4&lt;=PARAMETER!$X$2,SUMIF('2025'!$F:$F,$B44,'2025'!N:N)/PARAMETER!$T$3,"")</f>
        <v>90.771000000000001</v>
      </c>
      <c r="P44" s="40">
        <f>IF(P$4&lt;=PARAMETER!$X$2,SUMIF('2025'!$F:$F,$B44,'2025'!O:O)/PARAMETER!$T$3,"")</f>
        <v>99.126003999999995</v>
      </c>
      <c r="Q44" s="40">
        <f>IF(Q$4&lt;=PARAMETER!$X$2,SUMIF('2025'!$F:$F,$B44,'2025'!P:P)/PARAMETER!$T$3,"")</f>
        <v>70.554000000000002</v>
      </c>
      <c r="R44" s="40">
        <f>IF(R$4&lt;=PARAMETER!$X$2,SUMIF('2025'!$F:$F,$B44,'2025'!Q:Q)/PARAMETER!$T$3,"")</f>
        <v>45.664000000000001</v>
      </c>
      <c r="S44" s="40">
        <f>IF(S$4&lt;=PARAMETER!$X$2,SUMIF('2025'!$F:$F,$B44,'2025'!R:R)/PARAMETER!$T$3,"")</f>
        <v>30.952999999999999</v>
      </c>
      <c r="T44" s="40">
        <f>IF(T$4&lt;=PARAMETER!$X$2,SUMIF('2025'!$F:$F,$B44,'2025'!S:S)/PARAMETER!$T$3,"")</f>
        <v>18.012</v>
      </c>
      <c r="U44" s="40" t="str">
        <f>IF(U$4&lt;=PARAMETER!$X$2,SUMIF('2025'!$F:$F,$B44,'2025'!T:T)/PARAMETER!$T$3,"")</f>
        <v/>
      </c>
      <c r="V44" s="40" t="str">
        <f>IF(V$4&lt;=PARAMETER!$X$2,SUMIF('2025'!$F:$F,$B44,'2025'!U:U)/PARAMETER!$T$3,"")</f>
        <v/>
      </c>
      <c r="W44" s="40" t="str">
        <f>IF(W$4&lt;=PARAMETER!$X$2,SUMIF('2025'!$F:$F,$B44,'2025'!V:V)/PARAMETER!$T$3,"")</f>
        <v/>
      </c>
      <c r="X44" s="40" t="str">
        <f>IF(X$4&lt;=PARAMETER!$X$2,SUMIF('2025'!$F:$F,$B44,'2025'!W:W)/PARAMETER!$T$3,"")</f>
        <v/>
      </c>
      <c r="Y44" s="40" t="str">
        <f>IF(Y$4&lt;=PARAMETER!$X$2,SUMIF('2025'!$F:$F,$B44,'2025'!X:X)/PARAMETER!$T$3,"")</f>
        <v/>
      </c>
      <c r="Z44" s="40" t="str">
        <f>IF(Z$4&lt;=PARAMETER!$X$2,SUMIF('2025'!$F:$F,$B44,'2025'!Y:Y)/PARAMETER!$T$3,"")</f>
        <v/>
      </c>
      <c r="AA44" s="40" t="str">
        <f>IF(AA$4&lt;=PARAMETER!$X$2,SUMIF('2025'!$F:$F,$B44,'2025'!Z:Z)/PARAMETER!$T$3,"")</f>
        <v/>
      </c>
      <c r="AB44" s="40" t="str">
        <f>IF(AB$4&lt;=PARAMETER!$X$2,SUMIF('2025'!$F:$F,$B44,'2025'!AA:AA)/PARAMETER!$T$3,"")</f>
        <v/>
      </c>
      <c r="AC44" s="40" t="str">
        <f>IF(AC$4&lt;=PARAMETER!$X$2,SUMIF('2025'!$F:$F,$B44,'2025'!AB:AB)/PARAMETER!$T$3,"")</f>
        <v/>
      </c>
      <c r="AD44" s="40" t="str">
        <f>IF(AD$4&lt;=PARAMETER!$X$2,SUMIF('2025'!$F:$F,$B44,'2025'!AC:AC)/PARAMETER!$T$3,"")</f>
        <v/>
      </c>
      <c r="AE44" s="40" t="str">
        <f>IF(AE$4&lt;=PARAMETER!$X$2,SUMIF('2025'!$F:$F,$B44,'2025'!AD:AD)/PARAMETER!$T$3,"")</f>
        <v/>
      </c>
      <c r="AF44" s="40" t="str">
        <f>IF(AF$4&lt;=PARAMETER!$X$2,SUMIF('2025'!$F:$F,$B44,'2025'!AE:AE)/PARAMETER!$T$3,"")</f>
        <v/>
      </c>
      <c r="AG44" s="40" t="str">
        <f>IF(AG$4&lt;=PARAMETER!$X$2,SUMIF('2025'!$F:$F,$B44,'2025'!AF:AF)/PARAMETER!$T$3,"")</f>
        <v/>
      </c>
      <c r="AH44" s="40" t="str">
        <f>IF(AH$4&lt;=PARAMETER!$X$2,SUMIF('2025'!$F:$F,$B44,'2025'!AG:AG)/PARAMETER!$T$3,"")</f>
        <v/>
      </c>
      <c r="AI44" s="40" t="str">
        <f>IF(AI$4&lt;=PARAMETER!$X$2,SUMIF('2025'!$F:$F,$B44,'2025'!AH:AH)/PARAMETER!$T$3,"")</f>
        <v/>
      </c>
      <c r="AJ44" s="40" t="str">
        <f>IF(AJ$4&lt;=PARAMETER!$X$2,SUMIF('2025'!$F:$F,$B44,'2025'!AI:AI)/PARAMETER!$T$3,"")</f>
        <v/>
      </c>
      <c r="AK44" s="40" t="str">
        <f>IF(AK$4&lt;=PARAMETER!$X$2,SUMIF('2025'!$F:$F,$B44,'2025'!AJ:AJ)/PARAMETER!$T$3,"")</f>
        <v/>
      </c>
      <c r="AL44" s="40" t="str">
        <f>IF(AL$4&lt;=PARAMETER!$X$2,SUMIF('2025'!$F:$F,$B44,'2025'!AK:AK)/PARAMETER!$T$3,"")</f>
        <v/>
      </c>
      <c r="AM44" s="40" t="str">
        <f>IF(AM$4&lt;=PARAMETER!$X$2,SUMIF('2025'!$F:$F,$B44,'2025'!AL:AL)/PARAMETER!$T$3,"")</f>
        <v/>
      </c>
      <c r="AN44" s="40" t="str">
        <f>IF(AN$4&lt;=PARAMETER!$X$2,SUMIF('2025'!$F:$F,$B44,'2025'!AM:AM)/PARAMETER!$T$3,"")</f>
        <v/>
      </c>
      <c r="AO44" s="40" t="str">
        <f>IF(AO$4&lt;=PARAMETER!$X$2,SUMIF('2025'!$F:$F,$B44,'2025'!AN:AN)/PARAMETER!$T$3,"")</f>
        <v/>
      </c>
      <c r="AP44" s="40" t="str">
        <f>IF(AP$4&lt;=PARAMETER!$X$2,SUMIF('2025'!$F:$F,$B44,'2025'!AO:AO)/PARAMETER!$T$3,"")</f>
        <v/>
      </c>
      <c r="AQ44" s="40" t="str">
        <f>IF(AQ$4&lt;=PARAMETER!$X$2,SUMIF('2025'!$F:$F,$B44,'2025'!AP:AP)/PARAMETER!$T$3,"")</f>
        <v/>
      </c>
      <c r="AR44" s="40" t="str">
        <f>IF(AR$4&lt;=PARAMETER!$X$2,SUMIF('2025'!$F:$F,$B44,'2025'!AQ:AQ)/PARAMETER!$T$3,"")</f>
        <v/>
      </c>
      <c r="AS44" s="40" t="str">
        <f>IF(AS$4&lt;=PARAMETER!$X$2,SUMIF('2025'!$F:$F,$B44,'2025'!AR:AR)/PARAMETER!$T$3,"")</f>
        <v/>
      </c>
      <c r="AT44" s="40" t="str">
        <f>IF(AT$4&lt;=PARAMETER!$X$2,SUMIF('2025'!$F:$F,$B44,'2025'!AS:AS)/PARAMETER!$T$3,"")</f>
        <v/>
      </c>
      <c r="AU44" s="40" t="str">
        <f>IF(AU$4&lt;=PARAMETER!$X$2,SUMIF('2025'!$F:$F,$B44,'2025'!AT:AT)/PARAMETER!$T$3,"")</f>
        <v/>
      </c>
      <c r="AV44" s="40" t="str">
        <f>IF(AV$4&lt;=PARAMETER!$X$2,SUMIF('2025'!$F:$F,$B44,'2025'!AU:AU)/PARAMETER!$T$3,"")</f>
        <v/>
      </c>
      <c r="AW44" s="40" t="str">
        <f>IF(AW$4&lt;=PARAMETER!$X$2,SUMIF('2025'!$F:$F,$B44,'2025'!AV:AV)/PARAMETER!$T$3,"")</f>
        <v/>
      </c>
      <c r="AX44" s="40" t="str">
        <f>IF(AX$4&lt;=PARAMETER!$X$2,SUMIF('2025'!$F:$F,$B44,'2025'!AW:AW)/PARAMETER!$T$3,"")</f>
        <v/>
      </c>
      <c r="AY44" s="40" t="str">
        <f>IF(AY$4&lt;=PARAMETER!$X$2,SUMIF('2025'!$F:$F,$B44,'2025'!AX:AX)/PARAMETER!$T$3,"")</f>
        <v/>
      </c>
      <c r="AZ44" s="40" t="str">
        <f>IF(AZ$4&lt;=PARAMETER!$X$2,SUMIF('2025'!$F:$F,$B44,'2025'!AY:AY)/PARAMETER!$T$3,"")</f>
        <v/>
      </c>
      <c r="BA44" s="40" t="str">
        <f>IF(BA$4&lt;=PARAMETER!$X$2,SUMIF('2025'!$F:$F,$B44,'2025'!AZ:AZ)/PARAMETER!$T$3,"")</f>
        <v/>
      </c>
      <c r="BB44" s="40" t="str">
        <f>IF(BB$4&lt;=PARAMETER!$X$2,SUMIF('2025'!$F:$F,$B44,'2025'!BA:BA)/PARAMETER!$T$3,"")</f>
        <v/>
      </c>
      <c r="BC44" s="40" t="str">
        <f>IF(BC$4&lt;=PARAMETER!$X$2,SUMIF('2025'!$F:$F,$B44,'2025'!BB:BB)/PARAMETER!$T$3,"")</f>
        <v/>
      </c>
      <c r="BD44" s="40" t="str">
        <f>IF(BD$4&lt;=PARAMETER!$X$2,SUMIF('2025'!$F:$F,$B44,'2025'!BC:BC)/PARAMETER!$T$3,"")</f>
        <v/>
      </c>
      <c r="BE44" s="40" t="str">
        <f>IF(BE$4&lt;=PARAMETER!$X$2,SUMIF('2025'!$F:$F,$B44,'2025'!BD:BD)/PARAMETER!$T$3,"")</f>
        <v/>
      </c>
      <c r="BF44" s="40" t="str">
        <f>IF(BF$4&lt;=PARAMETER!$X$2,SUMIF('2025'!$F:$F,$B44,'2025'!BE:BE)/PARAMETER!$T$3,"")</f>
        <v/>
      </c>
      <c r="BG44" s="40" t="str">
        <f>IF(BG$4&lt;=PARAMETER!$X$2,SUMIF('2025'!$F:$F,$B44,'2025'!BF:BF)/PARAMETER!$T$3,"")</f>
        <v/>
      </c>
      <c r="BH44" s="40" t="str">
        <f>IF(BH$4&lt;=PARAMETER!$X$2,SUMIF('2025'!$F:$F,$B44,'2025'!BG:BG)/PARAMETER!$T$3,"")</f>
        <v/>
      </c>
      <c r="BI44" s="40" t="str">
        <f>IF(BI$4&lt;=PARAMETER!$X$2,SUMIF('2025'!$F:$F,$B44,'2025'!BH:BH)/PARAMETER!$T$3,"")</f>
        <v/>
      </c>
      <c r="BJ44" s="40" t="str">
        <f>IF(BJ$4&lt;=PARAMETER!$X$2,SUMIF('2025'!$F:$F,$B44,'2025'!BI:BI)/PARAMETER!$T$3,"")</f>
        <v/>
      </c>
    </row>
    <row r="45" spans="1:62" x14ac:dyDescent="0.25">
      <c r="A45">
        <f t="shared" ref="A45" si="53">A43</f>
        <v>8</v>
      </c>
      <c r="B45" s="78" t="str">
        <f>CONCATENATE(C45,PARAMETER!T$2)</f>
        <v>PLATINUM CINEPLEXVOL</v>
      </c>
      <c r="C45" s="26" t="str">
        <f t="shared" si="51"/>
        <v>PLATINUM CINEPLEX</v>
      </c>
      <c r="D45" s="67"/>
      <c r="E45" s="68"/>
      <c r="F45" s="69"/>
      <c r="G45" s="70">
        <f t="shared" si="20"/>
        <v>2024</v>
      </c>
      <c r="H45" s="71">
        <f>IF(H$4&lt;=PARAMETER!$X$2,SUMIF('2024'!$F:$F,$B45,'2024'!G:G)/PARAMETER!$T$3,"")</f>
        <v>1024.812813</v>
      </c>
      <c r="I45" s="71">
        <f>IF(I$4&lt;=PARAMETER!$X$2,SUMIF('2024'!$F:$F,$B45,'2024'!H:H)/PARAMETER!$T$3,"")</f>
        <v>19.465800000000002</v>
      </c>
      <c r="J45" s="71">
        <f>IF(J$4&lt;=PARAMETER!$X$2,SUMIF('2024'!$F:$F,$B45,'2024'!I:I)/PARAMETER!$T$3,"")</f>
        <v>0.2</v>
      </c>
      <c r="K45" s="71">
        <f>IF(K$4&lt;=PARAMETER!$X$2,SUMIF('2024'!$F:$F,$B45,'2024'!J:J)/PARAMETER!$T$3,"")</f>
        <v>0</v>
      </c>
      <c r="L45" s="71">
        <f>IF(L$4&lt;=PARAMETER!$X$2,SUMIF('2024'!$F:$F,$B45,'2024'!K:K)/PARAMETER!$T$3,"")</f>
        <v>0</v>
      </c>
      <c r="M45" s="71">
        <f>IF(M$4&lt;=PARAMETER!$X$2,SUMIF('2024'!$F:$F,$B45,'2024'!L:L)/PARAMETER!$T$3,"")</f>
        <v>0</v>
      </c>
      <c r="N45" s="71">
        <f>IF(N$4&lt;=PARAMETER!$X$2,SUMIF('2024'!$F:$F,$B45,'2024'!M:M)/PARAMETER!$T$3,"")</f>
        <v>7.0000000000000007E-2</v>
      </c>
      <c r="O45" s="71">
        <f>IF(O$4&lt;=PARAMETER!$X$2,SUMIF('2024'!$F:$F,$B45,'2024'!N:N)/PARAMETER!$T$3,"")</f>
        <v>7.1037999999999997</v>
      </c>
      <c r="P45" s="71">
        <f>IF(P$4&lt;=PARAMETER!$X$2,SUMIF('2024'!$F:$F,$B45,'2024'!O:O)/PARAMETER!$T$3,"")</f>
        <v>0.93799999999999994</v>
      </c>
      <c r="Q45" s="71">
        <f>IF(Q$4&lt;=PARAMETER!$X$2,SUMIF('2024'!$F:$F,$B45,'2024'!P:P)/PARAMETER!$T$3,"")</f>
        <v>4.6050000000000004</v>
      </c>
      <c r="R45" s="71">
        <f>IF(R$4&lt;=PARAMETER!$X$2,SUMIF('2024'!$F:$F,$B45,'2024'!Q:Q)/PARAMETER!$T$3,"")</f>
        <v>4.0949999999999998</v>
      </c>
      <c r="S45" s="71">
        <f>IF(S$4&lt;=PARAMETER!$X$2,SUMIF('2024'!$F:$F,$B45,'2024'!R:R)/PARAMETER!$T$3,"")</f>
        <v>1.2589999999999999</v>
      </c>
      <c r="T45" s="71">
        <f>IF(T$4&lt;=PARAMETER!$X$2,SUMIF('2024'!$F:$F,$B45,'2024'!S:S)/PARAMETER!$T$3,"")</f>
        <v>1.1950000000000001</v>
      </c>
      <c r="U45" s="71" t="str">
        <f>IF(U$4&lt;=PARAMETER!$X$2,SUMIF('2024'!$F:$F,$B45,'2024'!T:T)/PARAMETER!$T$3,"")</f>
        <v/>
      </c>
      <c r="V45" s="71" t="str">
        <f>IF(V$4&lt;=PARAMETER!$X$2,SUMIF('2024'!$F:$F,$B45,'2024'!U:U)/PARAMETER!$T$3,"")</f>
        <v/>
      </c>
      <c r="W45" s="71" t="str">
        <f>IF(W$4&lt;=PARAMETER!$X$2,SUMIF('2024'!$F:$F,$B45,'2024'!V:V)/PARAMETER!$T$3,"")</f>
        <v/>
      </c>
      <c r="X45" s="71" t="str">
        <f>IF(X$4&lt;=PARAMETER!$X$2,SUMIF('2024'!$F:$F,$B45,'2024'!W:W)/PARAMETER!$T$3,"")</f>
        <v/>
      </c>
      <c r="Y45" s="71" t="str">
        <f>IF(Y$4&lt;=PARAMETER!$X$2,SUMIF('2024'!$F:$F,$B45,'2024'!X:X)/PARAMETER!$T$3,"")</f>
        <v/>
      </c>
      <c r="Z45" s="71" t="str">
        <f>IF(Z$4&lt;=PARAMETER!$X$2,SUMIF('2024'!$F:$F,$B45,'2024'!Y:Y)/PARAMETER!$T$3,"")</f>
        <v/>
      </c>
      <c r="AA45" s="71" t="str">
        <f>IF(AA$4&lt;=PARAMETER!$X$2,SUMIF('2024'!$F:$F,$B45,'2024'!Z:Z)/PARAMETER!$T$3,"")</f>
        <v/>
      </c>
      <c r="AB45" s="71" t="str">
        <f>IF(AB$4&lt;=PARAMETER!$X$2,SUMIF('2024'!$F:$F,$B45,'2024'!AA:AA)/PARAMETER!$T$3,"")</f>
        <v/>
      </c>
      <c r="AC45" s="71" t="str">
        <f>IF(AC$4&lt;=PARAMETER!$X$2,SUMIF('2024'!$F:$F,$B45,'2024'!AB:AB)/PARAMETER!$T$3,"")</f>
        <v/>
      </c>
      <c r="AD45" s="71" t="str">
        <f>IF(AD$4&lt;=PARAMETER!$X$2,SUMIF('2024'!$F:$F,$B45,'2024'!AC:AC)/PARAMETER!$T$3,"")</f>
        <v/>
      </c>
      <c r="AE45" s="71" t="str">
        <f>IF(AE$4&lt;=PARAMETER!$X$2,SUMIF('2024'!$F:$F,$B45,'2024'!AD:AD)/PARAMETER!$T$3,"")</f>
        <v/>
      </c>
      <c r="AF45" s="71" t="str">
        <f>IF(AF$4&lt;=PARAMETER!$X$2,SUMIF('2024'!$F:$F,$B45,'2024'!AE:AE)/PARAMETER!$T$3,"")</f>
        <v/>
      </c>
      <c r="AG45" s="71" t="str">
        <f>IF(AG$4&lt;=PARAMETER!$X$2,SUMIF('2024'!$F:$F,$B45,'2024'!AF:AF)/PARAMETER!$T$3,"")</f>
        <v/>
      </c>
      <c r="AH45" s="71" t="str">
        <f>IF(AH$4&lt;=PARAMETER!$X$2,SUMIF('2024'!$F:$F,$B45,'2024'!AG:AG)/PARAMETER!$T$3,"")</f>
        <v/>
      </c>
      <c r="AI45" s="71" t="str">
        <f>IF(AI$4&lt;=PARAMETER!$X$2,SUMIF('2024'!$F:$F,$B45,'2024'!AH:AH)/PARAMETER!$T$3,"")</f>
        <v/>
      </c>
      <c r="AJ45" s="71" t="str">
        <f>IF(AJ$4&lt;=PARAMETER!$X$2,SUMIF('2024'!$F:$F,$B45,'2024'!AI:AI)/PARAMETER!$T$3,"")</f>
        <v/>
      </c>
      <c r="AK45" s="71" t="str">
        <f>IF(AK$4&lt;=PARAMETER!$X$2,SUMIF('2024'!$F:$F,$B45,'2024'!AJ:AJ)/PARAMETER!$T$3,"")</f>
        <v/>
      </c>
      <c r="AL45" s="71" t="str">
        <f>IF(AL$4&lt;=PARAMETER!$X$2,SUMIF('2024'!$F:$F,$B45,'2024'!AK:AK)/PARAMETER!$T$3,"")</f>
        <v/>
      </c>
      <c r="AM45" s="71" t="str">
        <f>IF(AM$4&lt;=PARAMETER!$X$2,SUMIF('2024'!$F:$F,$B45,'2024'!AL:AL)/PARAMETER!$T$3,"")</f>
        <v/>
      </c>
      <c r="AN45" s="71" t="str">
        <f>IF(AN$4&lt;=PARAMETER!$X$2,SUMIF('2024'!$F:$F,$B45,'2024'!AM:AM)/PARAMETER!$T$3,"")</f>
        <v/>
      </c>
      <c r="AO45" s="71" t="str">
        <f>IF(AO$4&lt;=PARAMETER!$X$2,SUMIF('2024'!$F:$F,$B45,'2024'!AN:AN)/PARAMETER!$T$3,"")</f>
        <v/>
      </c>
      <c r="AP45" s="71" t="str">
        <f>IF(AP$4&lt;=PARAMETER!$X$2,SUMIF('2024'!$F:$F,$B45,'2024'!AO:AO)/PARAMETER!$T$3,"")</f>
        <v/>
      </c>
      <c r="AQ45" s="71" t="str">
        <f>IF(AQ$4&lt;=PARAMETER!$X$2,SUMIF('2024'!$F:$F,$B45,'2024'!AP:AP)/PARAMETER!$T$3,"")</f>
        <v/>
      </c>
      <c r="AR45" s="71" t="str">
        <f>IF(AR$4&lt;=PARAMETER!$X$2,SUMIF('2024'!$F:$F,$B45,'2024'!AQ:AQ)/PARAMETER!$T$3,"")</f>
        <v/>
      </c>
      <c r="AS45" s="71" t="str">
        <f>IF(AS$4&lt;=PARAMETER!$X$2,SUMIF('2024'!$F:$F,$B45,'2024'!AR:AR)/PARAMETER!$T$3,"")</f>
        <v/>
      </c>
      <c r="AT45" s="71" t="str">
        <f>IF(AT$4&lt;=PARAMETER!$X$2,SUMIF('2024'!$F:$F,$B45,'2024'!AS:AS)/PARAMETER!$T$3,"")</f>
        <v/>
      </c>
      <c r="AU45" s="71" t="str">
        <f>IF(AU$4&lt;=PARAMETER!$X$2,SUMIF('2024'!$F:$F,$B45,'2024'!AT:AT)/PARAMETER!$T$3,"")</f>
        <v/>
      </c>
      <c r="AV45" s="71" t="str">
        <f>IF(AV$4&lt;=PARAMETER!$X$2,SUMIF('2024'!$F:$F,$B45,'2024'!AU:AU)/PARAMETER!$T$3,"")</f>
        <v/>
      </c>
      <c r="AW45" s="71" t="str">
        <f>IF(AW$4&lt;=PARAMETER!$X$2,SUMIF('2024'!$F:$F,$B45,'2024'!AV:AV)/PARAMETER!$T$3,"")</f>
        <v/>
      </c>
      <c r="AX45" s="71" t="str">
        <f>IF(AX$4&lt;=PARAMETER!$X$2,SUMIF('2024'!$F:$F,$B45,'2024'!AW:AW)/PARAMETER!$T$3,"")</f>
        <v/>
      </c>
      <c r="AY45" s="71" t="str">
        <f>IF(AY$4&lt;=PARAMETER!$X$2,SUMIF('2024'!$F:$F,$B45,'2024'!AX:AX)/PARAMETER!$T$3,"")</f>
        <v/>
      </c>
      <c r="AZ45" s="71" t="str">
        <f>IF(AZ$4&lt;=PARAMETER!$X$2,SUMIF('2024'!$F:$F,$B45,'2024'!AY:AY)/PARAMETER!$T$3,"")</f>
        <v/>
      </c>
      <c r="BA45" s="71" t="str">
        <f>IF(BA$4&lt;=PARAMETER!$X$2,SUMIF('2024'!$F:$F,$B45,'2024'!AZ:AZ)/PARAMETER!$T$3,"")</f>
        <v/>
      </c>
      <c r="BB45" s="71" t="str">
        <f>IF(BB$4&lt;=PARAMETER!$X$2,SUMIF('2024'!$F:$F,$B45,'2024'!BA:BA)/PARAMETER!$T$3,"")</f>
        <v/>
      </c>
      <c r="BC45" s="71" t="str">
        <f>IF(BC$4&lt;=PARAMETER!$X$2,SUMIF('2024'!$F:$F,$B45,'2024'!BB:BB)/PARAMETER!$T$3,"")</f>
        <v/>
      </c>
      <c r="BD45" s="71" t="str">
        <f>IF(BD$4&lt;=PARAMETER!$X$2,SUMIF('2024'!$F:$F,$B45,'2024'!BC:BC)/PARAMETER!$T$3,"")</f>
        <v/>
      </c>
      <c r="BE45" s="71" t="str">
        <f>IF(BE$4&lt;=PARAMETER!$X$2,SUMIF('2024'!$F:$F,$B45,'2024'!BD:BD)/PARAMETER!$T$3,"")</f>
        <v/>
      </c>
      <c r="BF45" s="71" t="str">
        <f>IF(BF$4&lt;=PARAMETER!$X$2,SUMIF('2024'!$F:$F,$B45,'2024'!BE:BE)/PARAMETER!$T$3,"")</f>
        <v/>
      </c>
      <c r="BG45" s="71" t="str">
        <f>IF(BG$4&lt;=PARAMETER!$X$2,SUMIF('2024'!$F:$F,$B45,'2024'!BF:BF)/PARAMETER!$T$3,"")</f>
        <v/>
      </c>
      <c r="BH45" s="71" t="str">
        <f>IF(BH$4&lt;=PARAMETER!$X$2,SUMIF('2024'!$F:$F,$B45,'2024'!BG:BG)/PARAMETER!$T$3,"")</f>
        <v/>
      </c>
      <c r="BI45" s="71" t="str">
        <f>IF(BI$4&lt;=PARAMETER!$X$2,SUMIF('2024'!$F:$F,$B45,'2024'!BH:BH)/PARAMETER!$T$3,"")</f>
        <v/>
      </c>
      <c r="BJ45" s="71" t="str">
        <f>IF(BJ$4&lt;=PARAMETER!$X$2,SUMIF('2024'!$F:$F,$B45,'2024'!BI:BI)/PARAMETER!$T$3,"")</f>
        <v/>
      </c>
    </row>
    <row r="46" spans="1:62" x14ac:dyDescent="0.25">
      <c r="A46">
        <v>9</v>
      </c>
      <c r="B46" s="78" t="str">
        <f>CONCATENATE(C46,PARAMETER!T$2)</f>
        <v>VOL</v>
      </c>
      <c r="C46" s="21" t="str">
        <f>IFERROR(VLOOKUP(A46,PARAMETER!K$2:M54,3,0),"")</f>
        <v/>
      </c>
      <c r="D46" s="22" t="s">
        <v>127</v>
      </c>
      <c r="E46" s="37" t="str">
        <f t="shared" ref="E46" si="54">IFERROR(I47/I46,"")</f>
        <v/>
      </c>
      <c r="F46" s="23">
        <f t="shared" ref="F46:F48" si="55">IFERROR(IF(E46&gt;300%,300%,E46),"")</f>
        <v>3</v>
      </c>
      <c r="G46" s="24" t="str">
        <f t="shared" si="20"/>
        <v>Target</v>
      </c>
      <c r="H46" s="25">
        <f>IF(H$4&lt;=PARAMETER!$X$2,SUMIF('2026 T'!$F:$F,$B46,'2026 T'!G:G)/PARAMETER!$T$3,"")</f>
        <v>0</v>
      </c>
      <c r="I46" s="25">
        <f>IF(I$4&lt;=PARAMETER!$X$2,SUMIF('2026 T'!$F:$F,$B46,'2026 T'!H:H)/PARAMETER!$T$3,"")</f>
        <v>0</v>
      </c>
      <c r="J46" s="25">
        <f>IF(J$4&lt;=PARAMETER!$X$2,SUMIF('2026 T'!$F:$F,$B46,'2026 T'!I:I)/PARAMETER!$T$3,"")</f>
        <v>0</v>
      </c>
      <c r="K46" s="25">
        <f>IF(K$4&lt;=PARAMETER!$X$2,SUMIF('2026 T'!$F:$F,$B46,'2026 T'!J:J)/PARAMETER!$T$3,"")</f>
        <v>0</v>
      </c>
      <c r="L46" s="25">
        <f>IF(L$4&lt;=PARAMETER!$X$2,SUMIF('2026 T'!$F:$F,$B46,'2026 T'!K:K)/PARAMETER!$T$3,"")</f>
        <v>0</v>
      </c>
      <c r="M46" s="25">
        <f>IF(M$4&lt;=PARAMETER!$X$2,SUMIF('2026 T'!$F:$F,$B46,'2026 T'!L:L)/PARAMETER!$T$3,"")</f>
        <v>0</v>
      </c>
      <c r="N46" s="25">
        <f>IF(N$4&lt;=PARAMETER!$X$2,SUMIF('2026 T'!$F:$F,$B46,'2026 T'!M:M)/PARAMETER!$T$3,"")</f>
        <v>0</v>
      </c>
      <c r="O46" s="25">
        <f>IF(O$4&lt;=PARAMETER!$X$2,SUMIF('2026 T'!$F:$F,$B46,'2026 T'!N:N)/PARAMETER!$T$3,"")</f>
        <v>0</v>
      </c>
      <c r="P46" s="25">
        <f>IF(P$4&lt;=PARAMETER!$X$2,SUMIF('2026 T'!$F:$F,$B46,'2026 T'!O:O)/PARAMETER!$T$3,"")</f>
        <v>0</v>
      </c>
      <c r="Q46" s="25">
        <f>IF(Q$4&lt;=PARAMETER!$X$2,SUMIF('2026 T'!$F:$F,$B46,'2026 T'!P:P)/PARAMETER!$T$3,"")</f>
        <v>0</v>
      </c>
      <c r="R46" s="25">
        <f>IF(R$4&lt;=PARAMETER!$X$2,SUMIF('2026 T'!$F:$F,$B46,'2026 T'!Q:Q)/PARAMETER!$T$3,"")</f>
        <v>0</v>
      </c>
      <c r="S46" s="25">
        <f>IF(S$4&lt;=PARAMETER!$X$2,SUMIF('2026 T'!$F:$F,$B46,'2026 T'!R:R)/PARAMETER!$T$3,"")</f>
        <v>0</v>
      </c>
      <c r="T46" s="25">
        <f>IF(T$4&lt;=PARAMETER!$X$2,SUMIF('2026 T'!$F:$F,$B46,'2026 T'!S:S)/PARAMETER!$T$3,"")</f>
        <v>0</v>
      </c>
      <c r="U46" s="25" t="str">
        <f>IF(U$4&lt;=PARAMETER!$X$2,SUMIF('2026 T'!$F:$F,$B46,'2026 T'!T:T)/PARAMETER!$T$3,"")</f>
        <v/>
      </c>
      <c r="V46" s="25" t="str">
        <f>IF(V$4&lt;=PARAMETER!$X$2,SUMIF('2026 T'!$F:$F,$B46,'2026 T'!U:U)/PARAMETER!$T$3,"")</f>
        <v/>
      </c>
      <c r="W46" s="25" t="str">
        <f>IF(W$4&lt;=PARAMETER!$X$2,SUMIF('2026 T'!$F:$F,$B46,'2026 T'!V:V)/PARAMETER!$T$3,"")</f>
        <v/>
      </c>
      <c r="X46" s="25" t="str">
        <f>IF(X$4&lt;=PARAMETER!$X$2,SUMIF('2026 T'!$F:$F,$B46,'2026 T'!W:W)/PARAMETER!$T$3,"")</f>
        <v/>
      </c>
      <c r="Y46" s="25" t="str">
        <f>IF(Y$4&lt;=PARAMETER!$X$2,SUMIF('2026 T'!$F:$F,$B46,'2026 T'!X:X)/PARAMETER!$T$3,"")</f>
        <v/>
      </c>
      <c r="Z46" s="25" t="str">
        <f>IF(Z$4&lt;=PARAMETER!$X$2,SUMIF('2026 T'!$F:$F,$B46,'2026 T'!Y:Y)/PARAMETER!$T$3,"")</f>
        <v/>
      </c>
      <c r="AA46" s="25" t="str">
        <f>IF(AA$4&lt;=PARAMETER!$X$2,SUMIF('2026 T'!$F:$F,$B46,'2026 T'!Z:Z)/PARAMETER!$T$3,"")</f>
        <v/>
      </c>
      <c r="AB46" s="25" t="str">
        <f>IF(AB$4&lt;=PARAMETER!$X$2,SUMIF('2026 T'!$F:$F,$B46,'2026 T'!AA:AA)/PARAMETER!$T$3,"")</f>
        <v/>
      </c>
      <c r="AC46" s="25" t="str">
        <f>IF(AC$4&lt;=PARAMETER!$X$2,SUMIF('2026 T'!$F:$F,$B46,'2026 T'!AB:AB)/PARAMETER!$T$3,"")</f>
        <v/>
      </c>
      <c r="AD46" s="25" t="str">
        <f>IF(AD$4&lt;=PARAMETER!$X$2,SUMIF('2026 T'!$F:$F,$B46,'2026 T'!AC:AC)/PARAMETER!$T$3,"")</f>
        <v/>
      </c>
      <c r="AE46" s="25" t="str">
        <f>IF(AE$4&lt;=PARAMETER!$X$2,SUMIF('2026 T'!$F:$F,$B46,'2026 T'!AD:AD)/PARAMETER!$T$3,"")</f>
        <v/>
      </c>
      <c r="AF46" s="25" t="str">
        <f>IF(AF$4&lt;=PARAMETER!$X$2,SUMIF('2026 T'!$F:$F,$B46,'2026 T'!AE:AE)/PARAMETER!$T$3,"")</f>
        <v/>
      </c>
      <c r="AG46" s="25" t="str">
        <f>IF(AG$4&lt;=PARAMETER!$X$2,SUMIF('2026 T'!$F:$F,$B46,'2026 T'!AF:AF)/PARAMETER!$T$3,"")</f>
        <v/>
      </c>
      <c r="AH46" s="25" t="str">
        <f>IF(AH$4&lt;=PARAMETER!$X$2,SUMIF('2026 T'!$F:$F,$B46,'2026 T'!AG:AG)/PARAMETER!$T$3,"")</f>
        <v/>
      </c>
      <c r="AI46" s="25" t="str">
        <f>IF(AI$4&lt;=PARAMETER!$X$2,SUMIF('2026 T'!$F:$F,$B46,'2026 T'!AH:AH)/PARAMETER!$T$3,"")</f>
        <v/>
      </c>
      <c r="AJ46" s="25" t="str">
        <f>IF(AJ$4&lt;=PARAMETER!$X$2,SUMIF('2026 T'!$F:$F,$B46,'2026 T'!AI:AI)/PARAMETER!$T$3,"")</f>
        <v/>
      </c>
      <c r="AK46" s="25" t="str">
        <f>IF(AK$4&lt;=PARAMETER!$X$2,SUMIF('2026 T'!$F:$F,$B46,'2026 T'!AJ:AJ)/PARAMETER!$T$3,"")</f>
        <v/>
      </c>
      <c r="AL46" s="25" t="str">
        <f>IF(AL$4&lt;=PARAMETER!$X$2,SUMIF('2026 T'!$F:$F,$B46,'2026 T'!AK:AK)/PARAMETER!$T$3,"")</f>
        <v/>
      </c>
      <c r="AM46" s="25" t="str">
        <f>IF(AM$4&lt;=PARAMETER!$X$2,SUMIF('2026 T'!$F:$F,$B46,'2026 T'!AL:AL)/PARAMETER!$T$3,"")</f>
        <v/>
      </c>
      <c r="AN46" s="25" t="str">
        <f>IF(AN$4&lt;=PARAMETER!$X$2,SUMIF('2026 T'!$F:$F,$B46,'2026 T'!AM:AM)/PARAMETER!$T$3,"")</f>
        <v/>
      </c>
      <c r="AO46" s="25" t="str">
        <f>IF(AO$4&lt;=PARAMETER!$X$2,SUMIF('2026 T'!$F:$F,$B46,'2026 T'!AN:AN)/PARAMETER!$T$3,"")</f>
        <v/>
      </c>
      <c r="AP46" s="25" t="str">
        <f>IF(AP$4&lt;=PARAMETER!$X$2,SUMIF('2026 T'!$F:$F,$B46,'2026 T'!AO:AO)/PARAMETER!$T$3,"")</f>
        <v/>
      </c>
      <c r="AQ46" s="25" t="str">
        <f>IF(AQ$4&lt;=PARAMETER!$X$2,SUMIF('2026 T'!$F:$F,$B46,'2026 T'!AP:AP)/PARAMETER!$T$3,"")</f>
        <v/>
      </c>
      <c r="AR46" s="25" t="str">
        <f>IF(AR$4&lt;=PARAMETER!$X$2,SUMIF('2026 T'!$F:$F,$B46,'2026 T'!AQ:AQ)/PARAMETER!$T$3,"")</f>
        <v/>
      </c>
      <c r="AS46" s="25" t="str">
        <f>IF(AS$4&lt;=PARAMETER!$X$2,SUMIF('2026 T'!$F:$F,$B46,'2026 T'!AR:AR)/PARAMETER!$T$3,"")</f>
        <v/>
      </c>
      <c r="AT46" s="25" t="str">
        <f>IF(AT$4&lt;=PARAMETER!$X$2,SUMIF('2026 T'!$F:$F,$B46,'2026 T'!AS:AS)/PARAMETER!$T$3,"")</f>
        <v/>
      </c>
      <c r="AU46" s="25" t="str">
        <f>IF(AU$4&lt;=PARAMETER!$X$2,SUMIF('2026 T'!$F:$F,$B46,'2026 T'!AT:AT)/PARAMETER!$T$3,"")</f>
        <v/>
      </c>
      <c r="AV46" s="25" t="str">
        <f>IF(AV$4&lt;=PARAMETER!$X$2,SUMIF('2026 T'!$F:$F,$B46,'2026 T'!AU:AU)/PARAMETER!$T$3,"")</f>
        <v/>
      </c>
      <c r="AW46" s="25" t="str">
        <f>IF(AW$4&lt;=PARAMETER!$X$2,SUMIF('2026 T'!$F:$F,$B46,'2026 T'!AV:AV)/PARAMETER!$T$3,"")</f>
        <v/>
      </c>
      <c r="AX46" s="25" t="str">
        <f>IF(AX$4&lt;=PARAMETER!$X$2,SUMIF('2026 T'!$F:$F,$B46,'2026 T'!AW:AW)/PARAMETER!$T$3,"")</f>
        <v/>
      </c>
      <c r="AY46" s="25" t="str">
        <f>IF(AY$4&lt;=PARAMETER!$X$2,SUMIF('2026 T'!$F:$F,$B46,'2026 T'!AX:AX)/PARAMETER!$T$3,"")</f>
        <v/>
      </c>
      <c r="AZ46" s="25" t="str">
        <f>IF(AZ$4&lt;=PARAMETER!$X$2,SUMIF('2026 T'!$F:$F,$B46,'2026 T'!AY:AY)/PARAMETER!$T$3,"")</f>
        <v/>
      </c>
      <c r="BA46" s="25" t="str">
        <f>IF(BA$4&lt;=PARAMETER!$X$2,SUMIF('2026 T'!$F:$F,$B46,'2026 T'!AZ:AZ)/PARAMETER!$T$3,"")</f>
        <v/>
      </c>
      <c r="BB46" s="25" t="str">
        <f>IF(BB$4&lt;=PARAMETER!$X$2,SUMIF('2026 T'!$F:$F,$B46,'2026 T'!BA:BA)/PARAMETER!$T$3,"")</f>
        <v/>
      </c>
      <c r="BC46" s="25" t="str">
        <f>IF(BC$4&lt;=PARAMETER!$X$2,SUMIF('2026 T'!$F:$F,$B46,'2026 T'!BB:BB)/PARAMETER!$T$3,"")</f>
        <v/>
      </c>
      <c r="BD46" s="25" t="str">
        <f>IF(BD$4&lt;=PARAMETER!$X$2,SUMIF('2026 T'!$F:$F,$B46,'2026 T'!BC:BC)/PARAMETER!$T$3,"")</f>
        <v/>
      </c>
      <c r="BE46" s="25" t="str">
        <f>IF(BE$4&lt;=PARAMETER!$X$2,SUMIF('2026 T'!$F:$F,$B46,'2026 T'!BD:BD)/PARAMETER!$T$3,"")</f>
        <v/>
      </c>
      <c r="BF46" s="25" t="str">
        <f>IF(BF$4&lt;=PARAMETER!$X$2,SUMIF('2026 T'!$F:$F,$B46,'2026 T'!BE:BE)/PARAMETER!$T$3,"")</f>
        <v/>
      </c>
      <c r="BG46" s="25" t="str">
        <f>IF(BG$4&lt;=PARAMETER!$X$2,SUMIF('2026 T'!$F:$F,$B46,'2026 T'!BF:BF)/PARAMETER!$T$3,"")</f>
        <v/>
      </c>
      <c r="BH46" s="25" t="str">
        <f>IF(BH$4&lt;=PARAMETER!$X$2,SUMIF('2026 T'!$F:$F,$B46,'2026 T'!BG:BG)/PARAMETER!$T$3,"")</f>
        <v/>
      </c>
      <c r="BI46" s="25" t="str">
        <f>IF(BI$4&lt;=PARAMETER!$X$2,SUMIF('2026 T'!$F:$F,$B46,'2026 T'!BH:BH)/PARAMETER!$T$3,"")</f>
        <v/>
      </c>
      <c r="BJ46" s="25" t="str">
        <f>IF(BJ$4&lt;=PARAMETER!$X$2,SUMIF('2026 T'!$F:$F,$B46,'2026 T'!BI:BI)/PARAMETER!$T$3,"")</f>
        <v/>
      </c>
    </row>
    <row r="47" spans="1:62" x14ac:dyDescent="0.25">
      <c r="A47">
        <f t="shared" ref="A47:A48" si="56">A46</f>
        <v>9</v>
      </c>
      <c r="B47" s="78" t="str">
        <f>CONCATENATE(C47,PARAMETER!T$2)</f>
        <v>VOL</v>
      </c>
      <c r="C47" s="26" t="str">
        <f t="shared" ref="C47:C49" si="57">C46</f>
        <v/>
      </c>
      <c r="D47" s="27" t="s">
        <v>128</v>
      </c>
      <c r="E47" s="35" t="str">
        <f t="shared" ref="E47:E48" si="58">IFERROR(I47/I48-1,"")</f>
        <v/>
      </c>
      <c r="F47" s="28">
        <f t="shared" si="55"/>
        <v>3</v>
      </c>
      <c r="G47" s="39">
        <f t="shared" si="20"/>
        <v>2026</v>
      </c>
      <c r="H47" s="40">
        <f>IF(H$4&lt;=PARAMETER!$X$2,SUMIF('2026'!$F:$F,$B47,'2026'!G:G)/PARAMETER!$T$3,"")</f>
        <v>0</v>
      </c>
      <c r="I47" s="40">
        <f>IF(I$4&lt;=PARAMETER!$X$2,SUMIF('2026'!$F:$F,$B47,'2026'!H:H)/PARAMETER!$T$3,"")</f>
        <v>0</v>
      </c>
      <c r="J47" s="40">
        <f>IF(J$4&lt;=PARAMETER!$X$2,SUMIF('2026'!$F:$F,$B47,'2026'!I:I)/PARAMETER!$T$3,"")</f>
        <v>0</v>
      </c>
      <c r="K47" s="40">
        <f>IF(K$4&lt;=PARAMETER!$X$2,SUMIF('2026'!$F:$F,$B47,'2026'!J:J)/PARAMETER!$T$3,"")</f>
        <v>0</v>
      </c>
      <c r="L47" s="40">
        <f>IF(L$4&lt;=PARAMETER!$X$2,SUMIF('2026'!$F:$F,$B47,'2026'!K:K)/PARAMETER!$T$3,"")</f>
        <v>0</v>
      </c>
      <c r="M47" s="40">
        <f>IF(M$4&lt;=PARAMETER!$X$2,SUMIF('2026'!$F:$F,$B47,'2026'!L:L)/PARAMETER!$T$3,"")</f>
        <v>0</v>
      </c>
      <c r="N47" s="40">
        <f>IF(N$4&lt;=PARAMETER!$X$2,SUMIF('2026'!$F:$F,$B47,'2026'!M:M)/PARAMETER!$T$3,"")</f>
        <v>0</v>
      </c>
      <c r="O47" s="40">
        <f>IF(O$4&lt;=PARAMETER!$X$2,SUMIF('2026'!$F:$F,$B47,'2026'!N:N)/PARAMETER!$T$3,"")</f>
        <v>0</v>
      </c>
      <c r="P47" s="40">
        <f>IF(P$4&lt;=PARAMETER!$X$2,SUMIF('2026'!$F:$F,$B47,'2026'!O:O)/PARAMETER!$T$3,"")</f>
        <v>0</v>
      </c>
      <c r="Q47" s="40">
        <f>IF(Q$4&lt;=PARAMETER!$X$2,SUMIF('2026'!$F:$F,$B47,'2026'!P:P)/PARAMETER!$T$3,"")</f>
        <v>0</v>
      </c>
      <c r="R47" s="40">
        <f>IF(R$4&lt;=PARAMETER!$X$2,SUMIF('2026'!$F:$F,$B47,'2026'!Q:Q)/PARAMETER!$T$3,"")</f>
        <v>0</v>
      </c>
      <c r="S47" s="40">
        <f>IF(S$4&lt;=PARAMETER!$X$2,SUMIF('2026'!$F:$F,$B47,'2026'!R:R)/PARAMETER!$T$3,"")</f>
        <v>0</v>
      </c>
      <c r="T47" s="40">
        <f>IF(T$4&lt;=PARAMETER!$X$2,SUMIF('2026'!$F:$F,$B47,'2026'!S:S)/PARAMETER!$T$3,"")</f>
        <v>0</v>
      </c>
      <c r="U47" s="40" t="str">
        <f>IF(U$4&lt;=PARAMETER!$X$2,SUMIF('2026'!$F:$F,$B47,'2026'!T:T)/PARAMETER!$T$3,"")</f>
        <v/>
      </c>
      <c r="V47" s="40" t="str">
        <f>IF(V$4&lt;=PARAMETER!$X$2,SUMIF('2026'!$F:$F,$B47,'2026'!U:U)/PARAMETER!$T$3,"")</f>
        <v/>
      </c>
      <c r="W47" s="40" t="str">
        <f>IF(W$4&lt;=PARAMETER!$X$2,SUMIF('2026'!$F:$F,$B47,'2026'!V:V)/PARAMETER!$T$3,"")</f>
        <v/>
      </c>
      <c r="X47" s="40" t="str">
        <f>IF(X$4&lt;=PARAMETER!$X$2,SUMIF('2026'!$F:$F,$B47,'2026'!W:W)/PARAMETER!$T$3,"")</f>
        <v/>
      </c>
      <c r="Y47" s="40" t="str">
        <f>IF(Y$4&lt;=PARAMETER!$X$2,SUMIF('2026'!$F:$F,$B47,'2026'!X:X)/PARAMETER!$T$3,"")</f>
        <v/>
      </c>
      <c r="Z47" s="40" t="str">
        <f>IF(Z$4&lt;=PARAMETER!$X$2,SUMIF('2026'!$F:$F,$B47,'2026'!Y:Y)/PARAMETER!$T$3,"")</f>
        <v/>
      </c>
      <c r="AA47" s="40" t="str">
        <f>IF(AA$4&lt;=PARAMETER!$X$2,SUMIF('2026'!$F:$F,$B47,'2026'!Z:Z)/PARAMETER!$T$3,"")</f>
        <v/>
      </c>
      <c r="AB47" s="40" t="str">
        <f>IF(AB$4&lt;=PARAMETER!$X$2,SUMIF('2026'!$F:$F,$B47,'2026'!AA:AA)/PARAMETER!$T$3,"")</f>
        <v/>
      </c>
      <c r="AC47" s="40" t="str">
        <f>IF(AC$4&lt;=PARAMETER!$X$2,SUMIF('2026'!$F:$F,$B47,'2026'!AB:AB)/PARAMETER!$T$3,"")</f>
        <v/>
      </c>
      <c r="AD47" s="40" t="str">
        <f>IF(AD$4&lt;=PARAMETER!$X$2,SUMIF('2026'!$F:$F,$B47,'2026'!AC:AC)/PARAMETER!$T$3,"")</f>
        <v/>
      </c>
      <c r="AE47" s="40" t="str">
        <f>IF(AE$4&lt;=PARAMETER!$X$2,SUMIF('2026'!$F:$F,$B47,'2026'!AD:AD)/PARAMETER!$T$3,"")</f>
        <v/>
      </c>
      <c r="AF47" s="40" t="str">
        <f>IF(AF$4&lt;=PARAMETER!$X$2,SUMIF('2026'!$F:$F,$B47,'2026'!AE:AE)/PARAMETER!$T$3,"")</f>
        <v/>
      </c>
      <c r="AG47" s="40" t="str">
        <f>IF(AG$4&lt;=PARAMETER!$X$2,SUMIF('2026'!$F:$F,$B47,'2026'!AF:AF)/PARAMETER!$T$3,"")</f>
        <v/>
      </c>
      <c r="AH47" s="40" t="str">
        <f>IF(AH$4&lt;=PARAMETER!$X$2,SUMIF('2026'!$F:$F,$B47,'2026'!AG:AG)/PARAMETER!$T$3,"")</f>
        <v/>
      </c>
      <c r="AI47" s="40" t="str">
        <f>IF(AI$4&lt;=PARAMETER!$X$2,SUMIF('2026'!$F:$F,$B47,'2026'!AH:AH)/PARAMETER!$T$3,"")</f>
        <v/>
      </c>
      <c r="AJ47" s="40" t="str">
        <f>IF(AJ$4&lt;=PARAMETER!$X$2,SUMIF('2026'!$F:$F,$B47,'2026'!AI:AI)/PARAMETER!$T$3,"")</f>
        <v/>
      </c>
      <c r="AK47" s="40" t="str">
        <f>IF(AK$4&lt;=PARAMETER!$X$2,SUMIF('2026'!$F:$F,$B47,'2026'!AJ:AJ)/PARAMETER!$T$3,"")</f>
        <v/>
      </c>
      <c r="AL47" s="40" t="str">
        <f>IF(AL$4&lt;=PARAMETER!$X$2,SUMIF('2026'!$F:$F,$B47,'2026'!AK:AK)/PARAMETER!$T$3,"")</f>
        <v/>
      </c>
      <c r="AM47" s="40" t="str">
        <f>IF(AM$4&lt;=PARAMETER!$X$2,SUMIF('2026'!$F:$F,$B47,'2026'!AL:AL)/PARAMETER!$T$3,"")</f>
        <v/>
      </c>
      <c r="AN47" s="40" t="str">
        <f>IF(AN$4&lt;=PARAMETER!$X$2,SUMIF('2026'!$F:$F,$B47,'2026'!AM:AM)/PARAMETER!$T$3,"")</f>
        <v/>
      </c>
      <c r="AO47" s="40" t="str">
        <f>IF(AO$4&lt;=PARAMETER!$X$2,SUMIF('2026'!$F:$F,$B47,'2026'!AN:AN)/PARAMETER!$T$3,"")</f>
        <v/>
      </c>
      <c r="AP47" s="40" t="str">
        <f>IF(AP$4&lt;=PARAMETER!$X$2,SUMIF('2026'!$F:$F,$B47,'2026'!AO:AO)/PARAMETER!$T$3,"")</f>
        <v/>
      </c>
      <c r="AQ47" s="40" t="str">
        <f>IF(AQ$4&lt;=PARAMETER!$X$2,SUMIF('2026'!$F:$F,$B47,'2026'!AP:AP)/PARAMETER!$T$3,"")</f>
        <v/>
      </c>
      <c r="AR47" s="40" t="str">
        <f>IF(AR$4&lt;=PARAMETER!$X$2,SUMIF('2026'!$F:$F,$B47,'2026'!AQ:AQ)/PARAMETER!$T$3,"")</f>
        <v/>
      </c>
      <c r="AS47" s="40" t="str">
        <f>IF(AS$4&lt;=PARAMETER!$X$2,SUMIF('2026'!$F:$F,$B47,'2026'!AR:AR)/PARAMETER!$T$3,"")</f>
        <v/>
      </c>
      <c r="AT47" s="40" t="str">
        <f>IF(AT$4&lt;=PARAMETER!$X$2,SUMIF('2026'!$F:$F,$B47,'2026'!AS:AS)/PARAMETER!$T$3,"")</f>
        <v/>
      </c>
      <c r="AU47" s="40" t="str">
        <f>IF(AU$4&lt;=PARAMETER!$X$2,SUMIF('2026'!$F:$F,$B47,'2026'!AT:AT)/PARAMETER!$T$3,"")</f>
        <v/>
      </c>
      <c r="AV47" s="40" t="str">
        <f>IF(AV$4&lt;=PARAMETER!$X$2,SUMIF('2026'!$F:$F,$B47,'2026'!AU:AU)/PARAMETER!$T$3,"")</f>
        <v/>
      </c>
      <c r="AW47" s="40" t="str">
        <f>IF(AW$4&lt;=PARAMETER!$X$2,SUMIF('2026'!$F:$F,$B47,'2026'!AV:AV)/PARAMETER!$T$3,"")</f>
        <v/>
      </c>
      <c r="AX47" s="40" t="str">
        <f>IF(AX$4&lt;=PARAMETER!$X$2,SUMIF('2026'!$F:$F,$B47,'2026'!AW:AW)/PARAMETER!$T$3,"")</f>
        <v/>
      </c>
      <c r="AY47" s="40" t="str">
        <f>IF(AY$4&lt;=PARAMETER!$X$2,SUMIF('2026'!$F:$F,$B47,'2026'!AX:AX)/PARAMETER!$T$3,"")</f>
        <v/>
      </c>
      <c r="AZ47" s="40" t="str">
        <f>IF(AZ$4&lt;=PARAMETER!$X$2,SUMIF('2026'!$F:$F,$B47,'2026'!AY:AY)/PARAMETER!$T$3,"")</f>
        <v/>
      </c>
      <c r="BA47" s="40" t="str">
        <f>IF(BA$4&lt;=PARAMETER!$X$2,SUMIF('2026'!$F:$F,$B47,'2026'!AZ:AZ)/PARAMETER!$T$3,"")</f>
        <v/>
      </c>
      <c r="BB47" s="40" t="str">
        <f>IF(BB$4&lt;=PARAMETER!$X$2,SUMIF('2026'!$F:$F,$B47,'2026'!BA:BA)/PARAMETER!$T$3,"")</f>
        <v/>
      </c>
      <c r="BC47" s="40" t="str">
        <f>IF(BC$4&lt;=PARAMETER!$X$2,SUMIF('2026'!$F:$F,$B47,'2026'!BB:BB)/PARAMETER!$T$3,"")</f>
        <v/>
      </c>
      <c r="BD47" s="40" t="str">
        <f>IF(BD$4&lt;=PARAMETER!$X$2,SUMIF('2026'!$F:$F,$B47,'2026'!BC:BC)/PARAMETER!$T$3,"")</f>
        <v/>
      </c>
      <c r="BE47" s="40" t="str">
        <f>IF(BE$4&lt;=PARAMETER!$X$2,SUMIF('2026'!$F:$F,$B47,'2026'!BD:BD)/PARAMETER!$T$3,"")</f>
        <v/>
      </c>
      <c r="BF47" s="40" t="str">
        <f>IF(BF$4&lt;=PARAMETER!$X$2,SUMIF('2026'!$F:$F,$B47,'2026'!BE:BE)/PARAMETER!$T$3,"")</f>
        <v/>
      </c>
      <c r="BG47" s="40" t="str">
        <f>IF(BG$4&lt;=PARAMETER!$X$2,SUMIF('2026'!$F:$F,$B47,'2026'!BF:BF)/PARAMETER!$T$3,"")</f>
        <v/>
      </c>
      <c r="BH47" s="40" t="str">
        <f>IF(BH$4&lt;=PARAMETER!$X$2,SUMIF('2026'!$F:$F,$B47,'2026'!BG:BG)/PARAMETER!$T$3,"")</f>
        <v/>
      </c>
      <c r="BI47" s="40" t="str">
        <f>IF(BI$4&lt;=PARAMETER!$X$2,SUMIF('2026'!$F:$F,$B47,'2026'!BH:BH)/PARAMETER!$T$3,"")</f>
        <v/>
      </c>
      <c r="BJ47" s="40" t="str">
        <f>IF(BJ$4&lt;=PARAMETER!$X$2,SUMIF('2026'!$F:$F,$B47,'2026'!BI:BI)/PARAMETER!$T$3,"")</f>
        <v/>
      </c>
    </row>
    <row r="48" spans="1:62" x14ac:dyDescent="0.25">
      <c r="A48">
        <f t="shared" si="56"/>
        <v>9</v>
      </c>
      <c r="B48" s="78" t="str">
        <f>CONCATENATE(C48,PARAMETER!T$2)</f>
        <v>VOL</v>
      </c>
      <c r="C48" s="26" t="str">
        <f t="shared" si="57"/>
        <v/>
      </c>
      <c r="D48" s="27" t="s">
        <v>128</v>
      </c>
      <c r="E48" s="35" t="str">
        <f t="shared" si="58"/>
        <v/>
      </c>
      <c r="F48" s="28">
        <f t="shared" si="55"/>
        <v>3</v>
      </c>
      <c r="G48" s="39">
        <f t="shared" si="20"/>
        <v>2025</v>
      </c>
      <c r="H48" s="40">
        <f>IF(H$4&lt;=PARAMETER!$X$2,SUMIF('2025'!$F:$F,$B48,'2025'!G:G)/PARAMETER!$T$3,"")</f>
        <v>0</v>
      </c>
      <c r="I48" s="40">
        <f>IF(I$4&lt;=PARAMETER!$X$2,SUMIF('2025'!$F:$F,$B48,'2025'!H:H)/PARAMETER!$T$3,"")</f>
        <v>0</v>
      </c>
      <c r="J48" s="40">
        <f>IF(J$4&lt;=PARAMETER!$X$2,SUMIF('2025'!$F:$F,$B48,'2025'!I:I)/PARAMETER!$T$3,"")</f>
        <v>0</v>
      </c>
      <c r="K48" s="40">
        <f>IF(K$4&lt;=PARAMETER!$X$2,SUMIF('2025'!$F:$F,$B48,'2025'!J:J)/PARAMETER!$T$3,"")</f>
        <v>0</v>
      </c>
      <c r="L48" s="40">
        <f>IF(L$4&lt;=PARAMETER!$X$2,SUMIF('2025'!$F:$F,$B48,'2025'!K:K)/PARAMETER!$T$3,"")</f>
        <v>0</v>
      </c>
      <c r="M48" s="40">
        <f>IF(M$4&lt;=PARAMETER!$X$2,SUMIF('2025'!$F:$F,$B48,'2025'!L:L)/PARAMETER!$T$3,"")</f>
        <v>0</v>
      </c>
      <c r="N48" s="40">
        <f>IF(N$4&lt;=PARAMETER!$X$2,SUMIF('2025'!$F:$F,$B48,'2025'!M:M)/PARAMETER!$T$3,"")</f>
        <v>0</v>
      </c>
      <c r="O48" s="40">
        <f>IF(O$4&lt;=PARAMETER!$X$2,SUMIF('2025'!$F:$F,$B48,'2025'!N:N)/PARAMETER!$T$3,"")</f>
        <v>0</v>
      </c>
      <c r="P48" s="40">
        <f>IF(P$4&lt;=PARAMETER!$X$2,SUMIF('2025'!$F:$F,$B48,'2025'!O:O)/PARAMETER!$T$3,"")</f>
        <v>0</v>
      </c>
      <c r="Q48" s="40">
        <f>IF(Q$4&lt;=PARAMETER!$X$2,SUMIF('2025'!$F:$F,$B48,'2025'!P:P)/PARAMETER!$T$3,"")</f>
        <v>0</v>
      </c>
      <c r="R48" s="40">
        <f>IF(R$4&lt;=PARAMETER!$X$2,SUMIF('2025'!$F:$F,$B48,'2025'!Q:Q)/PARAMETER!$T$3,"")</f>
        <v>0</v>
      </c>
      <c r="S48" s="40">
        <f>IF(S$4&lt;=PARAMETER!$X$2,SUMIF('2025'!$F:$F,$B48,'2025'!R:R)/PARAMETER!$T$3,"")</f>
        <v>0</v>
      </c>
      <c r="T48" s="40">
        <f>IF(T$4&lt;=PARAMETER!$X$2,SUMIF('2025'!$F:$F,$B48,'2025'!S:S)/PARAMETER!$T$3,"")</f>
        <v>0</v>
      </c>
      <c r="U48" s="40" t="str">
        <f>IF(U$4&lt;=PARAMETER!$X$2,SUMIF('2025'!$F:$F,$B48,'2025'!T:T)/PARAMETER!$T$3,"")</f>
        <v/>
      </c>
      <c r="V48" s="40" t="str">
        <f>IF(V$4&lt;=PARAMETER!$X$2,SUMIF('2025'!$F:$F,$B48,'2025'!U:U)/PARAMETER!$T$3,"")</f>
        <v/>
      </c>
      <c r="W48" s="40" t="str">
        <f>IF(W$4&lt;=PARAMETER!$X$2,SUMIF('2025'!$F:$F,$B48,'2025'!V:V)/PARAMETER!$T$3,"")</f>
        <v/>
      </c>
      <c r="X48" s="40" t="str">
        <f>IF(X$4&lt;=PARAMETER!$X$2,SUMIF('2025'!$F:$F,$B48,'2025'!W:W)/PARAMETER!$T$3,"")</f>
        <v/>
      </c>
      <c r="Y48" s="40" t="str">
        <f>IF(Y$4&lt;=PARAMETER!$X$2,SUMIF('2025'!$F:$F,$B48,'2025'!X:X)/PARAMETER!$T$3,"")</f>
        <v/>
      </c>
      <c r="Z48" s="40" t="str">
        <f>IF(Z$4&lt;=PARAMETER!$X$2,SUMIF('2025'!$F:$F,$B48,'2025'!Y:Y)/PARAMETER!$T$3,"")</f>
        <v/>
      </c>
      <c r="AA48" s="40" t="str">
        <f>IF(AA$4&lt;=PARAMETER!$X$2,SUMIF('2025'!$F:$F,$B48,'2025'!Z:Z)/PARAMETER!$T$3,"")</f>
        <v/>
      </c>
      <c r="AB48" s="40" t="str">
        <f>IF(AB$4&lt;=PARAMETER!$X$2,SUMIF('2025'!$F:$F,$B48,'2025'!AA:AA)/PARAMETER!$T$3,"")</f>
        <v/>
      </c>
      <c r="AC48" s="40" t="str">
        <f>IF(AC$4&lt;=PARAMETER!$X$2,SUMIF('2025'!$F:$F,$B48,'2025'!AB:AB)/PARAMETER!$T$3,"")</f>
        <v/>
      </c>
      <c r="AD48" s="40" t="str">
        <f>IF(AD$4&lt;=PARAMETER!$X$2,SUMIF('2025'!$F:$F,$B48,'2025'!AC:AC)/PARAMETER!$T$3,"")</f>
        <v/>
      </c>
      <c r="AE48" s="40" t="str">
        <f>IF(AE$4&lt;=PARAMETER!$X$2,SUMIF('2025'!$F:$F,$B48,'2025'!AD:AD)/PARAMETER!$T$3,"")</f>
        <v/>
      </c>
      <c r="AF48" s="40" t="str">
        <f>IF(AF$4&lt;=PARAMETER!$X$2,SUMIF('2025'!$F:$F,$B48,'2025'!AE:AE)/PARAMETER!$T$3,"")</f>
        <v/>
      </c>
      <c r="AG48" s="40" t="str">
        <f>IF(AG$4&lt;=PARAMETER!$X$2,SUMIF('2025'!$F:$F,$B48,'2025'!AF:AF)/PARAMETER!$T$3,"")</f>
        <v/>
      </c>
      <c r="AH48" s="40" t="str">
        <f>IF(AH$4&lt;=PARAMETER!$X$2,SUMIF('2025'!$F:$F,$B48,'2025'!AG:AG)/PARAMETER!$T$3,"")</f>
        <v/>
      </c>
      <c r="AI48" s="40" t="str">
        <f>IF(AI$4&lt;=PARAMETER!$X$2,SUMIF('2025'!$F:$F,$B48,'2025'!AH:AH)/PARAMETER!$T$3,"")</f>
        <v/>
      </c>
      <c r="AJ48" s="40" t="str">
        <f>IF(AJ$4&lt;=PARAMETER!$X$2,SUMIF('2025'!$F:$F,$B48,'2025'!AI:AI)/PARAMETER!$T$3,"")</f>
        <v/>
      </c>
      <c r="AK48" s="40" t="str">
        <f>IF(AK$4&lt;=PARAMETER!$X$2,SUMIF('2025'!$F:$F,$B48,'2025'!AJ:AJ)/PARAMETER!$T$3,"")</f>
        <v/>
      </c>
      <c r="AL48" s="40" t="str">
        <f>IF(AL$4&lt;=PARAMETER!$X$2,SUMIF('2025'!$F:$F,$B48,'2025'!AK:AK)/PARAMETER!$T$3,"")</f>
        <v/>
      </c>
      <c r="AM48" s="40" t="str">
        <f>IF(AM$4&lt;=PARAMETER!$X$2,SUMIF('2025'!$F:$F,$B48,'2025'!AL:AL)/PARAMETER!$T$3,"")</f>
        <v/>
      </c>
      <c r="AN48" s="40" t="str">
        <f>IF(AN$4&lt;=PARAMETER!$X$2,SUMIF('2025'!$F:$F,$B48,'2025'!AM:AM)/PARAMETER!$T$3,"")</f>
        <v/>
      </c>
      <c r="AO48" s="40" t="str">
        <f>IF(AO$4&lt;=PARAMETER!$X$2,SUMIF('2025'!$F:$F,$B48,'2025'!AN:AN)/PARAMETER!$T$3,"")</f>
        <v/>
      </c>
      <c r="AP48" s="40" t="str">
        <f>IF(AP$4&lt;=PARAMETER!$X$2,SUMIF('2025'!$F:$F,$B48,'2025'!AO:AO)/PARAMETER!$T$3,"")</f>
        <v/>
      </c>
      <c r="AQ48" s="40" t="str">
        <f>IF(AQ$4&lt;=PARAMETER!$X$2,SUMIF('2025'!$F:$F,$B48,'2025'!AP:AP)/PARAMETER!$T$3,"")</f>
        <v/>
      </c>
      <c r="AR48" s="40" t="str">
        <f>IF(AR$4&lt;=PARAMETER!$X$2,SUMIF('2025'!$F:$F,$B48,'2025'!AQ:AQ)/PARAMETER!$T$3,"")</f>
        <v/>
      </c>
      <c r="AS48" s="40" t="str">
        <f>IF(AS$4&lt;=PARAMETER!$X$2,SUMIF('2025'!$F:$F,$B48,'2025'!AR:AR)/PARAMETER!$T$3,"")</f>
        <v/>
      </c>
      <c r="AT48" s="40" t="str">
        <f>IF(AT$4&lt;=PARAMETER!$X$2,SUMIF('2025'!$F:$F,$B48,'2025'!AS:AS)/PARAMETER!$T$3,"")</f>
        <v/>
      </c>
      <c r="AU48" s="40" t="str">
        <f>IF(AU$4&lt;=PARAMETER!$X$2,SUMIF('2025'!$F:$F,$B48,'2025'!AT:AT)/PARAMETER!$T$3,"")</f>
        <v/>
      </c>
      <c r="AV48" s="40" t="str">
        <f>IF(AV$4&lt;=PARAMETER!$X$2,SUMIF('2025'!$F:$F,$B48,'2025'!AU:AU)/PARAMETER!$T$3,"")</f>
        <v/>
      </c>
      <c r="AW48" s="40" t="str">
        <f>IF(AW$4&lt;=PARAMETER!$X$2,SUMIF('2025'!$F:$F,$B48,'2025'!AV:AV)/PARAMETER!$T$3,"")</f>
        <v/>
      </c>
      <c r="AX48" s="40" t="str">
        <f>IF(AX$4&lt;=PARAMETER!$X$2,SUMIF('2025'!$F:$F,$B48,'2025'!AW:AW)/PARAMETER!$T$3,"")</f>
        <v/>
      </c>
      <c r="AY48" s="40" t="str">
        <f>IF(AY$4&lt;=PARAMETER!$X$2,SUMIF('2025'!$F:$F,$B48,'2025'!AX:AX)/PARAMETER!$T$3,"")</f>
        <v/>
      </c>
      <c r="AZ48" s="40" t="str">
        <f>IF(AZ$4&lt;=PARAMETER!$X$2,SUMIF('2025'!$F:$F,$B48,'2025'!AY:AY)/PARAMETER!$T$3,"")</f>
        <v/>
      </c>
      <c r="BA48" s="40" t="str">
        <f>IF(BA$4&lt;=PARAMETER!$X$2,SUMIF('2025'!$F:$F,$B48,'2025'!AZ:AZ)/PARAMETER!$T$3,"")</f>
        <v/>
      </c>
      <c r="BB48" s="40" t="str">
        <f>IF(BB$4&lt;=PARAMETER!$X$2,SUMIF('2025'!$F:$F,$B48,'2025'!BA:BA)/PARAMETER!$T$3,"")</f>
        <v/>
      </c>
      <c r="BC48" s="40" t="str">
        <f>IF(BC$4&lt;=PARAMETER!$X$2,SUMIF('2025'!$F:$F,$B48,'2025'!BB:BB)/PARAMETER!$T$3,"")</f>
        <v/>
      </c>
      <c r="BD48" s="40" t="str">
        <f>IF(BD$4&lt;=PARAMETER!$X$2,SUMIF('2025'!$F:$F,$B48,'2025'!BC:BC)/PARAMETER!$T$3,"")</f>
        <v/>
      </c>
      <c r="BE48" s="40" t="str">
        <f>IF(BE$4&lt;=PARAMETER!$X$2,SUMIF('2025'!$F:$F,$B48,'2025'!BD:BD)/PARAMETER!$T$3,"")</f>
        <v/>
      </c>
      <c r="BF48" s="40" t="str">
        <f>IF(BF$4&lt;=PARAMETER!$X$2,SUMIF('2025'!$F:$F,$B48,'2025'!BE:BE)/PARAMETER!$T$3,"")</f>
        <v/>
      </c>
      <c r="BG48" s="40" t="str">
        <f>IF(BG$4&lt;=PARAMETER!$X$2,SUMIF('2025'!$F:$F,$B48,'2025'!BF:BF)/PARAMETER!$T$3,"")</f>
        <v/>
      </c>
      <c r="BH48" s="40" t="str">
        <f>IF(BH$4&lt;=PARAMETER!$X$2,SUMIF('2025'!$F:$F,$B48,'2025'!BG:BG)/PARAMETER!$T$3,"")</f>
        <v/>
      </c>
      <c r="BI48" s="40" t="str">
        <f>IF(BI$4&lt;=PARAMETER!$X$2,SUMIF('2025'!$F:$F,$B48,'2025'!BH:BH)/PARAMETER!$T$3,"")</f>
        <v/>
      </c>
      <c r="BJ48" s="40" t="str">
        <f>IF(BJ$4&lt;=PARAMETER!$X$2,SUMIF('2025'!$F:$F,$B48,'2025'!BI:BI)/PARAMETER!$T$3,"")</f>
        <v/>
      </c>
    </row>
    <row r="49" spans="1:62" x14ac:dyDescent="0.25">
      <c r="A49">
        <f t="shared" ref="A49" si="59">A47</f>
        <v>9</v>
      </c>
      <c r="B49" s="78" t="str">
        <f>CONCATENATE(C49,PARAMETER!T$2)</f>
        <v>VOL</v>
      </c>
      <c r="C49" s="26" t="str">
        <f t="shared" si="57"/>
        <v/>
      </c>
      <c r="D49" s="67"/>
      <c r="E49" s="68"/>
      <c r="F49" s="69"/>
      <c r="G49" s="70">
        <f t="shared" si="20"/>
        <v>2024</v>
      </c>
      <c r="H49" s="71">
        <f>IF(H$4&lt;=PARAMETER!$X$2,SUMIF('2024'!$F:$F,$B49,'2024'!G:G)/PARAMETER!$T$3,"")</f>
        <v>0</v>
      </c>
      <c r="I49" s="71">
        <f>IF(I$4&lt;=PARAMETER!$X$2,SUMIF('2024'!$F:$F,$B49,'2024'!H:H)/PARAMETER!$T$3,"")</f>
        <v>0</v>
      </c>
      <c r="J49" s="71">
        <f>IF(J$4&lt;=PARAMETER!$X$2,SUMIF('2024'!$F:$F,$B49,'2024'!I:I)/PARAMETER!$T$3,"")</f>
        <v>0</v>
      </c>
      <c r="K49" s="71">
        <f>IF(K$4&lt;=PARAMETER!$X$2,SUMIF('2024'!$F:$F,$B49,'2024'!J:J)/PARAMETER!$T$3,"")</f>
        <v>0</v>
      </c>
      <c r="L49" s="71">
        <f>IF(L$4&lt;=PARAMETER!$X$2,SUMIF('2024'!$F:$F,$B49,'2024'!K:K)/PARAMETER!$T$3,"")</f>
        <v>0</v>
      </c>
      <c r="M49" s="71">
        <f>IF(M$4&lt;=PARAMETER!$X$2,SUMIF('2024'!$F:$F,$B49,'2024'!L:L)/PARAMETER!$T$3,"")</f>
        <v>0</v>
      </c>
      <c r="N49" s="71">
        <f>IF(N$4&lt;=PARAMETER!$X$2,SUMIF('2024'!$F:$F,$B49,'2024'!M:M)/PARAMETER!$T$3,"")</f>
        <v>0</v>
      </c>
      <c r="O49" s="71">
        <f>IF(O$4&lt;=PARAMETER!$X$2,SUMIF('2024'!$F:$F,$B49,'2024'!N:N)/PARAMETER!$T$3,"")</f>
        <v>0</v>
      </c>
      <c r="P49" s="71">
        <f>IF(P$4&lt;=PARAMETER!$X$2,SUMIF('2024'!$F:$F,$B49,'2024'!O:O)/PARAMETER!$T$3,"")</f>
        <v>0</v>
      </c>
      <c r="Q49" s="71">
        <f>IF(Q$4&lt;=PARAMETER!$X$2,SUMIF('2024'!$F:$F,$B49,'2024'!P:P)/PARAMETER!$T$3,"")</f>
        <v>0</v>
      </c>
      <c r="R49" s="71">
        <f>IF(R$4&lt;=PARAMETER!$X$2,SUMIF('2024'!$F:$F,$B49,'2024'!Q:Q)/PARAMETER!$T$3,"")</f>
        <v>0</v>
      </c>
      <c r="S49" s="71">
        <f>IF(S$4&lt;=PARAMETER!$X$2,SUMIF('2024'!$F:$F,$B49,'2024'!R:R)/PARAMETER!$T$3,"")</f>
        <v>0</v>
      </c>
      <c r="T49" s="71">
        <f>IF(T$4&lt;=PARAMETER!$X$2,SUMIF('2024'!$F:$F,$B49,'2024'!S:S)/PARAMETER!$T$3,"")</f>
        <v>0</v>
      </c>
      <c r="U49" s="71" t="str">
        <f>IF(U$4&lt;=PARAMETER!$X$2,SUMIF('2024'!$F:$F,$B49,'2024'!T:T)/PARAMETER!$T$3,"")</f>
        <v/>
      </c>
      <c r="V49" s="71" t="str">
        <f>IF(V$4&lt;=PARAMETER!$X$2,SUMIF('2024'!$F:$F,$B49,'2024'!U:U)/PARAMETER!$T$3,"")</f>
        <v/>
      </c>
      <c r="W49" s="71" t="str">
        <f>IF(W$4&lt;=PARAMETER!$X$2,SUMIF('2024'!$F:$F,$B49,'2024'!V:V)/PARAMETER!$T$3,"")</f>
        <v/>
      </c>
      <c r="X49" s="71" t="str">
        <f>IF(X$4&lt;=PARAMETER!$X$2,SUMIF('2024'!$F:$F,$B49,'2024'!W:W)/PARAMETER!$T$3,"")</f>
        <v/>
      </c>
      <c r="Y49" s="71" t="str">
        <f>IF(Y$4&lt;=PARAMETER!$X$2,SUMIF('2024'!$F:$F,$B49,'2024'!X:X)/PARAMETER!$T$3,"")</f>
        <v/>
      </c>
      <c r="Z49" s="71" t="str">
        <f>IF(Z$4&lt;=PARAMETER!$X$2,SUMIF('2024'!$F:$F,$B49,'2024'!Y:Y)/PARAMETER!$T$3,"")</f>
        <v/>
      </c>
      <c r="AA49" s="71" t="str">
        <f>IF(AA$4&lt;=PARAMETER!$X$2,SUMIF('2024'!$F:$F,$B49,'2024'!Z:Z)/PARAMETER!$T$3,"")</f>
        <v/>
      </c>
      <c r="AB49" s="71" t="str">
        <f>IF(AB$4&lt;=PARAMETER!$X$2,SUMIF('2024'!$F:$F,$B49,'2024'!AA:AA)/PARAMETER!$T$3,"")</f>
        <v/>
      </c>
      <c r="AC49" s="71" t="str">
        <f>IF(AC$4&lt;=PARAMETER!$X$2,SUMIF('2024'!$F:$F,$B49,'2024'!AB:AB)/PARAMETER!$T$3,"")</f>
        <v/>
      </c>
      <c r="AD49" s="71" t="str">
        <f>IF(AD$4&lt;=PARAMETER!$X$2,SUMIF('2024'!$F:$F,$B49,'2024'!AC:AC)/PARAMETER!$T$3,"")</f>
        <v/>
      </c>
      <c r="AE49" s="71" t="str">
        <f>IF(AE$4&lt;=PARAMETER!$X$2,SUMIF('2024'!$F:$F,$B49,'2024'!AD:AD)/PARAMETER!$T$3,"")</f>
        <v/>
      </c>
      <c r="AF49" s="71" t="str">
        <f>IF(AF$4&lt;=PARAMETER!$X$2,SUMIF('2024'!$F:$F,$B49,'2024'!AE:AE)/PARAMETER!$T$3,"")</f>
        <v/>
      </c>
      <c r="AG49" s="71" t="str">
        <f>IF(AG$4&lt;=PARAMETER!$X$2,SUMIF('2024'!$F:$F,$B49,'2024'!AF:AF)/PARAMETER!$T$3,"")</f>
        <v/>
      </c>
      <c r="AH49" s="71" t="str">
        <f>IF(AH$4&lt;=PARAMETER!$X$2,SUMIF('2024'!$F:$F,$B49,'2024'!AG:AG)/PARAMETER!$T$3,"")</f>
        <v/>
      </c>
      <c r="AI49" s="71" t="str">
        <f>IF(AI$4&lt;=PARAMETER!$X$2,SUMIF('2024'!$F:$F,$B49,'2024'!AH:AH)/PARAMETER!$T$3,"")</f>
        <v/>
      </c>
      <c r="AJ49" s="71" t="str">
        <f>IF(AJ$4&lt;=PARAMETER!$X$2,SUMIF('2024'!$F:$F,$B49,'2024'!AI:AI)/PARAMETER!$T$3,"")</f>
        <v/>
      </c>
      <c r="AK49" s="71" t="str">
        <f>IF(AK$4&lt;=PARAMETER!$X$2,SUMIF('2024'!$F:$F,$B49,'2024'!AJ:AJ)/PARAMETER!$T$3,"")</f>
        <v/>
      </c>
      <c r="AL49" s="71" t="str">
        <f>IF(AL$4&lt;=PARAMETER!$X$2,SUMIF('2024'!$F:$F,$B49,'2024'!AK:AK)/PARAMETER!$T$3,"")</f>
        <v/>
      </c>
      <c r="AM49" s="71" t="str">
        <f>IF(AM$4&lt;=PARAMETER!$X$2,SUMIF('2024'!$F:$F,$B49,'2024'!AL:AL)/PARAMETER!$T$3,"")</f>
        <v/>
      </c>
      <c r="AN49" s="71" t="str">
        <f>IF(AN$4&lt;=PARAMETER!$X$2,SUMIF('2024'!$F:$F,$B49,'2024'!AM:AM)/PARAMETER!$T$3,"")</f>
        <v/>
      </c>
      <c r="AO49" s="71" t="str">
        <f>IF(AO$4&lt;=PARAMETER!$X$2,SUMIF('2024'!$F:$F,$B49,'2024'!AN:AN)/PARAMETER!$T$3,"")</f>
        <v/>
      </c>
      <c r="AP49" s="71" t="str">
        <f>IF(AP$4&lt;=PARAMETER!$X$2,SUMIF('2024'!$F:$F,$B49,'2024'!AO:AO)/PARAMETER!$T$3,"")</f>
        <v/>
      </c>
      <c r="AQ49" s="71" t="str">
        <f>IF(AQ$4&lt;=PARAMETER!$X$2,SUMIF('2024'!$F:$F,$B49,'2024'!AP:AP)/PARAMETER!$T$3,"")</f>
        <v/>
      </c>
      <c r="AR49" s="71" t="str">
        <f>IF(AR$4&lt;=PARAMETER!$X$2,SUMIF('2024'!$F:$F,$B49,'2024'!AQ:AQ)/PARAMETER!$T$3,"")</f>
        <v/>
      </c>
      <c r="AS49" s="71" t="str">
        <f>IF(AS$4&lt;=PARAMETER!$X$2,SUMIF('2024'!$F:$F,$B49,'2024'!AR:AR)/PARAMETER!$T$3,"")</f>
        <v/>
      </c>
      <c r="AT49" s="71" t="str">
        <f>IF(AT$4&lt;=PARAMETER!$X$2,SUMIF('2024'!$F:$F,$B49,'2024'!AS:AS)/PARAMETER!$T$3,"")</f>
        <v/>
      </c>
      <c r="AU49" s="71" t="str">
        <f>IF(AU$4&lt;=PARAMETER!$X$2,SUMIF('2024'!$F:$F,$B49,'2024'!AT:AT)/PARAMETER!$T$3,"")</f>
        <v/>
      </c>
      <c r="AV49" s="71" t="str">
        <f>IF(AV$4&lt;=PARAMETER!$X$2,SUMIF('2024'!$F:$F,$B49,'2024'!AU:AU)/PARAMETER!$T$3,"")</f>
        <v/>
      </c>
      <c r="AW49" s="71" t="str">
        <f>IF(AW$4&lt;=PARAMETER!$X$2,SUMIF('2024'!$F:$F,$B49,'2024'!AV:AV)/PARAMETER!$T$3,"")</f>
        <v/>
      </c>
      <c r="AX49" s="71" t="str">
        <f>IF(AX$4&lt;=PARAMETER!$X$2,SUMIF('2024'!$F:$F,$B49,'2024'!AW:AW)/PARAMETER!$T$3,"")</f>
        <v/>
      </c>
      <c r="AY49" s="71" t="str">
        <f>IF(AY$4&lt;=PARAMETER!$X$2,SUMIF('2024'!$F:$F,$B49,'2024'!AX:AX)/PARAMETER!$T$3,"")</f>
        <v/>
      </c>
      <c r="AZ49" s="71" t="str">
        <f>IF(AZ$4&lt;=PARAMETER!$X$2,SUMIF('2024'!$F:$F,$B49,'2024'!AY:AY)/PARAMETER!$T$3,"")</f>
        <v/>
      </c>
      <c r="BA49" s="71" t="str">
        <f>IF(BA$4&lt;=PARAMETER!$X$2,SUMIF('2024'!$F:$F,$B49,'2024'!AZ:AZ)/PARAMETER!$T$3,"")</f>
        <v/>
      </c>
      <c r="BB49" s="71" t="str">
        <f>IF(BB$4&lt;=PARAMETER!$X$2,SUMIF('2024'!$F:$F,$B49,'2024'!BA:BA)/PARAMETER!$T$3,"")</f>
        <v/>
      </c>
      <c r="BC49" s="71" t="str">
        <f>IF(BC$4&lt;=PARAMETER!$X$2,SUMIF('2024'!$F:$F,$B49,'2024'!BB:BB)/PARAMETER!$T$3,"")</f>
        <v/>
      </c>
      <c r="BD49" s="71" t="str">
        <f>IF(BD$4&lt;=PARAMETER!$X$2,SUMIF('2024'!$F:$F,$B49,'2024'!BC:BC)/PARAMETER!$T$3,"")</f>
        <v/>
      </c>
      <c r="BE49" s="71" t="str">
        <f>IF(BE$4&lt;=PARAMETER!$X$2,SUMIF('2024'!$F:$F,$B49,'2024'!BD:BD)/PARAMETER!$T$3,"")</f>
        <v/>
      </c>
      <c r="BF49" s="71" t="str">
        <f>IF(BF$4&lt;=PARAMETER!$X$2,SUMIF('2024'!$F:$F,$B49,'2024'!BE:BE)/PARAMETER!$T$3,"")</f>
        <v/>
      </c>
      <c r="BG49" s="71" t="str">
        <f>IF(BG$4&lt;=PARAMETER!$X$2,SUMIF('2024'!$F:$F,$B49,'2024'!BF:BF)/PARAMETER!$T$3,"")</f>
        <v/>
      </c>
      <c r="BH49" s="71" t="str">
        <f>IF(BH$4&lt;=PARAMETER!$X$2,SUMIF('2024'!$F:$F,$B49,'2024'!BG:BG)/PARAMETER!$T$3,"")</f>
        <v/>
      </c>
      <c r="BI49" s="71" t="str">
        <f>IF(BI$4&lt;=PARAMETER!$X$2,SUMIF('2024'!$F:$F,$B49,'2024'!BH:BH)/PARAMETER!$T$3,"")</f>
        <v/>
      </c>
      <c r="BJ49" s="71" t="str">
        <f>IF(BJ$4&lt;=PARAMETER!$X$2,SUMIF('2024'!$F:$F,$B49,'2024'!BI:BI)/PARAMETER!$T$3,"")</f>
        <v/>
      </c>
    </row>
    <row r="50" spans="1:62" x14ac:dyDescent="0.25">
      <c r="A50">
        <v>10</v>
      </c>
      <c r="B50" s="78" t="str">
        <f>CONCATENATE(C50,PARAMETER!T$2)</f>
        <v>VOL</v>
      </c>
      <c r="C50" s="21" t="str">
        <f>IFERROR(VLOOKUP(A50,PARAMETER!K$2:M58,3,0),"")</f>
        <v/>
      </c>
      <c r="D50" s="22" t="s">
        <v>127</v>
      </c>
      <c r="E50" s="37" t="str">
        <f t="shared" ref="E50" si="60">IFERROR(I51/I50,"")</f>
        <v/>
      </c>
      <c r="F50" s="23">
        <f t="shared" ref="F50:F52" si="61">IFERROR(IF(E50&gt;300%,300%,E50),"")</f>
        <v>3</v>
      </c>
      <c r="G50" s="24" t="str">
        <f t="shared" si="20"/>
        <v>Target</v>
      </c>
      <c r="H50" s="25">
        <f>IF(H$4&lt;=PARAMETER!$X$2,SUMIF('2026 T'!$F:$F,$B50,'2026 T'!G:G)/PARAMETER!$T$3,"")</f>
        <v>0</v>
      </c>
      <c r="I50" s="25">
        <f>IF(I$4&lt;=PARAMETER!$X$2,SUMIF('2026 T'!$F:$F,$B50,'2026 T'!H:H)/PARAMETER!$T$3,"")</f>
        <v>0</v>
      </c>
      <c r="J50" s="25">
        <f>IF(J$4&lt;=PARAMETER!$X$2,SUMIF('2026 T'!$F:$F,$B50,'2026 T'!I:I)/PARAMETER!$T$3,"")</f>
        <v>0</v>
      </c>
      <c r="K50" s="25">
        <f>IF(K$4&lt;=PARAMETER!$X$2,SUMIF('2026 T'!$F:$F,$B50,'2026 T'!J:J)/PARAMETER!$T$3,"")</f>
        <v>0</v>
      </c>
      <c r="L50" s="25">
        <f>IF(L$4&lt;=PARAMETER!$X$2,SUMIF('2026 T'!$F:$F,$B50,'2026 T'!K:K)/PARAMETER!$T$3,"")</f>
        <v>0</v>
      </c>
      <c r="M50" s="25">
        <f>IF(M$4&lt;=PARAMETER!$X$2,SUMIF('2026 T'!$F:$F,$B50,'2026 T'!L:L)/PARAMETER!$T$3,"")</f>
        <v>0</v>
      </c>
      <c r="N50" s="25">
        <f>IF(N$4&lt;=PARAMETER!$X$2,SUMIF('2026 T'!$F:$F,$B50,'2026 T'!M:M)/PARAMETER!$T$3,"")</f>
        <v>0</v>
      </c>
      <c r="O50" s="25">
        <f>IF(O$4&lt;=PARAMETER!$X$2,SUMIF('2026 T'!$F:$F,$B50,'2026 T'!N:N)/PARAMETER!$T$3,"")</f>
        <v>0</v>
      </c>
      <c r="P50" s="25">
        <f>IF(P$4&lt;=PARAMETER!$X$2,SUMIF('2026 T'!$F:$F,$B50,'2026 T'!O:O)/PARAMETER!$T$3,"")</f>
        <v>0</v>
      </c>
      <c r="Q50" s="25">
        <f>IF(Q$4&lt;=PARAMETER!$X$2,SUMIF('2026 T'!$F:$F,$B50,'2026 T'!P:P)/PARAMETER!$T$3,"")</f>
        <v>0</v>
      </c>
      <c r="R50" s="25">
        <f>IF(R$4&lt;=PARAMETER!$X$2,SUMIF('2026 T'!$F:$F,$B50,'2026 T'!Q:Q)/PARAMETER!$T$3,"")</f>
        <v>0</v>
      </c>
      <c r="S50" s="25">
        <f>IF(S$4&lt;=PARAMETER!$X$2,SUMIF('2026 T'!$F:$F,$B50,'2026 T'!R:R)/PARAMETER!$T$3,"")</f>
        <v>0</v>
      </c>
      <c r="T50" s="25">
        <f>IF(T$4&lt;=PARAMETER!$X$2,SUMIF('2026 T'!$F:$F,$B50,'2026 T'!S:S)/PARAMETER!$T$3,"")</f>
        <v>0</v>
      </c>
      <c r="U50" s="25" t="str">
        <f>IF(U$4&lt;=PARAMETER!$X$2,SUMIF('2026 T'!$F:$F,$B50,'2026 T'!T:T)/PARAMETER!$T$3,"")</f>
        <v/>
      </c>
      <c r="V50" s="25" t="str">
        <f>IF(V$4&lt;=PARAMETER!$X$2,SUMIF('2026 T'!$F:$F,$B50,'2026 T'!U:U)/PARAMETER!$T$3,"")</f>
        <v/>
      </c>
      <c r="W50" s="25" t="str">
        <f>IF(W$4&lt;=PARAMETER!$X$2,SUMIF('2026 T'!$F:$F,$B50,'2026 T'!V:V)/PARAMETER!$T$3,"")</f>
        <v/>
      </c>
      <c r="X50" s="25" t="str">
        <f>IF(X$4&lt;=PARAMETER!$X$2,SUMIF('2026 T'!$F:$F,$B50,'2026 T'!W:W)/PARAMETER!$T$3,"")</f>
        <v/>
      </c>
      <c r="Y50" s="25" t="str">
        <f>IF(Y$4&lt;=PARAMETER!$X$2,SUMIF('2026 T'!$F:$F,$B50,'2026 T'!X:X)/PARAMETER!$T$3,"")</f>
        <v/>
      </c>
      <c r="Z50" s="25" t="str">
        <f>IF(Z$4&lt;=PARAMETER!$X$2,SUMIF('2026 T'!$F:$F,$B50,'2026 T'!Y:Y)/PARAMETER!$T$3,"")</f>
        <v/>
      </c>
      <c r="AA50" s="25" t="str">
        <f>IF(AA$4&lt;=PARAMETER!$X$2,SUMIF('2026 T'!$F:$F,$B50,'2026 T'!Z:Z)/PARAMETER!$T$3,"")</f>
        <v/>
      </c>
      <c r="AB50" s="25" t="str">
        <f>IF(AB$4&lt;=PARAMETER!$X$2,SUMIF('2026 T'!$F:$F,$B50,'2026 T'!AA:AA)/PARAMETER!$T$3,"")</f>
        <v/>
      </c>
      <c r="AC50" s="25" t="str">
        <f>IF(AC$4&lt;=PARAMETER!$X$2,SUMIF('2026 T'!$F:$F,$B50,'2026 T'!AB:AB)/PARAMETER!$T$3,"")</f>
        <v/>
      </c>
      <c r="AD50" s="25" t="str">
        <f>IF(AD$4&lt;=PARAMETER!$X$2,SUMIF('2026 T'!$F:$F,$B50,'2026 T'!AC:AC)/PARAMETER!$T$3,"")</f>
        <v/>
      </c>
      <c r="AE50" s="25" t="str">
        <f>IF(AE$4&lt;=PARAMETER!$X$2,SUMIF('2026 T'!$F:$F,$B50,'2026 T'!AD:AD)/PARAMETER!$T$3,"")</f>
        <v/>
      </c>
      <c r="AF50" s="25" t="str">
        <f>IF(AF$4&lt;=PARAMETER!$X$2,SUMIF('2026 T'!$F:$F,$B50,'2026 T'!AE:AE)/PARAMETER!$T$3,"")</f>
        <v/>
      </c>
      <c r="AG50" s="25" t="str">
        <f>IF(AG$4&lt;=PARAMETER!$X$2,SUMIF('2026 T'!$F:$F,$B50,'2026 T'!AF:AF)/PARAMETER!$T$3,"")</f>
        <v/>
      </c>
      <c r="AH50" s="25" t="str">
        <f>IF(AH$4&lt;=PARAMETER!$X$2,SUMIF('2026 T'!$F:$F,$B50,'2026 T'!AG:AG)/PARAMETER!$T$3,"")</f>
        <v/>
      </c>
      <c r="AI50" s="25" t="str">
        <f>IF(AI$4&lt;=PARAMETER!$X$2,SUMIF('2026 T'!$F:$F,$B50,'2026 T'!AH:AH)/PARAMETER!$T$3,"")</f>
        <v/>
      </c>
      <c r="AJ50" s="25" t="str">
        <f>IF(AJ$4&lt;=PARAMETER!$X$2,SUMIF('2026 T'!$F:$F,$B50,'2026 T'!AI:AI)/PARAMETER!$T$3,"")</f>
        <v/>
      </c>
      <c r="AK50" s="25" t="str">
        <f>IF(AK$4&lt;=PARAMETER!$X$2,SUMIF('2026 T'!$F:$F,$B50,'2026 T'!AJ:AJ)/PARAMETER!$T$3,"")</f>
        <v/>
      </c>
      <c r="AL50" s="25" t="str">
        <f>IF(AL$4&lt;=PARAMETER!$X$2,SUMIF('2026 T'!$F:$F,$B50,'2026 T'!AK:AK)/PARAMETER!$T$3,"")</f>
        <v/>
      </c>
      <c r="AM50" s="25" t="str">
        <f>IF(AM$4&lt;=PARAMETER!$X$2,SUMIF('2026 T'!$F:$F,$B50,'2026 T'!AL:AL)/PARAMETER!$T$3,"")</f>
        <v/>
      </c>
      <c r="AN50" s="25" t="str">
        <f>IF(AN$4&lt;=PARAMETER!$X$2,SUMIF('2026 T'!$F:$F,$B50,'2026 T'!AM:AM)/PARAMETER!$T$3,"")</f>
        <v/>
      </c>
      <c r="AO50" s="25" t="str">
        <f>IF(AO$4&lt;=PARAMETER!$X$2,SUMIF('2026 T'!$F:$F,$B50,'2026 T'!AN:AN)/PARAMETER!$T$3,"")</f>
        <v/>
      </c>
      <c r="AP50" s="25" t="str">
        <f>IF(AP$4&lt;=PARAMETER!$X$2,SUMIF('2026 T'!$F:$F,$B50,'2026 T'!AO:AO)/PARAMETER!$T$3,"")</f>
        <v/>
      </c>
      <c r="AQ50" s="25" t="str">
        <f>IF(AQ$4&lt;=PARAMETER!$X$2,SUMIF('2026 T'!$F:$F,$B50,'2026 T'!AP:AP)/PARAMETER!$T$3,"")</f>
        <v/>
      </c>
      <c r="AR50" s="25" t="str">
        <f>IF(AR$4&lt;=PARAMETER!$X$2,SUMIF('2026 T'!$F:$F,$B50,'2026 T'!AQ:AQ)/PARAMETER!$T$3,"")</f>
        <v/>
      </c>
      <c r="AS50" s="25" t="str">
        <f>IF(AS$4&lt;=PARAMETER!$X$2,SUMIF('2026 T'!$F:$F,$B50,'2026 T'!AR:AR)/PARAMETER!$T$3,"")</f>
        <v/>
      </c>
      <c r="AT50" s="25" t="str">
        <f>IF(AT$4&lt;=PARAMETER!$X$2,SUMIF('2026 T'!$F:$F,$B50,'2026 T'!AS:AS)/PARAMETER!$T$3,"")</f>
        <v/>
      </c>
      <c r="AU50" s="25" t="str">
        <f>IF(AU$4&lt;=PARAMETER!$X$2,SUMIF('2026 T'!$F:$F,$B50,'2026 T'!AT:AT)/PARAMETER!$T$3,"")</f>
        <v/>
      </c>
      <c r="AV50" s="25" t="str">
        <f>IF(AV$4&lt;=PARAMETER!$X$2,SUMIF('2026 T'!$F:$F,$B50,'2026 T'!AU:AU)/PARAMETER!$T$3,"")</f>
        <v/>
      </c>
      <c r="AW50" s="25" t="str">
        <f>IF(AW$4&lt;=PARAMETER!$X$2,SUMIF('2026 T'!$F:$F,$B50,'2026 T'!AV:AV)/PARAMETER!$T$3,"")</f>
        <v/>
      </c>
      <c r="AX50" s="25" t="str">
        <f>IF(AX$4&lt;=PARAMETER!$X$2,SUMIF('2026 T'!$F:$F,$B50,'2026 T'!AW:AW)/PARAMETER!$T$3,"")</f>
        <v/>
      </c>
      <c r="AY50" s="25" t="str">
        <f>IF(AY$4&lt;=PARAMETER!$X$2,SUMIF('2026 T'!$F:$F,$B50,'2026 T'!AX:AX)/PARAMETER!$T$3,"")</f>
        <v/>
      </c>
      <c r="AZ50" s="25" t="str">
        <f>IF(AZ$4&lt;=PARAMETER!$X$2,SUMIF('2026 T'!$F:$F,$B50,'2026 T'!AY:AY)/PARAMETER!$T$3,"")</f>
        <v/>
      </c>
      <c r="BA50" s="25" t="str">
        <f>IF(BA$4&lt;=PARAMETER!$X$2,SUMIF('2026 T'!$F:$F,$B50,'2026 T'!AZ:AZ)/PARAMETER!$T$3,"")</f>
        <v/>
      </c>
      <c r="BB50" s="25" t="str">
        <f>IF(BB$4&lt;=PARAMETER!$X$2,SUMIF('2026 T'!$F:$F,$B50,'2026 T'!BA:BA)/PARAMETER!$T$3,"")</f>
        <v/>
      </c>
      <c r="BC50" s="25" t="str">
        <f>IF(BC$4&lt;=PARAMETER!$X$2,SUMIF('2026 T'!$F:$F,$B50,'2026 T'!BB:BB)/PARAMETER!$T$3,"")</f>
        <v/>
      </c>
      <c r="BD50" s="25" t="str">
        <f>IF(BD$4&lt;=PARAMETER!$X$2,SUMIF('2026 T'!$F:$F,$B50,'2026 T'!BC:BC)/PARAMETER!$T$3,"")</f>
        <v/>
      </c>
      <c r="BE50" s="25" t="str">
        <f>IF(BE$4&lt;=PARAMETER!$X$2,SUMIF('2026 T'!$F:$F,$B50,'2026 T'!BD:BD)/PARAMETER!$T$3,"")</f>
        <v/>
      </c>
      <c r="BF50" s="25" t="str">
        <f>IF(BF$4&lt;=PARAMETER!$X$2,SUMIF('2026 T'!$F:$F,$B50,'2026 T'!BE:BE)/PARAMETER!$T$3,"")</f>
        <v/>
      </c>
      <c r="BG50" s="25" t="str">
        <f>IF(BG$4&lt;=PARAMETER!$X$2,SUMIF('2026 T'!$F:$F,$B50,'2026 T'!BF:BF)/PARAMETER!$T$3,"")</f>
        <v/>
      </c>
      <c r="BH50" s="25" t="str">
        <f>IF(BH$4&lt;=PARAMETER!$X$2,SUMIF('2026 T'!$F:$F,$B50,'2026 T'!BG:BG)/PARAMETER!$T$3,"")</f>
        <v/>
      </c>
      <c r="BI50" s="25" t="str">
        <f>IF(BI$4&lt;=PARAMETER!$X$2,SUMIF('2026 T'!$F:$F,$B50,'2026 T'!BH:BH)/PARAMETER!$T$3,"")</f>
        <v/>
      </c>
      <c r="BJ50" s="25" t="str">
        <f>IF(BJ$4&lt;=PARAMETER!$X$2,SUMIF('2026 T'!$F:$F,$B50,'2026 T'!BI:BI)/PARAMETER!$T$3,"")</f>
        <v/>
      </c>
    </row>
    <row r="51" spans="1:62" x14ac:dyDescent="0.25">
      <c r="A51">
        <f t="shared" ref="A51:A52" si="62">A50</f>
        <v>10</v>
      </c>
      <c r="B51" s="78" t="str">
        <f>CONCATENATE(C51,PARAMETER!T$2)</f>
        <v>VOL</v>
      </c>
      <c r="C51" s="26" t="str">
        <f t="shared" ref="C51:C53" si="63">C50</f>
        <v/>
      </c>
      <c r="D51" s="27" t="s">
        <v>128</v>
      </c>
      <c r="E51" s="35" t="str">
        <f t="shared" ref="E51:E52" si="64">IFERROR(I51/I52-1,"")</f>
        <v/>
      </c>
      <c r="F51" s="28">
        <f t="shared" si="61"/>
        <v>3</v>
      </c>
      <c r="G51" s="39">
        <f t="shared" si="20"/>
        <v>2026</v>
      </c>
      <c r="H51" s="40">
        <f>IF(H$4&lt;=PARAMETER!$X$2,SUMIF('2026'!$F:$F,$B51,'2026'!G:G)/PARAMETER!$T$3,"")</f>
        <v>0</v>
      </c>
      <c r="I51" s="40">
        <f>IF(I$4&lt;=PARAMETER!$X$2,SUMIF('2026'!$F:$F,$B51,'2026'!H:H)/PARAMETER!$T$3,"")</f>
        <v>0</v>
      </c>
      <c r="J51" s="40">
        <f>IF(J$4&lt;=PARAMETER!$X$2,SUMIF('2026'!$F:$F,$B51,'2026'!I:I)/PARAMETER!$T$3,"")</f>
        <v>0</v>
      </c>
      <c r="K51" s="40">
        <f>IF(K$4&lt;=PARAMETER!$X$2,SUMIF('2026'!$F:$F,$B51,'2026'!J:J)/PARAMETER!$T$3,"")</f>
        <v>0</v>
      </c>
      <c r="L51" s="40">
        <f>IF(L$4&lt;=PARAMETER!$X$2,SUMIF('2026'!$F:$F,$B51,'2026'!K:K)/PARAMETER!$T$3,"")</f>
        <v>0</v>
      </c>
      <c r="M51" s="40">
        <f>IF(M$4&lt;=PARAMETER!$X$2,SUMIF('2026'!$F:$F,$B51,'2026'!L:L)/PARAMETER!$T$3,"")</f>
        <v>0</v>
      </c>
      <c r="N51" s="40">
        <f>IF(N$4&lt;=PARAMETER!$X$2,SUMIF('2026'!$F:$F,$B51,'2026'!M:M)/PARAMETER!$T$3,"")</f>
        <v>0</v>
      </c>
      <c r="O51" s="40">
        <f>IF(O$4&lt;=PARAMETER!$X$2,SUMIF('2026'!$F:$F,$B51,'2026'!N:N)/PARAMETER!$T$3,"")</f>
        <v>0</v>
      </c>
      <c r="P51" s="40">
        <f>IF(P$4&lt;=PARAMETER!$X$2,SUMIF('2026'!$F:$F,$B51,'2026'!O:O)/PARAMETER!$T$3,"")</f>
        <v>0</v>
      </c>
      <c r="Q51" s="40">
        <f>IF(Q$4&lt;=PARAMETER!$X$2,SUMIF('2026'!$F:$F,$B51,'2026'!P:P)/PARAMETER!$T$3,"")</f>
        <v>0</v>
      </c>
      <c r="R51" s="40">
        <f>IF(R$4&lt;=PARAMETER!$X$2,SUMIF('2026'!$F:$F,$B51,'2026'!Q:Q)/PARAMETER!$T$3,"")</f>
        <v>0</v>
      </c>
      <c r="S51" s="40">
        <f>IF(S$4&lt;=PARAMETER!$X$2,SUMIF('2026'!$F:$F,$B51,'2026'!R:R)/PARAMETER!$T$3,"")</f>
        <v>0</v>
      </c>
      <c r="T51" s="40">
        <f>IF(T$4&lt;=PARAMETER!$X$2,SUMIF('2026'!$F:$F,$B51,'2026'!S:S)/PARAMETER!$T$3,"")</f>
        <v>0</v>
      </c>
      <c r="U51" s="40" t="str">
        <f>IF(U$4&lt;=PARAMETER!$X$2,SUMIF('2026'!$F:$F,$B51,'2026'!T:T)/PARAMETER!$T$3,"")</f>
        <v/>
      </c>
      <c r="V51" s="40" t="str">
        <f>IF(V$4&lt;=PARAMETER!$X$2,SUMIF('2026'!$F:$F,$B51,'2026'!U:U)/PARAMETER!$T$3,"")</f>
        <v/>
      </c>
      <c r="W51" s="40" t="str">
        <f>IF(W$4&lt;=PARAMETER!$X$2,SUMIF('2026'!$F:$F,$B51,'2026'!V:V)/PARAMETER!$T$3,"")</f>
        <v/>
      </c>
      <c r="X51" s="40" t="str">
        <f>IF(X$4&lt;=PARAMETER!$X$2,SUMIF('2026'!$F:$F,$B51,'2026'!W:W)/PARAMETER!$T$3,"")</f>
        <v/>
      </c>
      <c r="Y51" s="40" t="str">
        <f>IF(Y$4&lt;=PARAMETER!$X$2,SUMIF('2026'!$F:$F,$B51,'2026'!X:X)/PARAMETER!$T$3,"")</f>
        <v/>
      </c>
      <c r="Z51" s="40" t="str">
        <f>IF(Z$4&lt;=PARAMETER!$X$2,SUMIF('2026'!$F:$F,$B51,'2026'!Y:Y)/PARAMETER!$T$3,"")</f>
        <v/>
      </c>
      <c r="AA51" s="40" t="str">
        <f>IF(AA$4&lt;=PARAMETER!$X$2,SUMIF('2026'!$F:$F,$B51,'2026'!Z:Z)/PARAMETER!$T$3,"")</f>
        <v/>
      </c>
      <c r="AB51" s="40" t="str">
        <f>IF(AB$4&lt;=PARAMETER!$X$2,SUMIF('2026'!$F:$F,$B51,'2026'!AA:AA)/PARAMETER!$T$3,"")</f>
        <v/>
      </c>
      <c r="AC51" s="40" t="str">
        <f>IF(AC$4&lt;=PARAMETER!$X$2,SUMIF('2026'!$F:$F,$B51,'2026'!AB:AB)/PARAMETER!$T$3,"")</f>
        <v/>
      </c>
      <c r="AD51" s="40" t="str">
        <f>IF(AD$4&lt;=PARAMETER!$X$2,SUMIF('2026'!$F:$F,$B51,'2026'!AC:AC)/PARAMETER!$T$3,"")</f>
        <v/>
      </c>
      <c r="AE51" s="40" t="str">
        <f>IF(AE$4&lt;=PARAMETER!$X$2,SUMIF('2026'!$F:$F,$B51,'2026'!AD:AD)/PARAMETER!$T$3,"")</f>
        <v/>
      </c>
      <c r="AF51" s="40" t="str">
        <f>IF(AF$4&lt;=PARAMETER!$X$2,SUMIF('2026'!$F:$F,$B51,'2026'!AE:AE)/PARAMETER!$T$3,"")</f>
        <v/>
      </c>
      <c r="AG51" s="40" t="str">
        <f>IF(AG$4&lt;=PARAMETER!$X$2,SUMIF('2026'!$F:$F,$B51,'2026'!AF:AF)/PARAMETER!$T$3,"")</f>
        <v/>
      </c>
      <c r="AH51" s="40" t="str">
        <f>IF(AH$4&lt;=PARAMETER!$X$2,SUMIF('2026'!$F:$F,$B51,'2026'!AG:AG)/PARAMETER!$T$3,"")</f>
        <v/>
      </c>
      <c r="AI51" s="40" t="str">
        <f>IF(AI$4&lt;=PARAMETER!$X$2,SUMIF('2026'!$F:$F,$B51,'2026'!AH:AH)/PARAMETER!$T$3,"")</f>
        <v/>
      </c>
      <c r="AJ51" s="40" t="str">
        <f>IF(AJ$4&lt;=PARAMETER!$X$2,SUMIF('2026'!$F:$F,$B51,'2026'!AI:AI)/PARAMETER!$T$3,"")</f>
        <v/>
      </c>
      <c r="AK51" s="40" t="str">
        <f>IF(AK$4&lt;=PARAMETER!$X$2,SUMIF('2026'!$F:$F,$B51,'2026'!AJ:AJ)/PARAMETER!$T$3,"")</f>
        <v/>
      </c>
      <c r="AL51" s="40" t="str">
        <f>IF(AL$4&lt;=PARAMETER!$X$2,SUMIF('2026'!$F:$F,$B51,'2026'!AK:AK)/PARAMETER!$T$3,"")</f>
        <v/>
      </c>
      <c r="AM51" s="40" t="str">
        <f>IF(AM$4&lt;=PARAMETER!$X$2,SUMIF('2026'!$F:$F,$B51,'2026'!AL:AL)/PARAMETER!$T$3,"")</f>
        <v/>
      </c>
      <c r="AN51" s="40" t="str">
        <f>IF(AN$4&lt;=PARAMETER!$X$2,SUMIF('2026'!$F:$F,$B51,'2026'!AM:AM)/PARAMETER!$T$3,"")</f>
        <v/>
      </c>
      <c r="AO51" s="40" t="str">
        <f>IF(AO$4&lt;=PARAMETER!$X$2,SUMIF('2026'!$F:$F,$B51,'2026'!AN:AN)/PARAMETER!$T$3,"")</f>
        <v/>
      </c>
      <c r="AP51" s="40" t="str">
        <f>IF(AP$4&lt;=PARAMETER!$X$2,SUMIF('2026'!$F:$F,$B51,'2026'!AO:AO)/PARAMETER!$T$3,"")</f>
        <v/>
      </c>
      <c r="AQ51" s="40" t="str">
        <f>IF(AQ$4&lt;=PARAMETER!$X$2,SUMIF('2026'!$F:$F,$B51,'2026'!AP:AP)/PARAMETER!$T$3,"")</f>
        <v/>
      </c>
      <c r="AR51" s="40" t="str">
        <f>IF(AR$4&lt;=PARAMETER!$X$2,SUMIF('2026'!$F:$F,$B51,'2026'!AQ:AQ)/PARAMETER!$T$3,"")</f>
        <v/>
      </c>
      <c r="AS51" s="40" t="str">
        <f>IF(AS$4&lt;=PARAMETER!$X$2,SUMIF('2026'!$F:$F,$B51,'2026'!AR:AR)/PARAMETER!$T$3,"")</f>
        <v/>
      </c>
      <c r="AT51" s="40" t="str">
        <f>IF(AT$4&lt;=PARAMETER!$X$2,SUMIF('2026'!$F:$F,$B51,'2026'!AS:AS)/PARAMETER!$T$3,"")</f>
        <v/>
      </c>
      <c r="AU51" s="40" t="str">
        <f>IF(AU$4&lt;=PARAMETER!$X$2,SUMIF('2026'!$F:$F,$B51,'2026'!AT:AT)/PARAMETER!$T$3,"")</f>
        <v/>
      </c>
      <c r="AV51" s="40" t="str">
        <f>IF(AV$4&lt;=PARAMETER!$X$2,SUMIF('2026'!$F:$F,$B51,'2026'!AU:AU)/PARAMETER!$T$3,"")</f>
        <v/>
      </c>
      <c r="AW51" s="40" t="str">
        <f>IF(AW$4&lt;=PARAMETER!$X$2,SUMIF('2026'!$F:$F,$B51,'2026'!AV:AV)/PARAMETER!$T$3,"")</f>
        <v/>
      </c>
      <c r="AX51" s="40" t="str">
        <f>IF(AX$4&lt;=PARAMETER!$X$2,SUMIF('2026'!$F:$F,$B51,'2026'!AW:AW)/PARAMETER!$T$3,"")</f>
        <v/>
      </c>
      <c r="AY51" s="40" t="str">
        <f>IF(AY$4&lt;=PARAMETER!$X$2,SUMIF('2026'!$F:$F,$B51,'2026'!AX:AX)/PARAMETER!$T$3,"")</f>
        <v/>
      </c>
      <c r="AZ51" s="40" t="str">
        <f>IF(AZ$4&lt;=PARAMETER!$X$2,SUMIF('2026'!$F:$F,$B51,'2026'!AY:AY)/PARAMETER!$T$3,"")</f>
        <v/>
      </c>
      <c r="BA51" s="40" t="str">
        <f>IF(BA$4&lt;=PARAMETER!$X$2,SUMIF('2026'!$F:$F,$B51,'2026'!AZ:AZ)/PARAMETER!$T$3,"")</f>
        <v/>
      </c>
      <c r="BB51" s="40" t="str">
        <f>IF(BB$4&lt;=PARAMETER!$X$2,SUMIF('2026'!$F:$F,$B51,'2026'!BA:BA)/PARAMETER!$T$3,"")</f>
        <v/>
      </c>
      <c r="BC51" s="40" t="str">
        <f>IF(BC$4&lt;=PARAMETER!$X$2,SUMIF('2026'!$F:$F,$B51,'2026'!BB:BB)/PARAMETER!$T$3,"")</f>
        <v/>
      </c>
      <c r="BD51" s="40" t="str">
        <f>IF(BD$4&lt;=PARAMETER!$X$2,SUMIF('2026'!$F:$F,$B51,'2026'!BC:BC)/PARAMETER!$T$3,"")</f>
        <v/>
      </c>
      <c r="BE51" s="40" t="str">
        <f>IF(BE$4&lt;=PARAMETER!$X$2,SUMIF('2026'!$F:$F,$B51,'2026'!BD:BD)/PARAMETER!$T$3,"")</f>
        <v/>
      </c>
      <c r="BF51" s="40" t="str">
        <f>IF(BF$4&lt;=PARAMETER!$X$2,SUMIF('2026'!$F:$F,$B51,'2026'!BE:BE)/PARAMETER!$T$3,"")</f>
        <v/>
      </c>
      <c r="BG51" s="40" t="str">
        <f>IF(BG$4&lt;=PARAMETER!$X$2,SUMIF('2026'!$F:$F,$B51,'2026'!BF:BF)/PARAMETER!$T$3,"")</f>
        <v/>
      </c>
      <c r="BH51" s="40" t="str">
        <f>IF(BH$4&lt;=PARAMETER!$X$2,SUMIF('2026'!$F:$F,$B51,'2026'!BG:BG)/PARAMETER!$T$3,"")</f>
        <v/>
      </c>
      <c r="BI51" s="40" t="str">
        <f>IF(BI$4&lt;=PARAMETER!$X$2,SUMIF('2026'!$F:$F,$B51,'2026'!BH:BH)/PARAMETER!$T$3,"")</f>
        <v/>
      </c>
      <c r="BJ51" s="40" t="str">
        <f>IF(BJ$4&lt;=PARAMETER!$X$2,SUMIF('2026'!$F:$F,$B51,'2026'!BI:BI)/PARAMETER!$T$3,"")</f>
        <v/>
      </c>
    </row>
    <row r="52" spans="1:62" x14ac:dyDescent="0.25">
      <c r="A52">
        <f t="shared" si="62"/>
        <v>10</v>
      </c>
      <c r="B52" s="78" t="str">
        <f>CONCATENATE(C52,PARAMETER!T$2)</f>
        <v>VOL</v>
      </c>
      <c r="C52" s="26" t="str">
        <f t="shared" si="63"/>
        <v/>
      </c>
      <c r="D52" s="27" t="s">
        <v>128</v>
      </c>
      <c r="E52" s="35" t="str">
        <f t="shared" si="64"/>
        <v/>
      </c>
      <c r="F52" s="28">
        <f t="shared" si="61"/>
        <v>3</v>
      </c>
      <c r="G52" s="39">
        <f t="shared" si="20"/>
        <v>2025</v>
      </c>
      <c r="H52" s="40">
        <f>IF(H$4&lt;=PARAMETER!$X$2,SUMIF('2025'!$F:$F,$B52,'2025'!G:G)/PARAMETER!$T$3,"")</f>
        <v>0</v>
      </c>
      <c r="I52" s="40">
        <f>IF(I$4&lt;=PARAMETER!$X$2,SUMIF('2025'!$F:$F,$B52,'2025'!H:H)/PARAMETER!$T$3,"")</f>
        <v>0</v>
      </c>
      <c r="J52" s="40">
        <f>IF(J$4&lt;=PARAMETER!$X$2,SUMIF('2025'!$F:$F,$B52,'2025'!I:I)/PARAMETER!$T$3,"")</f>
        <v>0</v>
      </c>
      <c r="K52" s="40">
        <f>IF(K$4&lt;=PARAMETER!$X$2,SUMIF('2025'!$F:$F,$B52,'2025'!J:J)/PARAMETER!$T$3,"")</f>
        <v>0</v>
      </c>
      <c r="L52" s="40">
        <f>IF(L$4&lt;=PARAMETER!$X$2,SUMIF('2025'!$F:$F,$B52,'2025'!K:K)/PARAMETER!$T$3,"")</f>
        <v>0</v>
      </c>
      <c r="M52" s="40">
        <f>IF(M$4&lt;=PARAMETER!$X$2,SUMIF('2025'!$F:$F,$B52,'2025'!L:L)/PARAMETER!$T$3,"")</f>
        <v>0</v>
      </c>
      <c r="N52" s="40">
        <f>IF(N$4&lt;=PARAMETER!$X$2,SUMIF('2025'!$F:$F,$B52,'2025'!M:M)/PARAMETER!$T$3,"")</f>
        <v>0</v>
      </c>
      <c r="O52" s="40">
        <f>IF(O$4&lt;=PARAMETER!$X$2,SUMIF('2025'!$F:$F,$B52,'2025'!N:N)/PARAMETER!$T$3,"")</f>
        <v>0</v>
      </c>
      <c r="P52" s="40">
        <f>IF(P$4&lt;=PARAMETER!$X$2,SUMIF('2025'!$F:$F,$B52,'2025'!O:O)/PARAMETER!$T$3,"")</f>
        <v>0</v>
      </c>
      <c r="Q52" s="40">
        <f>IF(Q$4&lt;=PARAMETER!$X$2,SUMIF('2025'!$F:$F,$B52,'2025'!P:P)/PARAMETER!$T$3,"")</f>
        <v>0</v>
      </c>
      <c r="R52" s="40">
        <f>IF(R$4&lt;=PARAMETER!$X$2,SUMIF('2025'!$F:$F,$B52,'2025'!Q:Q)/PARAMETER!$T$3,"")</f>
        <v>0</v>
      </c>
      <c r="S52" s="40">
        <f>IF(S$4&lt;=PARAMETER!$X$2,SUMIF('2025'!$F:$F,$B52,'2025'!R:R)/PARAMETER!$T$3,"")</f>
        <v>0</v>
      </c>
      <c r="T52" s="40">
        <f>IF(T$4&lt;=PARAMETER!$X$2,SUMIF('2025'!$F:$F,$B52,'2025'!S:S)/PARAMETER!$T$3,"")</f>
        <v>0</v>
      </c>
      <c r="U52" s="40" t="str">
        <f>IF(U$4&lt;=PARAMETER!$X$2,SUMIF('2025'!$F:$F,$B52,'2025'!T:T)/PARAMETER!$T$3,"")</f>
        <v/>
      </c>
      <c r="V52" s="40" t="str">
        <f>IF(V$4&lt;=PARAMETER!$X$2,SUMIF('2025'!$F:$F,$B52,'2025'!U:U)/PARAMETER!$T$3,"")</f>
        <v/>
      </c>
      <c r="W52" s="40" t="str">
        <f>IF(W$4&lt;=PARAMETER!$X$2,SUMIF('2025'!$F:$F,$B52,'2025'!V:V)/PARAMETER!$T$3,"")</f>
        <v/>
      </c>
      <c r="X52" s="40" t="str">
        <f>IF(X$4&lt;=PARAMETER!$X$2,SUMIF('2025'!$F:$F,$B52,'2025'!W:W)/PARAMETER!$T$3,"")</f>
        <v/>
      </c>
      <c r="Y52" s="40" t="str">
        <f>IF(Y$4&lt;=PARAMETER!$X$2,SUMIF('2025'!$F:$F,$B52,'2025'!X:X)/PARAMETER!$T$3,"")</f>
        <v/>
      </c>
      <c r="Z52" s="40" t="str">
        <f>IF(Z$4&lt;=PARAMETER!$X$2,SUMIF('2025'!$F:$F,$B52,'2025'!Y:Y)/PARAMETER!$T$3,"")</f>
        <v/>
      </c>
      <c r="AA52" s="40" t="str">
        <f>IF(AA$4&lt;=PARAMETER!$X$2,SUMIF('2025'!$F:$F,$B52,'2025'!Z:Z)/PARAMETER!$T$3,"")</f>
        <v/>
      </c>
      <c r="AB52" s="40" t="str">
        <f>IF(AB$4&lt;=PARAMETER!$X$2,SUMIF('2025'!$F:$F,$B52,'2025'!AA:AA)/PARAMETER!$T$3,"")</f>
        <v/>
      </c>
      <c r="AC52" s="40" t="str">
        <f>IF(AC$4&lt;=PARAMETER!$X$2,SUMIF('2025'!$F:$F,$B52,'2025'!AB:AB)/PARAMETER!$T$3,"")</f>
        <v/>
      </c>
      <c r="AD52" s="40" t="str">
        <f>IF(AD$4&lt;=PARAMETER!$X$2,SUMIF('2025'!$F:$F,$B52,'2025'!AC:AC)/PARAMETER!$T$3,"")</f>
        <v/>
      </c>
      <c r="AE52" s="40" t="str">
        <f>IF(AE$4&lt;=PARAMETER!$X$2,SUMIF('2025'!$F:$F,$B52,'2025'!AD:AD)/PARAMETER!$T$3,"")</f>
        <v/>
      </c>
      <c r="AF52" s="40" t="str">
        <f>IF(AF$4&lt;=PARAMETER!$X$2,SUMIF('2025'!$F:$F,$B52,'2025'!AE:AE)/PARAMETER!$T$3,"")</f>
        <v/>
      </c>
      <c r="AG52" s="40" t="str">
        <f>IF(AG$4&lt;=PARAMETER!$X$2,SUMIF('2025'!$F:$F,$B52,'2025'!AF:AF)/PARAMETER!$T$3,"")</f>
        <v/>
      </c>
      <c r="AH52" s="40" t="str">
        <f>IF(AH$4&lt;=PARAMETER!$X$2,SUMIF('2025'!$F:$F,$B52,'2025'!AG:AG)/PARAMETER!$T$3,"")</f>
        <v/>
      </c>
      <c r="AI52" s="40" t="str">
        <f>IF(AI$4&lt;=PARAMETER!$X$2,SUMIF('2025'!$F:$F,$B52,'2025'!AH:AH)/PARAMETER!$T$3,"")</f>
        <v/>
      </c>
      <c r="AJ52" s="40" t="str">
        <f>IF(AJ$4&lt;=PARAMETER!$X$2,SUMIF('2025'!$F:$F,$B52,'2025'!AI:AI)/PARAMETER!$T$3,"")</f>
        <v/>
      </c>
      <c r="AK52" s="40" t="str">
        <f>IF(AK$4&lt;=PARAMETER!$X$2,SUMIF('2025'!$F:$F,$B52,'2025'!AJ:AJ)/PARAMETER!$T$3,"")</f>
        <v/>
      </c>
      <c r="AL52" s="40" t="str">
        <f>IF(AL$4&lt;=PARAMETER!$X$2,SUMIF('2025'!$F:$F,$B52,'2025'!AK:AK)/PARAMETER!$T$3,"")</f>
        <v/>
      </c>
      <c r="AM52" s="40" t="str">
        <f>IF(AM$4&lt;=PARAMETER!$X$2,SUMIF('2025'!$F:$F,$B52,'2025'!AL:AL)/PARAMETER!$T$3,"")</f>
        <v/>
      </c>
      <c r="AN52" s="40" t="str">
        <f>IF(AN$4&lt;=PARAMETER!$X$2,SUMIF('2025'!$F:$F,$B52,'2025'!AM:AM)/PARAMETER!$T$3,"")</f>
        <v/>
      </c>
      <c r="AO52" s="40" t="str">
        <f>IF(AO$4&lt;=PARAMETER!$X$2,SUMIF('2025'!$F:$F,$B52,'2025'!AN:AN)/PARAMETER!$T$3,"")</f>
        <v/>
      </c>
      <c r="AP52" s="40" t="str">
        <f>IF(AP$4&lt;=PARAMETER!$X$2,SUMIF('2025'!$F:$F,$B52,'2025'!AO:AO)/PARAMETER!$T$3,"")</f>
        <v/>
      </c>
      <c r="AQ52" s="40" t="str">
        <f>IF(AQ$4&lt;=PARAMETER!$X$2,SUMIF('2025'!$F:$F,$B52,'2025'!AP:AP)/PARAMETER!$T$3,"")</f>
        <v/>
      </c>
      <c r="AR52" s="40" t="str">
        <f>IF(AR$4&lt;=PARAMETER!$X$2,SUMIF('2025'!$F:$F,$B52,'2025'!AQ:AQ)/PARAMETER!$T$3,"")</f>
        <v/>
      </c>
      <c r="AS52" s="40" t="str">
        <f>IF(AS$4&lt;=PARAMETER!$X$2,SUMIF('2025'!$F:$F,$B52,'2025'!AR:AR)/PARAMETER!$T$3,"")</f>
        <v/>
      </c>
      <c r="AT52" s="40" t="str">
        <f>IF(AT$4&lt;=PARAMETER!$X$2,SUMIF('2025'!$F:$F,$B52,'2025'!AS:AS)/PARAMETER!$T$3,"")</f>
        <v/>
      </c>
      <c r="AU52" s="40" t="str">
        <f>IF(AU$4&lt;=PARAMETER!$X$2,SUMIF('2025'!$F:$F,$B52,'2025'!AT:AT)/PARAMETER!$T$3,"")</f>
        <v/>
      </c>
      <c r="AV52" s="40" t="str">
        <f>IF(AV$4&lt;=PARAMETER!$X$2,SUMIF('2025'!$F:$F,$B52,'2025'!AU:AU)/PARAMETER!$T$3,"")</f>
        <v/>
      </c>
      <c r="AW52" s="40" t="str">
        <f>IF(AW$4&lt;=PARAMETER!$X$2,SUMIF('2025'!$F:$F,$B52,'2025'!AV:AV)/PARAMETER!$T$3,"")</f>
        <v/>
      </c>
      <c r="AX52" s="40" t="str">
        <f>IF(AX$4&lt;=PARAMETER!$X$2,SUMIF('2025'!$F:$F,$B52,'2025'!AW:AW)/PARAMETER!$T$3,"")</f>
        <v/>
      </c>
      <c r="AY52" s="40" t="str">
        <f>IF(AY$4&lt;=PARAMETER!$X$2,SUMIF('2025'!$F:$F,$B52,'2025'!AX:AX)/PARAMETER!$T$3,"")</f>
        <v/>
      </c>
      <c r="AZ52" s="40" t="str">
        <f>IF(AZ$4&lt;=PARAMETER!$X$2,SUMIF('2025'!$F:$F,$B52,'2025'!AY:AY)/PARAMETER!$T$3,"")</f>
        <v/>
      </c>
      <c r="BA52" s="40" t="str">
        <f>IF(BA$4&lt;=PARAMETER!$X$2,SUMIF('2025'!$F:$F,$B52,'2025'!AZ:AZ)/PARAMETER!$T$3,"")</f>
        <v/>
      </c>
      <c r="BB52" s="40" t="str">
        <f>IF(BB$4&lt;=PARAMETER!$X$2,SUMIF('2025'!$F:$F,$B52,'2025'!BA:BA)/PARAMETER!$T$3,"")</f>
        <v/>
      </c>
      <c r="BC52" s="40" t="str">
        <f>IF(BC$4&lt;=PARAMETER!$X$2,SUMIF('2025'!$F:$F,$B52,'2025'!BB:BB)/PARAMETER!$T$3,"")</f>
        <v/>
      </c>
      <c r="BD52" s="40" t="str">
        <f>IF(BD$4&lt;=PARAMETER!$X$2,SUMIF('2025'!$F:$F,$B52,'2025'!BC:BC)/PARAMETER!$T$3,"")</f>
        <v/>
      </c>
      <c r="BE52" s="40" t="str">
        <f>IF(BE$4&lt;=PARAMETER!$X$2,SUMIF('2025'!$F:$F,$B52,'2025'!BD:BD)/PARAMETER!$T$3,"")</f>
        <v/>
      </c>
      <c r="BF52" s="40" t="str">
        <f>IF(BF$4&lt;=PARAMETER!$X$2,SUMIF('2025'!$F:$F,$B52,'2025'!BE:BE)/PARAMETER!$T$3,"")</f>
        <v/>
      </c>
      <c r="BG52" s="40" t="str">
        <f>IF(BG$4&lt;=PARAMETER!$X$2,SUMIF('2025'!$F:$F,$B52,'2025'!BF:BF)/PARAMETER!$T$3,"")</f>
        <v/>
      </c>
      <c r="BH52" s="40" t="str">
        <f>IF(BH$4&lt;=PARAMETER!$X$2,SUMIF('2025'!$F:$F,$B52,'2025'!BG:BG)/PARAMETER!$T$3,"")</f>
        <v/>
      </c>
      <c r="BI52" s="40" t="str">
        <f>IF(BI$4&lt;=PARAMETER!$X$2,SUMIF('2025'!$F:$F,$B52,'2025'!BH:BH)/PARAMETER!$T$3,"")</f>
        <v/>
      </c>
      <c r="BJ52" s="40" t="str">
        <f>IF(BJ$4&lt;=PARAMETER!$X$2,SUMIF('2025'!$F:$F,$B52,'2025'!BI:BI)/PARAMETER!$T$3,"")</f>
        <v/>
      </c>
    </row>
    <row r="53" spans="1:62" x14ac:dyDescent="0.25">
      <c r="A53">
        <f t="shared" ref="A53" si="65">A51</f>
        <v>10</v>
      </c>
      <c r="B53" s="78" t="str">
        <f>CONCATENATE(C53,PARAMETER!T$2)</f>
        <v>VOL</v>
      </c>
      <c r="C53" s="26" t="str">
        <f t="shared" si="63"/>
        <v/>
      </c>
      <c r="D53" s="67"/>
      <c r="E53" s="68"/>
      <c r="F53" s="69"/>
      <c r="G53" s="70">
        <f t="shared" si="20"/>
        <v>2024</v>
      </c>
      <c r="H53" s="71">
        <f>IF(H$4&lt;=PARAMETER!$X$2,SUMIF('2024'!$F:$F,$B53,'2024'!G:G)/PARAMETER!$T$3,"")</f>
        <v>0</v>
      </c>
      <c r="I53" s="71">
        <f>IF(I$4&lt;=PARAMETER!$X$2,SUMIF('2024'!$F:$F,$B53,'2024'!H:H)/PARAMETER!$T$3,"")</f>
        <v>0</v>
      </c>
      <c r="J53" s="71">
        <f>IF(J$4&lt;=PARAMETER!$X$2,SUMIF('2024'!$F:$F,$B53,'2024'!I:I)/PARAMETER!$T$3,"")</f>
        <v>0</v>
      </c>
      <c r="K53" s="71">
        <f>IF(K$4&lt;=PARAMETER!$X$2,SUMIF('2024'!$F:$F,$B53,'2024'!J:J)/PARAMETER!$T$3,"")</f>
        <v>0</v>
      </c>
      <c r="L53" s="71">
        <f>IF(L$4&lt;=PARAMETER!$X$2,SUMIF('2024'!$F:$F,$B53,'2024'!K:K)/PARAMETER!$T$3,"")</f>
        <v>0</v>
      </c>
      <c r="M53" s="71">
        <f>IF(M$4&lt;=PARAMETER!$X$2,SUMIF('2024'!$F:$F,$B53,'2024'!L:L)/PARAMETER!$T$3,"")</f>
        <v>0</v>
      </c>
      <c r="N53" s="71">
        <f>IF(N$4&lt;=PARAMETER!$X$2,SUMIF('2024'!$F:$F,$B53,'2024'!M:M)/PARAMETER!$T$3,"")</f>
        <v>0</v>
      </c>
      <c r="O53" s="71">
        <f>IF(O$4&lt;=PARAMETER!$X$2,SUMIF('2024'!$F:$F,$B53,'2024'!N:N)/PARAMETER!$T$3,"")</f>
        <v>0</v>
      </c>
      <c r="P53" s="71">
        <f>IF(P$4&lt;=PARAMETER!$X$2,SUMIF('2024'!$F:$F,$B53,'2024'!O:O)/PARAMETER!$T$3,"")</f>
        <v>0</v>
      </c>
      <c r="Q53" s="71">
        <f>IF(Q$4&lt;=PARAMETER!$X$2,SUMIF('2024'!$F:$F,$B53,'2024'!P:P)/PARAMETER!$T$3,"")</f>
        <v>0</v>
      </c>
      <c r="R53" s="71">
        <f>IF(R$4&lt;=PARAMETER!$X$2,SUMIF('2024'!$F:$F,$B53,'2024'!Q:Q)/PARAMETER!$T$3,"")</f>
        <v>0</v>
      </c>
      <c r="S53" s="71">
        <f>IF(S$4&lt;=PARAMETER!$X$2,SUMIF('2024'!$F:$F,$B53,'2024'!R:R)/PARAMETER!$T$3,"")</f>
        <v>0</v>
      </c>
      <c r="T53" s="71">
        <f>IF(T$4&lt;=PARAMETER!$X$2,SUMIF('2024'!$F:$F,$B53,'2024'!S:S)/PARAMETER!$T$3,"")</f>
        <v>0</v>
      </c>
      <c r="U53" s="71" t="str">
        <f>IF(U$4&lt;=PARAMETER!$X$2,SUMIF('2024'!$F:$F,$B53,'2024'!T:T)/PARAMETER!$T$3,"")</f>
        <v/>
      </c>
      <c r="V53" s="71" t="str">
        <f>IF(V$4&lt;=PARAMETER!$X$2,SUMIF('2024'!$F:$F,$B53,'2024'!U:U)/PARAMETER!$T$3,"")</f>
        <v/>
      </c>
      <c r="W53" s="71" t="str">
        <f>IF(W$4&lt;=PARAMETER!$X$2,SUMIF('2024'!$F:$F,$B53,'2024'!V:V)/PARAMETER!$T$3,"")</f>
        <v/>
      </c>
      <c r="X53" s="71" t="str">
        <f>IF(X$4&lt;=PARAMETER!$X$2,SUMIF('2024'!$F:$F,$B53,'2024'!W:W)/PARAMETER!$T$3,"")</f>
        <v/>
      </c>
      <c r="Y53" s="71" t="str">
        <f>IF(Y$4&lt;=PARAMETER!$X$2,SUMIF('2024'!$F:$F,$B53,'2024'!X:X)/PARAMETER!$T$3,"")</f>
        <v/>
      </c>
      <c r="Z53" s="71" t="str">
        <f>IF(Z$4&lt;=PARAMETER!$X$2,SUMIF('2024'!$F:$F,$B53,'2024'!Y:Y)/PARAMETER!$T$3,"")</f>
        <v/>
      </c>
      <c r="AA53" s="71" t="str">
        <f>IF(AA$4&lt;=PARAMETER!$X$2,SUMIF('2024'!$F:$F,$B53,'2024'!Z:Z)/PARAMETER!$T$3,"")</f>
        <v/>
      </c>
      <c r="AB53" s="71" t="str">
        <f>IF(AB$4&lt;=PARAMETER!$X$2,SUMIF('2024'!$F:$F,$B53,'2024'!AA:AA)/PARAMETER!$T$3,"")</f>
        <v/>
      </c>
      <c r="AC53" s="71" t="str">
        <f>IF(AC$4&lt;=PARAMETER!$X$2,SUMIF('2024'!$F:$F,$B53,'2024'!AB:AB)/PARAMETER!$T$3,"")</f>
        <v/>
      </c>
      <c r="AD53" s="71" t="str">
        <f>IF(AD$4&lt;=PARAMETER!$X$2,SUMIF('2024'!$F:$F,$B53,'2024'!AC:AC)/PARAMETER!$T$3,"")</f>
        <v/>
      </c>
      <c r="AE53" s="71" t="str">
        <f>IF(AE$4&lt;=PARAMETER!$X$2,SUMIF('2024'!$F:$F,$B53,'2024'!AD:AD)/PARAMETER!$T$3,"")</f>
        <v/>
      </c>
      <c r="AF53" s="71" t="str">
        <f>IF(AF$4&lt;=PARAMETER!$X$2,SUMIF('2024'!$F:$F,$B53,'2024'!AE:AE)/PARAMETER!$T$3,"")</f>
        <v/>
      </c>
      <c r="AG53" s="71" t="str">
        <f>IF(AG$4&lt;=PARAMETER!$X$2,SUMIF('2024'!$F:$F,$B53,'2024'!AF:AF)/PARAMETER!$T$3,"")</f>
        <v/>
      </c>
      <c r="AH53" s="71" t="str">
        <f>IF(AH$4&lt;=PARAMETER!$X$2,SUMIF('2024'!$F:$F,$B53,'2024'!AG:AG)/PARAMETER!$T$3,"")</f>
        <v/>
      </c>
      <c r="AI53" s="71" t="str">
        <f>IF(AI$4&lt;=PARAMETER!$X$2,SUMIF('2024'!$F:$F,$B53,'2024'!AH:AH)/PARAMETER!$T$3,"")</f>
        <v/>
      </c>
      <c r="AJ53" s="71" t="str">
        <f>IF(AJ$4&lt;=PARAMETER!$X$2,SUMIF('2024'!$F:$F,$B53,'2024'!AI:AI)/PARAMETER!$T$3,"")</f>
        <v/>
      </c>
      <c r="AK53" s="71" t="str">
        <f>IF(AK$4&lt;=PARAMETER!$X$2,SUMIF('2024'!$F:$F,$B53,'2024'!AJ:AJ)/PARAMETER!$T$3,"")</f>
        <v/>
      </c>
      <c r="AL53" s="71" t="str">
        <f>IF(AL$4&lt;=PARAMETER!$X$2,SUMIF('2024'!$F:$F,$B53,'2024'!AK:AK)/PARAMETER!$T$3,"")</f>
        <v/>
      </c>
      <c r="AM53" s="71" t="str">
        <f>IF(AM$4&lt;=PARAMETER!$X$2,SUMIF('2024'!$F:$F,$B53,'2024'!AL:AL)/PARAMETER!$T$3,"")</f>
        <v/>
      </c>
      <c r="AN53" s="71" t="str">
        <f>IF(AN$4&lt;=PARAMETER!$X$2,SUMIF('2024'!$F:$F,$B53,'2024'!AM:AM)/PARAMETER!$T$3,"")</f>
        <v/>
      </c>
      <c r="AO53" s="71" t="str">
        <f>IF(AO$4&lt;=PARAMETER!$X$2,SUMIF('2024'!$F:$F,$B53,'2024'!AN:AN)/PARAMETER!$T$3,"")</f>
        <v/>
      </c>
      <c r="AP53" s="71" t="str">
        <f>IF(AP$4&lt;=PARAMETER!$X$2,SUMIF('2024'!$F:$F,$B53,'2024'!AO:AO)/PARAMETER!$T$3,"")</f>
        <v/>
      </c>
      <c r="AQ53" s="71" t="str">
        <f>IF(AQ$4&lt;=PARAMETER!$X$2,SUMIF('2024'!$F:$F,$B53,'2024'!AP:AP)/PARAMETER!$T$3,"")</f>
        <v/>
      </c>
      <c r="AR53" s="71" t="str">
        <f>IF(AR$4&lt;=PARAMETER!$X$2,SUMIF('2024'!$F:$F,$B53,'2024'!AQ:AQ)/PARAMETER!$T$3,"")</f>
        <v/>
      </c>
      <c r="AS53" s="71" t="str">
        <f>IF(AS$4&lt;=PARAMETER!$X$2,SUMIF('2024'!$F:$F,$B53,'2024'!AR:AR)/PARAMETER!$T$3,"")</f>
        <v/>
      </c>
      <c r="AT53" s="71" t="str">
        <f>IF(AT$4&lt;=PARAMETER!$X$2,SUMIF('2024'!$F:$F,$B53,'2024'!AS:AS)/PARAMETER!$T$3,"")</f>
        <v/>
      </c>
      <c r="AU53" s="71" t="str">
        <f>IF(AU$4&lt;=PARAMETER!$X$2,SUMIF('2024'!$F:$F,$B53,'2024'!AT:AT)/PARAMETER!$T$3,"")</f>
        <v/>
      </c>
      <c r="AV53" s="71" t="str">
        <f>IF(AV$4&lt;=PARAMETER!$X$2,SUMIF('2024'!$F:$F,$B53,'2024'!AU:AU)/PARAMETER!$T$3,"")</f>
        <v/>
      </c>
      <c r="AW53" s="71" t="str">
        <f>IF(AW$4&lt;=PARAMETER!$X$2,SUMIF('2024'!$F:$F,$B53,'2024'!AV:AV)/PARAMETER!$T$3,"")</f>
        <v/>
      </c>
      <c r="AX53" s="71" t="str">
        <f>IF(AX$4&lt;=PARAMETER!$X$2,SUMIF('2024'!$F:$F,$B53,'2024'!AW:AW)/PARAMETER!$T$3,"")</f>
        <v/>
      </c>
      <c r="AY53" s="71" t="str">
        <f>IF(AY$4&lt;=PARAMETER!$X$2,SUMIF('2024'!$F:$F,$B53,'2024'!AX:AX)/PARAMETER!$T$3,"")</f>
        <v/>
      </c>
      <c r="AZ53" s="71" t="str">
        <f>IF(AZ$4&lt;=PARAMETER!$X$2,SUMIF('2024'!$F:$F,$B53,'2024'!AY:AY)/PARAMETER!$T$3,"")</f>
        <v/>
      </c>
      <c r="BA53" s="71" t="str">
        <f>IF(BA$4&lt;=PARAMETER!$X$2,SUMIF('2024'!$F:$F,$B53,'2024'!AZ:AZ)/PARAMETER!$T$3,"")</f>
        <v/>
      </c>
      <c r="BB53" s="71" t="str">
        <f>IF(BB$4&lt;=PARAMETER!$X$2,SUMIF('2024'!$F:$F,$B53,'2024'!BA:BA)/PARAMETER!$T$3,"")</f>
        <v/>
      </c>
      <c r="BC53" s="71" t="str">
        <f>IF(BC$4&lt;=PARAMETER!$X$2,SUMIF('2024'!$F:$F,$B53,'2024'!BB:BB)/PARAMETER!$T$3,"")</f>
        <v/>
      </c>
      <c r="BD53" s="71" t="str">
        <f>IF(BD$4&lt;=PARAMETER!$X$2,SUMIF('2024'!$F:$F,$B53,'2024'!BC:BC)/PARAMETER!$T$3,"")</f>
        <v/>
      </c>
      <c r="BE53" s="71" t="str">
        <f>IF(BE$4&lt;=PARAMETER!$X$2,SUMIF('2024'!$F:$F,$B53,'2024'!BD:BD)/PARAMETER!$T$3,"")</f>
        <v/>
      </c>
      <c r="BF53" s="71" t="str">
        <f>IF(BF$4&lt;=PARAMETER!$X$2,SUMIF('2024'!$F:$F,$B53,'2024'!BE:BE)/PARAMETER!$T$3,"")</f>
        <v/>
      </c>
      <c r="BG53" s="71" t="str">
        <f>IF(BG$4&lt;=PARAMETER!$X$2,SUMIF('2024'!$F:$F,$B53,'2024'!BF:BF)/PARAMETER!$T$3,"")</f>
        <v/>
      </c>
      <c r="BH53" s="71" t="str">
        <f>IF(BH$4&lt;=PARAMETER!$X$2,SUMIF('2024'!$F:$F,$B53,'2024'!BG:BG)/PARAMETER!$T$3,"")</f>
        <v/>
      </c>
      <c r="BI53" s="71" t="str">
        <f>IF(BI$4&lt;=PARAMETER!$X$2,SUMIF('2024'!$F:$F,$B53,'2024'!BH:BH)/PARAMETER!$T$3,"")</f>
        <v/>
      </c>
      <c r="BJ53" s="71" t="str">
        <f>IF(BJ$4&lt;=PARAMETER!$X$2,SUMIF('2024'!$F:$F,$B53,'2024'!BI:BI)/PARAMETER!$T$3,"")</f>
        <v/>
      </c>
    </row>
    <row r="54" spans="1:62" x14ac:dyDescent="0.25">
      <c r="A54">
        <v>11</v>
      </c>
      <c r="B54" s="78" t="str">
        <f>CONCATENATE(C54,PARAMETER!T$2)</f>
        <v>VOL</v>
      </c>
      <c r="C54" s="21" t="str">
        <f>IFERROR(VLOOKUP(A54,PARAMETER!K$2:M62,3,0),"")</f>
        <v/>
      </c>
      <c r="D54" s="22" t="s">
        <v>127</v>
      </c>
      <c r="E54" s="37" t="str">
        <f t="shared" ref="E54" si="66">IFERROR(I55/I54,"")</f>
        <v/>
      </c>
      <c r="F54" s="23">
        <f t="shared" ref="F54:F56" si="67">IFERROR(IF(E54&gt;300%,300%,E54),"")</f>
        <v>3</v>
      </c>
      <c r="G54" s="24" t="str">
        <f t="shared" si="20"/>
        <v>Target</v>
      </c>
      <c r="H54" s="25">
        <f>IF(H$4&lt;=PARAMETER!$X$2,SUMIF('2026 T'!$F:$F,$B54,'2026 T'!G:G)/PARAMETER!$T$3,"")</f>
        <v>0</v>
      </c>
      <c r="I54" s="25">
        <f>IF(I$4&lt;=PARAMETER!$X$2,SUMIF('2026 T'!$F:$F,$B54,'2026 T'!H:H)/PARAMETER!$T$3,"")</f>
        <v>0</v>
      </c>
      <c r="J54" s="25">
        <f>IF(J$4&lt;=PARAMETER!$X$2,SUMIF('2026 T'!$F:$F,$B54,'2026 T'!I:I)/PARAMETER!$T$3,"")</f>
        <v>0</v>
      </c>
      <c r="K54" s="25">
        <f>IF(K$4&lt;=PARAMETER!$X$2,SUMIF('2026 T'!$F:$F,$B54,'2026 T'!J:J)/PARAMETER!$T$3,"")</f>
        <v>0</v>
      </c>
      <c r="L54" s="25">
        <f>IF(L$4&lt;=PARAMETER!$X$2,SUMIF('2026 T'!$F:$F,$B54,'2026 T'!K:K)/PARAMETER!$T$3,"")</f>
        <v>0</v>
      </c>
      <c r="M54" s="25">
        <f>IF(M$4&lt;=PARAMETER!$X$2,SUMIF('2026 T'!$F:$F,$B54,'2026 T'!L:L)/PARAMETER!$T$3,"")</f>
        <v>0</v>
      </c>
      <c r="N54" s="25">
        <f>IF(N$4&lt;=PARAMETER!$X$2,SUMIF('2026 T'!$F:$F,$B54,'2026 T'!M:M)/PARAMETER!$T$3,"")</f>
        <v>0</v>
      </c>
      <c r="O54" s="25">
        <f>IF(O$4&lt;=PARAMETER!$X$2,SUMIF('2026 T'!$F:$F,$B54,'2026 T'!N:N)/PARAMETER!$T$3,"")</f>
        <v>0</v>
      </c>
      <c r="P54" s="25">
        <f>IF(P$4&lt;=PARAMETER!$X$2,SUMIF('2026 T'!$F:$F,$B54,'2026 T'!O:O)/PARAMETER!$T$3,"")</f>
        <v>0</v>
      </c>
      <c r="Q54" s="25">
        <f>IF(Q$4&lt;=PARAMETER!$X$2,SUMIF('2026 T'!$F:$F,$B54,'2026 T'!P:P)/PARAMETER!$T$3,"")</f>
        <v>0</v>
      </c>
      <c r="R54" s="25">
        <f>IF(R$4&lt;=PARAMETER!$X$2,SUMIF('2026 T'!$F:$F,$B54,'2026 T'!Q:Q)/PARAMETER!$T$3,"")</f>
        <v>0</v>
      </c>
      <c r="S54" s="25">
        <f>IF(S$4&lt;=PARAMETER!$X$2,SUMIF('2026 T'!$F:$F,$B54,'2026 T'!R:R)/PARAMETER!$T$3,"")</f>
        <v>0</v>
      </c>
      <c r="T54" s="25">
        <f>IF(T$4&lt;=PARAMETER!$X$2,SUMIF('2026 T'!$F:$F,$B54,'2026 T'!S:S)/PARAMETER!$T$3,"")</f>
        <v>0</v>
      </c>
      <c r="U54" s="25" t="str">
        <f>IF(U$4&lt;=PARAMETER!$X$2,SUMIF('2026 T'!$F:$F,$B54,'2026 T'!T:T)/PARAMETER!$T$3,"")</f>
        <v/>
      </c>
      <c r="V54" s="25" t="str">
        <f>IF(V$4&lt;=PARAMETER!$X$2,SUMIF('2026 T'!$F:$F,$B54,'2026 T'!U:U)/PARAMETER!$T$3,"")</f>
        <v/>
      </c>
      <c r="W54" s="25" t="str">
        <f>IF(W$4&lt;=PARAMETER!$X$2,SUMIF('2026 T'!$F:$F,$B54,'2026 T'!V:V)/PARAMETER!$T$3,"")</f>
        <v/>
      </c>
      <c r="X54" s="25" t="str">
        <f>IF(X$4&lt;=PARAMETER!$X$2,SUMIF('2026 T'!$F:$F,$B54,'2026 T'!W:W)/PARAMETER!$T$3,"")</f>
        <v/>
      </c>
      <c r="Y54" s="25" t="str">
        <f>IF(Y$4&lt;=PARAMETER!$X$2,SUMIF('2026 T'!$F:$F,$B54,'2026 T'!X:X)/PARAMETER!$T$3,"")</f>
        <v/>
      </c>
      <c r="Z54" s="25" t="str">
        <f>IF(Z$4&lt;=PARAMETER!$X$2,SUMIF('2026 T'!$F:$F,$B54,'2026 T'!Y:Y)/PARAMETER!$T$3,"")</f>
        <v/>
      </c>
      <c r="AA54" s="25" t="str">
        <f>IF(AA$4&lt;=PARAMETER!$X$2,SUMIF('2026 T'!$F:$F,$B54,'2026 T'!Z:Z)/PARAMETER!$T$3,"")</f>
        <v/>
      </c>
      <c r="AB54" s="25" t="str">
        <f>IF(AB$4&lt;=PARAMETER!$X$2,SUMIF('2026 T'!$F:$F,$B54,'2026 T'!AA:AA)/PARAMETER!$T$3,"")</f>
        <v/>
      </c>
      <c r="AC54" s="25" t="str">
        <f>IF(AC$4&lt;=PARAMETER!$X$2,SUMIF('2026 T'!$F:$F,$B54,'2026 T'!AB:AB)/PARAMETER!$T$3,"")</f>
        <v/>
      </c>
      <c r="AD54" s="25" t="str">
        <f>IF(AD$4&lt;=PARAMETER!$X$2,SUMIF('2026 T'!$F:$F,$B54,'2026 T'!AC:AC)/PARAMETER!$T$3,"")</f>
        <v/>
      </c>
      <c r="AE54" s="25" t="str">
        <f>IF(AE$4&lt;=PARAMETER!$X$2,SUMIF('2026 T'!$F:$F,$B54,'2026 T'!AD:AD)/PARAMETER!$T$3,"")</f>
        <v/>
      </c>
      <c r="AF54" s="25" t="str">
        <f>IF(AF$4&lt;=PARAMETER!$X$2,SUMIF('2026 T'!$F:$F,$B54,'2026 T'!AE:AE)/PARAMETER!$T$3,"")</f>
        <v/>
      </c>
      <c r="AG54" s="25" t="str">
        <f>IF(AG$4&lt;=PARAMETER!$X$2,SUMIF('2026 T'!$F:$F,$B54,'2026 T'!AF:AF)/PARAMETER!$T$3,"")</f>
        <v/>
      </c>
      <c r="AH54" s="25" t="str">
        <f>IF(AH$4&lt;=PARAMETER!$X$2,SUMIF('2026 T'!$F:$F,$B54,'2026 T'!AG:AG)/PARAMETER!$T$3,"")</f>
        <v/>
      </c>
      <c r="AI54" s="25" t="str">
        <f>IF(AI$4&lt;=PARAMETER!$X$2,SUMIF('2026 T'!$F:$F,$B54,'2026 T'!AH:AH)/PARAMETER!$T$3,"")</f>
        <v/>
      </c>
      <c r="AJ54" s="25" t="str">
        <f>IF(AJ$4&lt;=PARAMETER!$X$2,SUMIF('2026 T'!$F:$F,$B54,'2026 T'!AI:AI)/PARAMETER!$T$3,"")</f>
        <v/>
      </c>
      <c r="AK54" s="25" t="str">
        <f>IF(AK$4&lt;=PARAMETER!$X$2,SUMIF('2026 T'!$F:$F,$B54,'2026 T'!AJ:AJ)/PARAMETER!$T$3,"")</f>
        <v/>
      </c>
      <c r="AL54" s="25" t="str">
        <f>IF(AL$4&lt;=PARAMETER!$X$2,SUMIF('2026 T'!$F:$F,$B54,'2026 T'!AK:AK)/PARAMETER!$T$3,"")</f>
        <v/>
      </c>
      <c r="AM54" s="25" t="str">
        <f>IF(AM$4&lt;=PARAMETER!$X$2,SUMIF('2026 T'!$F:$F,$B54,'2026 T'!AL:AL)/PARAMETER!$T$3,"")</f>
        <v/>
      </c>
      <c r="AN54" s="25" t="str">
        <f>IF(AN$4&lt;=PARAMETER!$X$2,SUMIF('2026 T'!$F:$F,$B54,'2026 T'!AM:AM)/PARAMETER!$T$3,"")</f>
        <v/>
      </c>
      <c r="AO54" s="25" t="str">
        <f>IF(AO$4&lt;=PARAMETER!$X$2,SUMIF('2026 T'!$F:$F,$B54,'2026 T'!AN:AN)/PARAMETER!$T$3,"")</f>
        <v/>
      </c>
      <c r="AP54" s="25" t="str">
        <f>IF(AP$4&lt;=PARAMETER!$X$2,SUMIF('2026 T'!$F:$F,$B54,'2026 T'!AO:AO)/PARAMETER!$T$3,"")</f>
        <v/>
      </c>
      <c r="AQ54" s="25" t="str">
        <f>IF(AQ$4&lt;=PARAMETER!$X$2,SUMIF('2026 T'!$F:$F,$B54,'2026 T'!AP:AP)/PARAMETER!$T$3,"")</f>
        <v/>
      </c>
      <c r="AR54" s="25" t="str">
        <f>IF(AR$4&lt;=PARAMETER!$X$2,SUMIF('2026 T'!$F:$F,$B54,'2026 T'!AQ:AQ)/PARAMETER!$T$3,"")</f>
        <v/>
      </c>
      <c r="AS54" s="25" t="str">
        <f>IF(AS$4&lt;=PARAMETER!$X$2,SUMIF('2026 T'!$F:$F,$B54,'2026 T'!AR:AR)/PARAMETER!$T$3,"")</f>
        <v/>
      </c>
      <c r="AT54" s="25" t="str">
        <f>IF(AT$4&lt;=PARAMETER!$X$2,SUMIF('2026 T'!$F:$F,$B54,'2026 T'!AS:AS)/PARAMETER!$T$3,"")</f>
        <v/>
      </c>
      <c r="AU54" s="25" t="str">
        <f>IF(AU$4&lt;=PARAMETER!$X$2,SUMIF('2026 T'!$F:$F,$B54,'2026 T'!AT:AT)/PARAMETER!$T$3,"")</f>
        <v/>
      </c>
      <c r="AV54" s="25" t="str">
        <f>IF(AV$4&lt;=PARAMETER!$X$2,SUMIF('2026 T'!$F:$F,$B54,'2026 T'!AU:AU)/PARAMETER!$T$3,"")</f>
        <v/>
      </c>
      <c r="AW54" s="25" t="str">
        <f>IF(AW$4&lt;=PARAMETER!$X$2,SUMIF('2026 T'!$F:$F,$B54,'2026 T'!AV:AV)/PARAMETER!$T$3,"")</f>
        <v/>
      </c>
      <c r="AX54" s="25" t="str">
        <f>IF(AX$4&lt;=PARAMETER!$X$2,SUMIF('2026 T'!$F:$F,$B54,'2026 T'!AW:AW)/PARAMETER!$T$3,"")</f>
        <v/>
      </c>
      <c r="AY54" s="25" t="str">
        <f>IF(AY$4&lt;=PARAMETER!$X$2,SUMIF('2026 T'!$F:$F,$B54,'2026 T'!AX:AX)/PARAMETER!$T$3,"")</f>
        <v/>
      </c>
      <c r="AZ54" s="25" t="str">
        <f>IF(AZ$4&lt;=PARAMETER!$X$2,SUMIF('2026 T'!$F:$F,$B54,'2026 T'!AY:AY)/PARAMETER!$T$3,"")</f>
        <v/>
      </c>
      <c r="BA54" s="25" t="str">
        <f>IF(BA$4&lt;=PARAMETER!$X$2,SUMIF('2026 T'!$F:$F,$B54,'2026 T'!AZ:AZ)/PARAMETER!$T$3,"")</f>
        <v/>
      </c>
      <c r="BB54" s="25" t="str">
        <f>IF(BB$4&lt;=PARAMETER!$X$2,SUMIF('2026 T'!$F:$F,$B54,'2026 T'!BA:BA)/PARAMETER!$T$3,"")</f>
        <v/>
      </c>
      <c r="BC54" s="25" t="str">
        <f>IF(BC$4&lt;=PARAMETER!$X$2,SUMIF('2026 T'!$F:$F,$B54,'2026 T'!BB:BB)/PARAMETER!$T$3,"")</f>
        <v/>
      </c>
      <c r="BD54" s="25" t="str">
        <f>IF(BD$4&lt;=PARAMETER!$X$2,SUMIF('2026 T'!$F:$F,$B54,'2026 T'!BC:BC)/PARAMETER!$T$3,"")</f>
        <v/>
      </c>
      <c r="BE54" s="25" t="str">
        <f>IF(BE$4&lt;=PARAMETER!$X$2,SUMIF('2026 T'!$F:$F,$B54,'2026 T'!BD:BD)/PARAMETER!$T$3,"")</f>
        <v/>
      </c>
      <c r="BF54" s="25" t="str">
        <f>IF(BF$4&lt;=PARAMETER!$X$2,SUMIF('2026 T'!$F:$F,$B54,'2026 T'!BE:BE)/PARAMETER!$T$3,"")</f>
        <v/>
      </c>
      <c r="BG54" s="25" t="str">
        <f>IF(BG$4&lt;=PARAMETER!$X$2,SUMIF('2026 T'!$F:$F,$B54,'2026 T'!BF:BF)/PARAMETER!$T$3,"")</f>
        <v/>
      </c>
      <c r="BH54" s="25" t="str">
        <f>IF(BH$4&lt;=PARAMETER!$X$2,SUMIF('2026 T'!$F:$F,$B54,'2026 T'!BG:BG)/PARAMETER!$T$3,"")</f>
        <v/>
      </c>
      <c r="BI54" s="25" t="str">
        <f>IF(BI$4&lt;=PARAMETER!$X$2,SUMIF('2026 T'!$F:$F,$B54,'2026 T'!BH:BH)/PARAMETER!$T$3,"")</f>
        <v/>
      </c>
      <c r="BJ54" s="25" t="str">
        <f>IF(BJ$4&lt;=PARAMETER!$X$2,SUMIF('2026 T'!$F:$F,$B54,'2026 T'!BI:BI)/PARAMETER!$T$3,"")</f>
        <v/>
      </c>
    </row>
    <row r="55" spans="1:62" x14ac:dyDescent="0.25">
      <c r="A55">
        <f t="shared" ref="A55:A56" si="68">A54</f>
        <v>11</v>
      </c>
      <c r="B55" s="78" t="str">
        <f>CONCATENATE(C55,PARAMETER!T$2)</f>
        <v>VOL</v>
      </c>
      <c r="C55" s="26" t="str">
        <f t="shared" ref="C55:C57" si="69">C54</f>
        <v/>
      </c>
      <c r="D55" s="27" t="s">
        <v>128</v>
      </c>
      <c r="E55" s="35" t="str">
        <f t="shared" ref="E55:E56" si="70">IFERROR(I55/I56-1,"")</f>
        <v/>
      </c>
      <c r="F55" s="28">
        <f t="shared" si="67"/>
        <v>3</v>
      </c>
      <c r="G55" s="39">
        <f t="shared" si="20"/>
        <v>2026</v>
      </c>
      <c r="H55" s="40">
        <f>IF(H$4&lt;=PARAMETER!$X$2,SUMIF('2026'!$F:$F,$B55,'2026'!G:G)/PARAMETER!$T$3,"")</f>
        <v>0</v>
      </c>
      <c r="I55" s="40">
        <f>IF(I$4&lt;=PARAMETER!$X$2,SUMIF('2026'!$F:$F,$B55,'2026'!H:H)/PARAMETER!$T$3,"")</f>
        <v>0</v>
      </c>
      <c r="J55" s="40">
        <f>IF(J$4&lt;=PARAMETER!$X$2,SUMIF('2026'!$F:$F,$B55,'2026'!I:I)/PARAMETER!$T$3,"")</f>
        <v>0</v>
      </c>
      <c r="K55" s="40">
        <f>IF(K$4&lt;=PARAMETER!$X$2,SUMIF('2026'!$F:$F,$B55,'2026'!J:J)/PARAMETER!$T$3,"")</f>
        <v>0</v>
      </c>
      <c r="L55" s="40">
        <f>IF(L$4&lt;=PARAMETER!$X$2,SUMIF('2026'!$F:$F,$B55,'2026'!K:K)/PARAMETER!$T$3,"")</f>
        <v>0</v>
      </c>
      <c r="M55" s="40">
        <f>IF(M$4&lt;=PARAMETER!$X$2,SUMIF('2026'!$F:$F,$B55,'2026'!L:L)/PARAMETER!$T$3,"")</f>
        <v>0</v>
      </c>
      <c r="N55" s="40">
        <f>IF(N$4&lt;=PARAMETER!$X$2,SUMIF('2026'!$F:$F,$B55,'2026'!M:M)/PARAMETER!$T$3,"")</f>
        <v>0</v>
      </c>
      <c r="O55" s="40">
        <f>IF(O$4&lt;=PARAMETER!$X$2,SUMIF('2026'!$F:$F,$B55,'2026'!N:N)/PARAMETER!$T$3,"")</f>
        <v>0</v>
      </c>
      <c r="P55" s="40">
        <f>IF(P$4&lt;=PARAMETER!$X$2,SUMIF('2026'!$F:$F,$B55,'2026'!O:O)/PARAMETER!$T$3,"")</f>
        <v>0</v>
      </c>
      <c r="Q55" s="40">
        <f>IF(Q$4&lt;=PARAMETER!$X$2,SUMIF('2026'!$F:$F,$B55,'2026'!P:P)/PARAMETER!$T$3,"")</f>
        <v>0</v>
      </c>
      <c r="R55" s="40">
        <f>IF(R$4&lt;=PARAMETER!$X$2,SUMIF('2026'!$F:$F,$B55,'2026'!Q:Q)/PARAMETER!$T$3,"")</f>
        <v>0</v>
      </c>
      <c r="S55" s="40">
        <f>IF(S$4&lt;=PARAMETER!$X$2,SUMIF('2026'!$F:$F,$B55,'2026'!R:R)/PARAMETER!$T$3,"")</f>
        <v>0</v>
      </c>
      <c r="T55" s="40">
        <f>IF(T$4&lt;=PARAMETER!$X$2,SUMIF('2026'!$F:$F,$B55,'2026'!S:S)/PARAMETER!$T$3,"")</f>
        <v>0</v>
      </c>
      <c r="U55" s="40" t="str">
        <f>IF(U$4&lt;=PARAMETER!$X$2,SUMIF('2026'!$F:$F,$B55,'2026'!T:T)/PARAMETER!$T$3,"")</f>
        <v/>
      </c>
      <c r="V55" s="40" t="str">
        <f>IF(V$4&lt;=PARAMETER!$X$2,SUMIF('2026'!$F:$F,$B55,'2026'!U:U)/PARAMETER!$T$3,"")</f>
        <v/>
      </c>
      <c r="W55" s="40" t="str">
        <f>IF(W$4&lt;=PARAMETER!$X$2,SUMIF('2026'!$F:$F,$B55,'2026'!V:V)/PARAMETER!$T$3,"")</f>
        <v/>
      </c>
      <c r="X55" s="40" t="str">
        <f>IF(X$4&lt;=PARAMETER!$X$2,SUMIF('2026'!$F:$F,$B55,'2026'!W:W)/PARAMETER!$T$3,"")</f>
        <v/>
      </c>
      <c r="Y55" s="40" t="str">
        <f>IF(Y$4&lt;=PARAMETER!$X$2,SUMIF('2026'!$F:$F,$B55,'2026'!X:X)/PARAMETER!$T$3,"")</f>
        <v/>
      </c>
      <c r="Z55" s="40" t="str">
        <f>IF(Z$4&lt;=PARAMETER!$X$2,SUMIF('2026'!$F:$F,$B55,'2026'!Y:Y)/PARAMETER!$T$3,"")</f>
        <v/>
      </c>
      <c r="AA55" s="40" t="str">
        <f>IF(AA$4&lt;=PARAMETER!$X$2,SUMIF('2026'!$F:$F,$B55,'2026'!Z:Z)/PARAMETER!$T$3,"")</f>
        <v/>
      </c>
      <c r="AB55" s="40" t="str">
        <f>IF(AB$4&lt;=PARAMETER!$X$2,SUMIF('2026'!$F:$F,$B55,'2026'!AA:AA)/PARAMETER!$T$3,"")</f>
        <v/>
      </c>
      <c r="AC55" s="40" t="str">
        <f>IF(AC$4&lt;=PARAMETER!$X$2,SUMIF('2026'!$F:$F,$B55,'2026'!AB:AB)/PARAMETER!$T$3,"")</f>
        <v/>
      </c>
      <c r="AD55" s="40" t="str">
        <f>IF(AD$4&lt;=PARAMETER!$X$2,SUMIF('2026'!$F:$F,$B55,'2026'!AC:AC)/PARAMETER!$T$3,"")</f>
        <v/>
      </c>
      <c r="AE55" s="40" t="str">
        <f>IF(AE$4&lt;=PARAMETER!$X$2,SUMIF('2026'!$F:$F,$B55,'2026'!AD:AD)/PARAMETER!$T$3,"")</f>
        <v/>
      </c>
      <c r="AF55" s="40" t="str">
        <f>IF(AF$4&lt;=PARAMETER!$X$2,SUMIF('2026'!$F:$F,$B55,'2026'!AE:AE)/PARAMETER!$T$3,"")</f>
        <v/>
      </c>
      <c r="AG55" s="40" t="str">
        <f>IF(AG$4&lt;=PARAMETER!$X$2,SUMIF('2026'!$F:$F,$B55,'2026'!AF:AF)/PARAMETER!$T$3,"")</f>
        <v/>
      </c>
      <c r="AH55" s="40" t="str">
        <f>IF(AH$4&lt;=PARAMETER!$X$2,SUMIF('2026'!$F:$F,$B55,'2026'!AG:AG)/PARAMETER!$T$3,"")</f>
        <v/>
      </c>
      <c r="AI55" s="40" t="str">
        <f>IF(AI$4&lt;=PARAMETER!$X$2,SUMIF('2026'!$F:$F,$B55,'2026'!AH:AH)/PARAMETER!$T$3,"")</f>
        <v/>
      </c>
      <c r="AJ55" s="40" t="str">
        <f>IF(AJ$4&lt;=PARAMETER!$X$2,SUMIF('2026'!$F:$F,$B55,'2026'!AI:AI)/PARAMETER!$T$3,"")</f>
        <v/>
      </c>
      <c r="AK55" s="40" t="str">
        <f>IF(AK$4&lt;=PARAMETER!$X$2,SUMIF('2026'!$F:$F,$B55,'2026'!AJ:AJ)/PARAMETER!$T$3,"")</f>
        <v/>
      </c>
      <c r="AL55" s="40" t="str">
        <f>IF(AL$4&lt;=PARAMETER!$X$2,SUMIF('2026'!$F:$F,$B55,'2026'!AK:AK)/PARAMETER!$T$3,"")</f>
        <v/>
      </c>
      <c r="AM55" s="40" t="str">
        <f>IF(AM$4&lt;=PARAMETER!$X$2,SUMIF('2026'!$F:$F,$B55,'2026'!AL:AL)/PARAMETER!$T$3,"")</f>
        <v/>
      </c>
      <c r="AN55" s="40" t="str">
        <f>IF(AN$4&lt;=PARAMETER!$X$2,SUMIF('2026'!$F:$F,$B55,'2026'!AM:AM)/PARAMETER!$T$3,"")</f>
        <v/>
      </c>
      <c r="AO55" s="40" t="str">
        <f>IF(AO$4&lt;=PARAMETER!$X$2,SUMIF('2026'!$F:$F,$B55,'2026'!AN:AN)/PARAMETER!$T$3,"")</f>
        <v/>
      </c>
      <c r="AP55" s="40" t="str">
        <f>IF(AP$4&lt;=PARAMETER!$X$2,SUMIF('2026'!$F:$F,$B55,'2026'!AO:AO)/PARAMETER!$T$3,"")</f>
        <v/>
      </c>
      <c r="AQ55" s="40" t="str">
        <f>IF(AQ$4&lt;=PARAMETER!$X$2,SUMIF('2026'!$F:$F,$B55,'2026'!AP:AP)/PARAMETER!$T$3,"")</f>
        <v/>
      </c>
      <c r="AR55" s="40" t="str">
        <f>IF(AR$4&lt;=PARAMETER!$X$2,SUMIF('2026'!$F:$F,$B55,'2026'!AQ:AQ)/PARAMETER!$T$3,"")</f>
        <v/>
      </c>
      <c r="AS55" s="40" t="str">
        <f>IF(AS$4&lt;=PARAMETER!$X$2,SUMIF('2026'!$F:$F,$B55,'2026'!AR:AR)/PARAMETER!$T$3,"")</f>
        <v/>
      </c>
      <c r="AT55" s="40" t="str">
        <f>IF(AT$4&lt;=PARAMETER!$X$2,SUMIF('2026'!$F:$F,$B55,'2026'!AS:AS)/PARAMETER!$T$3,"")</f>
        <v/>
      </c>
      <c r="AU55" s="40" t="str">
        <f>IF(AU$4&lt;=PARAMETER!$X$2,SUMIF('2026'!$F:$F,$B55,'2026'!AT:AT)/PARAMETER!$T$3,"")</f>
        <v/>
      </c>
      <c r="AV55" s="40" t="str">
        <f>IF(AV$4&lt;=PARAMETER!$X$2,SUMIF('2026'!$F:$F,$B55,'2026'!AU:AU)/PARAMETER!$T$3,"")</f>
        <v/>
      </c>
      <c r="AW55" s="40" t="str">
        <f>IF(AW$4&lt;=PARAMETER!$X$2,SUMIF('2026'!$F:$F,$B55,'2026'!AV:AV)/PARAMETER!$T$3,"")</f>
        <v/>
      </c>
      <c r="AX55" s="40" t="str">
        <f>IF(AX$4&lt;=PARAMETER!$X$2,SUMIF('2026'!$F:$F,$B55,'2026'!AW:AW)/PARAMETER!$T$3,"")</f>
        <v/>
      </c>
      <c r="AY55" s="40" t="str">
        <f>IF(AY$4&lt;=PARAMETER!$X$2,SUMIF('2026'!$F:$F,$B55,'2026'!AX:AX)/PARAMETER!$T$3,"")</f>
        <v/>
      </c>
      <c r="AZ55" s="40" t="str">
        <f>IF(AZ$4&lt;=PARAMETER!$X$2,SUMIF('2026'!$F:$F,$B55,'2026'!AY:AY)/PARAMETER!$T$3,"")</f>
        <v/>
      </c>
      <c r="BA55" s="40" t="str">
        <f>IF(BA$4&lt;=PARAMETER!$X$2,SUMIF('2026'!$F:$F,$B55,'2026'!AZ:AZ)/PARAMETER!$T$3,"")</f>
        <v/>
      </c>
      <c r="BB55" s="40" t="str">
        <f>IF(BB$4&lt;=PARAMETER!$X$2,SUMIF('2026'!$F:$F,$B55,'2026'!BA:BA)/PARAMETER!$T$3,"")</f>
        <v/>
      </c>
      <c r="BC55" s="40" t="str">
        <f>IF(BC$4&lt;=PARAMETER!$X$2,SUMIF('2026'!$F:$F,$B55,'2026'!BB:BB)/PARAMETER!$T$3,"")</f>
        <v/>
      </c>
      <c r="BD55" s="40" t="str">
        <f>IF(BD$4&lt;=PARAMETER!$X$2,SUMIF('2026'!$F:$F,$B55,'2026'!BC:BC)/PARAMETER!$T$3,"")</f>
        <v/>
      </c>
      <c r="BE55" s="40" t="str">
        <f>IF(BE$4&lt;=PARAMETER!$X$2,SUMIF('2026'!$F:$F,$B55,'2026'!BD:BD)/PARAMETER!$T$3,"")</f>
        <v/>
      </c>
      <c r="BF55" s="40" t="str">
        <f>IF(BF$4&lt;=PARAMETER!$X$2,SUMIF('2026'!$F:$F,$B55,'2026'!BE:BE)/PARAMETER!$T$3,"")</f>
        <v/>
      </c>
      <c r="BG55" s="40" t="str">
        <f>IF(BG$4&lt;=PARAMETER!$X$2,SUMIF('2026'!$F:$F,$B55,'2026'!BF:BF)/PARAMETER!$T$3,"")</f>
        <v/>
      </c>
      <c r="BH55" s="40" t="str">
        <f>IF(BH$4&lt;=PARAMETER!$X$2,SUMIF('2026'!$F:$F,$B55,'2026'!BG:BG)/PARAMETER!$T$3,"")</f>
        <v/>
      </c>
      <c r="BI55" s="40" t="str">
        <f>IF(BI$4&lt;=PARAMETER!$X$2,SUMIF('2026'!$F:$F,$B55,'2026'!BH:BH)/PARAMETER!$T$3,"")</f>
        <v/>
      </c>
      <c r="BJ55" s="40" t="str">
        <f>IF(BJ$4&lt;=PARAMETER!$X$2,SUMIF('2026'!$F:$F,$B55,'2026'!BI:BI)/PARAMETER!$T$3,"")</f>
        <v/>
      </c>
    </row>
    <row r="56" spans="1:62" x14ac:dyDescent="0.25">
      <c r="A56">
        <f t="shared" si="68"/>
        <v>11</v>
      </c>
      <c r="B56" s="78" t="str">
        <f>CONCATENATE(C56,PARAMETER!T$2)</f>
        <v>VOL</v>
      </c>
      <c r="C56" s="26" t="str">
        <f t="shared" si="69"/>
        <v/>
      </c>
      <c r="D56" s="27" t="s">
        <v>128</v>
      </c>
      <c r="E56" s="35" t="str">
        <f t="shared" si="70"/>
        <v/>
      </c>
      <c r="F56" s="28">
        <f t="shared" si="67"/>
        <v>3</v>
      </c>
      <c r="G56" s="39">
        <f t="shared" si="20"/>
        <v>2025</v>
      </c>
      <c r="H56" s="40">
        <f>IF(H$4&lt;=PARAMETER!$X$2,SUMIF('2025'!$F:$F,$B56,'2025'!G:G)/PARAMETER!$T$3,"")</f>
        <v>0</v>
      </c>
      <c r="I56" s="40">
        <f>IF(I$4&lt;=PARAMETER!$X$2,SUMIF('2025'!$F:$F,$B56,'2025'!H:H)/PARAMETER!$T$3,"")</f>
        <v>0</v>
      </c>
      <c r="J56" s="40">
        <f>IF(J$4&lt;=PARAMETER!$X$2,SUMIF('2025'!$F:$F,$B56,'2025'!I:I)/PARAMETER!$T$3,"")</f>
        <v>0</v>
      </c>
      <c r="K56" s="40">
        <f>IF(K$4&lt;=PARAMETER!$X$2,SUMIF('2025'!$F:$F,$B56,'2025'!J:J)/PARAMETER!$T$3,"")</f>
        <v>0</v>
      </c>
      <c r="L56" s="40">
        <f>IF(L$4&lt;=PARAMETER!$X$2,SUMIF('2025'!$F:$F,$B56,'2025'!K:K)/PARAMETER!$T$3,"")</f>
        <v>0</v>
      </c>
      <c r="M56" s="40">
        <f>IF(M$4&lt;=PARAMETER!$X$2,SUMIF('2025'!$F:$F,$B56,'2025'!L:L)/PARAMETER!$T$3,"")</f>
        <v>0</v>
      </c>
      <c r="N56" s="40">
        <f>IF(N$4&lt;=PARAMETER!$X$2,SUMIF('2025'!$F:$F,$B56,'2025'!M:M)/PARAMETER!$T$3,"")</f>
        <v>0</v>
      </c>
      <c r="O56" s="40">
        <f>IF(O$4&lt;=PARAMETER!$X$2,SUMIF('2025'!$F:$F,$B56,'2025'!N:N)/PARAMETER!$T$3,"")</f>
        <v>0</v>
      </c>
      <c r="P56" s="40">
        <f>IF(P$4&lt;=PARAMETER!$X$2,SUMIF('2025'!$F:$F,$B56,'2025'!O:O)/PARAMETER!$T$3,"")</f>
        <v>0</v>
      </c>
      <c r="Q56" s="40">
        <f>IF(Q$4&lt;=PARAMETER!$X$2,SUMIF('2025'!$F:$F,$B56,'2025'!P:P)/PARAMETER!$T$3,"")</f>
        <v>0</v>
      </c>
      <c r="R56" s="40">
        <f>IF(R$4&lt;=PARAMETER!$X$2,SUMIF('2025'!$F:$F,$B56,'2025'!Q:Q)/PARAMETER!$T$3,"")</f>
        <v>0</v>
      </c>
      <c r="S56" s="40">
        <f>IF(S$4&lt;=PARAMETER!$X$2,SUMIF('2025'!$F:$F,$B56,'2025'!R:R)/PARAMETER!$T$3,"")</f>
        <v>0</v>
      </c>
      <c r="T56" s="40">
        <f>IF(T$4&lt;=PARAMETER!$X$2,SUMIF('2025'!$F:$F,$B56,'2025'!S:S)/PARAMETER!$T$3,"")</f>
        <v>0</v>
      </c>
      <c r="U56" s="40" t="str">
        <f>IF(U$4&lt;=PARAMETER!$X$2,SUMIF('2025'!$F:$F,$B56,'2025'!T:T)/PARAMETER!$T$3,"")</f>
        <v/>
      </c>
      <c r="V56" s="40" t="str">
        <f>IF(V$4&lt;=PARAMETER!$X$2,SUMIF('2025'!$F:$F,$B56,'2025'!U:U)/PARAMETER!$T$3,"")</f>
        <v/>
      </c>
      <c r="W56" s="40" t="str">
        <f>IF(W$4&lt;=PARAMETER!$X$2,SUMIF('2025'!$F:$F,$B56,'2025'!V:V)/PARAMETER!$T$3,"")</f>
        <v/>
      </c>
      <c r="X56" s="40" t="str">
        <f>IF(X$4&lt;=PARAMETER!$X$2,SUMIF('2025'!$F:$F,$B56,'2025'!W:W)/PARAMETER!$T$3,"")</f>
        <v/>
      </c>
      <c r="Y56" s="40" t="str">
        <f>IF(Y$4&lt;=PARAMETER!$X$2,SUMIF('2025'!$F:$F,$B56,'2025'!X:X)/PARAMETER!$T$3,"")</f>
        <v/>
      </c>
      <c r="Z56" s="40" t="str">
        <f>IF(Z$4&lt;=PARAMETER!$X$2,SUMIF('2025'!$F:$F,$B56,'2025'!Y:Y)/PARAMETER!$T$3,"")</f>
        <v/>
      </c>
      <c r="AA56" s="40" t="str">
        <f>IF(AA$4&lt;=PARAMETER!$X$2,SUMIF('2025'!$F:$F,$B56,'2025'!Z:Z)/PARAMETER!$T$3,"")</f>
        <v/>
      </c>
      <c r="AB56" s="40" t="str">
        <f>IF(AB$4&lt;=PARAMETER!$X$2,SUMIF('2025'!$F:$F,$B56,'2025'!AA:AA)/PARAMETER!$T$3,"")</f>
        <v/>
      </c>
      <c r="AC56" s="40" t="str">
        <f>IF(AC$4&lt;=PARAMETER!$X$2,SUMIF('2025'!$F:$F,$B56,'2025'!AB:AB)/PARAMETER!$T$3,"")</f>
        <v/>
      </c>
      <c r="AD56" s="40" t="str">
        <f>IF(AD$4&lt;=PARAMETER!$X$2,SUMIF('2025'!$F:$F,$B56,'2025'!AC:AC)/PARAMETER!$T$3,"")</f>
        <v/>
      </c>
      <c r="AE56" s="40" t="str">
        <f>IF(AE$4&lt;=PARAMETER!$X$2,SUMIF('2025'!$F:$F,$B56,'2025'!AD:AD)/PARAMETER!$T$3,"")</f>
        <v/>
      </c>
      <c r="AF56" s="40" t="str">
        <f>IF(AF$4&lt;=PARAMETER!$X$2,SUMIF('2025'!$F:$F,$B56,'2025'!AE:AE)/PARAMETER!$T$3,"")</f>
        <v/>
      </c>
      <c r="AG56" s="40" t="str">
        <f>IF(AG$4&lt;=PARAMETER!$X$2,SUMIF('2025'!$F:$F,$B56,'2025'!AF:AF)/PARAMETER!$T$3,"")</f>
        <v/>
      </c>
      <c r="AH56" s="40" t="str">
        <f>IF(AH$4&lt;=PARAMETER!$X$2,SUMIF('2025'!$F:$F,$B56,'2025'!AG:AG)/PARAMETER!$T$3,"")</f>
        <v/>
      </c>
      <c r="AI56" s="40" t="str">
        <f>IF(AI$4&lt;=PARAMETER!$X$2,SUMIF('2025'!$F:$F,$B56,'2025'!AH:AH)/PARAMETER!$T$3,"")</f>
        <v/>
      </c>
      <c r="AJ56" s="40" t="str">
        <f>IF(AJ$4&lt;=PARAMETER!$X$2,SUMIF('2025'!$F:$F,$B56,'2025'!AI:AI)/PARAMETER!$T$3,"")</f>
        <v/>
      </c>
      <c r="AK56" s="40" t="str">
        <f>IF(AK$4&lt;=PARAMETER!$X$2,SUMIF('2025'!$F:$F,$B56,'2025'!AJ:AJ)/PARAMETER!$T$3,"")</f>
        <v/>
      </c>
      <c r="AL56" s="40" t="str">
        <f>IF(AL$4&lt;=PARAMETER!$X$2,SUMIF('2025'!$F:$F,$B56,'2025'!AK:AK)/PARAMETER!$T$3,"")</f>
        <v/>
      </c>
      <c r="AM56" s="40" t="str">
        <f>IF(AM$4&lt;=PARAMETER!$X$2,SUMIF('2025'!$F:$F,$B56,'2025'!AL:AL)/PARAMETER!$T$3,"")</f>
        <v/>
      </c>
      <c r="AN56" s="40" t="str">
        <f>IF(AN$4&lt;=PARAMETER!$X$2,SUMIF('2025'!$F:$F,$B56,'2025'!AM:AM)/PARAMETER!$T$3,"")</f>
        <v/>
      </c>
      <c r="AO56" s="40" t="str">
        <f>IF(AO$4&lt;=PARAMETER!$X$2,SUMIF('2025'!$F:$F,$B56,'2025'!AN:AN)/PARAMETER!$T$3,"")</f>
        <v/>
      </c>
      <c r="AP56" s="40" t="str">
        <f>IF(AP$4&lt;=PARAMETER!$X$2,SUMIF('2025'!$F:$F,$B56,'2025'!AO:AO)/PARAMETER!$T$3,"")</f>
        <v/>
      </c>
      <c r="AQ56" s="40" t="str">
        <f>IF(AQ$4&lt;=PARAMETER!$X$2,SUMIF('2025'!$F:$F,$B56,'2025'!AP:AP)/PARAMETER!$T$3,"")</f>
        <v/>
      </c>
      <c r="AR56" s="40" t="str">
        <f>IF(AR$4&lt;=PARAMETER!$X$2,SUMIF('2025'!$F:$F,$B56,'2025'!AQ:AQ)/PARAMETER!$T$3,"")</f>
        <v/>
      </c>
      <c r="AS56" s="40" t="str">
        <f>IF(AS$4&lt;=PARAMETER!$X$2,SUMIF('2025'!$F:$F,$B56,'2025'!AR:AR)/PARAMETER!$T$3,"")</f>
        <v/>
      </c>
      <c r="AT56" s="40" t="str">
        <f>IF(AT$4&lt;=PARAMETER!$X$2,SUMIF('2025'!$F:$F,$B56,'2025'!AS:AS)/PARAMETER!$T$3,"")</f>
        <v/>
      </c>
      <c r="AU56" s="40" t="str">
        <f>IF(AU$4&lt;=PARAMETER!$X$2,SUMIF('2025'!$F:$F,$B56,'2025'!AT:AT)/PARAMETER!$T$3,"")</f>
        <v/>
      </c>
      <c r="AV56" s="40" t="str">
        <f>IF(AV$4&lt;=PARAMETER!$X$2,SUMIF('2025'!$F:$F,$B56,'2025'!AU:AU)/PARAMETER!$T$3,"")</f>
        <v/>
      </c>
      <c r="AW56" s="40" t="str">
        <f>IF(AW$4&lt;=PARAMETER!$X$2,SUMIF('2025'!$F:$F,$B56,'2025'!AV:AV)/PARAMETER!$T$3,"")</f>
        <v/>
      </c>
      <c r="AX56" s="40" t="str">
        <f>IF(AX$4&lt;=PARAMETER!$X$2,SUMIF('2025'!$F:$F,$B56,'2025'!AW:AW)/PARAMETER!$T$3,"")</f>
        <v/>
      </c>
      <c r="AY56" s="40" t="str">
        <f>IF(AY$4&lt;=PARAMETER!$X$2,SUMIF('2025'!$F:$F,$B56,'2025'!AX:AX)/PARAMETER!$T$3,"")</f>
        <v/>
      </c>
      <c r="AZ56" s="40" t="str">
        <f>IF(AZ$4&lt;=PARAMETER!$X$2,SUMIF('2025'!$F:$F,$B56,'2025'!AY:AY)/PARAMETER!$T$3,"")</f>
        <v/>
      </c>
      <c r="BA56" s="40" t="str">
        <f>IF(BA$4&lt;=PARAMETER!$X$2,SUMIF('2025'!$F:$F,$B56,'2025'!AZ:AZ)/PARAMETER!$T$3,"")</f>
        <v/>
      </c>
      <c r="BB56" s="40" t="str">
        <f>IF(BB$4&lt;=PARAMETER!$X$2,SUMIF('2025'!$F:$F,$B56,'2025'!BA:BA)/PARAMETER!$T$3,"")</f>
        <v/>
      </c>
      <c r="BC56" s="40" t="str">
        <f>IF(BC$4&lt;=PARAMETER!$X$2,SUMIF('2025'!$F:$F,$B56,'2025'!BB:BB)/PARAMETER!$T$3,"")</f>
        <v/>
      </c>
      <c r="BD56" s="40" t="str">
        <f>IF(BD$4&lt;=PARAMETER!$X$2,SUMIF('2025'!$F:$F,$B56,'2025'!BC:BC)/PARAMETER!$T$3,"")</f>
        <v/>
      </c>
      <c r="BE56" s="40" t="str">
        <f>IF(BE$4&lt;=PARAMETER!$X$2,SUMIF('2025'!$F:$F,$B56,'2025'!BD:BD)/PARAMETER!$T$3,"")</f>
        <v/>
      </c>
      <c r="BF56" s="40" t="str">
        <f>IF(BF$4&lt;=PARAMETER!$X$2,SUMIF('2025'!$F:$F,$B56,'2025'!BE:BE)/PARAMETER!$T$3,"")</f>
        <v/>
      </c>
      <c r="BG56" s="40" t="str">
        <f>IF(BG$4&lt;=PARAMETER!$X$2,SUMIF('2025'!$F:$F,$B56,'2025'!BF:BF)/PARAMETER!$T$3,"")</f>
        <v/>
      </c>
      <c r="BH56" s="40" t="str">
        <f>IF(BH$4&lt;=PARAMETER!$X$2,SUMIF('2025'!$F:$F,$B56,'2025'!BG:BG)/PARAMETER!$T$3,"")</f>
        <v/>
      </c>
      <c r="BI56" s="40" t="str">
        <f>IF(BI$4&lt;=PARAMETER!$X$2,SUMIF('2025'!$F:$F,$B56,'2025'!BH:BH)/PARAMETER!$T$3,"")</f>
        <v/>
      </c>
      <c r="BJ56" s="40" t="str">
        <f>IF(BJ$4&lt;=PARAMETER!$X$2,SUMIF('2025'!$F:$F,$B56,'2025'!BI:BI)/PARAMETER!$T$3,"")</f>
        <v/>
      </c>
    </row>
    <row r="57" spans="1:62" x14ac:dyDescent="0.25">
      <c r="A57">
        <f t="shared" ref="A57" si="71">A55</f>
        <v>11</v>
      </c>
      <c r="B57" s="78" t="str">
        <f>CONCATENATE(C57,PARAMETER!T$2)</f>
        <v>VOL</v>
      </c>
      <c r="C57" s="26" t="str">
        <f t="shared" si="69"/>
        <v/>
      </c>
      <c r="D57" s="67"/>
      <c r="E57" s="68"/>
      <c r="F57" s="69"/>
      <c r="G57" s="70">
        <f t="shared" si="20"/>
        <v>2024</v>
      </c>
      <c r="H57" s="71">
        <f>IF(H$4&lt;=PARAMETER!$X$2,SUMIF('2024'!$F:$F,$B57,'2024'!G:G)/PARAMETER!$T$3,"")</f>
        <v>0</v>
      </c>
      <c r="I57" s="71">
        <f>IF(I$4&lt;=PARAMETER!$X$2,SUMIF('2024'!$F:$F,$B57,'2024'!H:H)/PARAMETER!$T$3,"")</f>
        <v>0</v>
      </c>
      <c r="J57" s="71">
        <f>IF(J$4&lt;=PARAMETER!$X$2,SUMIF('2024'!$F:$F,$B57,'2024'!I:I)/PARAMETER!$T$3,"")</f>
        <v>0</v>
      </c>
      <c r="K57" s="71">
        <f>IF(K$4&lt;=PARAMETER!$X$2,SUMIF('2024'!$F:$F,$B57,'2024'!J:J)/PARAMETER!$T$3,"")</f>
        <v>0</v>
      </c>
      <c r="L57" s="71">
        <f>IF(L$4&lt;=PARAMETER!$X$2,SUMIF('2024'!$F:$F,$B57,'2024'!K:K)/PARAMETER!$T$3,"")</f>
        <v>0</v>
      </c>
      <c r="M57" s="71">
        <f>IF(M$4&lt;=PARAMETER!$X$2,SUMIF('2024'!$F:$F,$B57,'2024'!L:L)/PARAMETER!$T$3,"")</f>
        <v>0</v>
      </c>
      <c r="N57" s="71">
        <f>IF(N$4&lt;=PARAMETER!$X$2,SUMIF('2024'!$F:$F,$B57,'2024'!M:M)/PARAMETER!$T$3,"")</f>
        <v>0</v>
      </c>
      <c r="O57" s="71">
        <f>IF(O$4&lt;=PARAMETER!$X$2,SUMIF('2024'!$F:$F,$B57,'2024'!N:N)/PARAMETER!$T$3,"")</f>
        <v>0</v>
      </c>
      <c r="P57" s="71">
        <f>IF(P$4&lt;=PARAMETER!$X$2,SUMIF('2024'!$F:$F,$B57,'2024'!O:O)/PARAMETER!$T$3,"")</f>
        <v>0</v>
      </c>
      <c r="Q57" s="71">
        <f>IF(Q$4&lt;=PARAMETER!$X$2,SUMIF('2024'!$F:$F,$B57,'2024'!P:P)/PARAMETER!$T$3,"")</f>
        <v>0</v>
      </c>
      <c r="R57" s="71">
        <f>IF(R$4&lt;=PARAMETER!$X$2,SUMIF('2024'!$F:$F,$B57,'2024'!Q:Q)/PARAMETER!$T$3,"")</f>
        <v>0</v>
      </c>
      <c r="S57" s="71">
        <f>IF(S$4&lt;=PARAMETER!$X$2,SUMIF('2024'!$F:$F,$B57,'2024'!R:R)/PARAMETER!$T$3,"")</f>
        <v>0</v>
      </c>
      <c r="T57" s="71">
        <f>IF(T$4&lt;=PARAMETER!$X$2,SUMIF('2024'!$F:$F,$B57,'2024'!S:S)/PARAMETER!$T$3,"")</f>
        <v>0</v>
      </c>
      <c r="U57" s="71" t="str">
        <f>IF(U$4&lt;=PARAMETER!$X$2,SUMIF('2024'!$F:$F,$B57,'2024'!T:T)/PARAMETER!$T$3,"")</f>
        <v/>
      </c>
      <c r="V57" s="71" t="str">
        <f>IF(V$4&lt;=PARAMETER!$X$2,SUMIF('2024'!$F:$F,$B57,'2024'!U:U)/PARAMETER!$T$3,"")</f>
        <v/>
      </c>
      <c r="W57" s="71" t="str">
        <f>IF(W$4&lt;=PARAMETER!$X$2,SUMIF('2024'!$F:$F,$B57,'2024'!V:V)/PARAMETER!$T$3,"")</f>
        <v/>
      </c>
      <c r="X57" s="71" t="str">
        <f>IF(X$4&lt;=PARAMETER!$X$2,SUMIF('2024'!$F:$F,$B57,'2024'!W:W)/PARAMETER!$T$3,"")</f>
        <v/>
      </c>
      <c r="Y57" s="71" t="str">
        <f>IF(Y$4&lt;=PARAMETER!$X$2,SUMIF('2024'!$F:$F,$B57,'2024'!X:X)/PARAMETER!$T$3,"")</f>
        <v/>
      </c>
      <c r="Z57" s="71" t="str">
        <f>IF(Z$4&lt;=PARAMETER!$X$2,SUMIF('2024'!$F:$F,$B57,'2024'!Y:Y)/PARAMETER!$T$3,"")</f>
        <v/>
      </c>
      <c r="AA57" s="71" t="str">
        <f>IF(AA$4&lt;=PARAMETER!$X$2,SUMIF('2024'!$F:$F,$B57,'2024'!Z:Z)/PARAMETER!$T$3,"")</f>
        <v/>
      </c>
      <c r="AB57" s="71" t="str">
        <f>IF(AB$4&lt;=PARAMETER!$X$2,SUMIF('2024'!$F:$F,$B57,'2024'!AA:AA)/PARAMETER!$T$3,"")</f>
        <v/>
      </c>
      <c r="AC57" s="71" t="str">
        <f>IF(AC$4&lt;=PARAMETER!$X$2,SUMIF('2024'!$F:$F,$B57,'2024'!AB:AB)/PARAMETER!$T$3,"")</f>
        <v/>
      </c>
      <c r="AD57" s="71" t="str">
        <f>IF(AD$4&lt;=PARAMETER!$X$2,SUMIF('2024'!$F:$F,$B57,'2024'!AC:AC)/PARAMETER!$T$3,"")</f>
        <v/>
      </c>
      <c r="AE57" s="71" t="str">
        <f>IF(AE$4&lt;=PARAMETER!$X$2,SUMIF('2024'!$F:$F,$B57,'2024'!AD:AD)/PARAMETER!$T$3,"")</f>
        <v/>
      </c>
      <c r="AF57" s="71" t="str">
        <f>IF(AF$4&lt;=PARAMETER!$X$2,SUMIF('2024'!$F:$F,$B57,'2024'!AE:AE)/PARAMETER!$T$3,"")</f>
        <v/>
      </c>
      <c r="AG57" s="71" t="str">
        <f>IF(AG$4&lt;=PARAMETER!$X$2,SUMIF('2024'!$F:$F,$B57,'2024'!AF:AF)/PARAMETER!$T$3,"")</f>
        <v/>
      </c>
      <c r="AH57" s="71" t="str">
        <f>IF(AH$4&lt;=PARAMETER!$X$2,SUMIF('2024'!$F:$F,$B57,'2024'!AG:AG)/PARAMETER!$T$3,"")</f>
        <v/>
      </c>
      <c r="AI57" s="71" t="str">
        <f>IF(AI$4&lt;=PARAMETER!$X$2,SUMIF('2024'!$F:$F,$B57,'2024'!AH:AH)/PARAMETER!$T$3,"")</f>
        <v/>
      </c>
      <c r="AJ57" s="71" t="str">
        <f>IF(AJ$4&lt;=PARAMETER!$X$2,SUMIF('2024'!$F:$F,$B57,'2024'!AI:AI)/PARAMETER!$T$3,"")</f>
        <v/>
      </c>
      <c r="AK57" s="71" t="str">
        <f>IF(AK$4&lt;=PARAMETER!$X$2,SUMIF('2024'!$F:$F,$B57,'2024'!AJ:AJ)/PARAMETER!$T$3,"")</f>
        <v/>
      </c>
      <c r="AL57" s="71" t="str">
        <f>IF(AL$4&lt;=PARAMETER!$X$2,SUMIF('2024'!$F:$F,$B57,'2024'!AK:AK)/PARAMETER!$T$3,"")</f>
        <v/>
      </c>
      <c r="AM57" s="71" t="str">
        <f>IF(AM$4&lt;=PARAMETER!$X$2,SUMIF('2024'!$F:$F,$B57,'2024'!AL:AL)/PARAMETER!$T$3,"")</f>
        <v/>
      </c>
      <c r="AN57" s="71" t="str">
        <f>IF(AN$4&lt;=PARAMETER!$X$2,SUMIF('2024'!$F:$F,$B57,'2024'!AM:AM)/PARAMETER!$T$3,"")</f>
        <v/>
      </c>
      <c r="AO57" s="71" t="str">
        <f>IF(AO$4&lt;=PARAMETER!$X$2,SUMIF('2024'!$F:$F,$B57,'2024'!AN:AN)/PARAMETER!$T$3,"")</f>
        <v/>
      </c>
      <c r="AP57" s="71" t="str">
        <f>IF(AP$4&lt;=PARAMETER!$X$2,SUMIF('2024'!$F:$F,$B57,'2024'!AO:AO)/PARAMETER!$T$3,"")</f>
        <v/>
      </c>
      <c r="AQ57" s="71" t="str">
        <f>IF(AQ$4&lt;=PARAMETER!$X$2,SUMIF('2024'!$F:$F,$B57,'2024'!AP:AP)/PARAMETER!$T$3,"")</f>
        <v/>
      </c>
      <c r="AR57" s="71" t="str">
        <f>IF(AR$4&lt;=PARAMETER!$X$2,SUMIF('2024'!$F:$F,$B57,'2024'!AQ:AQ)/PARAMETER!$T$3,"")</f>
        <v/>
      </c>
      <c r="AS57" s="71" t="str">
        <f>IF(AS$4&lt;=PARAMETER!$X$2,SUMIF('2024'!$F:$F,$B57,'2024'!AR:AR)/PARAMETER!$T$3,"")</f>
        <v/>
      </c>
      <c r="AT57" s="71" t="str">
        <f>IF(AT$4&lt;=PARAMETER!$X$2,SUMIF('2024'!$F:$F,$B57,'2024'!AS:AS)/PARAMETER!$T$3,"")</f>
        <v/>
      </c>
      <c r="AU57" s="71" t="str">
        <f>IF(AU$4&lt;=PARAMETER!$X$2,SUMIF('2024'!$F:$F,$B57,'2024'!AT:AT)/PARAMETER!$T$3,"")</f>
        <v/>
      </c>
      <c r="AV57" s="71" t="str">
        <f>IF(AV$4&lt;=PARAMETER!$X$2,SUMIF('2024'!$F:$F,$B57,'2024'!AU:AU)/PARAMETER!$T$3,"")</f>
        <v/>
      </c>
      <c r="AW57" s="71" t="str">
        <f>IF(AW$4&lt;=PARAMETER!$X$2,SUMIF('2024'!$F:$F,$B57,'2024'!AV:AV)/PARAMETER!$T$3,"")</f>
        <v/>
      </c>
      <c r="AX57" s="71" t="str">
        <f>IF(AX$4&lt;=PARAMETER!$X$2,SUMIF('2024'!$F:$F,$B57,'2024'!AW:AW)/PARAMETER!$T$3,"")</f>
        <v/>
      </c>
      <c r="AY57" s="71" t="str">
        <f>IF(AY$4&lt;=PARAMETER!$X$2,SUMIF('2024'!$F:$F,$B57,'2024'!AX:AX)/PARAMETER!$T$3,"")</f>
        <v/>
      </c>
      <c r="AZ57" s="71" t="str">
        <f>IF(AZ$4&lt;=PARAMETER!$X$2,SUMIF('2024'!$F:$F,$B57,'2024'!AY:AY)/PARAMETER!$T$3,"")</f>
        <v/>
      </c>
      <c r="BA57" s="71" t="str">
        <f>IF(BA$4&lt;=PARAMETER!$X$2,SUMIF('2024'!$F:$F,$B57,'2024'!AZ:AZ)/PARAMETER!$T$3,"")</f>
        <v/>
      </c>
      <c r="BB57" s="71" t="str">
        <f>IF(BB$4&lt;=PARAMETER!$X$2,SUMIF('2024'!$F:$F,$B57,'2024'!BA:BA)/PARAMETER!$T$3,"")</f>
        <v/>
      </c>
      <c r="BC57" s="71" t="str">
        <f>IF(BC$4&lt;=PARAMETER!$X$2,SUMIF('2024'!$F:$F,$B57,'2024'!BB:BB)/PARAMETER!$T$3,"")</f>
        <v/>
      </c>
      <c r="BD57" s="71" t="str">
        <f>IF(BD$4&lt;=PARAMETER!$X$2,SUMIF('2024'!$F:$F,$B57,'2024'!BC:BC)/PARAMETER!$T$3,"")</f>
        <v/>
      </c>
      <c r="BE57" s="71" t="str">
        <f>IF(BE$4&lt;=PARAMETER!$X$2,SUMIF('2024'!$F:$F,$B57,'2024'!BD:BD)/PARAMETER!$T$3,"")</f>
        <v/>
      </c>
      <c r="BF57" s="71" t="str">
        <f>IF(BF$4&lt;=PARAMETER!$X$2,SUMIF('2024'!$F:$F,$B57,'2024'!BE:BE)/PARAMETER!$T$3,"")</f>
        <v/>
      </c>
      <c r="BG57" s="71" t="str">
        <f>IF(BG$4&lt;=PARAMETER!$X$2,SUMIF('2024'!$F:$F,$B57,'2024'!BF:BF)/PARAMETER!$T$3,"")</f>
        <v/>
      </c>
      <c r="BH57" s="71" t="str">
        <f>IF(BH$4&lt;=PARAMETER!$X$2,SUMIF('2024'!$F:$F,$B57,'2024'!BG:BG)/PARAMETER!$T$3,"")</f>
        <v/>
      </c>
      <c r="BI57" s="71" t="str">
        <f>IF(BI$4&lt;=PARAMETER!$X$2,SUMIF('2024'!$F:$F,$B57,'2024'!BH:BH)/PARAMETER!$T$3,"")</f>
        <v/>
      </c>
      <c r="BJ57" s="71" t="str">
        <f>IF(BJ$4&lt;=PARAMETER!$X$2,SUMIF('2024'!$F:$F,$B57,'2024'!BI:BI)/PARAMETER!$T$3,"")</f>
        <v/>
      </c>
    </row>
    <row r="58" spans="1:62" x14ac:dyDescent="0.25">
      <c r="A58">
        <v>12</v>
      </c>
      <c r="B58" s="78" t="str">
        <f>CONCATENATE(C58,PARAMETER!T$2)</f>
        <v>VOL</v>
      </c>
      <c r="C58" s="21" t="str">
        <f>IFERROR(VLOOKUP(A58,PARAMETER!K$2:M66,3,0),"")</f>
        <v/>
      </c>
      <c r="D58" s="22" t="s">
        <v>127</v>
      </c>
      <c r="E58" s="37" t="str">
        <f t="shared" ref="E58" si="72">IFERROR(I59/I58,"")</f>
        <v/>
      </c>
      <c r="F58" s="23">
        <f t="shared" ref="F58:F60" si="73">IFERROR(IF(E58&gt;300%,300%,E58),"")</f>
        <v>3</v>
      </c>
      <c r="G58" s="24" t="str">
        <f t="shared" si="20"/>
        <v>Target</v>
      </c>
      <c r="H58" s="25">
        <f>IF(H$4&lt;=PARAMETER!$X$2,SUMIF('2026 T'!$F:$F,$B58,'2026 T'!G:G)/PARAMETER!$T$3,"")</f>
        <v>0</v>
      </c>
      <c r="I58" s="25">
        <f>IF(I$4&lt;=PARAMETER!$X$2,SUMIF('2026 T'!$F:$F,$B58,'2026 T'!H:H)/PARAMETER!$T$3,"")</f>
        <v>0</v>
      </c>
      <c r="J58" s="25">
        <f>IF(J$4&lt;=PARAMETER!$X$2,SUMIF('2026 T'!$F:$F,$B58,'2026 T'!I:I)/PARAMETER!$T$3,"")</f>
        <v>0</v>
      </c>
      <c r="K58" s="25">
        <f>IF(K$4&lt;=PARAMETER!$X$2,SUMIF('2026 T'!$F:$F,$B58,'2026 T'!J:J)/PARAMETER!$T$3,"")</f>
        <v>0</v>
      </c>
      <c r="L58" s="25">
        <f>IF(L$4&lt;=PARAMETER!$X$2,SUMIF('2026 T'!$F:$F,$B58,'2026 T'!K:K)/PARAMETER!$T$3,"")</f>
        <v>0</v>
      </c>
      <c r="M58" s="25">
        <f>IF(M$4&lt;=PARAMETER!$X$2,SUMIF('2026 T'!$F:$F,$B58,'2026 T'!L:L)/PARAMETER!$T$3,"")</f>
        <v>0</v>
      </c>
      <c r="N58" s="25">
        <f>IF(N$4&lt;=PARAMETER!$X$2,SUMIF('2026 T'!$F:$F,$B58,'2026 T'!M:M)/PARAMETER!$T$3,"")</f>
        <v>0</v>
      </c>
      <c r="O58" s="25">
        <f>IF(O$4&lt;=PARAMETER!$X$2,SUMIF('2026 T'!$F:$F,$B58,'2026 T'!N:N)/PARAMETER!$T$3,"")</f>
        <v>0</v>
      </c>
      <c r="P58" s="25">
        <f>IF(P$4&lt;=PARAMETER!$X$2,SUMIF('2026 T'!$F:$F,$B58,'2026 T'!O:O)/PARAMETER!$T$3,"")</f>
        <v>0</v>
      </c>
      <c r="Q58" s="25">
        <f>IF(Q$4&lt;=PARAMETER!$X$2,SUMIF('2026 T'!$F:$F,$B58,'2026 T'!P:P)/PARAMETER!$T$3,"")</f>
        <v>0</v>
      </c>
      <c r="R58" s="25">
        <f>IF(R$4&lt;=PARAMETER!$X$2,SUMIF('2026 T'!$F:$F,$B58,'2026 T'!Q:Q)/PARAMETER!$T$3,"")</f>
        <v>0</v>
      </c>
      <c r="S58" s="25">
        <f>IF(S$4&lt;=PARAMETER!$X$2,SUMIF('2026 T'!$F:$F,$B58,'2026 T'!R:R)/PARAMETER!$T$3,"")</f>
        <v>0</v>
      </c>
      <c r="T58" s="25">
        <f>IF(T$4&lt;=PARAMETER!$X$2,SUMIF('2026 T'!$F:$F,$B58,'2026 T'!S:S)/PARAMETER!$T$3,"")</f>
        <v>0</v>
      </c>
      <c r="U58" s="25" t="str">
        <f>IF(U$4&lt;=PARAMETER!$X$2,SUMIF('2026 T'!$F:$F,$B58,'2026 T'!T:T)/PARAMETER!$T$3,"")</f>
        <v/>
      </c>
      <c r="V58" s="25" t="str">
        <f>IF(V$4&lt;=PARAMETER!$X$2,SUMIF('2026 T'!$F:$F,$B58,'2026 T'!U:U)/PARAMETER!$T$3,"")</f>
        <v/>
      </c>
      <c r="W58" s="25" t="str">
        <f>IF(W$4&lt;=PARAMETER!$X$2,SUMIF('2026 T'!$F:$F,$B58,'2026 T'!V:V)/PARAMETER!$T$3,"")</f>
        <v/>
      </c>
      <c r="X58" s="25" t="str">
        <f>IF(X$4&lt;=PARAMETER!$X$2,SUMIF('2026 T'!$F:$F,$B58,'2026 T'!W:W)/PARAMETER!$T$3,"")</f>
        <v/>
      </c>
      <c r="Y58" s="25" t="str">
        <f>IF(Y$4&lt;=PARAMETER!$X$2,SUMIF('2026 T'!$F:$F,$B58,'2026 T'!X:X)/PARAMETER!$T$3,"")</f>
        <v/>
      </c>
      <c r="Z58" s="25" t="str">
        <f>IF(Z$4&lt;=PARAMETER!$X$2,SUMIF('2026 T'!$F:$F,$B58,'2026 T'!Y:Y)/PARAMETER!$T$3,"")</f>
        <v/>
      </c>
      <c r="AA58" s="25" t="str">
        <f>IF(AA$4&lt;=PARAMETER!$X$2,SUMIF('2026 T'!$F:$F,$B58,'2026 T'!Z:Z)/PARAMETER!$T$3,"")</f>
        <v/>
      </c>
      <c r="AB58" s="25" t="str">
        <f>IF(AB$4&lt;=PARAMETER!$X$2,SUMIF('2026 T'!$F:$F,$B58,'2026 T'!AA:AA)/PARAMETER!$T$3,"")</f>
        <v/>
      </c>
      <c r="AC58" s="25" t="str">
        <f>IF(AC$4&lt;=PARAMETER!$X$2,SUMIF('2026 T'!$F:$F,$B58,'2026 T'!AB:AB)/PARAMETER!$T$3,"")</f>
        <v/>
      </c>
      <c r="AD58" s="25" t="str">
        <f>IF(AD$4&lt;=PARAMETER!$X$2,SUMIF('2026 T'!$F:$F,$B58,'2026 T'!AC:AC)/PARAMETER!$T$3,"")</f>
        <v/>
      </c>
      <c r="AE58" s="25" t="str">
        <f>IF(AE$4&lt;=PARAMETER!$X$2,SUMIF('2026 T'!$F:$F,$B58,'2026 T'!AD:AD)/PARAMETER!$T$3,"")</f>
        <v/>
      </c>
      <c r="AF58" s="25" t="str">
        <f>IF(AF$4&lt;=PARAMETER!$X$2,SUMIF('2026 T'!$F:$F,$B58,'2026 T'!AE:AE)/PARAMETER!$T$3,"")</f>
        <v/>
      </c>
      <c r="AG58" s="25" t="str">
        <f>IF(AG$4&lt;=PARAMETER!$X$2,SUMIF('2026 T'!$F:$F,$B58,'2026 T'!AF:AF)/PARAMETER!$T$3,"")</f>
        <v/>
      </c>
      <c r="AH58" s="25" t="str">
        <f>IF(AH$4&lt;=PARAMETER!$X$2,SUMIF('2026 T'!$F:$F,$B58,'2026 T'!AG:AG)/PARAMETER!$T$3,"")</f>
        <v/>
      </c>
      <c r="AI58" s="25" t="str">
        <f>IF(AI$4&lt;=PARAMETER!$X$2,SUMIF('2026 T'!$F:$F,$B58,'2026 T'!AH:AH)/PARAMETER!$T$3,"")</f>
        <v/>
      </c>
      <c r="AJ58" s="25" t="str">
        <f>IF(AJ$4&lt;=PARAMETER!$X$2,SUMIF('2026 T'!$F:$F,$B58,'2026 T'!AI:AI)/PARAMETER!$T$3,"")</f>
        <v/>
      </c>
      <c r="AK58" s="25" t="str">
        <f>IF(AK$4&lt;=PARAMETER!$X$2,SUMIF('2026 T'!$F:$F,$B58,'2026 T'!AJ:AJ)/PARAMETER!$T$3,"")</f>
        <v/>
      </c>
      <c r="AL58" s="25" t="str">
        <f>IF(AL$4&lt;=PARAMETER!$X$2,SUMIF('2026 T'!$F:$F,$B58,'2026 T'!AK:AK)/PARAMETER!$T$3,"")</f>
        <v/>
      </c>
      <c r="AM58" s="25" t="str">
        <f>IF(AM$4&lt;=PARAMETER!$X$2,SUMIF('2026 T'!$F:$F,$B58,'2026 T'!AL:AL)/PARAMETER!$T$3,"")</f>
        <v/>
      </c>
      <c r="AN58" s="25" t="str">
        <f>IF(AN$4&lt;=PARAMETER!$X$2,SUMIF('2026 T'!$F:$F,$B58,'2026 T'!AM:AM)/PARAMETER!$T$3,"")</f>
        <v/>
      </c>
      <c r="AO58" s="25" t="str">
        <f>IF(AO$4&lt;=PARAMETER!$X$2,SUMIF('2026 T'!$F:$F,$B58,'2026 T'!AN:AN)/PARAMETER!$T$3,"")</f>
        <v/>
      </c>
      <c r="AP58" s="25" t="str">
        <f>IF(AP$4&lt;=PARAMETER!$X$2,SUMIF('2026 T'!$F:$F,$B58,'2026 T'!AO:AO)/PARAMETER!$T$3,"")</f>
        <v/>
      </c>
      <c r="AQ58" s="25" t="str">
        <f>IF(AQ$4&lt;=PARAMETER!$X$2,SUMIF('2026 T'!$F:$F,$B58,'2026 T'!AP:AP)/PARAMETER!$T$3,"")</f>
        <v/>
      </c>
      <c r="AR58" s="25" t="str">
        <f>IF(AR$4&lt;=PARAMETER!$X$2,SUMIF('2026 T'!$F:$F,$B58,'2026 T'!AQ:AQ)/PARAMETER!$T$3,"")</f>
        <v/>
      </c>
      <c r="AS58" s="25" t="str">
        <f>IF(AS$4&lt;=PARAMETER!$X$2,SUMIF('2026 T'!$F:$F,$B58,'2026 T'!AR:AR)/PARAMETER!$T$3,"")</f>
        <v/>
      </c>
      <c r="AT58" s="25" t="str">
        <f>IF(AT$4&lt;=PARAMETER!$X$2,SUMIF('2026 T'!$F:$F,$B58,'2026 T'!AS:AS)/PARAMETER!$T$3,"")</f>
        <v/>
      </c>
      <c r="AU58" s="25" t="str">
        <f>IF(AU$4&lt;=PARAMETER!$X$2,SUMIF('2026 T'!$F:$F,$B58,'2026 T'!AT:AT)/PARAMETER!$T$3,"")</f>
        <v/>
      </c>
      <c r="AV58" s="25" t="str">
        <f>IF(AV$4&lt;=PARAMETER!$X$2,SUMIF('2026 T'!$F:$F,$B58,'2026 T'!AU:AU)/PARAMETER!$T$3,"")</f>
        <v/>
      </c>
      <c r="AW58" s="25" t="str">
        <f>IF(AW$4&lt;=PARAMETER!$X$2,SUMIF('2026 T'!$F:$F,$B58,'2026 T'!AV:AV)/PARAMETER!$T$3,"")</f>
        <v/>
      </c>
      <c r="AX58" s="25" t="str">
        <f>IF(AX$4&lt;=PARAMETER!$X$2,SUMIF('2026 T'!$F:$F,$B58,'2026 T'!AW:AW)/PARAMETER!$T$3,"")</f>
        <v/>
      </c>
      <c r="AY58" s="25" t="str">
        <f>IF(AY$4&lt;=PARAMETER!$X$2,SUMIF('2026 T'!$F:$F,$B58,'2026 T'!AX:AX)/PARAMETER!$T$3,"")</f>
        <v/>
      </c>
      <c r="AZ58" s="25" t="str">
        <f>IF(AZ$4&lt;=PARAMETER!$X$2,SUMIF('2026 T'!$F:$F,$B58,'2026 T'!AY:AY)/PARAMETER!$T$3,"")</f>
        <v/>
      </c>
      <c r="BA58" s="25" t="str">
        <f>IF(BA$4&lt;=PARAMETER!$X$2,SUMIF('2026 T'!$F:$F,$B58,'2026 T'!AZ:AZ)/PARAMETER!$T$3,"")</f>
        <v/>
      </c>
      <c r="BB58" s="25" t="str">
        <f>IF(BB$4&lt;=PARAMETER!$X$2,SUMIF('2026 T'!$F:$F,$B58,'2026 T'!BA:BA)/PARAMETER!$T$3,"")</f>
        <v/>
      </c>
      <c r="BC58" s="25" t="str">
        <f>IF(BC$4&lt;=PARAMETER!$X$2,SUMIF('2026 T'!$F:$F,$B58,'2026 T'!BB:BB)/PARAMETER!$T$3,"")</f>
        <v/>
      </c>
      <c r="BD58" s="25" t="str">
        <f>IF(BD$4&lt;=PARAMETER!$X$2,SUMIF('2026 T'!$F:$F,$B58,'2026 T'!BC:BC)/PARAMETER!$T$3,"")</f>
        <v/>
      </c>
      <c r="BE58" s="25" t="str">
        <f>IF(BE$4&lt;=PARAMETER!$X$2,SUMIF('2026 T'!$F:$F,$B58,'2026 T'!BD:BD)/PARAMETER!$T$3,"")</f>
        <v/>
      </c>
      <c r="BF58" s="25" t="str">
        <f>IF(BF$4&lt;=PARAMETER!$X$2,SUMIF('2026 T'!$F:$F,$B58,'2026 T'!BE:BE)/PARAMETER!$T$3,"")</f>
        <v/>
      </c>
      <c r="BG58" s="25" t="str">
        <f>IF(BG$4&lt;=PARAMETER!$X$2,SUMIF('2026 T'!$F:$F,$B58,'2026 T'!BF:BF)/PARAMETER!$T$3,"")</f>
        <v/>
      </c>
      <c r="BH58" s="25" t="str">
        <f>IF(BH$4&lt;=PARAMETER!$X$2,SUMIF('2026 T'!$F:$F,$B58,'2026 T'!BG:BG)/PARAMETER!$T$3,"")</f>
        <v/>
      </c>
      <c r="BI58" s="25" t="str">
        <f>IF(BI$4&lt;=PARAMETER!$X$2,SUMIF('2026 T'!$F:$F,$B58,'2026 T'!BH:BH)/PARAMETER!$T$3,"")</f>
        <v/>
      </c>
      <c r="BJ58" s="25" t="str">
        <f>IF(BJ$4&lt;=PARAMETER!$X$2,SUMIF('2026 T'!$F:$F,$B58,'2026 T'!BI:BI)/PARAMETER!$T$3,"")</f>
        <v/>
      </c>
    </row>
    <row r="59" spans="1:62" x14ac:dyDescent="0.25">
      <c r="A59">
        <f t="shared" ref="A59:A60" si="74">A58</f>
        <v>12</v>
      </c>
      <c r="B59" s="78" t="str">
        <f>CONCATENATE(C59,PARAMETER!T$2)</f>
        <v>VOL</v>
      </c>
      <c r="C59" s="26" t="str">
        <f t="shared" ref="C59:C61" si="75">C58</f>
        <v/>
      </c>
      <c r="D59" s="27" t="s">
        <v>128</v>
      </c>
      <c r="E59" s="35" t="str">
        <f t="shared" ref="E59:E60" si="76">IFERROR(I59/I60-1,"")</f>
        <v/>
      </c>
      <c r="F59" s="28">
        <f t="shared" si="73"/>
        <v>3</v>
      </c>
      <c r="G59" s="39">
        <f t="shared" si="20"/>
        <v>2026</v>
      </c>
      <c r="H59" s="40">
        <f>IF(H$4&lt;=PARAMETER!$X$2,SUMIF('2026'!$F:$F,$B59,'2026'!G:G)/PARAMETER!$T$3,"")</f>
        <v>0</v>
      </c>
      <c r="I59" s="40">
        <f>IF(I$4&lt;=PARAMETER!$X$2,SUMIF('2026'!$F:$F,$B59,'2026'!H:H)/PARAMETER!$T$3,"")</f>
        <v>0</v>
      </c>
      <c r="J59" s="40">
        <f>IF(J$4&lt;=PARAMETER!$X$2,SUMIF('2026'!$F:$F,$B59,'2026'!I:I)/PARAMETER!$T$3,"")</f>
        <v>0</v>
      </c>
      <c r="K59" s="40">
        <f>IF(K$4&lt;=PARAMETER!$X$2,SUMIF('2026'!$F:$F,$B59,'2026'!J:J)/PARAMETER!$T$3,"")</f>
        <v>0</v>
      </c>
      <c r="L59" s="40">
        <f>IF(L$4&lt;=PARAMETER!$X$2,SUMIF('2026'!$F:$F,$B59,'2026'!K:K)/PARAMETER!$T$3,"")</f>
        <v>0</v>
      </c>
      <c r="M59" s="40">
        <f>IF(M$4&lt;=PARAMETER!$X$2,SUMIF('2026'!$F:$F,$B59,'2026'!L:L)/PARAMETER!$T$3,"")</f>
        <v>0</v>
      </c>
      <c r="N59" s="40">
        <f>IF(N$4&lt;=PARAMETER!$X$2,SUMIF('2026'!$F:$F,$B59,'2026'!M:M)/PARAMETER!$T$3,"")</f>
        <v>0</v>
      </c>
      <c r="O59" s="40">
        <f>IF(O$4&lt;=PARAMETER!$X$2,SUMIF('2026'!$F:$F,$B59,'2026'!N:N)/PARAMETER!$T$3,"")</f>
        <v>0</v>
      </c>
      <c r="P59" s="40">
        <f>IF(P$4&lt;=PARAMETER!$X$2,SUMIF('2026'!$F:$F,$B59,'2026'!O:O)/PARAMETER!$T$3,"")</f>
        <v>0</v>
      </c>
      <c r="Q59" s="40">
        <f>IF(Q$4&lt;=PARAMETER!$X$2,SUMIF('2026'!$F:$F,$B59,'2026'!P:P)/PARAMETER!$T$3,"")</f>
        <v>0</v>
      </c>
      <c r="R59" s="40">
        <f>IF(R$4&lt;=PARAMETER!$X$2,SUMIF('2026'!$F:$F,$B59,'2026'!Q:Q)/PARAMETER!$T$3,"")</f>
        <v>0</v>
      </c>
      <c r="S59" s="40">
        <f>IF(S$4&lt;=PARAMETER!$X$2,SUMIF('2026'!$F:$F,$B59,'2026'!R:R)/PARAMETER!$T$3,"")</f>
        <v>0</v>
      </c>
      <c r="T59" s="40">
        <f>IF(T$4&lt;=PARAMETER!$X$2,SUMIF('2026'!$F:$F,$B59,'2026'!S:S)/PARAMETER!$T$3,"")</f>
        <v>0</v>
      </c>
      <c r="U59" s="40" t="str">
        <f>IF(U$4&lt;=PARAMETER!$X$2,SUMIF('2026'!$F:$F,$B59,'2026'!T:T)/PARAMETER!$T$3,"")</f>
        <v/>
      </c>
      <c r="V59" s="40" t="str">
        <f>IF(V$4&lt;=PARAMETER!$X$2,SUMIF('2026'!$F:$F,$B59,'2026'!U:U)/PARAMETER!$T$3,"")</f>
        <v/>
      </c>
      <c r="W59" s="40" t="str">
        <f>IF(W$4&lt;=PARAMETER!$X$2,SUMIF('2026'!$F:$F,$B59,'2026'!V:V)/PARAMETER!$T$3,"")</f>
        <v/>
      </c>
      <c r="X59" s="40" t="str">
        <f>IF(X$4&lt;=PARAMETER!$X$2,SUMIF('2026'!$F:$F,$B59,'2026'!W:W)/PARAMETER!$T$3,"")</f>
        <v/>
      </c>
      <c r="Y59" s="40" t="str">
        <f>IF(Y$4&lt;=PARAMETER!$X$2,SUMIF('2026'!$F:$F,$B59,'2026'!X:X)/PARAMETER!$T$3,"")</f>
        <v/>
      </c>
      <c r="Z59" s="40" t="str">
        <f>IF(Z$4&lt;=PARAMETER!$X$2,SUMIF('2026'!$F:$F,$B59,'2026'!Y:Y)/PARAMETER!$T$3,"")</f>
        <v/>
      </c>
      <c r="AA59" s="40" t="str">
        <f>IF(AA$4&lt;=PARAMETER!$X$2,SUMIF('2026'!$F:$F,$B59,'2026'!Z:Z)/PARAMETER!$T$3,"")</f>
        <v/>
      </c>
      <c r="AB59" s="40" t="str">
        <f>IF(AB$4&lt;=PARAMETER!$X$2,SUMIF('2026'!$F:$F,$B59,'2026'!AA:AA)/PARAMETER!$T$3,"")</f>
        <v/>
      </c>
      <c r="AC59" s="40" t="str">
        <f>IF(AC$4&lt;=PARAMETER!$X$2,SUMIF('2026'!$F:$F,$B59,'2026'!AB:AB)/PARAMETER!$T$3,"")</f>
        <v/>
      </c>
      <c r="AD59" s="40" t="str">
        <f>IF(AD$4&lt;=PARAMETER!$X$2,SUMIF('2026'!$F:$F,$B59,'2026'!AC:AC)/PARAMETER!$T$3,"")</f>
        <v/>
      </c>
      <c r="AE59" s="40" t="str">
        <f>IF(AE$4&lt;=PARAMETER!$X$2,SUMIF('2026'!$F:$F,$B59,'2026'!AD:AD)/PARAMETER!$T$3,"")</f>
        <v/>
      </c>
      <c r="AF59" s="40" t="str">
        <f>IF(AF$4&lt;=PARAMETER!$X$2,SUMIF('2026'!$F:$F,$B59,'2026'!AE:AE)/PARAMETER!$T$3,"")</f>
        <v/>
      </c>
      <c r="AG59" s="40" t="str">
        <f>IF(AG$4&lt;=PARAMETER!$X$2,SUMIF('2026'!$F:$F,$B59,'2026'!AF:AF)/PARAMETER!$T$3,"")</f>
        <v/>
      </c>
      <c r="AH59" s="40" t="str">
        <f>IF(AH$4&lt;=PARAMETER!$X$2,SUMIF('2026'!$F:$F,$B59,'2026'!AG:AG)/PARAMETER!$T$3,"")</f>
        <v/>
      </c>
      <c r="AI59" s="40" t="str">
        <f>IF(AI$4&lt;=PARAMETER!$X$2,SUMIF('2026'!$F:$F,$B59,'2026'!AH:AH)/PARAMETER!$T$3,"")</f>
        <v/>
      </c>
      <c r="AJ59" s="40" t="str">
        <f>IF(AJ$4&lt;=PARAMETER!$X$2,SUMIF('2026'!$F:$F,$B59,'2026'!AI:AI)/PARAMETER!$T$3,"")</f>
        <v/>
      </c>
      <c r="AK59" s="40" t="str">
        <f>IF(AK$4&lt;=PARAMETER!$X$2,SUMIF('2026'!$F:$F,$B59,'2026'!AJ:AJ)/PARAMETER!$T$3,"")</f>
        <v/>
      </c>
      <c r="AL59" s="40" t="str">
        <f>IF(AL$4&lt;=PARAMETER!$X$2,SUMIF('2026'!$F:$F,$B59,'2026'!AK:AK)/PARAMETER!$T$3,"")</f>
        <v/>
      </c>
      <c r="AM59" s="40" t="str">
        <f>IF(AM$4&lt;=PARAMETER!$X$2,SUMIF('2026'!$F:$F,$B59,'2026'!AL:AL)/PARAMETER!$T$3,"")</f>
        <v/>
      </c>
      <c r="AN59" s="40" t="str">
        <f>IF(AN$4&lt;=PARAMETER!$X$2,SUMIF('2026'!$F:$F,$B59,'2026'!AM:AM)/PARAMETER!$T$3,"")</f>
        <v/>
      </c>
      <c r="AO59" s="40" t="str">
        <f>IF(AO$4&lt;=PARAMETER!$X$2,SUMIF('2026'!$F:$F,$B59,'2026'!AN:AN)/PARAMETER!$T$3,"")</f>
        <v/>
      </c>
      <c r="AP59" s="40" t="str">
        <f>IF(AP$4&lt;=PARAMETER!$X$2,SUMIF('2026'!$F:$F,$B59,'2026'!AO:AO)/PARAMETER!$T$3,"")</f>
        <v/>
      </c>
      <c r="AQ59" s="40" t="str">
        <f>IF(AQ$4&lt;=PARAMETER!$X$2,SUMIF('2026'!$F:$F,$B59,'2026'!AP:AP)/PARAMETER!$T$3,"")</f>
        <v/>
      </c>
      <c r="AR59" s="40" t="str">
        <f>IF(AR$4&lt;=PARAMETER!$X$2,SUMIF('2026'!$F:$F,$B59,'2026'!AQ:AQ)/PARAMETER!$T$3,"")</f>
        <v/>
      </c>
      <c r="AS59" s="40" t="str">
        <f>IF(AS$4&lt;=PARAMETER!$X$2,SUMIF('2026'!$F:$F,$B59,'2026'!AR:AR)/PARAMETER!$T$3,"")</f>
        <v/>
      </c>
      <c r="AT59" s="40" t="str">
        <f>IF(AT$4&lt;=PARAMETER!$X$2,SUMIF('2026'!$F:$F,$B59,'2026'!AS:AS)/PARAMETER!$T$3,"")</f>
        <v/>
      </c>
      <c r="AU59" s="40" t="str">
        <f>IF(AU$4&lt;=PARAMETER!$X$2,SUMIF('2026'!$F:$F,$B59,'2026'!AT:AT)/PARAMETER!$T$3,"")</f>
        <v/>
      </c>
      <c r="AV59" s="40" t="str">
        <f>IF(AV$4&lt;=PARAMETER!$X$2,SUMIF('2026'!$F:$F,$B59,'2026'!AU:AU)/PARAMETER!$T$3,"")</f>
        <v/>
      </c>
      <c r="AW59" s="40" t="str">
        <f>IF(AW$4&lt;=PARAMETER!$X$2,SUMIF('2026'!$F:$F,$B59,'2026'!AV:AV)/PARAMETER!$T$3,"")</f>
        <v/>
      </c>
      <c r="AX59" s="40" t="str">
        <f>IF(AX$4&lt;=PARAMETER!$X$2,SUMIF('2026'!$F:$F,$B59,'2026'!AW:AW)/PARAMETER!$T$3,"")</f>
        <v/>
      </c>
      <c r="AY59" s="40" t="str">
        <f>IF(AY$4&lt;=PARAMETER!$X$2,SUMIF('2026'!$F:$F,$B59,'2026'!AX:AX)/PARAMETER!$T$3,"")</f>
        <v/>
      </c>
      <c r="AZ59" s="40" t="str">
        <f>IF(AZ$4&lt;=PARAMETER!$X$2,SUMIF('2026'!$F:$F,$B59,'2026'!AY:AY)/PARAMETER!$T$3,"")</f>
        <v/>
      </c>
      <c r="BA59" s="40" t="str">
        <f>IF(BA$4&lt;=PARAMETER!$X$2,SUMIF('2026'!$F:$F,$B59,'2026'!AZ:AZ)/PARAMETER!$T$3,"")</f>
        <v/>
      </c>
      <c r="BB59" s="40" t="str">
        <f>IF(BB$4&lt;=PARAMETER!$X$2,SUMIF('2026'!$F:$F,$B59,'2026'!BA:BA)/PARAMETER!$T$3,"")</f>
        <v/>
      </c>
      <c r="BC59" s="40" t="str">
        <f>IF(BC$4&lt;=PARAMETER!$X$2,SUMIF('2026'!$F:$F,$B59,'2026'!BB:BB)/PARAMETER!$T$3,"")</f>
        <v/>
      </c>
      <c r="BD59" s="40" t="str">
        <f>IF(BD$4&lt;=PARAMETER!$X$2,SUMIF('2026'!$F:$F,$B59,'2026'!BC:BC)/PARAMETER!$T$3,"")</f>
        <v/>
      </c>
      <c r="BE59" s="40" t="str">
        <f>IF(BE$4&lt;=PARAMETER!$X$2,SUMIF('2026'!$F:$F,$B59,'2026'!BD:BD)/PARAMETER!$T$3,"")</f>
        <v/>
      </c>
      <c r="BF59" s="40" t="str">
        <f>IF(BF$4&lt;=PARAMETER!$X$2,SUMIF('2026'!$F:$F,$B59,'2026'!BE:BE)/PARAMETER!$T$3,"")</f>
        <v/>
      </c>
      <c r="BG59" s="40" t="str">
        <f>IF(BG$4&lt;=PARAMETER!$X$2,SUMIF('2026'!$F:$F,$B59,'2026'!BF:BF)/PARAMETER!$T$3,"")</f>
        <v/>
      </c>
      <c r="BH59" s="40" t="str">
        <f>IF(BH$4&lt;=PARAMETER!$X$2,SUMIF('2026'!$F:$F,$B59,'2026'!BG:BG)/PARAMETER!$T$3,"")</f>
        <v/>
      </c>
      <c r="BI59" s="40" t="str">
        <f>IF(BI$4&lt;=PARAMETER!$X$2,SUMIF('2026'!$F:$F,$B59,'2026'!BH:BH)/PARAMETER!$T$3,"")</f>
        <v/>
      </c>
      <c r="BJ59" s="40" t="str">
        <f>IF(BJ$4&lt;=PARAMETER!$X$2,SUMIF('2026'!$F:$F,$B59,'2026'!BI:BI)/PARAMETER!$T$3,"")</f>
        <v/>
      </c>
    </row>
    <row r="60" spans="1:62" x14ac:dyDescent="0.25">
      <c r="A60">
        <f t="shared" si="74"/>
        <v>12</v>
      </c>
      <c r="B60" s="78" t="str">
        <f>CONCATENATE(C60,PARAMETER!T$2)</f>
        <v>VOL</v>
      </c>
      <c r="C60" s="26" t="str">
        <f t="shared" si="75"/>
        <v/>
      </c>
      <c r="D60" s="27" t="s">
        <v>128</v>
      </c>
      <c r="E60" s="35" t="str">
        <f t="shared" si="76"/>
        <v/>
      </c>
      <c r="F60" s="28">
        <f t="shared" si="73"/>
        <v>3</v>
      </c>
      <c r="G60" s="39">
        <f t="shared" si="20"/>
        <v>2025</v>
      </c>
      <c r="H60" s="40">
        <f>IF(H$4&lt;=PARAMETER!$X$2,SUMIF('2025'!$F:$F,$B60,'2025'!G:G)/PARAMETER!$T$3,"")</f>
        <v>0</v>
      </c>
      <c r="I60" s="40">
        <f>IF(I$4&lt;=PARAMETER!$X$2,SUMIF('2025'!$F:$F,$B60,'2025'!H:H)/PARAMETER!$T$3,"")</f>
        <v>0</v>
      </c>
      <c r="J60" s="40">
        <f>IF(J$4&lt;=PARAMETER!$X$2,SUMIF('2025'!$F:$F,$B60,'2025'!I:I)/PARAMETER!$T$3,"")</f>
        <v>0</v>
      </c>
      <c r="K60" s="40">
        <f>IF(K$4&lt;=PARAMETER!$X$2,SUMIF('2025'!$F:$F,$B60,'2025'!J:J)/PARAMETER!$T$3,"")</f>
        <v>0</v>
      </c>
      <c r="L60" s="40">
        <f>IF(L$4&lt;=PARAMETER!$X$2,SUMIF('2025'!$F:$F,$B60,'2025'!K:K)/PARAMETER!$T$3,"")</f>
        <v>0</v>
      </c>
      <c r="M60" s="40">
        <f>IF(M$4&lt;=PARAMETER!$X$2,SUMIF('2025'!$F:$F,$B60,'2025'!L:L)/PARAMETER!$T$3,"")</f>
        <v>0</v>
      </c>
      <c r="N60" s="40">
        <f>IF(N$4&lt;=PARAMETER!$X$2,SUMIF('2025'!$F:$F,$B60,'2025'!M:M)/PARAMETER!$T$3,"")</f>
        <v>0</v>
      </c>
      <c r="O60" s="40">
        <f>IF(O$4&lt;=PARAMETER!$X$2,SUMIF('2025'!$F:$F,$B60,'2025'!N:N)/PARAMETER!$T$3,"")</f>
        <v>0</v>
      </c>
      <c r="P60" s="40">
        <f>IF(P$4&lt;=PARAMETER!$X$2,SUMIF('2025'!$F:$F,$B60,'2025'!O:O)/PARAMETER!$T$3,"")</f>
        <v>0</v>
      </c>
      <c r="Q60" s="40">
        <f>IF(Q$4&lt;=PARAMETER!$X$2,SUMIF('2025'!$F:$F,$B60,'2025'!P:P)/PARAMETER!$T$3,"")</f>
        <v>0</v>
      </c>
      <c r="R60" s="40">
        <f>IF(R$4&lt;=PARAMETER!$X$2,SUMIF('2025'!$F:$F,$B60,'2025'!Q:Q)/PARAMETER!$T$3,"")</f>
        <v>0</v>
      </c>
      <c r="S60" s="40">
        <f>IF(S$4&lt;=PARAMETER!$X$2,SUMIF('2025'!$F:$F,$B60,'2025'!R:R)/PARAMETER!$T$3,"")</f>
        <v>0</v>
      </c>
      <c r="T60" s="40">
        <f>IF(T$4&lt;=PARAMETER!$X$2,SUMIF('2025'!$F:$F,$B60,'2025'!S:S)/PARAMETER!$T$3,"")</f>
        <v>0</v>
      </c>
      <c r="U60" s="40" t="str">
        <f>IF(U$4&lt;=PARAMETER!$X$2,SUMIF('2025'!$F:$F,$B60,'2025'!T:T)/PARAMETER!$T$3,"")</f>
        <v/>
      </c>
      <c r="V60" s="40" t="str">
        <f>IF(V$4&lt;=PARAMETER!$X$2,SUMIF('2025'!$F:$F,$B60,'2025'!U:U)/PARAMETER!$T$3,"")</f>
        <v/>
      </c>
      <c r="W60" s="40" t="str">
        <f>IF(W$4&lt;=PARAMETER!$X$2,SUMIF('2025'!$F:$F,$B60,'2025'!V:V)/PARAMETER!$T$3,"")</f>
        <v/>
      </c>
      <c r="X60" s="40" t="str">
        <f>IF(X$4&lt;=PARAMETER!$X$2,SUMIF('2025'!$F:$F,$B60,'2025'!W:W)/PARAMETER!$T$3,"")</f>
        <v/>
      </c>
      <c r="Y60" s="40" t="str">
        <f>IF(Y$4&lt;=PARAMETER!$X$2,SUMIF('2025'!$F:$F,$B60,'2025'!X:X)/PARAMETER!$T$3,"")</f>
        <v/>
      </c>
      <c r="Z60" s="40" t="str">
        <f>IF(Z$4&lt;=PARAMETER!$X$2,SUMIF('2025'!$F:$F,$B60,'2025'!Y:Y)/PARAMETER!$T$3,"")</f>
        <v/>
      </c>
      <c r="AA60" s="40" t="str">
        <f>IF(AA$4&lt;=PARAMETER!$X$2,SUMIF('2025'!$F:$F,$B60,'2025'!Z:Z)/PARAMETER!$T$3,"")</f>
        <v/>
      </c>
      <c r="AB60" s="40" t="str">
        <f>IF(AB$4&lt;=PARAMETER!$X$2,SUMIF('2025'!$F:$F,$B60,'2025'!AA:AA)/PARAMETER!$T$3,"")</f>
        <v/>
      </c>
      <c r="AC60" s="40" t="str">
        <f>IF(AC$4&lt;=PARAMETER!$X$2,SUMIF('2025'!$F:$F,$B60,'2025'!AB:AB)/PARAMETER!$T$3,"")</f>
        <v/>
      </c>
      <c r="AD60" s="40" t="str">
        <f>IF(AD$4&lt;=PARAMETER!$X$2,SUMIF('2025'!$F:$F,$B60,'2025'!AC:AC)/PARAMETER!$T$3,"")</f>
        <v/>
      </c>
      <c r="AE60" s="40" t="str">
        <f>IF(AE$4&lt;=PARAMETER!$X$2,SUMIF('2025'!$F:$F,$B60,'2025'!AD:AD)/PARAMETER!$T$3,"")</f>
        <v/>
      </c>
      <c r="AF60" s="40" t="str">
        <f>IF(AF$4&lt;=PARAMETER!$X$2,SUMIF('2025'!$F:$F,$B60,'2025'!AE:AE)/PARAMETER!$T$3,"")</f>
        <v/>
      </c>
      <c r="AG60" s="40" t="str">
        <f>IF(AG$4&lt;=PARAMETER!$X$2,SUMIF('2025'!$F:$F,$B60,'2025'!AF:AF)/PARAMETER!$T$3,"")</f>
        <v/>
      </c>
      <c r="AH60" s="40" t="str">
        <f>IF(AH$4&lt;=PARAMETER!$X$2,SUMIF('2025'!$F:$F,$B60,'2025'!AG:AG)/PARAMETER!$T$3,"")</f>
        <v/>
      </c>
      <c r="AI60" s="40" t="str">
        <f>IF(AI$4&lt;=PARAMETER!$X$2,SUMIF('2025'!$F:$F,$B60,'2025'!AH:AH)/PARAMETER!$T$3,"")</f>
        <v/>
      </c>
      <c r="AJ60" s="40" t="str">
        <f>IF(AJ$4&lt;=PARAMETER!$X$2,SUMIF('2025'!$F:$F,$B60,'2025'!AI:AI)/PARAMETER!$T$3,"")</f>
        <v/>
      </c>
      <c r="AK60" s="40" t="str">
        <f>IF(AK$4&lt;=PARAMETER!$X$2,SUMIF('2025'!$F:$F,$B60,'2025'!AJ:AJ)/PARAMETER!$T$3,"")</f>
        <v/>
      </c>
      <c r="AL60" s="40" t="str">
        <f>IF(AL$4&lt;=PARAMETER!$X$2,SUMIF('2025'!$F:$F,$B60,'2025'!AK:AK)/PARAMETER!$T$3,"")</f>
        <v/>
      </c>
      <c r="AM60" s="40" t="str">
        <f>IF(AM$4&lt;=PARAMETER!$X$2,SUMIF('2025'!$F:$F,$B60,'2025'!AL:AL)/PARAMETER!$T$3,"")</f>
        <v/>
      </c>
      <c r="AN60" s="40" t="str">
        <f>IF(AN$4&lt;=PARAMETER!$X$2,SUMIF('2025'!$F:$F,$B60,'2025'!AM:AM)/PARAMETER!$T$3,"")</f>
        <v/>
      </c>
      <c r="AO60" s="40" t="str">
        <f>IF(AO$4&lt;=PARAMETER!$X$2,SUMIF('2025'!$F:$F,$B60,'2025'!AN:AN)/PARAMETER!$T$3,"")</f>
        <v/>
      </c>
      <c r="AP60" s="40" t="str">
        <f>IF(AP$4&lt;=PARAMETER!$X$2,SUMIF('2025'!$F:$F,$B60,'2025'!AO:AO)/PARAMETER!$T$3,"")</f>
        <v/>
      </c>
      <c r="AQ60" s="40" t="str">
        <f>IF(AQ$4&lt;=PARAMETER!$X$2,SUMIF('2025'!$F:$F,$B60,'2025'!AP:AP)/PARAMETER!$T$3,"")</f>
        <v/>
      </c>
      <c r="AR60" s="40" t="str">
        <f>IF(AR$4&lt;=PARAMETER!$X$2,SUMIF('2025'!$F:$F,$B60,'2025'!AQ:AQ)/PARAMETER!$T$3,"")</f>
        <v/>
      </c>
      <c r="AS60" s="40" t="str">
        <f>IF(AS$4&lt;=PARAMETER!$X$2,SUMIF('2025'!$F:$F,$B60,'2025'!AR:AR)/PARAMETER!$T$3,"")</f>
        <v/>
      </c>
      <c r="AT60" s="40" t="str">
        <f>IF(AT$4&lt;=PARAMETER!$X$2,SUMIF('2025'!$F:$F,$B60,'2025'!AS:AS)/PARAMETER!$T$3,"")</f>
        <v/>
      </c>
      <c r="AU60" s="40" t="str">
        <f>IF(AU$4&lt;=PARAMETER!$X$2,SUMIF('2025'!$F:$F,$B60,'2025'!AT:AT)/PARAMETER!$T$3,"")</f>
        <v/>
      </c>
      <c r="AV60" s="40" t="str">
        <f>IF(AV$4&lt;=PARAMETER!$X$2,SUMIF('2025'!$F:$F,$B60,'2025'!AU:AU)/PARAMETER!$T$3,"")</f>
        <v/>
      </c>
      <c r="AW60" s="40" t="str">
        <f>IF(AW$4&lt;=PARAMETER!$X$2,SUMIF('2025'!$F:$F,$B60,'2025'!AV:AV)/PARAMETER!$T$3,"")</f>
        <v/>
      </c>
      <c r="AX60" s="40" t="str">
        <f>IF(AX$4&lt;=PARAMETER!$X$2,SUMIF('2025'!$F:$F,$B60,'2025'!AW:AW)/PARAMETER!$T$3,"")</f>
        <v/>
      </c>
      <c r="AY60" s="40" t="str">
        <f>IF(AY$4&lt;=PARAMETER!$X$2,SUMIF('2025'!$F:$F,$B60,'2025'!AX:AX)/PARAMETER!$T$3,"")</f>
        <v/>
      </c>
      <c r="AZ60" s="40" t="str">
        <f>IF(AZ$4&lt;=PARAMETER!$X$2,SUMIF('2025'!$F:$F,$B60,'2025'!AY:AY)/PARAMETER!$T$3,"")</f>
        <v/>
      </c>
      <c r="BA60" s="40" t="str">
        <f>IF(BA$4&lt;=PARAMETER!$X$2,SUMIF('2025'!$F:$F,$B60,'2025'!AZ:AZ)/PARAMETER!$T$3,"")</f>
        <v/>
      </c>
      <c r="BB60" s="40" t="str">
        <f>IF(BB$4&lt;=PARAMETER!$X$2,SUMIF('2025'!$F:$F,$B60,'2025'!BA:BA)/PARAMETER!$T$3,"")</f>
        <v/>
      </c>
      <c r="BC60" s="40" t="str">
        <f>IF(BC$4&lt;=PARAMETER!$X$2,SUMIF('2025'!$F:$F,$B60,'2025'!BB:BB)/PARAMETER!$T$3,"")</f>
        <v/>
      </c>
      <c r="BD60" s="40" t="str">
        <f>IF(BD$4&lt;=PARAMETER!$X$2,SUMIF('2025'!$F:$F,$B60,'2025'!BC:BC)/PARAMETER!$T$3,"")</f>
        <v/>
      </c>
      <c r="BE60" s="40" t="str">
        <f>IF(BE$4&lt;=PARAMETER!$X$2,SUMIF('2025'!$F:$F,$B60,'2025'!BD:BD)/PARAMETER!$T$3,"")</f>
        <v/>
      </c>
      <c r="BF60" s="40" t="str">
        <f>IF(BF$4&lt;=PARAMETER!$X$2,SUMIF('2025'!$F:$F,$B60,'2025'!BE:BE)/PARAMETER!$T$3,"")</f>
        <v/>
      </c>
      <c r="BG60" s="40" t="str">
        <f>IF(BG$4&lt;=PARAMETER!$X$2,SUMIF('2025'!$F:$F,$B60,'2025'!BF:BF)/PARAMETER!$T$3,"")</f>
        <v/>
      </c>
      <c r="BH60" s="40" t="str">
        <f>IF(BH$4&lt;=PARAMETER!$X$2,SUMIF('2025'!$F:$F,$B60,'2025'!BG:BG)/PARAMETER!$T$3,"")</f>
        <v/>
      </c>
      <c r="BI60" s="40" t="str">
        <f>IF(BI$4&lt;=PARAMETER!$X$2,SUMIF('2025'!$F:$F,$B60,'2025'!BH:BH)/PARAMETER!$T$3,"")</f>
        <v/>
      </c>
      <c r="BJ60" s="40" t="str">
        <f>IF(BJ$4&lt;=PARAMETER!$X$2,SUMIF('2025'!$F:$F,$B60,'2025'!BI:BI)/PARAMETER!$T$3,"")</f>
        <v/>
      </c>
    </row>
    <row r="61" spans="1:62" x14ac:dyDescent="0.25">
      <c r="A61">
        <f t="shared" ref="A61" si="77">A59</f>
        <v>12</v>
      </c>
      <c r="B61" s="78" t="str">
        <f>CONCATENATE(C61,PARAMETER!T$2)</f>
        <v>VOL</v>
      </c>
      <c r="C61" s="26" t="str">
        <f t="shared" si="75"/>
        <v/>
      </c>
      <c r="D61" s="67"/>
      <c r="E61" s="68"/>
      <c r="F61" s="69"/>
      <c r="G61" s="70">
        <f t="shared" si="20"/>
        <v>2024</v>
      </c>
      <c r="H61" s="71">
        <f>IF(H$4&lt;=PARAMETER!$X$2,SUMIF('2024'!$F:$F,$B61,'2024'!G:G)/PARAMETER!$T$3,"")</f>
        <v>0</v>
      </c>
      <c r="I61" s="71">
        <f>IF(I$4&lt;=PARAMETER!$X$2,SUMIF('2024'!$F:$F,$B61,'2024'!H:H)/PARAMETER!$T$3,"")</f>
        <v>0</v>
      </c>
      <c r="J61" s="71">
        <f>IF(J$4&lt;=PARAMETER!$X$2,SUMIF('2024'!$F:$F,$B61,'2024'!I:I)/PARAMETER!$T$3,"")</f>
        <v>0</v>
      </c>
      <c r="K61" s="71">
        <f>IF(K$4&lt;=PARAMETER!$X$2,SUMIF('2024'!$F:$F,$B61,'2024'!J:J)/PARAMETER!$T$3,"")</f>
        <v>0</v>
      </c>
      <c r="L61" s="71">
        <f>IF(L$4&lt;=PARAMETER!$X$2,SUMIF('2024'!$F:$F,$B61,'2024'!K:K)/PARAMETER!$T$3,"")</f>
        <v>0</v>
      </c>
      <c r="M61" s="71">
        <f>IF(M$4&lt;=PARAMETER!$X$2,SUMIF('2024'!$F:$F,$B61,'2024'!L:L)/PARAMETER!$T$3,"")</f>
        <v>0</v>
      </c>
      <c r="N61" s="71">
        <f>IF(N$4&lt;=PARAMETER!$X$2,SUMIF('2024'!$F:$F,$B61,'2024'!M:M)/PARAMETER!$T$3,"")</f>
        <v>0</v>
      </c>
      <c r="O61" s="71">
        <f>IF(O$4&lt;=PARAMETER!$X$2,SUMIF('2024'!$F:$F,$B61,'2024'!N:N)/PARAMETER!$T$3,"")</f>
        <v>0</v>
      </c>
      <c r="P61" s="71">
        <f>IF(P$4&lt;=PARAMETER!$X$2,SUMIF('2024'!$F:$F,$B61,'2024'!O:O)/PARAMETER!$T$3,"")</f>
        <v>0</v>
      </c>
      <c r="Q61" s="71">
        <f>IF(Q$4&lt;=PARAMETER!$X$2,SUMIF('2024'!$F:$F,$B61,'2024'!P:P)/PARAMETER!$T$3,"")</f>
        <v>0</v>
      </c>
      <c r="R61" s="71">
        <f>IF(R$4&lt;=PARAMETER!$X$2,SUMIF('2024'!$F:$F,$B61,'2024'!Q:Q)/PARAMETER!$T$3,"")</f>
        <v>0</v>
      </c>
      <c r="S61" s="71">
        <f>IF(S$4&lt;=PARAMETER!$X$2,SUMIF('2024'!$F:$F,$B61,'2024'!R:R)/PARAMETER!$T$3,"")</f>
        <v>0</v>
      </c>
      <c r="T61" s="71">
        <f>IF(T$4&lt;=PARAMETER!$X$2,SUMIF('2024'!$F:$F,$B61,'2024'!S:S)/PARAMETER!$T$3,"")</f>
        <v>0</v>
      </c>
      <c r="U61" s="71" t="str">
        <f>IF(U$4&lt;=PARAMETER!$X$2,SUMIF('2024'!$F:$F,$B61,'2024'!T:T)/PARAMETER!$T$3,"")</f>
        <v/>
      </c>
      <c r="V61" s="71" t="str">
        <f>IF(V$4&lt;=PARAMETER!$X$2,SUMIF('2024'!$F:$F,$B61,'2024'!U:U)/PARAMETER!$T$3,"")</f>
        <v/>
      </c>
      <c r="W61" s="71" t="str">
        <f>IF(W$4&lt;=PARAMETER!$X$2,SUMIF('2024'!$F:$F,$B61,'2024'!V:V)/PARAMETER!$T$3,"")</f>
        <v/>
      </c>
      <c r="X61" s="71" t="str">
        <f>IF(X$4&lt;=PARAMETER!$X$2,SUMIF('2024'!$F:$F,$B61,'2024'!W:W)/PARAMETER!$T$3,"")</f>
        <v/>
      </c>
      <c r="Y61" s="71" t="str">
        <f>IF(Y$4&lt;=PARAMETER!$X$2,SUMIF('2024'!$F:$F,$B61,'2024'!X:X)/PARAMETER!$T$3,"")</f>
        <v/>
      </c>
      <c r="Z61" s="71" t="str">
        <f>IF(Z$4&lt;=PARAMETER!$X$2,SUMIF('2024'!$F:$F,$B61,'2024'!Y:Y)/PARAMETER!$T$3,"")</f>
        <v/>
      </c>
      <c r="AA61" s="71" t="str">
        <f>IF(AA$4&lt;=PARAMETER!$X$2,SUMIF('2024'!$F:$F,$B61,'2024'!Z:Z)/PARAMETER!$T$3,"")</f>
        <v/>
      </c>
      <c r="AB61" s="71" t="str">
        <f>IF(AB$4&lt;=PARAMETER!$X$2,SUMIF('2024'!$F:$F,$B61,'2024'!AA:AA)/PARAMETER!$T$3,"")</f>
        <v/>
      </c>
      <c r="AC61" s="71" t="str">
        <f>IF(AC$4&lt;=PARAMETER!$X$2,SUMIF('2024'!$F:$F,$B61,'2024'!AB:AB)/PARAMETER!$T$3,"")</f>
        <v/>
      </c>
      <c r="AD61" s="71" t="str">
        <f>IF(AD$4&lt;=PARAMETER!$X$2,SUMIF('2024'!$F:$F,$B61,'2024'!AC:AC)/PARAMETER!$T$3,"")</f>
        <v/>
      </c>
      <c r="AE61" s="71" t="str">
        <f>IF(AE$4&lt;=PARAMETER!$X$2,SUMIF('2024'!$F:$F,$B61,'2024'!AD:AD)/PARAMETER!$T$3,"")</f>
        <v/>
      </c>
      <c r="AF61" s="71" t="str">
        <f>IF(AF$4&lt;=PARAMETER!$X$2,SUMIF('2024'!$F:$F,$B61,'2024'!AE:AE)/PARAMETER!$T$3,"")</f>
        <v/>
      </c>
      <c r="AG61" s="71" t="str">
        <f>IF(AG$4&lt;=PARAMETER!$X$2,SUMIF('2024'!$F:$F,$B61,'2024'!AF:AF)/PARAMETER!$T$3,"")</f>
        <v/>
      </c>
      <c r="AH61" s="71" t="str">
        <f>IF(AH$4&lt;=PARAMETER!$X$2,SUMIF('2024'!$F:$F,$B61,'2024'!AG:AG)/PARAMETER!$T$3,"")</f>
        <v/>
      </c>
      <c r="AI61" s="71" t="str">
        <f>IF(AI$4&lt;=PARAMETER!$X$2,SUMIF('2024'!$F:$F,$B61,'2024'!AH:AH)/PARAMETER!$T$3,"")</f>
        <v/>
      </c>
      <c r="AJ61" s="71" t="str">
        <f>IF(AJ$4&lt;=PARAMETER!$X$2,SUMIF('2024'!$F:$F,$B61,'2024'!AI:AI)/PARAMETER!$T$3,"")</f>
        <v/>
      </c>
      <c r="AK61" s="71" t="str">
        <f>IF(AK$4&lt;=PARAMETER!$X$2,SUMIF('2024'!$F:$F,$B61,'2024'!AJ:AJ)/PARAMETER!$T$3,"")</f>
        <v/>
      </c>
      <c r="AL61" s="71" t="str">
        <f>IF(AL$4&lt;=PARAMETER!$X$2,SUMIF('2024'!$F:$F,$B61,'2024'!AK:AK)/PARAMETER!$T$3,"")</f>
        <v/>
      </c>
      <c r="AM61" s="71" t="str">
        <f>IF(AM$4&lt;=PARAMETER!$X$2,SUMIF('2024'!$F:$F,$B61,'2024'!AL:AL)/PARAMETER!$T$3,"")</f>
        <v/>
      </c>
      <c r="AN61" s="71" t="str">
        <f>IF(AN$4&lt;=PARAMETER!$X$2,SUMIF('2024'!$F:$F,$B61,'2024'!AM:AM)/PARAMETER!$T$3,"")</f>
        <v/>
      </c>
      <c r="AO61" s="71" t="str">
        <f>IF(AO$4&lt;=PARAMETER!$X$2,SUMIF('2024'!$F:$F,$B61,'2024'!AN:AN)/PARAMETER!$T$3,"")</f>
        <v/>
      </c>
      <c r="AP61" s="71" t="str">
        <f>IF(AP$4&lt;=PARAMETER!$X$2,SUMIF('2024'!$F:$F,$B61,'2024'!AO:AO)/PARAMETER!$T$3,"")</f>
        <v/>
      </c>
      <c r="AQ61" s="71" t="str">
        <f>IF(AQ$4&lt;=PARAMETER!$X$2,SUMIF('2024'!$F:$F,$B61,'2024'!AP:AP)/PARAMETER!$T$3,"")</f>
        <v/>
      </c>
      <c r="AR61" s="71" t="str">
        <f>IF(AR$4&lt;=PARAMETER!$X$2,SUMIF('2024'!$F:$F,$B61,'2024'!AQ:AQ)/PARAMETER!$T$3,"")</f>
        <v/>
      </c>
      <c r="AS61" s="71" t="str">
        <f>IF(AS$4&lt;=PARAMETER!$X$2,SUMIF('2024'!$F:$F,$B61,'2024'!AR:AR)/PARAMETER!$T$3,"")</f>
        <v/>
      </c>
      <c r="AT61" s="71" t="str">
        <f>IF(AT$4&lt;=PARAMETER!$X$2,SUMIF('2024'!$F:$F,$B61,'2024'!AS:AS)/PARAMETER!$T$3,"")</f>
        <v/>
      </c>
      <c r="AU61" s="71" t="str">
        <f>IF(AU$4&lt;=PARAMETER!$X$2,SUMIF('2024'!$F:$F,$B61,'2024'!AT:AT)/PARAMETER!$T$3,"")</f>
        <v/>
      </c>
      <c r="AV61" s="71" t="str">
        <f>IF(AV$4&lt;=PARAMETER!$X$2,SUMIF('2024'!$F:$F,$B61,'2024'!AU:AU)/PARAMETER!$T$3,"")</f>
        <v/>
      </c>
      <c r="AW61" s="71" t="str">
        <f>IF(AW$4&lt;=PARAMETER!$X$2,SUMIF('2024'!$F:$F,$B61,'2024'!AV:AV)/PARAMETER!$T$3,"")</f>
        <v/>
      </c>
      <c r="AX61" s="71" t="str">
        <f>IF(AX$4&lt;=PARAMETER!$X$2,SUMIF('2024'!$F:$F,$B61,'2024'!AW:AW)/PARAMETER!$T$3,"")</f>
        <v/>
      </c>
      <c r="AY61" s="71" t="str">
        <f>IF(AY$4&lt;=PARAMETER!$X$2,SUMIF('2024'!$F:$F,$B61,'2024'!AX:AX)/PARAMETER!$T$3,"")</f>
        <v/>
      </c>
      <c r="AZ61" s="71" t="str">
        <f>IF(AZ$4&lt;=PARAMETER!$X$2,SUMIF('2024'!$F:$F,$B61,'2024'!AY:AY)/PARAMETER!$T$3,"")</f>
        <v/>
      </c>
      <c r="BA61" s="71" t="str">
        <f>IF(BA$4&lt;=PARAMETER!$X$2,SUMIF('2024'!$F:$F,$B61,'2024'!AZ:AZ)/PARAMETER!$T$3,"")</f>
        <v/>
      </c>
      <c r="BB61" s="71" t="str">
        <f>IF(BB$4&lt;=PARAMETER!$X$2,SUMIF('2024'!$F:$F,$B61,'2024'!BA:BA)/PARAMETER!$T$3,"")</f>
        <v/>
      </c>
      <c r="BC61" s="71" t="str">
        <f>IF(BC$4&lt;=PARAMETER!$X$2,SUMIF('2024'!$F:$F,$B61,'2024'!BB:BB)/PARAMETER!$T$3,"")</f>
        <v/>
      </c>
      <c r="BD61" s="71" t="str">
        <f>IF(BD$4&lt;=PARAMETER!$X$2,SUMIF('2024'!$F:$F,$B61,'2024'!BC:BC)/PARAMETER!$T$3,"")</f>
        <v/>
      </c>
      <c r="BE61" s="71" t="str">
        <f>IF(BE$4&lt;=PARAMETER!$X$2,SUMIF('2024'!$F:$F,$B61,'2024'!BD:BD)/PARAMETER!$T$3,"")</f>
        <v/>
      </c>
      <c r="BF61" s="71" t="str">
        <f>IF(BF$4&lt;=PARAMETER!$X$2,SUMIF('2024'!$F:$F,$B61,'2024'!BE:BE)/PARAMETER!$T$3,"")</f>
        <v/>
      </c>
      <c r="BG61" s="71" t="str">
        <f>IF(BG$4&lt;=PARAMETER!$X$2,SUMIF('2024'!$F:$F,$B61,'2024'!BF:BF)/PARAMETER!$T$3,"")</f>
        <v/>
      </c>
      <c r="BH61" s="71" t="str">
        <f>IF(BH$4&lt;=PARAMETER!$X$2,SUMIF('2024'!$F:$F,$B61,'2024'!BG:BG)/PARAMETER!$T$3,"")</f>
        <v/>
      </c>
      <c r="BI61" s="71" t="str">
        <f>IF(BI$4&lt;=PARAMETER!$X$2,SUMIF('2024'!$F:$F,$B61,'2024'!BH:BH)/PARAMETER!$T$3,"")</f>
        <v/>
      </c>
      <c r="BJ61" s="71" t="str">
        <f>IF(BJ$4&lt;=PARAMETER!$X$2,SUMIF('2024'!$F:$F,$B61,'2024'!BI:BI)/PARAMETER!$T$3,"")</f>
        <v/>
      </c>
    </row>
    <row r="62" spans="1:62" x14ac:dyDescent="0.25">
      <c r="A62">
        <v>13</v>
      </c>
      <c r="B62" s="78" t="str">
        <f>CONCATENATE(C62,PARAMETER!T$2)</f>
        <v>VOL</v>
      </c>
      <c r="C62" s="21" t="str">
        <f>IFERROR(VLOOKUP(A62,PARAMETER!K$2:M70,3,0),"")</f>
        <v/>
      </c>
      <c r="D62" s="22" t="s">
        <v>127</v>
      </c>
      <c r="E62" s="37" t="str">
        <f t="shared" ref="E62" si="78">IFERROR(I63/I62,"")</f>
        <v/>
      </c>
      <c r="F62" s="23">
        <f t="shared" ref="F62:F64" si="79">IFERROR(IF(E62&gt;300%,300%,E62),"")</f>
        <v>3</v>
      </c>
      <c r="G62" s="24" t="str">
        <f t="shared" si="20"/>
        <v>Target</v>
      </c>
      <c r="H62" s="25">
        <f>IF(H$4&lt;=PARAMETER!$X$2,SUMIF('2026 T'!$F:$F,$B62,'2026 T'!G:G)/PARAMETER!$T$3,"")</f>
        <v>0</v>
      </c>
      <c r="I62" s="25">
        <f>IF(I$4&lt;=PARAMETER!$X$2,SUMIF('2026 T'!$F:$F,$B62,'2026 T'!H:H)/PARAMETER!$T$3,"")</f>
        <v>0</v>
      </c>
      <c r="J62" s="25">
        <f>IF(J$4&lt;=PARAMETER!$X$2,SUMIF('2026 T'!$F:$F,$B62,'2026 T'!I:I)/PARAMETER!$T$3,"")</f>
        <v>0</v>
      </c>
      <c r="K62" s="25">
        <f>IF(K$4&lt;=PARAMETER!$X$2,SUMIF('2026 T'!$F:$F,$B62,'2026 T'!J:J)/PARAMETER!$T$3,"")</f>
        <v>0</v>
      </c>
      <c r="L62" s="25">
        <f>IF(L$4&lt;=PARAMETER!$X$2,SUMIF('2026 T'!$F:$F,$B62,'2026 T'!K:K)/PARAMETER!$T$3,"")</f>
        <v>0</v>
      </c>
      <c r="M62" s="25">
        <f>IF(M$4&lt;=PARAMETER!$X$2,SUMIF('2026 T'!$F:$F,$B62,'2026 T'!L:L)/PARAMETER!$T$3,"")</f>
        <v>0</v>
      </c>
      <c r="N62" s="25">
        <f>IF(N$4&lt;=PARAMETER!$X$2,SUMIF('2026 T'!$F:$F,$B62,'2026 T'!M:M)/PARAMETER!$T$3,"")</f>
        <v>0</v>
      </c>
      <c r="O62" s="25">
        <f>IF(O$4&lt;=PARAMETER!$X$2,SUMIF('2026 T'!$F:$F,$B62,'2026 T'!N:N)/PARAMETER!$T$3,"")</f>
        <v>0</v>
      </c>
      <c r="P62" s="25">
        <f>IF(P$4&lt;=PARAMETER!$X$2,SUMIF('2026 T'!$F:$F,$B62,'2026 T'!O:O)/PARAMETER!$T$3,"")</f>
        <v>0</v>
      </c>
      <c r="Q62" s="25">
        <f>IF(Q$4&lt;=PARAMETER!$X$2,SUMIF('2026 T'!$F:$F,$B62,'2026 T'!P:P)/PARAMETER!$T$3,"")</f>
        <v>0</v>
      </c>
      <c r="R62" s="25">
        <f>IF(R$4&lt;=PARAMETER!$X$2,SUMIF('2026 T'!$F:$F,$B62,'2026 T'!Q:Q)/PARAMETER!$T$3,"")</f>
        <v>0</v>
      </c>
      <c r="S62" s="25">
        <f>IF(S$4&lt;=PARAMETER!$X$2,SUMIF('2026 T'!$F:$F,$B62,'2026 T'!R:R)/PARAMETER!$T$3,"")</f>
        <v>0</v>
      </c>
      <c r="T62" s="25">
        <f>IF(T$4&lt;=PARAMETER!$X$2,SUMIF('2026 T'!$F:$F,$B62,'2026 T'!S:S)/PARAMETER!$T$3,"")</f>
        <v>0</v>
      </c>
      <c r="U62" s="25" t="str">
        <f>IF(U$4&lt;=PARAMETER!$X$2,SUMIF('2026 T'!$F:$F,$B62,'2026 T'!T:T)/PARAMETER!$T$3,"")</f>
        <v/>
      </c>
      <c r="V62" s="25" t="str">
        <f>IF(V$4&lt;=PARAMETER!$X$2,SUMIF('2026 T'!$F:$F,$B62,'2026 T'!U:U)/PARAMETER!$T$3,"")</f>
        <v/>
      </c>
      <c r="W62" s="25" t="str">
        <f>IF(W$4&lt;=PARAMETER!$X$2,SUMIF('2026 T'!$F:$F,$B62,'2026 T'!V:V)/PARAMETER!$T$3,"")</f>
        <v/>
      </c>
      <c r="X62" s="25" t="str">
        <f>IF(X$4&lt;=PARAMETER!$X$2,SUMIF('2026 T'!$F:$F,$B62,'2026 T'!W:W)/PARAMETER!$T$3,"")</f>
        <v/>
      </c>
      <c r="Y62" s="25" t="str">
        <f>IF(Y$4&lt;=PARAMETER!$X$2,SUMIF('2026 T'!$F:$F,$B62,'2026 T'!X:X)/PARAMETER!$T$3,"")</f>
        <v/>
      </c>
      <c r="Z62" s="25" t="str">
        <f>IF(Z$4&lt;=PARAMETER!$X$2,SUMIF('2026 T'!$F:$F,$B62,'2026 T'!Y:Y)/PARAMETER!$T$3,"")</f>
        <v/>
      </c>
      <c r="AA62" s="25" t="str">
        <f>IF(AA$4&lt;=PARAMETER!$X$2,SUMIF('2026 T'!$F:$F,$B62,'2026 T'!Z:Z)/PARAMETER!$T$3,"")</f>
        <v/>
      </c>
      <c r="AB62" s="25" t="str">
        <f>IF(AB$4&lt;=PARAMETER!$X$2,SUMIF('2026 T'!$F:$F,$B62,'2026 T'!AA:AA)/PARAMETER!$T$3,"")</f>
        <v/>
      </c>
      <c r="AC62" s="25" t="str">
        <f>IF(AC$4&lt;=PARAMETER!$X$2,SUMIF('2026 T'!$F:$F,$B62,'2026 T'!AB:AB)/PARAMETER!$T$3,"")</f>
        <v/>
      </c>
      <c r="AD62" s="25" t="str">
        <f>IF(AD$4&lt;=PARAMETER!$X$2,SUMIF('2026 T'!$F:$F,$B62,'2026 T'!AC:AC)/PARAMETER!$T$3,"")</f>
        <v/>
      </c>
      <c r="AE62" s="25" t="str">
        <f>IF(AE$4&lt;=PARAMETER!$X$2,SUMIF('2026 T'!$F:$F,$B62,'2026 T'!AD:AD)/PARAMETER!$T$3,"")</f>
        <v/>
      </c>
      <c r="AF62" s="25" t="str">
        <f>IF(AF$4&lt;=PARAMETER!$X$2,SUMIF('2026 T'!$F:$F,$B62,'2026 T'!AE:AE)/PARAMETER!$T$3,"")</f>
        <v/>
      </c>
      <c r="AG62" s="25" t="str">
        <f>IF(AG$4&lt;=PARAMETER!$X$2,SUMIF('2026 T'!$F:$F,$B62,'2026 T'!AF:AF)/PARAMETER!$T$3,"")</f>
        <v/>
      </c>
      <c r="AH62" s="25" t="str">
        <f>IF(AH$4&lt;=PARAMETER!$X$2,SUMIF('2026 T'!$F:$F,$B62,'2026 T'!AG:AG)/PARAMETER!$T$3,"")</f>
        <v/>
      </c>
      <c r="AI62" s="25" t="str">
        <f>IF(AI$4&lt;=PARAMETER!$X$2,SUMIF('2026 T'!$F:$F,$B62,'2026 T'!AH:AH)/PARAMETER!$T$3,"")</f>
        <v/>
      </c>
      <c r="AJ62" s="25" t="str">
        <f>IF(AJ$4&lt;=PARAMETER!$X$2,SUMIF('2026 T'!$F:$F,$B62,'2026 T'!AI:AI)/PARAMETER!$T$3,"")</f>
        <v/>
      </c>
      <c r="AK62" s="25" t="str">
        <f>IF(AK$4&lt;=PARAMETER!$X$2,SUMIF('2026 T'!$F:$F,$B62,'2026 T'!AJ:AJ)/PARAMETER!$T$3,"")</f>
        <v/>
      </c>
      <c r="AL62" s="25" t="str">
        <f>IF(AL$4&lt;=PARAMETER!$X$2,SUMIF('2026 T'!$F:$F,$B62,'2026 T'!AK:AK)/PARAMETER!$T$3,"")</f>
        <v/>
      </c>
      <c r="AM62" s="25" t="str">
        <f>IF(AM$4&lt;=PARAMETER!$X$2,SUMIF('2026 T'!$F:$F,$B62,'2026 T'!AL:AL)/PARAMETER!$T$3,"")</f>
        <v/>
      </c>
      <c r="AN62" s="25" t="str">
        <f>IF(AN$4&lt;=PARAMETER!$X$2,SUMIF('2026 T'!$F:$F,$B62,'2026 T'!AM:AM)/PARAMETER!$T$3,"")</f>
        <v/>
      </c>
      <c r="AO62" s="25" t="str">
        <f>IF(AO$4&lt;=PARAMETER!$X$2,SUMIF('2026 T'!$F:$F,$B62,'2026 T'!AN:AN)/PARAMETER!$T$3,"")</f>
        <v/>
      </c>
      <c r="AP62" s="25" t="str">
        <f>IF(AP$4&lt;=PARAMETER!$X$2,SUMIF('2026 T'!$F:$F,$B62,'2026 T'!AO:AO)/PARAMETER!$T$3,"")</f>
        <v/>
      </c>
      <c r="AQ62" s="25" t="str">
        <f>IF(AQ$4&lt;=PARAMETER!$X$2,SUMIF('2026 T'!$F:$F,$B62,'2026 T'!AP:AP)/PARAMETER!$T$3,"")</f>
        <v/>
      </c>
      <c r="AR62" s="25" t="str">
        <f>IF(AR$4&lt;=PARAMETER!$X$2,SUMIF('2026 T'!$F:$F,$B62,'2026 T'!AQ:AQ)/PARAMETER!$T$3,"")</f>
        <v/>
      </c>
      <c r="AS62" s="25" t="str">
        <f>IF(AS$4&lt;=PARAMETER!$X$2,SUMIF('2026 T'!$F:$F,$B62,'2026 T'!AR:AR)/PARAMETER!$T$3,"")</f>
        <v/>
      </c>
      <c r="AT62" s="25" t="str">
        <f>IF(AT$4&lt;=PARAMETER!$X$2,SUMIF('2026 T'!$F:$F,$B62,'2026 T'!AS:AS)/PARAMETER!$T$3,"")</f>
        <v/>
      </c>
      <c r="AU62" s="25" t="str">
        <f>IF(AU$4&lt;=PARAMETER!$X$2,SUMIF('2026 T'!$F:$F,$B62,'2026 T'!AT:AT)/PARAMETER!$T$3,"")</f>
        <v/>
      </c>
      <c r="AV62" s="25" t="str">
        <f>IF(AV$4&lt;=PARAMETER!$X$2,SUMIF('2026 T'!$F:$F,$B62,'2026 T'!AU:AU)/PARAMETER!$T$3,"")</f>
        <v/>
      </c>
      <c r="AW62" s="25" t="str">
        <f>IF(AW$4&lt;=PARAMETER!$X$2,SUMIF('2026 T'!$F:$F,$B62,'2026 T'!AV:AV)/PARAMETER!$T$3,"")</f>
        <v/>
      </c>
      <c r="AX62" s="25" t="str">
        <f>IF(AX$4&lt;=PARAMETER!$X$2,SUMIF('2026 T'!$F:$F,$B62,'2026 T'!AW:AW)/PARAMETER!$T$3,"")</f>
        <v/>
      </c>
      <c r="AY62" s="25" t="str">
        <f>IF(AY$4&lt;=PARAMETER!$X$2,SUMIF('2026 T'!$F:$F,$B62,'2026 T'!AX:AX)/PARAMETER!$T$3,"")</f>
        <v/>
      </c>
      <c r="AZ62" s="25" t="str">
        <f>IF(AZ$4&lt;=PARAMETER!$X$2,SUMIF('2026 T'!$F:$F,$B62,'2026 T'!AY:AY)/PARAMETER!$T$3,"")</f>
        <v/>
      </c>
      <c r="BA62" s="25" t="str">
        <f>IF(BA$4&lt;=PARAMETER!$X$2,SUMIF('2026 T'!$F:$F,$B62,'2026 T'!AZ:AZ)/PARAMETER!$T$3,"")</f>
        <v/>
      </c>
      <c r="BB62" s="25" t="str">
        <f>IF(BB$4&lt;=PARAMETER!$X$2,SUMIF('2026 T'!$F:$F,$B62,'2026 T'!BA:BA)/PARAMETER!$T$3,"")</f>
        <v/>
      </c>
      <c r="BC62" s="25" t="str">
        <f>IF(BC$4&lt;=PARAMETER!$X$2,SUMIF('2026 T'!$F:$F,$B62,'2026 T'!BB:BB)/PARAMETER!$T$3,"")</f>
        <v/>
      </c>
      <c r="BD62" s="25" t="str">
        <f>IF(BD$4&lt;=PARAMETER!$X$2,SUMIF('2026 T'!$F:$F,$B62,'2026 T'!BC:BC)/PARAMETER!$T$3,"")</f>
        <v/>
      </c>
      <c r="BE62" s="25" t="str">
        <f>IF(BE$4&lt;=PARAMETER!$X$2,SUMIF('2026 T'!$F:$F,$B62,'2026 T'!BD:BD)/PARAMETER!$T$3,"")</f>
        <v/>
      </c>
      <c r="BF62" s="25" t="str">
        <f>IF(BF$4&lt;=PARAMETER!$X$2,SUMIF('2026 T'!$F:$F,$B62,'2026 T'!BE:BE)/PARAMETER!$T$3,"")</f>
        <v/>
      </c>
      <c r="BG62" s="25" t="str">
        <f>IF(BG$4&lt;=PARAMETER!$X$2,SUMIF('2026 T'!$F:$F,$B62,'2026 T'!BF:BF)/PARAMETER!$T$3,"")</f>
        <v/>
      </c>
      <c r="BH62" s="25" t="str">
        <f>IF(BH$4&lt;=PARAMETER!$X$2,SUMIF('2026 T'!$F:$F,$B62,'2026 T'!BG:BG)/PARAMETER!$T$3,"")</f>
        <v/>
      </c>
      <c r="BI62" s="25" t="str">
        <f>IF(BI$4&lt;=PARAMETER!$X$2,SUMIF('2026 T'!$F:$F,$B62,'2026 T'!BH:BH)/PARAMETER!$T$3,"")</f>
        <v/>
      </c>
      <c r="BJ62" s="25" t="str">
        <f>IF(BJ$4&lt;=PARAMETER!$X$2,SUMIF('2026 T'!$F:$F,$B62,'2026 T'!BI:BI)/PARAMETER!$T$3,"")</f>
        <v/>
      </c>
    </row>
    <row r="63" spans="1:62" x14ac:dyDescent="0.25">
      <c r="A63">
        <f t="shared" ref="A63:A64" si="80">A62</f>
        <v>13</v>
      </c>
      <c r="B63" s="78" t="str">
        <f>CONCATENATE(C63,PARAMETER!T$2)</f>
        <v>VOL</v>
      </c>
      <c r="C63" s="26" t="str">
        <f t="shared" ref="C63:C65" si="81">C62</f>
        <v/>
      </c>
      <c r="D63" s="27" t="s">
        <v>128</v>
      </c>
      <c r="E63" s="35" t="str">
        <f t="shared" ref="E63:E64" si="82">IFERROR(I63/I64-1,"")</f>
        <v/>
      </c>
      <c r="F63" s="28">
        <f t="shared" si="79"/>
        <v>3</v>
      </c>
      <c r="G63" s="39">
        <f t="shared" si="20"/>
        <v>2026</v>
      </c>
      <c r="H63" s="40">
        <f>IF(H$4&lt;=PARAMETER!$X$2,SUMIF('2026'!$F:$F,$B63,'2026'!G:G)/PARAMETER!$T$3,"")</f>
        <v>0</v>
      </c>
      <c r="I63" s="40">
        <f>IF(I$4&lt;=PARAMETER!$X$2,SUMIF('2026'!$F:$F,$B63,'2026'!H:H)/PARAMETER!$T$3,"")</f>
        <v>0</v>
      </c>
      <c r="J63" s="40">
        <f>IF(J$4&lt;=PARAMETER!$X$2,SUMIF('2026'!$F:$F,$B63,'2026'!I:I)/PARAMETER!$T$3,"")</f>
        <v>0</v>
      </c>
      <c r="K63" s="40">
        <f>IF(K$4&lt;=PARAMETER!$X$2,SUMIF('2026'!$F:$F,$B63,'2026'!J:J)/PARAMETER!$T$3,"")</f>
        <v>0</v>
      </c>
      <c r="L63" s="40">
        <f>IF(L$4&lt;=PARAMETER!$X$2,SUMIF('2026'!$F:$F,$B63,'2026'!K:K)/PARAMETER!$T$3,"")</f>
        <v>0</v>
      </c>
      <c r="M63" s="40">
        <f>IF(M$4&lt;=PARAMETER!$X$2,SUMIF('2026'!$F:$F,$B63,'2026'!L:L)/PARAMETER!$T$3,"")</f>
        <v>0</v>
      </c>
      <c r="N63" s="40">
        <f>IF(N$4&lt;=PARAMETER!$X$2,SUMIF('2026'!$F:$F,$B63,'2026'!M:M)/PARAMETER!$T$3,"")</f>
        <v>0</v>
      </c>
      <c r="O63" s="40">
        <f>IF(O$4&lt;=PARAMETER!$X$2,SUMIF('2026'!$F:$F,$B63,'2026'!N:N)/PARAMETER!$T$3,"")</f>
        <v>0</v>
      </c>
      <c r="P63" s="40">
        <f>IF(P$4&lt;=PARAMETER!$X$2,SUMIF('2026'!$F:$F,$B63,'2026'!O:O)/PARAMETER!$T$3,"")</f>
        <v>0</v>
      </c>
      <c r="Q63" s="40">
        <f>IF(Q$4&lt;=PARAMETER!$X$2,SUMIF('2026'!$F:$F,$B63,'2026'!P:P)/PARAMETER!$T$3,"")</f>
        <v>0</v>
      </c>
      <c r="R63" s="40">
        <f>IF(R$4&lt;=PARAMETER!$X$2,SUMIF('2026'!$F:$F,$B63,'2026'!Q:Q)/PARAMETER!$T$3,"")</f>
        <v>0</v>
      </c>
      <c r="S63" s="40">
        <f>IF(S$4&lt;=PARAMETER!$X$2,SUMIF('2026'!$F:$F,$B63,'2026'!R:R)/PARAMETER!$T$3,"")</f>
        <v>0</v>
      </c>
      <c r="T63" s="40">
        <f>IF(T$4&lt;=PARAMETER!$X$2,SUMIF('2026'!$F:$F,$B63,'2026'!S:S)/PARAMETER!$T$3,"")</f>
        <v>0</v>
      </c>
      <c r="U63" s="40" t="str">
        <f>IF(U$4&lt;=PARAMETER!$X$2,SUMIF('2026'!$F:$F,$B63,'2026'!T:T)/PARAMETER!$T$3,"")</f>
        <v/>
      </c>
      <c r="V63" s="40" t="str">
        <f>IF(V$4&lt;=PARAMETER!$X$2,SUMIF('2026'!$F:$F,$B63,'2026'!U:U)/PARAMETER!$T$3,"")</f>
        <v/>
      </c>
      <c r="W63" s="40" t="str">
        <f>IF(W$4&lt;=PARAMETER!$X$2,SUMIF('2026'!$F:$F,$B63,'2026'!V:V)/PARAMETER!$T$3,"")</f>
        <v/>
      </c>
      <c r="X63" s="40" t="str">
        <f>IF(X$4&lt;=PARAMETER!$X$2,SUMIF('2026'!$F:$F,$B63,'2026'!W:W)/PARAMETER!$T$3,"")</f>
        <v/>
      </c>
      <c r="Y63" s="40" t="str">
        <f>IF(Y$4&lt;=PARAMETER!$X$2,SUMIF('2026'!$F:$F,$B63,'2026'!X:X)/PARAMETER!$T$3,"")</f>
        <v/>
      </c>
      <c r="Z63" s="40" t="str">
        <f>IF(Z$4&lt;=PARAMETER!$X$2,SUMIF('2026'!$F:$F,$B63,'2026'!Y:Y)/PARAMETER!$T$3,"")</f>
        <v/>
      </c>
      <c r="AA63" s="40" t="str">
        <f>IF(AA$4&lt;=PARAMETER!$X$2,SUMIF('2026'!$F:$F,$B63,'2026'!Z:Z)/PARAMETER!$T$3,"")</f>
        <v/>
      </c>
      <c r="AB63" s="40" t="str">
        <f>IF(AB$4&lt;=PARAMETER!$X$2,SUMIF('2026'!$F:$F,$B63,'2026'!AA:AA)/PARAMETER!$T$3,"")</f>
        <v/>
      </c>
      <c r="AC63" s="40" t="str">
        <f>IF(AC$4&lt;=PARAMETER!$X$2,SUMIF('2026'!$F:$F,$B63,'2026'!AB:AB)/PARAMETER!$T$3,"")</f>
        <v/>
      </c>
      <c r="AD63" s="40" t="str">
        <f>IF(AD$4&lt;=PARAMETER!$X$2,SUMIF('2026'!$F:$F,$B63,'2026'!AC:AC)/PARAMETER!$T$3,"")</f>
        <v/>
      </c>
      <c r="AE63" s="40" t="str">
        <f>IF(AE$4&lt;=PARAMETER!$X$2,SUMIF('2026'!$F:$F,$B63,'2026'!AD:AD)/PARAMETER!$T$3,"")</f>
        <v/>
      </c>
      <c r="AF63" s="40" t="str">
        <f>IF(AF$4&lt;=PARAMETER!$X$2,SUMIF('2026'!$F:$F,$B63,'2026'!AE:AE)/PARAMETER!$T$3,"")</f>
        <v/>
      </c>
      <c r="AG63" s="40" t="str">
        <f>IF(AG$4&lt;=PARAMETER!$X$2,SUMIF('2026'!$F:$F,$B63,'2026'!AF:AF)/PARAMETER!$T$3,"")</f>
        <v/>
      </c>
      <c r="AH63" s="40" t="str">
        <f>IF(AH$4&lt;=PARAMETER!$X$2,SUMIF('2026'!$F:$F,$B63,'2026'!AG:AG)/PARAMETER!$T$3,"")</f>
        <v/>
      </c>
      <c r="AI63" s="40" t="str">
        <f>IF(AI$4&lt;=PARAMETER!$X$2,SUMIF('2026'!$F:$F,$B63,'2026'!AH:AH)/PARAMETER!$T$3,"")</f>
        <v/>
      </c>
      <c r="AJ63" s="40" t="str">
        <f>IF(AJ$4&lt;=PARAMETER!$X$2,SUMIF('2026'!$F:$F,$B63,'2026'!AI:AI)/PARAMETER!$T$3,"")</f>
        <v/>
      </c>
      <c r="AK63" s="40" t="str">
        <f>IF(AK$4&lt;=PARAMETER!$X$2,SUMIF('2026'!$F:$F,$B63,'2026'!AJ:AJ)/PARAMETER!$T$3,"")</f>
        <v/>
      </c>
      <c r="AL63" s="40" t="str">
        <f>IF(AL$4&lt;=PARAMETER!$X$2,SUMIF('2026'!$F:$F,$B63,'2026'!AK:AK)/PARAMETER!$T$3,"")</f>
        <v/>
      </c>
      <c r="AM63" s="40" t="str">
        <f>IF(AM$4&lt;=PARAMETER!$X$2,SUMIF('2026'!$F:$F,$B63,'2026'!AL:AL)/PARAMETER!$T$3,"")</f>
        <v/>
      </c>
      <c r="AN63" s="40" t="str">
        <f>IF(AN$4&lt;=PARAMETER!$X$2,SUMIF('2026'!$F:$F,$B63,'2026'!AM:AM)/PARAMETER!$T$3,"")</f>
        <v/>
      </c>
      <c r="AO63" s="40" t="str">
        <f>IF(AO$4&lt;=PARAMETER!$X$2,SUMIF('2026'!$F:$F,$B63,'2026'!AN:AN)/PARAMETER!$T$3,"")</f>
        <v/>
      </c>
      <c r="AP63" s="40" t="str">
        <f>IF(AP$4&lt;=PARAMETER!$X$2,SUMIF('2026'!$F:$F,$B63,'2026'!AO:AO)/PARAMETER!$T$3,"")</f>
        <v/>
      </c>
      <c r="AQ63" s="40" t="str">
        <f>IF(AQ$4&lt;=PARAMETER!$X$2,SUMIF('2026'!$F:$F,$B63,'2026'!AP:AP)/PARAMETER!$T$3,"")</f>
        <v/>
      </c>
      <c r="AR63" s="40" t="str">
        <f>IF(AR$4&lt;=PARAMETER!$X$2,SUMIF('2026'!$F:$F,$B63,'2026'!AQ:AQ)/PARAMETER!$T$3,"")</f>
        <v/>
      </c>
      <c r="AS63" s="40" t="str">
        <f>IF(AS$4&lt;=PARAMETER!$X$2,SUMIF('2026'!$F:$F,$B63,'2026'!AR:AR)/PARAMETER!$T$3,"")</f>
        <v/>
      </c>
      <c r="AT63" s="40" t="str">
        <f>IF(AT$4&lt;=PARAMETER!$X$2,SUMIF('2026'!$F:$F,$B63,'2026'!AS:AS)/PARAMETER!$T$3,"")</f>
        <v/>
      </c>
      <c r="AU63" s="40" t="str">
        <f>IF(AU$4&lt;=PARAMETER!$X$2,SUMIF('2026'!$F:$F,$B63,'2026'!AT:AT)/PARAMETER!$T$3,"")</f>
        <v/>
      </c>
      <c r="AV63" s="40" t="str">
        <f>IF(AV$4&lt;=PARAMETER!$X$2,SUMIF('2026'!$F:$F,$B63,'2026'!AU:AU)/PARAMETER!$T$3,"")</f>
        <v/>
      </c>
      <c r="AW63" s="40" t="str">
        <f>IF(AW$4&lt;=PARAMETER!$X$2,SUMIF('2026'!$F:$F,$B63,'2026'!AV:AV)/PARAMETER!$T$3,"")</f>
        <v/>
      </c>
      <c r="AX63" s="40" t="str">
        <f>IF(AX$4&lt;=PARAMETER!$X$2,SUMIF('2026'!$F:$F,$B63,'2026'!AW:AW)/PARAMETER!$T$3,"")</f>
        <v/>
      </c>
      <c r="AY63" s="40" t="str">
        <f>IF(AY$4&lt;=PARAMETER!$X$2,SUMIF('2026'!$F:$F,$B63,'2026'!AX:AX)/PARAMETER!$T$3,"")</f>
        <v/>
      </c>
      <c r="AZ63" s="40" t="str">
        <f>IF(AZ$4&lt;=PARAMETER!$X$2,SUMIF('2026'!$F:$F,$B63,'2026'!AY:AY)/PARAMETER!$T$3,"")</f>
        <v/>
      </c>
      <c r="BA63" s="40" t="str">
        <f>IF(BA$4&lt;=PARAMETER!$X$2,SUMIF('2026'!$F:$F,$B63,'2026'!AZ:AZ)/PARAMETER!$T$3,"")</f>
        <v/>
      </c>
      <c r="BB63" s="40" t="str">
        <f>IF(BB$4&lt;=PARAMETER!$X$2,SUMIF('2026'!$F:$F,$B63,'2026'!BA:BA)/PARAMETER!$T$3,"")</f>
        <v/>
      </c>
      <c r="BC63" s="40" t="str">
        <f>IF(BC$4&lt;=PARAMETER!$X$2,SUMIF('2026'!$F:$F,$B63,'2026'!BB:BB)/PARAMETER!$T$3,"")</f>
        <v/>
      </c>
      <c r="BD63" s="40" t="str">
        <f>IF(BD$4&lt;=PARAMETER!$X$2,SUMIF('2026'!$F:$F,$B63,'2026'!BC:BC)/PARAMETER!$T$3,"")</f>
        <v/>
      </c>
      <c r="BE63" s="40" t="str">
        <f>IF(BE$4&lt;=PARAMETER!$X$2,SUMIF('2026'!$F:$F,$B63,'2026'!BD:BD)/PARAMETER!$T$3,"")</f>
        <v/>
      </c>
      <c r="BF63" s="40" t="str">
        <f>IF(BF$4&lt;=PARAMETER!$X$2,SUMIF('2026'!$F:$F,$B63,'2026'!BE:BE)/PARAMETER!$T$3,"")</f>
        <v/>
      </c>
      <c r="BG63" s="40" t="str">
        <f>IF(BG$4&lt;=PARAMETER!$X$2,SUMIF('2026'!$F:$F,$B63,'2026'!BF:BF)/PARAMETER!$T$3,"")</f>
        <v/>
      </c>
      <c r="BH63" s="40" t="str">
        <f>IF(BH$4&lt;=PARAMETER!$X$2,SUMIF('2026'!$F:$F,$B63,'2026'!BG:BG)/PARAMETER!$T$3,"")</f>
        <v/>
      </c>
      <c r="BI63" s="40" t="str">
        <f>IF(BI$4&lt;=PARAMETER!$X$2,SUMIF('2026'!$F:$F,$B63,'2026'!BH:BH)/PARAMETER!$T$3,"")</f>
        <v/>
      </c>
      <c r="BJ63" s="40" t="str">
        <f>IF(BJ$4&lt;=PARAMETER!$X$2,SUMIF('2026'!$F:$F,$B63,'2026'!BI:BI)/PARAMETER!$T$3,"")</f>
        <v/>
      </c>
    </row>
    <row r="64" spans="1:62" x14ac:dyDescent="0.25">
      <c r="A64">
        <f t="shared" si="80"/>
        <v>13</v>
      </c>
      <c r="B64" s="78" t="str">
        <f>CONCATENATE(C64,PARAMETER!T$2)</f>
        <v>VOL</v>
      </c>
      <c r="C64" s="26" t="str">
        <f t="shared" si="81"/>
        <v/>
      </c>
      <c r="D64" s="27" t="s">
        <v>128</v>
      </c>
      <c r="E64" s="35" t="str">
        <f t="shared" si="82"/>
        <v/>
      </c>
      <c r="F64" s="28">
        <f t="shared" si="79"/>
        <v>3</v>
      </c>
      <c r="G64" s="39">
        <f t="shared" si="20"/>
        <v>2025</v>
      </c>
      <c r="H64" s="40">
        <f>IF(H$4&lt;=PARAMETER!$X$2,SUMIF('2025'!$F:$F,$B64,'2025'!G:G)/PARAMETER!$T$3,"")</f>
        <v>0</v>
      </c>
      <c r="I64" s="40">
        <f>IF(I$4&lt;=PARAMETER!$X$2,SUMIF('2025'!$F:$F,$B64,'2025'!H:H)/PARAMETER!$T$3,"")</f>
        <v>0</v>
      </c>
      <c r="J64" s="40">
        <f>IF(J$4&lt;=PARAMETER!$X$2,SUMIF('2025'!$F:$F,$B64,'2025'!I:I)/PARAMETER!$T$3,"")</f>
        <v>0</v>
      </c>
      <c r="K64" s="40">
        <f>IF(K$4&lt;=PARAMETER!$X$2,SUMIF('2025'!$F:$F,$B64,'2025'!J:J)/PARAMETER!$T$3,"")</f>
        <v>0</v>
      </c>
      <c r="L64" s="40">
        <f>IF(L$4&lt;=PARAMETER!$X$2,SUMIF('2025'!$F:$F,$B64,'2025'!K:K)/PARAMETER!$T$3,"")</f>
        <v>0</v>
      </c>
      <c r="M64" s="40">
        <f>IF(M$4&lt;=PARAMETER!$X$2,SUMIF('2025'!$F:$F,$B64,'2025'!L:L)/PARAMETER!$T$3,"")</f>
        <v>0</v>
      </c>
      <c r="N64" s="40">
        <f>IF(N$4&lt;=PARAMETER!$X$2,SUMIF('2025'!$F:$F,$B64,'2025'!M:M)/PARAMETER!$T$3,"")</f>
        <v>0</v>
      </c>
      <c r="O64" s="40">
        <f>IF(O$4&lt;=PARAMETER!$X$2,SUMIF('2025'!$F:$F,$B64,'2025'!N:N)/PARAMETER!$T$3,"")</f>
        <v>0</v>
      </c>
      <c r="P64" s="40">
        <f>IF(P$4&lt;=PARAMETER!$X$2,SUMIF('2025'!$F:$F,$B64,'2025'!O:O)/PARAMETER!$T$3,"")</f>
        <v>0</v>
      </c>
      <c r="Q64" s="40">
        <f>IF(Q$4&lt;=PARAMETER!$X$2,SUMIF('2025'!$F:$F,$B64,'2025'!P:P)/PARAMETER!$T$3,"")</f>
        <v>0</v>
      </c>
      <c r="R64" s="40">
        <f>IF(R$4&lt;=PARAMETER!$X$2,SUMIF('2025'!$F:$F,$B64,'2025'!Q:Q)/PARAMETER!$T$3,"")</f>
        <v>0</v>
      </c>
      <c r="S64" s="40">
        <f>IF(S$4&lt;=PARAMETER!$X$2,SUMIF('2025'!$F:$F,$B64,'2025'!R:R)/PARAMETER!$T$3,"")</f>
        <v>0</v>
      </c>
      <c r="T64" s="40">
        <f>IF(T$4&lt;=PARAMETER!$X$2,SUMIF('2025'!$F:$F,$B64,'2025'!S:S)/PARAMETER!$T$3,"")</f>
        <v>0</v>
      </c>
      <c r="U64" s="40" t="str">
        <f>IF(U$4&lt;=PARAMETER!$X$2,SUMIF('2025'!$F:$F,$B64,'2025'!T:T)/PARAMETER!$T$3,"")</f>
        <v/>
      </c>
      <c r="V64" s="40" t="str">
        <f>IF(V$4&lt;=PARAMETER!$X$2,SUMIF('2025'!$F:$F,$B64,'2025'!U:U)/PARAMETER!$T$3,"")</f>
        <v/>
      </c>
      <c r="W64" s="40" t="str">
        <f>IF(W$4&lt;=PARAMETER!$X$2,SUMIF('2025'!$F:$F,$B64,'2025'!V:V)/PARAMETER!$T$3,"")</f>
        <v/>
      </c>
      <c r="X64" s="40" t="str">
        <f>IF(X$4&lt;=PARAMETER!$X$2,SUMIF('2025'!$F:$F,$B64,'2025'!W:W)/PARAMETER!$T$3,"")</f>
        <v/>
      </c>
      <c r="Y64" s="40" t="str">
        <f>IF(Y$4&lt;=PARAMETER!$X$2,SUMIF('2025'!$F:$F,$B64,'2025'!X:X)/PARAMETER!$T$3,"")</f>
        <v/>
      </c>
      <c r="Z64" s="40" t="str">
        <f>IF(Z$4&lt;=PARAMETER!$X$2,SUMIF('2025'!$F:$F,$B64,'2025'!Y:Y)/PARAMETER!$T$3,"")</f>
        <v/>
      </c>
      <c r="AA64" s="40" t="str">
        <f>IF(AA$4&lt;=PARAMETER!$X$2,SUMIF('2025'!$F:$F,$B64,'2025'!Z:Z)/PARAMETER!$T$3,"")</f>
        <v/>
      </c>
      <c r="AB64" s="40" t="str">
        <f>IF(AB$4&lt;=PARAMETER!$X$2,SUMIF('2025'!$F:$F,$B64,'2025'!AA:AA)/PARAMETER!$T$3,"")</f>
        <v/>
      </c>
      <c r="AC64" s="40" t="str">
        <f>IF(AC$4&lt;=PARAMETER!$X$2,SUMIF('2025'!$F:$F,$B64,'2025'!AB:AB)/PARAMETER!$T$3,"")</f>
        <v/>
      </c>
      <c r="AD64" s="40" t="str">
        <f>IF(AD$4&lt;=PARAMETER!$X$2,SUMIF('2025'!$F:$F,$B64,'2025'!AC:AC)/PARAMETER!$T$3,"")</f>
        <v/>
      </c>
      <c r="AE64" s="40" t="str">
        <f>IF(AE$4&lt;=PARAMETER!$X$2,SUMIF('2025'!$F:$F,$B64,'2025'!AD:AD)/PARAMETER!$T$3,"")</f>
        <v/>
      </c>
      <c r="AF64" s="40" t="str">
        <f>IF(AF$4&lt;=PARAMETER!$X$2,SUMIF('2025'!$F:$F,$B64,'2025'!AE:AE)/PARAMETER!$T$3,"")</f>
        <v/>
      </c>
      <c r="AG64" s="40" t="str">
        <f>IF(AG$4&lt;=PARAMETER!$X$2,SUMIF('2025'!$F:$F,$B64,'2025'!AF:AF)/PARAMETER!$T$3,"")</f>
        <v/>
      </c>
      <c r="AH64" s="40" t="str">
        <f>IF(AH$4&lt;=PARAMETER!$X$2,SUMIF('2025'!$F:$F,$B64,'2025'!AG:AG)/PARAMETER!$T$3,"")</f>
        <v/>
      </c>
      <c r="AI64" s="40" t="str">
        <f>IF(AI$4&lt;=PARAMETER!$X$2,SUMIF('2025'!$F:$F,$B64,'2025'!AH:AH)/PARAMETER!$T$3,"")</f>
        <v/>
      </c>
      <c r="AJ64" s="40" t="str">
        <f>IF(AJ$4&lt;=PARAMETER!$X$2,SUMIF('2025'!$F:$F,$B64,'2025'!AI:AI)/PARAMETER!$T$3,"")</f>
        <v/>
      </c>
      <c r="AK64" s="40" t="str">
        <f>IF(AK$4&lt;=PARAMETER!$X$2,SUMIF('2025'!$F:$F,$B64,'2025'!AJ:AJ)/PARAMETER!$T$3,"")</f>
        <v/>
      </c>
      <c r="AL64" s="40" t="str">
        <f>IF(AL$4&lt;=PARAMETER!$X$2,SUMIF('2025'!$F:$F,$B64,'2025'!AK:AK)/PARAMETER!$T$3,"")</f>
        <v/>
      </c>
      <c r="AM64" s="40" t="str">
        <f>IF(AM$4&lt;=PARAMETER!$X$2,SUMIF('2025'!$F:$F,$B64,'2025'!AL:AL)/PARAMETER!$T$3,"")</f>
        <v/>
      </c>
      <c r="AN64" s="40" t="str">
        <f>IF(AN$4&lt;=PARAMETER!$X$2,SUMIF('2025'!$F:$F,$B64,'2025'!AM:AM)/PARAMETER!$T$3,"")</f>
        <v/>
      </c>
      <c r="AO64" s="40" t="str">
        <f>IF(AO$4&lt;=PARAMETER!$X$2,SUMIF('2025'!$F:$F,$B64,'2025'!AN:AN)/PARAMETER!$T$3,"")</f>
        <v/>
      </c>
      <c r="AP64" s="40" t="str">
        <f>IF(AP$4&lt;=PARAMETER!$X$2,SUMIF('2025'!$F:$F,$B64,'2025'!AO:AO)/PARAMETER!$T$3,"")</f>
        <v/>
      </c>
      <c r="AQ64" s="40" t="str">
        <f>IF(AQ$4&lt;=PARAMETER!$X$2,SUMIF('2025'!$F:$F,$B64,'2025'!AP:AP)/PARAMETER!$T$3,"")</f>
        <v/>
      </c>
      <c r="AR64" s="40" t="str">
        <f>IF(AR$4&lt;=PARAMETER!$X$2,SUMIF('2025'!$F:$F,$B64,'2025'!AQ:AQ)/PARAMETER!$T$3,"")</f>
        <v/>
      </c>
      <c r="AS64" s="40" t="str">
        <f>IF(AS$4&lt;=PARAMETER!$X$2,SUMIF('2025'!$F:$F,$B64,'2025'!AR:AR)/PARAMETER!$T$3,"")</f>
        <v/>
      </c>
      <c r="AT64" s="40" t="str">
        <f>IF(AT$4&lt;=PARAMETER!$X$2,SUMIF('2025'!$F:$F,$B64,'2025'!AS:AS)/PARAMETER!$T$3,"")</f>
        <v/>
      </c>
      <c r="AU64" s="40" t="str">
        <f>IF(AU$4&lt;=PARAMETER!$X$2,SUMIF('2025'!$F:$F,$B64,'2025'!AT:AT)/PARAMETER!$T$3,"")</f>
        <v/>
      </c>
      <c r="AV64" s="40" t="str">
        <f>IF(AV$4&lt;=PARAMETER!$X$2,SUMIF('2025'!$F:$F,$B64,'2025'!AU:AU)/PARAMETER!$T$3,"")</f>
        <v/>
      </c>
      <c r="AW64" s="40" t="str">
        <f>IF(AW$4&lt;=PARAMETER!$X$2,SUMIF('2025'!$F:$F,$B64,'2025'!AV:AV)/PARAMETER!$T$3,"")</f>
        <v/>
      </c>
      <c r="AX64" s="40" t="str">
        <f>IF(AX$4&lt;=PARAMETER!$X$2,SUMIF('2025'!$F:$F,$B64,'2025'!AW:AW)/PARAMETER!$T$3,"")</f>
        <v/>
      </c>
      <c r="AY64" s="40" t="str">
        <f>IF(AY$4&lt;=PARAMETER!$X$2,SUMIF('2025'!$F:$F,$B64,'2025'!AX:AX)/PARAMETER!$T$3,"")</f>
        <v/>
      </c>
      <c r="AZ64" s="40" t="str">
        <f>IF(AZ$4&lt;=PARAMETER!$X$2,SUMIF('2025'!$F:$F,$B64,'2025'!AY:AY)/PARAMETER!$T$3,"")</f>
        <v/>
      </c>
      <c r="BA64" s="40" t="str">
        <f>IF(BA$4&lt;=PARAMETER!$X$2,SUMIF('2025'!$F:$F,$B64,'2025'!AZ:AZ)/PARAMETER!$T$3,"")</f>
        <v/>
      </c>
      <c r="BB64" s="40" t="str">
        <f>IF(BB$4&lt;=PARAMETER!$X$2,SUMIF('2025'!$F:$F,$B64,'2025'!BA:BA)/PARAMETER!$T$3,"")</f>
        <v/>
      </c>
      <c r="BC64" s="40" t="str">
        <f>IF(BC$4&lt;=PARAMETER!$X$2,SUMIF('2025'!$F:$F,$B64,'2025'!BB:BB)/PARAMETER!$T$3,"")</f>
        <v/>
      </c>
      <c r="BD64" s="40" t="str">
        <f>IF(BD$4&lt;=PARAMETER!$X$2,SUMIF('2025'!$F:$F,$B64,'2025'!BC:BC)/PARAMETER!$T$3,"")</f>
        <v/>
      </c>
      <c r="BE64" s="40" t="str">
        <f>IF(BE$4&lt;=PARAMETER!$X$2,SUMIF('2025'!$F:$F,$B64,'2025'!BD:BD)/PARAMETER!$T$3,"")</f>
        <v/>
      </c>
      <c r="BF64" s="40" t="str">
        <f>IF(BF$4&lt;=PARAMETER!$X$2,SUMIF('2025'!$F:$F,$B64,'2025'!BE:BE)/PARAMETER!$T$3,"")</f>
        <v/>
      </c>
      <c r="BG64" s="40" t="str">
        <f>IF(BG$4&lt;=PARAMETER!$X$2,SUMIF('2025'!$F:$F,$B64,'2025'!BF:BF)/PARAMETER!$T$3,"")</f>
        <v/>
      </c>
      <c r="BH64" s="40" t="str">
        <f>IF(BH$4&lt;=PARAMETER!$X$2,SUMIF('2025'!$F:$F,$B64,'2025'!BG:BG)/PARAMETER!$T$3,"")</f>
        <v/>
      </c>
      <c r="BI64" s="40" t="str">
        <f>IF(BI$4&lt;=PARAMETER!$X$2,SUMIF('2025'!$F:$F,$B64,'2025'!BH:BH)/PARAMETER!$T$3,"")</f>
        <v/>
      </c>
      <c r="BJ64" s="40" t="str">
        <f>IF(BJ$4&lt;=PARAMETER!$X$2,SUMIF('2025'!$F:$F,$B64,'2025'!BI:BI)/PARAMETER!$T$3,"")</f>
        <v/>
      </c>
    </row>
    <row r="65" spans="1:62" x14ac:dyDescent="0.25">
      <c r="A65">
        <f t="shared" ref="A65" si="83">A63</f>
        <v>13</v>
      </c>
      <c r="B65" s="78" t="str">
        <f>CONCATENATE(C65,PARAMETER!T$2)</f>
        <v>VOL</v>
      </c>
      <c r="C65" s="26" t="str">
        <f t="shared" si="81"/>
        <v/>
      </c>
      <c r="D65" s="67"/>
      <c r="E65" s="68"/>
      <c r="F65" s="69"/>
      <c r="G65" s="70">
        <f t="shared" si="20"/>
        <v>2024</v>
      </c>
      <c r="H65" s="71">
        <f>IF(H$4&lt;=PARAMETER!$X$2,SUMIF('2024'!$F:$F,$B65,'2024'!G:G)/PARAMETER!$T$3,"")</f>
        <v>0</v>
      </c>
      <c r="I65" s="71">
        <f>IF(I$4&lt;=PARAMETER!$X$2,SUMIF('2024'!$F:$F,$B65,'2024'!H:H)/PARAMETER!$T$3,"")</f>
        <v>0</v>
      </c>
      <c r="J65" s="71">
        <f>IF(J$4&lt;=PARAMETER!$X$2,SUMIF('2024'!$F:$F,$B65,'2024'!I:I)/PARAMETER!$T$3,"")</f>
        <v>0</v>
      </c>
      <c r="K65" s="71">
        <f>IF(K$4&lt;=PARAMETER!$X$2,SUMIF('2024'!$F:$F,$B65,'2024'!J:J)/PARAMETER!$T$3,"")</f>
        <v>0</v>
      </c>
      <c r="L65" s="71">
        <f>IF(L$4&lt;=PARAMETER!$X$2,SUMIF('2024'!$F:$F,$B65,'2024'!K:K)/PARAMETER!$T$3,"")</f>
        <v>0</v>
      </c>
      <c r="M65" s="71">
        <f>IF(M$4&lt;=PARAMETER!$X$2,SUMIF('2024'!$F:$F,$B65,'2024'!L:L)/PARAMETER!$T$3,"")</f>
        <v>0</v>
      </c>
      <c r="N65" s="71">
        <f>IF(N$4&lt;=PARAMETER!$X$2,SUMIF('2024'!$F:$F,$B65,'2024'!M:M)/PARAMETER!$T$3,"")</f>
        <v>0</v>
      </c>
      <c r="O65" s="71">
        <f>IF(O$4&lt;=PARAMETER!$X$2,SUMIF('2024'!$F:$F,$B65,'2024'!N:N)/PARAMETER!$T$3,"")</f>
        <v>0</v>
      </c>
      <c r="P65" s="71">
        <f>IF(P$4&lt;=PARAMETER!$X$2,SUMIF('2024'!$F:$F,$B65,'2024'!O:O)/PARAMETER!$T$3,"")</f>
        <v>0</v>
      </c>
      <c r="Q65" s="71">
        <f>IF(Q$4&lt;=PARAMETER!$X$2,SUMIF('2024'!$F:$F,$B65,'2024'!P:P)/PARAMETER!$T$3,"")</f>
        <v>0</v>
      </c>
      <c r="R65" s="71">
        <f>IF(R$4&lt;=PARAMETER!$X$2,SUMIF('2024'!$F:$F,$B65,'2024'!Q:Q)/PARAMETER!$T$3,"")</f>
        <v>0</v>
      </c>
      <c r="S65" s="71">
        <f>IF(S$4&lt;=PARAMETER!$X$2,SUMIF('2024'!$F:$F,$B65,'2024'!R:R)/PARAMETER!$T$3,"")</f>
        <v>0</v>
      </c>
      <c r="T65" s="71">
        <f>IF(T$4&lt;=PARAMETER!$X$2,SUMIF('2024'!$F:$F,$B65,'2024'!S:S)/PARAMETER!$T$3,"")</f>
        <v>0</v>
      </c>
      <c r="U65" s="71" t="str">
        <f>IF(U$4&lt;=PARAMETER!$X$2,SUMIF('2024'!$F:$F,$B65,'2024'!T:T)/PARAMETER!$T$3,"")</f>
        <v/>
      </c>
      <c r="V65" s="71" t="str">
        <f>IF(V$4&lt;=PARAMETER!$X$2,SUMIF('2024'!$F:$F,$B65,'2024'!U:U)/PARAMETER!$T$3,"")</f>
        <v/>
      </c>
      <c r="W65" s="71" t="str">
        <f>IF(W$4&lt;=PARAMETER!$X$2,SUMIF('2024'!$F:$F,$B65,'2024'!V:V)/PARAMETER!$T$3,"")</f>
        <v/>
      </c>
      <c r="X65" s="71" t="str">
        <f>IF(X$4&lt;=PARAMETER!$X$2,SUMIF('2024'!$F:$F,$B65,'2024'!W:W)/PARAMETER!$T$3,"")</f>
        <v/>
      </c>
      <c r="Y65" s="71" t="str">
        <f>IF(Y$4&lt;=PARAMETER!$X$2,SUMIF('2024'!$F:$F,$B65,'2024'!X:X)/PARAMETER!$T$3,"")</f>
        <v/>
      </c>
      <c r="Z65" s="71" t="str">
        <f>IF(Z$4&lt;=PARAMETER!$X$2,SUMIF('2024'!$F:$F,$B65,'2024'!Y:Y)/PARAMETER!$T$3,"")</f>
        <v/>
      </c>
      <c r="AA65" s="71" t="str">
        <f>IF(AA$4&lt;=PARAMETER!$X$2,SUMIF('2024'!$F:$F,$B65,'2024'!Z:Z)/PARAMETER!$T$3,"")</f>
        <v/>
      </c>
      <c r="AB65" s="71" t="str">
        <f>IF(AB$4&lt;=PARAMETER!$X$2,SUMIF('2024'!$F:$F,$B65,'2024'!AA:AA)/PARAMETER!$T$3,"")</f>
        <v/>
      </c>
      <c r="AC65" s="71" t="str">
        <f>IF(AC$4&lt;=PARAMETER!$X$2,SUMIF('2024'!$F:$F,$B65,'2024'!AB:AB)/PARAMETER!$T$3,"")</f>
        <v/>
      </c>
      <c r="AD65" s="71" t="str">
        <f>IF(AD$4&lt;=PARAMETER!$X$2,SUMIF('2024'!$F:$F,$B65,'2024'!AC:AC)/PARAMETER!$T$3,"")</f>
        <v/>
      </c>
      <c r="AE65" s="71" t="str">
        <f>IF(AE$4&lt;=PARAMETER!$X$2,SUMIF('2024'!$F:$F,$B65,'2024'!AD:AD)/PARAMETER!$T$3,"")</f>
        <v/>
      </c>
      <c r="AF65" s="71" t="str">
        <f>IF(AF$4&lt;=PARAMETER!$X$2,SUMIF('2024'!$F:$F,$B65,'2024'!AE:AE)/PARAMETER!$T$3,"")</f>
        <v/>
      </c>
      <c r="AG65" s="71" t="str">
        <f>IF(AG$4&lt;=PARAMETER!$X$2,SUMIF('2024'!$F:$F,$B65,'2024'!AF:AF)/PARAMETER!$T$3,"")</f>
        <v/>
      </c>
      <c r="AH65" s="71" t="str">
        <f>IF(AH$4&lt;=PARAMETER!$X$2,SUMIF('2024'!$F:$F,$B65,'2024'!AG:AG)/PARAMETER!$T$3,"")</f>
        <v/>
      </c>
      <c r="AI65" s="71" t="str">
        <f>IF(AI$4&lt;=PARAMETER!$X$2,SUMIF('2024'!$F:$F,$B65,'2024'!AH:AH)/PARAMETER!$T$3,"")</f>
        <v/>
      </c>
      <c r="AJ65" s="71" t="str">
        <f>IF(AJ$4&lt;=PARAMETER!$X$2,SUMIF('2024'!$F:$F,$B65,'2024'!AI:AI)/PARAMETER!$T$3,"")</f>
        <v/>
      </c>
      <c r="AK65" s="71" t="str">
        <f>IF(AK$4&lt;=PARAMETER!$X$2,SUMIF('2024'!$F:$F,$B65,'2024'!AJ:AJ)/PARAMETER!$T$3,"")</f>
        <v/>
      </c>
      <c r="AL65" s="71" t="str">
        <f>IF(AL$4&lt;=PARAMETER!$X$2,SUMIF('2024'!$F:$F,$B65,'2024'!AK:AK)/PARAMETER!$T$3,"")</f>
        <v/>
      </c>
      <c r="AM65" s="71" t="str">
        <f>IF(AM$4&lt;=PARAMETER!$X$2,SUMIF('2024'!$F:$F,$B65,'2024'!AL:AL)/PARAMETER!$T$3,"")</f>
        <v/>
      </c>
      <c r="AN65" s="71" t="str">
        <f>IF(AN$4&lt;=PARAMETER!$X$2,SUMIF('2024'!$F:$F,$B65,'2024'!AM:AM)/PARAMETER!$T$3,"")</f>
        <v/>
      </c>
      <c r="AO65" s="71" t="str">
        <f>IF(AO$4&lt;=PARAMETER!$X$2,SUMIF('2024'!$F:$F,$B65,'2024'!AN:AN)/PARAMETER!$T$3,"")</f>
        <v/>
      </c>
      <c r="AP65" s="71" t="str">
        <f>IF(AP$4&lt;=PARAMETER!$X$2,SUMIF('2024'!$F:$F,$B65,'2024'!AO:AO)/PARAMETER!$T$3,"")</f>
        <v/>
      </c>
      <c r="AQ65" s="71" t="str">
        <f>IF(AQ$4&lt;=PARAMETER!$X$2,SUMIF('2024'!$F:$F,$B65,'2024'!AP:AP)/PARAMETER!$T$3,"")</f>
        <v/>
      </c>
      <c r="AR65" s="71" t="str">
        <f>IF(AR$4&lt;=PARAMETER!$X$2,SUMIF('2024'!$F:$F,$B65,'2024'!AQ:AQ)/PARAMETER!$T$3,"")</f>
        <v/>
      </c>
      <c r="AS65" s="71" t="str">
        <f>IF(AS$4&lt;=PARAMETER!$X$2,SUMIF('2024'!$F:$F,$B65,'2024'!AR:AR)/PARAMETER!$T$3,"")</f>
        <v/>
      </c>
      <c r="AT65" s="71" t="str">
        <f>IF(AT$4&lt;=PARAMETER!$X$2,SUMIF('2024'!$F:$F,$B65,'2024'!AS:AS)/PARAMETER!$T$3,"")</f>
        <v/>
      </c>
      <c r="AU65" s="71" t="str">
        <f>IF(AU$4&lt;=PARAMETER!$X$2,SUMIF('2024'!$F:$F,$B65,'2024'!AT:AT)/PARAMETER!$T$3,"")</f>
        <v/>
      </c>
      <c r="AV65" s="71" t="str">
        <f>IF(AV$4&lt;=PARAMETER!$X$2,SUMIF('2024'!$F:$F,$B65,'2024'!AU:AU)/PARAMETER!$T$3,"")</f>
        <v/>
      </c>
      <c r="AW65" s="71" t="str">
        <f>IF(AW$4&lt;=PARAMETER!$X$2,SUMIF('2024'!$F:$F,$B65,'2024'!AV:AV)/PARAMETER!$T$3,"")</f>
        <v/>
      </c>
      <c r="AX65" s="71" t="str">
        <f>IF(AX$4&lt;=PARAMETER!$X$2,SUMIF('2024'!$F:$F,$B65,'2024'!AW:AW)/PARAMETER!$T$3,"")</f>
        <v/>
      </c>
      <c r="AY65" s="71" t="str">
        <f>IF(AY$4&lt;=PARAMETER!$X$2,SUMIF('2024'!$F:$F,$B65,'2024'!AX:AX)/PARAMETER!$T$3,"")</f>
        <v/>
      </c>
      <c r="AZ65" s="71" t="str">
        <f>IF(AZ$4&lt;=PARAMETER!$X$2,SUMIF('2024'!$F:$F,$B65,'2024'!AY:AY)/PARAMETER!$T$3,"")</f>
        <v/>
      </c>
      <c r="BA65" s="71" t="str">
        <f>IF(BA$4&lt;=PARAMETER!$X$2,SUMIF('2024'!$F:$F,$B65,'2024'!AZ:AZ)/PARAMETER!$T$3,"")</f>
        <v/>
      </c>
      <c r="BB65" s="71" t="str">
        <f>IF(BB$4&lt;=PARAMETER!$X$2,SUMIF('2024'!$F:$F,$B65,'2024'!BA:BA)/PARAMETER!$T$3,"")</f>
        <v/>
      </c>
      <c r="BC65" s="71" t="str">
        <f>IF(BC$4&lt;=PARAMETER!$X$2,SUMIF('2024'!$F:$F,$B65,'2024'!BB:BB)/PARAMETER!$T$3,"")</f>
        <v/>
      </c>
      <c r="BD65" s="71" t="str">
        <f>IF(BD$4&lt;=PARAMETER!$X$2,SUMIF('2024'!$F:$F,$B65,'2024'!BC:BC)/PARAMETER!$T$3,"")</f>
        <v/>
      </c>
      <c r="BE65" s="71" t="str">
        <f>IF(BE$4&lt;=PARAMETER!$X$2,SUMIF('2024'!$F:$F,$B65,'2024'!BD:BD)/PARAMETER!$T$3,"")</f>
        <v/>
      </c>
      <c r="BF65" s="71" t="str">
        <f>IF(BF$4&lt;=PARAMETER!$X$2,SUMIF('2024'!$F:$F,$B65,'2024'!BE:BE)/PARAMETER!$T$3,"")</f>
        <v/>
      </c>
      <c r="BG65" s="71" t="str">
        <f>IF(BG$4&lt;=PARAMETER!$X$2,SUMIF('2024'!$F:$F,$B65,'2024'!BF:BF)/PARAMETER!$T$3,"")</f>
        <v/>
      </c>
      <c r="BH65" s="71" t="str">
        <f>IF(BH$4&lt;=PARAMETER!$X$2,SUMIF('2024'!$F:$F,$B65,'2024'!BG:BG)/PARAMETER!$T$3,"")</f>
        <v/>
      </c>
      <c r="BI65" s="71" t="str">
        <f>IF(BI$4&lt;=PARAMETER!$X$2,SUMIF('2024'!$F:$F,$B65,'2024'!BH:BH)/PARAMETER!$T$3,"")</f>
        <v/>
      </c>
      <c r="BJ65" s="71" t="str">
        <f>IF(BJ$4&lt;=PARAMETER!$X$2,SUMIF('2024'!$F:$F,$B65,'2024'!BI:BI)/PARAMETER!$T$3,"")</f>
        <v/>
      </c>
    </row>
    <row r="66" spans="1:62" x14ac:dyDescent="0.25">
      <c r="A66">
        <v>14</v>
      </c>
      <c r="B66" s="78" t="str">
        <f>CONCATENATE(C66,PARAMETER!T$2)</f>
        <v>VOL</v>
      </c>
      <c r="C66" s="21" t="str">
        <f>IFERROR(VLOOKUP(A66,PARAMETER!K$2:M74,3,0),"")</f>
        <v/>
      </c>
      <c r="D66" s="22" t="s">
        <v>127</v>
      </c>
      <c r="E66" s="37" t="str">
        <f t="shared" ref="E66" si="84">IFERROR(I67/I66,"")</f>
        <v/>
      </c>
      <c r="F66" s="23">
        <f t="shared" ref="F66:F68" si="85">IFERROR(IF(E66&gt;300%,300%,E66),"")</f>
        <v>3</v>
      </c>
      <c r="G66" s="24" t="str">
        <f t="shared" si="20"/>
        <v>Target</v>
      </c>
      <c r="H66" s="25">
        <f>IF(H$4&lt;=PARAMETER!$X$2,SUMIF('2026 T'!$F:$F,$B66,'2026 T'!G:G)/PARAMETER!$T$3,"")</f>
        <v>0</v>
      </c>
      <c r="I66" s="25">
        <f>IF(I$4&lt;=PARAMETER!$X$2,SUMIF('2026 T'!$F:$F,$B66,'2026 T'!H:H)/PARAMETER!$T$3,"")</f>
        <v>0</v>
      </c>
      <c r="J66" s="25">
        <f>IF(J$4&lt;=PARAMETER!$X$2,SUMIF('2026 T'!$F:$F,$B66,'2026 T'!I:I)/PARAMETER!$T$3,"")</f>
        <v>0</v>
      </c>
      <c r="K66" s="25">
        <f>IF(K$4&lt;=PARAMETER!$X$2,SUMIF('2026 T'!$F:$F,$B66,'2026 T'!J:J)/PARAMETER!$T$3,"")</f>
        <v>0</v>
      </c>
      <c r="L66" s="25">
        <f>IF(L$4&lt;=PARAMETER!$X$2,SUMIF('2026 T'!$F:$F,$B66,'2026 T'!K:K)/PARAMETER!$T$3,"")</f>
        <v>0</v>
      </c>
      <c r="M66" s="25">
        <f>IF(M$4&lt;=PARAMETER!$X$2,SUMIF('2026 T'!$F:$F,$B66,'2026 T'!L:L)/PARAMETER!$T$3,"")</f>
        <v>0</v>
      </c>
      <c r="N66" s="25">
        <f>IF(N$4&lt;=PARAMETER!$X$2,SUMIF('2026 T'!$F:$F,$B66,'2026 T'!M:M)/PARAMETER!$T$3,"")</f>
        <v>0</v>
      </c>
      <c r="O66" s="25">
        <f>IF(O$4&lt;=PARAMETER!$X$2,SUMIF('2026 T'!$F:$F,$B66,'2026 T'!N:N)/PARAMETER!$T$3,"")</f>
        <v>0</v>
      </c>
      <c r="P66" s="25">
        <f>IF(P$4&lt;=PARAMETER!$X$2,SUMIF('2026 T'!$F:$F,$B66,'2026 T'!O:O)/PARAMETER!$T$3,"")</f>
        <v>0</v>
      </c>
      <c r="Q66" s="25">
        <f>IF(Q$4&lt;=PARAMETER!$X$2,SUMIF('2026 T'!$F:$F,$B66,'2026 T'!P:P)/PARAMETER!$T$3,"")</f>
        <v>0</v>
      </c>
      <c r="R66" s="25">
        <f>IF(R$4&lt;=PARAMETER!$X$2,SUMIF('2026 T'!$F:$F,$B66,'2026 T'!Q:Q)/PARAMETER!$T$3,"")</f>
        <v>0</v>
      </c>
      <c r="S66" s="25">
        <f>IF(S$4&lt;=PARAMETER!$X$2,SUMIF('2026 T'!$F:$F,$B66,'2026 T'!R:R)/PARAMETER!$T$3,"")</f>
        <v>0</v>
      </c>
      <c r="T66" s="25">
        <f>IF(T$4&lt;=PARAMETER!$X$2,SUMIF('2026 T'!$F:$F,$B66,'2026 T'!S:S)/PARAMETER!$T$3,"")</f>
        <v>0</v>
      </c>
      <c r="U66" s="25" t="str">
        <f>IF(U$4&lt;=PARAMETER!$X$2,SUMIF('2026 T'!$F:$F,$B66,'2026 T'!T:T)/PARAMETER!$T$3,"")</f>
        <v/>
      </c>
      <c r="V66" s="25" t="str">
        <f>IF(V$4&lt;=PARAMETER!$X$2,SUMIF('2026 T'!$F:$F,$B66,'2026 T'!U:U)/PARAMETER!$T$3,"")</f>
        <v/>
      </c>
      <c r="W66" s="25" t="str">
        <f>IF(W$4&lt;=PARAMETER!$X$2,SUMIF('2026 T'!$F:$F,$B66,'2026 T'!V:V)/PARAMETER!$T$3,"")</f>
        <v/>
      </c>
      <c r="X66" s="25" t="str">
        <f>IF(X$4&lt;=PARAMETER!$X$2,SUMIF('2026 T'!$F:$F,$B66,'2026 T'!W:W)/PARAMETER!$T$3,"")</f>
        <v/>
      </c>
      <c r="Y66" s="25" t="str">
        <f>IF(Y$4&lt;=PARAMETER!$X$2,SUMIF('2026 T'!$F:$F,$B66,'2026 T'!X:X)/PARAMETER!$T$3,"")</f>
        <v/>
      </c>
      <c r="Z66" s="25" t="str">
        <f>IF(Z$4&lt;=PARAMETER!$X$2,SUMIF('2026 T'!$F:$F,$B66,'2026 T'!Y:Y)/PARAMETER!$T$3,"")</f>
        <v/>
      </c>
      <c r="AA66" s="25" t="str">
        <f>IF(AA$4&lt;=PARAMETER!$X$2,SUMIF('2026 T'!$F:$F,$B66,'2026 T'!Z:Z)/PARAMETER!$T$3,"")</f>
        <v/>
      </c>
      <c r="AB66" s="25" t="str">
        <f>IF(AB$4&lt;=PARAMETER!$X$2,SUMIF('2026 T'!$F:$F,$B66,'2026 T'!AA:AA)/PARAMETER!$T$3,"")</f>
        <v/>
      </c>
      <c r="AC66" s="25" t="str">
        <f>IF(AC$4&lt;=PARAMETER!$X$2,SUMIF('2026 T'!$F:$F,$B66,'2026 T'!AB:AB)/PARAMETER!$T$3,"")</f>
        <v/>
      </c>
      <c r="AD66" s="25" t="str">
        <f>IF(AD$4&lt;=PARAMETER!$X$2,SUMIF('2026 T'!$F:$F,$B66,'2026 T'!AC:AC)/PARAMETER!$T$3,"")</f>
        <v/>
      </c>
      <c r="AE66" s="25" t="str">
        <f>IF(AE$4&lt;=PARAMETER!$X$2,SUMIF('2026 T'!$F:$F,$B66,'2026 T'!AD:AD)/PARAMETER!$T$3,"")</f>
        <v/>
      </c>
      <c r="AF66" s="25" t="str">
        <f>IF(AF$4&lt;=PARAMETER!$X$2,SUMIF('2026 T'!$F:$F,$B66,'2026 T'!AE:AE)/PARAMETER!$T$3,"")</f>
        <v/>
      </c>
      <c r="AG66" s="25" t="str">
        <f>IF(AG$4&lt;=PARAMETER!$X$2,SUMIF('2026 T'!$F:$F,$B66,'2026 T'!AF:AF)/PARAMETER!$T$3,"")</f>
        <v/>
      </c>
      <c r="AH66" s="25" t="str">
        <f>IF(AH$4&lt;=PARAMETER!$X$2,SUMIF('2026 T'!$F:$F,$B66,'2026 T'!AG:AG)/PARAMETER!$T$3,"")</f>
        <v/>
      </c>
      <c r="AI66" s="25" t="str">
        <f>IF(AI$4&lt;=PARAMETER!$X$2,SUMIF('2026 T'!$F:$F,$B66,'2026 T'!AH:AH)/PARAMETER!$T$3,"")</f>
        <v/>
      </c>
      <c r="AJ66" s="25" t="str">
        <f>IF(AJ$4&lt;=PARAMETER!$X$2,SUMIF('2026 T'!$F:$F,$B66,'2026 T'!AI:AI)/PARAMETER!$T$3,"")</f>
        <v/>
      </c>
      <c r="AK66" s="25" t="str">
        <f>IF(AK$4&lt;=PARAMETER!$X$2,SUMIF('2026 T'!$F:$F,$B66,'2026 T'!AJ:AJ)/PARAMETER!$T$3,"")</f>
        <v/>
      </c>
      <c r="AL66" s="25" t="str">
        <f>IF(AL$4&lt;=PARAMETER!$X$2,SUMIF('2026 T'!$F:$F,$B66,'2026 T'!AK:AK)/PARAMETER!$T$3,"")</f>
        <v/>
      </c>
      <c r="AM66" s="25" t="str">
        <f>IF(AM$4&lt;=PARAMETER!$X$2,SUMIF('2026 T'!$F:$F,$B66,'2026 T'!AL:AL)/PARAMETER!$T$3,"")</f>
        <v/>
      </c>
      <c r="AN66" s="25" t="str">
        <f>IF(AN$4&lt;=PARAMETER!$X$2,SUMIF('2026 T'!$F:$F,$B66,'2026 T'!AM:AM)/PARAMETER!$T$3,"")</f>
        <v/>
      </c>
      <c r="AO66" s="25" t="str">
        <f>IF(AO$4&lt;=PARAMETER!$X$2,SUMIF('2026 T'!$F:$F,$B66,'2026 T'!AN:AN)/PARAMETER!$T$3,"")</f>
        <v/>
      </c>
      <c r="AP66" s="25" t="str">
        <f>IF(AP$4&lt;=PARAMETER!$X$2,SUMIF('2026 T'!$F:$F,$B66,'2026 T'!AO:AO)/PARAMETER!$T$3,"")</f>
        <v/>
      </c>
      <c r="AQ66" s="25" t="str">
        <f>IF(AQ$4&lt;=PARAMETER!$X$2,SUMIF('2026 T'!$F:$F,$B66,'2026 T'!AP:AP)/PARAMETER!$T$3,"")</f>
        <v/>
      </c>
      <c r="AR66" s="25" t="str">
        <f>IF(AR$4&lt;=PARAMETER!$X$2,SUMIF('2026 T'!$F:$F,$B66,'2026 T'!AQ:AQ)/PARAMETER!$T$3,"")</f>
        <v/>
      </c>
      <c r="AS66" s="25" t="str">
        <f>IF(AS$4&lt;=PARAMETER!$X$2,SUMIF('2026 T'!$F:$F,$B66,'2026 T'!AR:AR)/PARAMETER!$T$3,"")</f>
        <v/>
      </c>
      <c r="AT66" s="25" t="str">
        <f>IF(AT$4&lt;=PARAMETER!$X$2,SUMIF('2026 T'!$F:$F,$B66,'2026 T'!AS:AS)/PARAMETER!$T$3,"")</f>
        <v/>
      </c>
      <c r="AU66" s="25" t="str">
        <f>IF(AU$4&lt;=PARAMETER!$X$2,SUMIF('2026 T'!$F:$F,$B66,'2026 T'!AT:AT)/PARAMETER!$T$3,"")</f>
        <v/>
      </c>
      <c r="AV66" s="25" t="str">
        <f>IF(AV$4&lt;=PARAMETER!$X$2,SUMIF('2026 T'!$F:$F,$B66,'2026 T'!AU:AU)/PARAMETER!$T$3,"")</f>
        <v/>
      </c>
      <c r="AW66" s="25" t="str">
        <f>IF(AW$4&lt;=PARAMETER!$X$2,SUMIF('2026 T'!$F:$F,$B66,'2026 T'!AV:AV)/PARAMETER!$T$3,"")</f>
        <v/>
      </c>
      <c r="AX66" s="25" t="str">
        <f>IF(AX$4&lt;=PARAMETER!$X$2,SUMIF('2026 T'!$F:$F,$B66,'2026 T'!AW:AW)/PARAMETER!$T$3,"")</f>
        <v/>
      </c>
      <c r="AY66" s="25" t="str">
        <f>IF(AY$4&lt;=PARAMETER!$X$2,SUMIF('2026 T'!$F:$F,$B66,'2026 T'!AX:AX)/PARAMETER!$T$3,"")</f>
        <v/>
      </c>
      <c r="AZ66" s="25" t="str">
        <f>IF(AZ$4&lt;=PARAMETER!$X$2,SUMIF('2026 T'!$F:$F,$B66,'2026 T'!AY:AY)/PARAMETER!$T$3,"")</f>
        <v/>
      </c>
      <c r="BA66" s="25" t="str">
        <f>IF(BA$4&lt;=PARAMETER!$X$2,SUMIF('2026 T'!$F:$F,$B66,'2026 T'!AZ:AZ)/PARAMETER!$T$3,"")</f>
        <v/>
      </c>
      <c r="BB66" s="25" t="str">
        <f>IF(BB$4&lt;=PARAMETER!$X$2,SUMIF('2026 T'!$F:$F,$B66,'2026 T'!BA:BA)/PARAMETER!$T$3,"")</f>
        <v/>
      </c>
      <c r="BC66" s="25" t="str">
        <f>IF(BC$4&lt;=PARAMETER!$X$2,SUMIF('2026 T'!$F:$F,$B66,'2026 T'!BB:BB)/PARAMETER!$T$3,"")</f>
        <v/>
      </c>
      <c r="BD66" s="25" t="str">
        <f>IF(BD$4&lt;=PARAMETER!$X$2,SUMIF('2026 T'!$F:$F,$B66,'2026 T'!BC:BC)/PARAMETER!$T$3,"")</f>
        <v/>
      </c>
      <c r="BE66" s="25" t="str">
        <f>IF(BE$4&lt;=PARAMETER!$X$2,SUMIF('2026 T'!$F:$F,$B66,'2026 T'!BD:BD)/PARAMETER!$T$3,"")</f>
        <v/>
      </c>
      <c r="BF66" s="25" t="str">
        <f>IF(BF$4&lt;=PARAMETER!$X$2,SUMIF('2026 T'!$F:$F,$B66,'2026 T'!BE:BE)/PARAMETER!$T$3,"")</f>
        <v/>
      </c>
      <c r="BG66" s="25" t="str">
        <f>IF(BG$4&lt;=PARAMETER!$X$2,SUMIF('2026 T'!$F:$F,$B66,'2026 T'!BF:BF)/PARAMETER!$T$3,"")</f>
        <v/>
      </c>
      <c r="BH66" s="25" t="str">
        <f>IF(BH$4&lt;=PARAMETER!$X$2,SUMIF('2026 T'!$F:$F,$B66,'2026 T'!BG:BG)/PARAMETER!$T$3,"")</f>
        <v/>
      </c>
      <c r="BI66" s="25" t="str">
        <f>IF(BI$4&lt;=PARAMETER!$X$2,SUMIF('2026 T'!$F:$F,$B66,'2026 T'!BH:BH)/PARAMETER!$T$3,"")</f>
        <v/>
      </c>
      <c r="BJ66" s="25" t="str">
        <f>IF(BJ$4&lt;=PARAMETER!$X$2,SUMIF('2026 T'!$F:$F,$B66,'2026 T'!BI:BI)/PARAMETER!$T$3,"")</f>
        <v/>
      </c>
    </row>
    <row r="67" spans="1:62" x14ac:dyDescent="0.25">
      <c r="A67">
        <f t="shared" ref="A67:A68" si="86">A66</f>
        <v>14</v>
      </c>
      <c r="B67" s="78" t="str">
        <f>CONCATENATE(C67,PARAMETER!T$2)</f>
        <v>VOL</v>
      </c>
      <c r="C67" s="26" t="str">
        <f t="shared" ref="C67:C69" si="87">C66</f>
        <v/>
      </c>
      <c r="D67" s="27" t="s">
        <v>128</v>
      </c>
      <c r="E67" s="35" t="str">
        <f t="shared" ref="E67:E68" si="88">IFERROR(I67/I68-1,"")</f>
        <v/>
      </c>
      <c r="F67" s="28">
        <f t="shared" si="85"/>
        <v>3</v>
      </c>
      <c r="G67" s="39">
        <f t="shared" si="20"/>
        <v>2026</v>
      </c>
      <c r="H67" s="40">
        <f>IF(H$4&lt;=PARAMETER!$X$2,SUMIF('2026'!$F:$F,$B67,'2026'!G:G)/PARAMETER!$T$3,"")</f>
        <v>0</v>
      </c>
      <c r="I67" s="40">
        <f>IF(I$4&lt;=PARAMETER!$X$2,SUMIF('2026'!$F:$F,$B67,'2026'!H:H)/PARAMETER!$T$3,"")</f>
        <v>0</v>
      </c>
      <c r="J67" s="40">
        <f>IF(J$4&lt;=PARAMETER!$X$2,SUMIF('2026'!$F:$F,$B67,'2026'!I:I)/PARAMETER!$T$3,"")</f>
        <v>0</v>
      </c>
      <c r="K67" s="40">
        <f>IF(K$4&lt;=PARAMETER!$X$2,SUMIF('2026'!$F:$F,$B67,'2026'!J:J)/PARAMETER!$T$3,"")</f>
        <v>0</v>
      </c>
      <c r="L67" s="40">
        <f>IF(L$4&lt;=PARAMETER!$X$2,SUMIF('2026'!$F:$F,$B67,'2026'!K:K)/PARAMETER!$T$3,"")</f>
        <v>0</v>
      </c>
      <c r="M67" s="40">
        <f>IF(M$4&lt;=PARAMETER!$X$2,SUMIF('2026'!$F:$F,$B67,'2026'!L:L)/PARAMETER!$T$3,"")</f>
        <v>0</v>
      </c>
      <c r="N67" s="40">
        <f>IF(N$4&lt;=PARAMETER!$X$2,SUMIF('2026'!$F:$F,$B67,'2026'!M:M)/PARAMETER!$T$3,"")</f>
        <v>0</v>
      </c>
      <c r="O67" s="40">
        <f>IF(O$4&lt;=PARAMETER!$X$2,SUMIF('2026'!$F:$F,$B67,'2026'!N:N)/PARAMETER!$T$3,"")</f>
        <v>0</v>
      </c>
      <c r="P67" s="40">
        <f>IF(P$4&lt;=PARAMETER!$X$2,SUMIF('2026'!$F:$F,$B67,'2026'!O:O)/PARAMETER!$T$3,"")</f>
        <v>0</v>
      </c>
      <c r="Q67" s="40">
        <f>IF(Q$4&lt;=PARAMETER!$X$2,SUMIF('2026'!$F:$F,$B67,'2026'!P:P)/PARAMETER!$T$3,"")</f>
        <v>0</v>
      </c>
      <c r="R67" s="40">
        <f>IF(R$4&lt;=PARAMETER!$X$2,SUMIF('2026'!$F:$F,$B67,'2026'!Q:Q)/PARAMETER!$T$3,"")</f>
        <v>0</v>
      </c>
      <c r="S67" s="40">
        <f>IF(S$4&lt;=PARAMETER!$X$2,SUMIF('2026'!$F:$F,$B67,'2026'!R:R)/PARAMETER!$T$3,"")</f>
        <v>0</v>
      </c>
      <c r="T67" s="40">
        <f>IF(T$4&lt;=PARAMETER!$X$2,SUMIF('2026'!$F:$F,$B67,'2026'!S:S)/PARAMETER!$T$3,"")</f>
        <v>0</v>
      </c>
      <c r="U67" s="40" t="str">
        <f>IF(U$4&lt;=PARAMETER!$X$2,SUMIF('2026'!$F:$F,$B67,'2026'!T:T)/PARAMETER!$T$3,"")</f>
        <v/>
      </c>
      <c r="V67" s="40" t="str">
        <f>IF(V$4&lt;=PARAMETER!$X$2,SUMIF('2026'!$F:$F,$B67,'2026'!U:U)/PARAMETER!$T$3,"")</f>
        <v/>
      </c>
      <c r="W67" s="40" t="str">
        <f>IF(W$4&lt;=PARAMETER!$X$2,SUMIF('2026'!$F:$F,$B67,'2026'!V:V)/PARAMETER!$T$3,"")</f>
        <v/>
      </c>
      <c r="X67" s="40" t="str">
        <f>IF(X$4&lt;=PARAMETER!$X$2,SUMIF('2026'!$F:$F,$B67,'2026'!W:W)/PARAMETER!$T$3,"")</f>
        <v/>
      </c>
      <c r="Y67" s="40" t="str">
        <f>IF(Y$4&lt;=PARAMETER!$X$2,SUMIF('2026'!$F:$F,$B67,'2026'!X:X)/PARAMETER!$T$3,"")</f>
        <v/>
      </c>
      <c r="Z67" s="40" t="str">
        <f>IF(Z$4&lt;=PARAMETER!$X$2,SUMIF('2026'!$F:$F,$B67,'2026'!Y:Y)/PARAMETER!$T$3,"")</f>
        <v/>
      </c>
      <c r="AA67" s="40" t="str">
        <f>IF(AA$4&lt;=PARAMETER!$X$2,SUMIF('2026'!$F:$F,$B67,'2026'!Z:Z)/PARAMETER!$T$3,"")</f>
        <v/>
      </c>
      <c r="AB67" s="40" t="str">
        <f>IF(AB$4&lt;=PARAMETER!$X$2,SUMIF('2026'!$F:$F,$B67,'2026'!AA:AA)/PARAMETER!$T$3,"")</f>
        <v/>
      </c>
      <c r="AC67" s="40" t="str">
        <f>IF(AC$4&lt;=PARAMETER!$X$2,SUMIF('2026'!$F:$F,$B67,'2026'!AB:AB)/PARAMETER!$T$3,"")</f>
        <v/>
      </c>
      <c r="AD67" s="40" t="str">
        <f>IF(AD$4&lt;=PARAMETER!$X$2,SUMIF('2026'!$F:$F,$B67,'2026'!AC:AC)/PARAMETER!$T$3,"")</f>
        <v/>
      </c>
      <c r="AE67" s="40" t="str">
        <f>IF(AE$4&lt;=PARAMETER!$X$2,SUMIF('2026'!$F:$F,$B67,'2026'!AD:AD)/PARAMETER!$T$3,"")</f>
        <v/>
      </c>
      <c r="AF67" s="40" t="str">
        <f>IF(AF$4&lt;=PARAMETER!$X$2,SUMIF('2026'!$F:$F,$B67,'2026'!AE:AE)/PARAMETER!$T$3,"")</f>
        <v/>
      </c>
      <c r="AG67" s="40" t="str">
        <f>IF(AG$4&lt;=PARAMETER!$X$2,SUMIF('2026'!$F:$F,$B67,'2026'!AF:AF)/PARAMETER!$T$3,"")</f>
        <v/>
      </c>
      <c r="AH67" s="40" t="str">
        <f>IF(AH$4&lt;=PARAMETER!$X$2,SUMIF('2026'!$F:$F,$B67,'2026'!AG:AG)/PARAMETER!$T$3,"")</f>
        <v/>
      </c>
      <c r="AI67" s="40" t="str">
        <f>IF(AI$4&lt;=PARAMETER!$X$2,SUMIF('2026'!$F:$F,$B67,'2026'!AH:AH)/PARAMETER!$T$3,"")</f>
        <v/>
      </c>
      <c r="AJ67" s="40" t="str">
        <f>IF(AJ$4&lt;=PARAMETER!$X$2,SUMIF('2026'!$F:$F,$B67,'2026'!AI:AI)/PARAMETER!$T$3,"")</f>
        <v/>
      </c>
      <c r="AK67" s="40" t="str">
        <f>IF(AK$4&lt;=PARAMETER!$X$2,SUMIF('2026'!$F:$F,$B67,'2026'!AJ:AJ)/PARAMETER!$T$3,"")</f>
        <v/>
      </c>
      <c r="AL67" s="40" t="str">
        <f>IF(AL$4&lt;=PARAMETER!$X$2,SUMIF('2026'!$F:$F,$B67,'2026'!AK:AK)/PARAMETER!$T$3,"")</f>
        <v/>
      </c>
      <c r="AM67" s="40" t="str">
        <f>IF(AM$4&lt;=PARAMETER!$X$2,SUMIF('2026'!$F:$F,$B67,'2026'!AL:AL)/PARAMETER!$T$3,"")</f>
        <v/>
      </c>
      <c r="AN67" s="40" t="str">
        <f>IF(AN$4&lt;=PARAMETER!$X$2,SUMIF('2026'!$F:$F,$B67,'2026'!AM:AM)/PARAMETER!$T$3,"")</f>
        <v/>
      </c>
      <c r="AO67" s="40" t="str">
        <f>IF(AO$4&lt;=PARAMETER!$X$2,SUMIF('2026'!$F:$F,$B67,'2026'!AN:AN)/PARAMETER!$T$3,"")</f>
        <v/>
      </c>
      <c r="AP67" s="40" t="str">
        <f>IF(AP$4&lt;=PARAMETER!$X$2,SUMIF('2026'!$F:$F,$B67,'2026'!AO:AO)/PARAMETER!$T$3,"")</f>
        <v/>
      </c>
      <c r="AQ67" s="40" t="str">
        <f>IF(AQ$4&lt;=PARAMETER!$X$2,SUMIF('2026'!$F:$F,$B67,'2026'!AP:AP)/PARAMETER!$T$3,"")</f>
        <v/>
      </c>
      <c r="AR67" s="40" t="str">
        <f>IF(AR$4&lt;=PARAMETER!$X$2,SUMIF('2026'!$F:$F,$B67,'2026'!AQ:AQ)/PARAMETER!$T$3,"")</f>
        <v/>
      </c>
      <c r="AS67" s="40" t="str">
        <f>IF(AS$4&lt;=PARAMETER!$X$2,SUMIF('2026'!$F:$F,$B67,'2026'!AR:AR)/PARAMETER!$T$3,"")</f>
        <v/>
      </c>
      <c r="AT67" s="40" t="str">
        <f>IF(AT$4&lt;=PARAMETER!$X$2,SUMIF('2026'!$F:$F,$B67,'2026'!AS:AS)/PARAMETER!$T$3,"")</f>
        <v/>
      </c>
      <c r="AU67" s="40" t="str">
        <f>IF(AU$4&lt;=PARAMETER!$X$2,SUMIF('2026'!$F:$F,$B67,'2026'!AT:AT)/PARAMETER!$T$3,"")</f>
        <v/>
      </c>
      <c r="AV67" s="40" t="str">
        <f>IF(AV$4&lt;=PARAMETER!$X$2,SUMIF('2026'!$F:$F,$B67,'2026'!AU:AU)/PARAMETER!$T$3,"")</f>
        <v/>
      </c>
      <c r="AW67" s="40" t="str">
        <f>IF(AW$4&lt;=PARAMETER!$X$2,SUMIF('2026'!$F:$F,$B67,'2026'!AV:AV)/PARAMETER!$T$3,"")</f>
        <v/>
      </c>
      <c r="AX67" s="40" t="str">
        <f>IF(AX$4&lt;=PARAMETER!$X$2,SUMIF('2026'!$F:$F,$B67,'2026'!AW:AW)/PARAMETER!$T$3,"")</f>
        <v/>
      </c>
      <c r="AY67" s="40" t="str">
        <f>IF(AY$4&lt;=PARAMETER!$X$2,SUMIF('2026'!$F:$F,$B67,'2026'!AX:AX)/PARAMETER!$T$3,"")</f>
        <v/>
      </c>
      <c r="AZ67" s="40" t="str">
        <f>IF(AZ$4&lt;=PARAMETER!$X$2,SUMIF('2026'!$F:$F,$B67,'2026'!AY:AY)/PARAMETER!$T$3,"")</f>
        <v/>
      </c>
      <c r="BA67" s="40" t="str">
        <f>IF(BA$4&lt;=PARAMETER!$X$2,SUMIF('2026'!$F:$F,$B67,'2026'!AZ:AZ)/PARAMETER!$T$3,"")</f>
        <v/>
      </c>
      <c r="BB67" s="40" t="str">
        <f>IF(BB$4&lt;=PARAMETER!$X$2,SUMIF('2026'!$F:$F,$B67,'2026'!BA:BA)/PARAMETER!$T$3,"")</f>
        <v/>
      </c>
      <c r="BC67" s="40" t="str">
        <f>IF(BC$4&lt;=PARAMETER!$X$2,SUMIF('2026'!$F:$F,$B67,'2026'!BB:BB)/PARAMETER!$T$3,"")</f>
        <v/>
      </c>
      <c r="BD67" s="40" t="str">
        <f>IF(BD$4&lt;=PARAMETER!$X$2,SUMIF('2026'!$F:$F,$B67,'2026'!BC:BC)/PARAMETER!$T$3,"")</f>
        <v/>
      </c>
      <c r="BE67" s="40" t="str">
        <f>IF(BE$4&lt;=PARAMETER!$X$2,SUMIF('2026'!$F:$F,$B67,'2026'!BD:BD)/PARAMETER!$T$3,"")</f>
        <v/>
      </c>
      <c r="BF67" s="40" t="str">
        <f>IF(BF$4&lt;=PARAMETER!$X$2,SUMIF('2026'!$F:$F,$B67,'2026'!BE:BE)/PARAMETER!$T$3,"")</f>
        <v/>
      </c>
      <c r="BG67" s="40" t="str">
        <f>IF(BG$4&lt;=PARAMETER!$X$2,SUMIF('2026'!$F:$F,$B67,'2026'!BF:BF)/PARAMETER!$T$3,"")</f>
        <v/>
      </c>
      <c r="BH67" s="40" t="str">
        <f>IF(BH$4&lt;=PARAMETER!$X$2,SUMIF('2026'!$F:$F,$B67,'2026'!BG:BG)/PARAMETER!$T$3,"")</f>
        <v/>
      </c>
      <c r="BI67" s="40" t="str">
        <f>IF(BI$4&lt;=PARAMETER!$X$2,SUMIF('2026'!$F:$F,$B67,'2026'!BH:BH)/PARAMETER!$T$3,"")</f>
        <v/>
      </c>
      <c r="BJ67" s="40" t="str">
        <f>IF(BJ$4&lt;=PARAMETER!$X$2,SUMIF('2026'!$F:$F,$B67,'2026'!BI:BI)/PARAMETER!$T$3,"")</f>
        <v/>
      </c>
    </row>
    <row r="68" spans="1:62" x14ac:dyDescent="0.25">
      <c r="A68">
        <f t="shared" si="86"/>
        <v>14</v>
      </c>
      <c r="B68" s="78" t="str">
        <f>CONCATENATE(C68,PARAMETER!T$2)</f>
        <v>VOL</v>
      </c>
      <c r="C68" s="26" t="str">
        <f t="shared" si="87"/>
        <v/>
      </c>
      <c r="D68" s="27" t="s">
        <v>128</v>
      </c>
      <c r="E68" s="35" t="str">
        <f t="shared" si="88"/>
        <v/>
      </c>
      <c r="F68" s="28">
        <f t="shared" si="85"/>
        <v>3</v>
      </c>
      <c r="G68" s="39">
        <f t="shared" si="20"/>
        <v>2025</v>
      </c>
      <c r="H68" s="40">
        <f>IF(H$4&lt;=PARAMETER!$X$2,SUMIF('2025'!$F:$F,$B68,'2025'!G:G)/PARAMETER!$T$3,"")</f>
        <v>0</v>
      </c>
      <c r="I68" s="40">
        <f>IF(I$4&lt;=PARAMETER!$X$2,SUMIF('2025'!$F:$F,$B68,'2025'!H:H)/PARAMETER!$T$3,"")</f>
        <v>0</v>
      </c>
      <c r="J68" s="40">
        <f>IF(J$4&lt;=PARAMETER!$X$2,SUMIF('2025'!$F:$F,$B68,'2025'!I:I)/PARAMETER!$T$3,"")</f>
        <v>0</v>
      </c>
      <c r="K68" s="40">
        <f>IF(K$4&lt;=PARAMETER!$X$2,SUMIF('2025'!$F:$F,$B68,'2025'!J:J)/PARAMETER!$T$3,"")</f>
        <v>0</v>
      </c>
      <c r="L68" s="40">
        <f>IF(L$4&lt;=PARAMETER!$X$2,SUMIF('2025'!$F:$F,$B68,'2025'!K:K)/PARAMETER!$T$3,"")</f>
        <v>0</v>
      </c>
      <c r="M68" s="40">
        <f>IF(M$4&lt;=PARAMETER!$X$2,SUMIF('2025'!$F:$F,$B68,'2025'!L:L)/PARAMETER!$T$3,"")</f>
        <v>0</v>
      </c>
      <c r="N68" s="40">
        <f>IF(N$4&lt;=PARAMETER!$X$2,SUMIF('2025'!$F:$F,$B68,'2025'!M:M)/PARAMETER!$T$3,"")</f>
        <v>0</v>
      </c>
      <c r="O68" s="40">
        <f>IF(O$4&lt;=PARAMETER!$X$2,SUMIF('2025'!$F:$F,$B68,'2025'!N:N)/PARAMETER!$T$3,"")</f>
        <v>0</v>
      </c>
      <c r="P68" s="40">
        <f>IF(P$4&lt;=PARAMETER!$X$2,SUMIF('2025'!$F:$F,$B68,'2025'!O:O)/PARAMETER!$T$3,"")</f>
        <v>0</v>
      </c>
      <c r="Q68" s="40">
        <f>IF(Q$4&lt;=PARAMETER!$X$2,SUMIF('2025'!$F:$F,$B68,'2025'!P:P)/PARAMETER!$T$3,"")</f>
        <v>0</v>
      </c>
      <c r="R68" s="40">
        <f>IF(R$4&lt;=PARAMETER!$X$2,SUMIF('2025'!$F:$F,$B68,'2025'!Q:Q)/PARAMETER!$T$3,"")</f>
        <v>0</v>
      </c>
      <c r="S68" s="40">
        <f>IF(S$4&lt;=PARAMETER!$X$2,SUMIF('2025'!$F:$F,$B68,'2025'!R:R)/PARAMETER!$T$3,"")</f>
        <v>0</v>
      </c>
      <c r="T68" s="40">
        <f>IF(T$4&lt;=PARAMETER!$X$2,SUMIF('2025'!$F:$F,$B68,'2025'!S:S)/PARAMETER!$T$3,"")</f>
        <v>0</v>
      </c>
      <c r="U68" s="40" t="str">
        <f>IF(U$4&lt;=PARAMETER!$X$2,SUMIF('2025'!$F:$F,$B68,'2025'!T:T)/PARAMETER!$T$3,"")</f>
        <v/>
      </c>
      <c r="V68" s="40" t="str">
        <f>IF(V$4&lt;=PARAMETER!$X$2,SUMIF('2025'!$F:$F,$B68,'2025'!U:U)/PARAMETER!$T$3,"")</f>
        <v/>
      </c>
      <c r="W68" s="40" t="str">
        <f>IF(W$4&lt;=PARAMETER!$X$2,SUMIF('2025'!$F:$F,$B68,'2025'!V:V)/PARAMETER!$T$3,"")</f>
        <v/>
      </c>
      <c r="X68" s="40" t="str">
        <f>IF(X$4&lt;=PARAMETER!$X$2,SUMIF('2025'!$F:$F,$B68,'2025'!W:W)/PARAMETER!$T$3,"")</f>
        <v/>
      </c>
      <c r="Y68" s="40" t="str">
        <f>IF(Y$4&lt;=PARAMETER!$X$2,SUMIF('2025'!$F:$F,$B68,'2025'!X:X)/PARAMETER!$T$3,"")</f>
        <v/>
      </c>
      <c r="Z68" s="40" t="str">
        <f>IF(Z$4&lt;=PARAMETER!$X$2,SUMIF('2025'!$F:$F,$B68,'2025'!Y:Y)/PARAMETER!$T$3,"")</f>
        <v/>
      </c>
      <c r="AA68" s="40" t="str">
        <f>IF(AA$4&lt;=PARAMETER!$X$2,SUMIF('2025'!$F:$F,$B68,'2025'!Z:Z)/PARAMETER!$T$3,"")</f>
        <v/>
      </c>
      <c r="AB68" s="40" t="str">
        <f>IF(AB$4&lt;=PARAMETER!$X$2,SUMIF('2025'!$F:$F,$B68,'2025'!AA:AA)/PARAMETER!$T$3,"")</f>
        <v/>
      </c>
      <c r="AC68" s="40" t="str">
        <f>IF(AC$4&lt;=PARAMETER!$X$2,SUMIF('2025'!$F:$F,$B68,'2025'!AB:AB)/PARAMETER!$T$3,"")</f>
        <v/>
      </c>
      <c r="AD68" s="40" t="str">
        <f>IF(AD$4&lt;=PARAMETER!$X$2,SUMIF('2025'!$F:$F,$B68,'2025'!AC:AC)/PARAMETER!$T$3,"")</f>
        <v/>
      </c>
      <c r="AE68" s="40" t="str">
        <f>IF(AE$4&lt;=PARAMETER!$X$2,SUMIF('2025'!$F:$F,$B68,'2025'!AD:AD)/PARAMETER!$T$3,"")</f>
        <v/>
      </c>
      <c r="AF68" s="40" t="str">
        <f>IF(AF$4&lt;=PARAMETER!$X$2,SUMIF('2025'!$F:$F,$B68,'2025'!AE:AE)/PARAMETER!$T$3,"")</f>
        <v/>
      </c>
      <c r="AG68" s="40" t="str">
        <f>IF(AG$4&lt;=PARAMETER!$X$2,SUMIF('2025'!$F:$F,$B68,'2025'!AF:AF)/PARAMETER!$T$3,"")</f>
        <v/>
      </c>
      <c r="AH68" s="40" t="str">
        <f>IF(AH$4&lt;=PARAMETER!$X$2,SUMIF('2025'!$F:$F,$B68,'2025'!AG:AG)/PARAMETER!$T$3,"")</f>
        <v/>
      </c>
      <c r="AI68" s="40" t="str">
        <f>IF(AI$4&lt;=PARAMETER!$X$2,SUMIF('2025'!$F:$F,$B68,'2025'!AH:AH)/PARAMETER!$T$3,"")</f>
        <v/>
      </c>
      <c r="AJ68" s="40" t="str">
        <f>IF(AJ$4&lt;=PARAMETER!$X$2,SUMIF('2025'!$F:$F,$B68,'2025'!AI:AI)/PARAMETER!$T$3,"")</f>
        <v/>
      </c>
      <c r="AK68" s="40" t="str">
        <f>IF(AK$4&lt;=PARAMETER!$X$2,SUMIF('2025'!$F:$F,$B68,'2025'!AJ:AJ)/PARAMETER!$T$3,"")</f>
        <v/>
      </c>
      <c r="AL68" s="40" t="str">
        <f>IF(AL$4&lt;=PARAMETER!$X$2,SUMIF('2025'!$F:$F,$B68,'2025'!AK:AK)/PARAMETER!$T$3,"")</f>
        <v/>
      </c>
      <c r="AM68" s="40" t="str">
        <f>IF(AM$4&lt;=PARAMETER!$X$2,SUMIF('2025'!$F:$F,$B68,'2025'!AL:AL)/PARAMETER!$T$3,"")</f>
        <v/>
      </c>
      <c r="AN68" s="40" t="str">
        <f>IF(AN$4&lt;=PARAMETER!$X$2,SUMIF('2025'!$F:$F,$B68,'2025'!AM:AM)/PARAMETER!$T$3,"")</f>
        <v/>
      </c>
      <c r="AO68" s="40" t="str">
        <f>IF(AO$4&lt;=PARAMETER!$X$2,SUMIF('2025'!$F:$F,$B68,'2025'!AN:AN)/PARAMETER!$T$3,"")</f>
        <v/>
      </c>
      <c r="AP68" s="40" t="str">
        <f>IF(AP$4&lt;=PARAMETER!$X$2,SUMIF('2025'!$F:$F,$B68,'2025'!AO:AO)/PARAMETER!$T$3,"")</f>
        <v/>
      </c>
      <c r="AQ68" s="40" t="str">
        <f>IF(AQ$4&lt;=PARAMETER!$X$2,SUMIF('2025'!$F:$F,$B68,'2025'!AP:AP)/PARAMETER!$T$3,"")</f>
        <v/>
      </c>
      <c r="AR68" s="40" t="str">
        <f>IF(AR$4&lt;=PARAMETER!$X$2,SUMIF('2025'!$F:$F,$B68,'2025'!AQ:AQ)/PARAMETER!$T$3,"")</f>
        <v/>
      </c>
      <c r="AS68" s="40" t="str">
        <f>IF(AS$4&lt;=PARAMETER!$X$2,SUMIF('2025'!$F:$F,$B68,'2025'!AR:AR)/PARAMETER!$T$3,"")</f>
        <v/>
      </c>
      <c r="AT68" s="40" t="str">
        <f>IF(AT$4&lt;=PARAMETER!$X$2,SUMIF('2025'!$F:$F,$B68,'2025'!AS:AS)/PARAMETER!$T$3,"")</f>
        <v/>
      </c>
      <c r="AU68" s="40" t="str">
        <f>IF(AU$4&lt;=PARAMETER!$X$2,SUMIF('2025'!$F:$F,$B68,'2025'!AT:AT)/PARAMETER!$T$3,"")</f>
        <v/>
      </c>
      <c r="AV68" s="40" t="str">
        <f>IF(AV$4&lt;=PARAMETER!$X$2,SUMIF('2025'!$F:$F,$B68,'2025'!AU:AU)/PARAMETER!$T$3,"")</f>
        <v/>
      </c>
      <c r="AW68" s="40" t="str">
        <f>IF(AW$4&lt;=PARAMETER!$X$2,SUMIF('2025'!$F:$F,$B68,'2025'!AV:AV)/PARAMETER!$T$3,"")</f>
        <v/>
      </c>
      <c r="AX68" s="40" t="str">
        <f>IF(AX$4&lt;=PARAMETER!$X$2,SUMIF('2025'!$F:$F,$B68,'2025'!AW:AW)/PARAMETER!$T$3,"")</f>
        <v/>
      </c>
      <c r="AY68" s="40" t="str">
        <f>IF(AY$4&lt;=PARAMETER!$X$2,SUMIF('2025'!$F:$F,$B68,'2025'!AX:AX)/PARAMETER!$T$3,"")</f>
        <v/>
      </c>
      <c r="AZ68" s="40" t="str">
        <f>IF(AZ$4&lt;=PARAMETER!$X$2,SUMIF('2025'!$F:$F,$B68,'2025'!AY:AY)/PARAMETER!$T$3,"")</f>
        <v/>
      </c>
      <c r="BA68" s="40" t="str">
        <f>IF(BA$4&lt;=PARAMETER!$X$2,SUMIF('2025'!$F:$F,$B68,'2025'!AZ:AZ)/PARAMETER!$T$3,"")</f>
        <v/>
      </c>
      <c r="BB68" s="40" t="str">
        <f>IF(BB$4&lt;=PARAMETER!$X$2,SUMIF('2025'!$F:$F,$B68,'2025'!BA:BA)/PARAMETER!$T$3,"")</f>
        <v/>
      </c>
      <c r="BC68" s="40" t="str">
        <f>IF(BC$4&lt;=PARAMETER!$X$2,SUMIF('2025'!$F:$F,$B68,'2025'!BB:BB)/PARAMETER!$T$3,"")</f>
        <v/>
      </c>
      <c r="BD68" s="40" t="str">
        <f>IF(BD$4&lt;=PARAMETER!$X$2,SUMIF('2025'!$F:$F,$B68,'2025'!BC:BC)/PARAMETER!$T$3,"")</f>
        <v/>
      </c>
      <c r="BE68" s="40" t="str">
        <f>IF(BE$4&lt;=PARAMETER!$X$2,SUMIF('2025'!$F:$F,$B68,'2025'!BD:BD)/PARAMETER!$T$3,"")</f>
        <v/>
      </c>
      <c r="BF68" s="40" t="str">
        <f>IF(BF$4&lt;=PARAMETER!$X$2,SUMIF('2025'!$F:$F,$B68,'2025'!BE:BE)/PARAMETER!$T$3,"")</f>
        <v/>
      </c>
      <c r="BG68" s="40" t="str">
        <f>IF(BG$4&lt;=PARAMETER!$X$2,SUMIF('2025'!$F:$F,$B68,'2025'!BF:BF)/PARAMETER!$T$3,"")</f>
        <v/>
      </c>
      <c r="BH68" s="40" t="str">
        <f>IF(BH$4&lt;=PARAMETER!$X$2,SUMIF('2025'!$F:$F,$B68,'2025'!BG:BG)/PARAMETER!$T$3,"")</f>
        <v/>
      </c>
      <c r="BI68" s="40" t="str">
        <f>IF(BI$4&lt;=PARAMETER!$X$2,SUMIF('2025'!$F:$F,$B68,'2025'!BH:BH)/PARAMETER!$T$3,"")</f>
        <v/>
      </c>
      <c r="BJ68" s="40" t="str">
        <f>IF(BJ$4&lt;=PARAMETER!$X$2,SUMIF('2025'!$F:$F,$B68,'2025'!BI:BI)/PARAMETER!$T$3,"")</f>
        <v/>
      </c>
    </row>
    <row r="69" spans="1:62" x14ac:dyDescent="0.25">
      <c r="A69">
        <f t="shared" ref="A69" si="89">A67</f>
        <v>14</v>
      </c>
      <c r="B69" s="78" t="str">
        <f>CONCATENATE(C69,PARAMETER!T$2)</f>
        <v>VOL</v>
      </c>
      <c r="C69" s="26" t="str">
        <f t="shared" si="87"/>
        <v/>
      </c>
      <c r="D69" s="67"/>
      <c r="E69" s="68"/>
      <c r="F69" s="69"/>
      <c r="G69" s="70">
        <f t="shared" si="20"/>
        <v>2024</v>
      </c>
      <c r="H69" s="71">
        <f>IF(H$4&lt;=PARAMETER!$X$2,SUMIF('2024'!$F:$F,$B69,'2024'!G:G)/PARAMETER!$T$3,"")</f>
        <v>0</v>
      </c>
      <c r="I69" s="71">
        <f>IF(I$4&lt;=PARAMETER!$X$2,SUMIF('2024'!$F:$F,$B69,'2024'!H:H)/PARAMETER!$T$3,"")</f>
        <v>0</v>
      </c>
      <c r="J69" s="71">
        <f>IF(J$4&lt;=PARAMETER!$X$2,SUMIF('2024'!$F:$F,$B69,'2024'!I:I)/PARAMETER!$T$3,"")</f>
        <v>0</v>
      </c>
      <c r="K69" s="71">
        <f>IF(K$4&lt;=PARAMETER!$X$2,SUMIF('2024'!$F:$F,$B69,'2024'!J:J)/PARAMETER!$T$3,"")</f>
        <v>0</v>
      </c>
      <c r="L69" s="71">
        <f>IF(L$4&lt;=PARAMETER!$X$2,SUMIF('2024'!$F:$F,$B69,'2024'!K:K)/PARAMETER!$T$3,"")</f>
        <v>0</v>
      </c>
      <c r="M69" s="71">
        <f>IF(M$4&lt;=PARAMETER!$X$2,SUMIF('2024'!$F:$F,$B69,'2024'!L:L)/PARAMETER!$T$3,"")</f>
        <v>0</v>
      </c>
      <c r="N69" s="71">
        <f>IF(N$4&lt;=PARAMETER!$X$2,SUMIF('2024'!$F:$F,$B69,'2024'!M:M)/PARAMETER!$T$3,"")</f>
        <v>0</v>
      </c>
      <c r="O69" s="71">
        <f>IF(O$4&lt;=PARAMETER!$X$2,SUMIF('2024'!$F:$F,$B69,'2024'!N:N)/PARAMETER!$T$3,"")</f>
        <v>0</v>
      </c>
      <c r="P69" s="71">
        <f>IF(P$4&lt;=PARAMETER!$X$2,SUMIF('2024'!$F:$F,$B69,'2024'!O:O)/PARAMETER!$T$3,"")</f>
        <v>0</v>
      </c>
      <c r="Q69" s="71">
        <f>IF(Q$4&lt;=PARAMETER!$X$2,SUMIF('2024'!$F:$F,$B69,'2024'!P:P)/PARAMETER!$T$3,"")</f>
        <v>0</v>
      </c>
      <c r="R69" s="71">
        <f>IF(R$4&lt;=PARAMETER!$X$2,SUMIF('2024'!$F:$F,$B69,'2024'!Q:Q)/PARAMETER!$T$3,"")</f>
        <v>0</v>
      </c>
      <c r="S69" s="71">
        <f>IF(S$4&lt;=PARAMETER!$X$2,SUMIF('2024'!$F:$F,$B69,'2024'!R:R)/PARAMETER!$T$3,"")</f>
        <v>0</v>
      </c>
      <c r="T69" s="71">
        <f>IF(T$4&lt;=PARAMETER!$X$2,SUMIF('2024'!$F:$F,$B69,'2024'!S:S)/PARAMETER!$T$3,"")</f>
        <v>0</v>
      </c>
      <c r="U69" s="71" t="str">
        <f>IF(U$4&lt;=PARAMETER!$X$2,SUMIF('2024'!$F:$F,$B69,'2024'!T:T)/PARAMETER!$T$3,"")</f>
        <v/>
      </c>
      <c r="V69" s="71" t="str">
        <f>IF(V$4&lt;=PARAMETER!$X$2,SUMIF('2024'!$F:$F,$B69,'2024'!U:U)/PARAMETER!$T$3,"")</f>
        <v/>
      </c>
      <c r="W69" s="71" t="str">
        <f>IF(W$4&lt;=PARAMETER!$X$2,SUMIF('2024'!$F:$F,$B69,'2024'!V:V)/PARAMETER!$T$3,"")</f>
        <v/>
      </c>
      <c r="X69" s="71" t="str">
        <f>IF(X$4&lt;=PARAMETER!$X$2,SUMIF('2024'!$F:$F,$B69,'2024'!W:W)/PARAMETER!$T$3,"")</f>
        <v/>
      </c>
      <c r="Y69" s="71" t="str">
        <f>IF(Y$4&lt;=PARAMETER!$X$2,SUMIF('2024'!$F:$F,$B69,'2024'!X:X)/PARAMETER!$T$3,"")</f>
        <v/>
      </c>
      <c r="Z69" s="71" t="str">
        <f>IF(Z$4&lt;=PARAMETER!$X$2,SUMIF('2024'!$F:$F,$B69,'2024'!Y:Y)/PARAMETER!$T$3,"")</f>
        <v/>
      </c>
      <c r="AA69" s="71" t="str">
        <f>IF(AA$4&lt;=PARAMETER!$X$2,SUMIF('2024'!$F:$F,$B69,'2024'!Z:Z)/PARAMETER!$T$3,"")</f>
        <v/>
      </c>
      <c r="AB69" s="71" t="str">
        <f>IF(AB$4&lt;=PARAMETER!$X$2,SUMIF('2024'!$F:$F,$B69,'2024'!AA:AA)/PARAMETER!$T$3,"")</f>
        <v/>
      </c>
      <c r="AC69" s="71" t="str">
        <f>IF(AC$4&lt;=PARAMETER!$X$2,SUMIF('2024'!$F:$F,$B69,'2024'!AB:AB)/PARAMETER!$T$3,"")</f>
        <v/>
      </c>
      <c r="AD69" s="71" t="str">
        <f>IF(AD$4&lt;=PARAMETER!$X$2,SUMIF('2024'!$F:$F,$B69,'2024'!AC:AC)/PARAMETER!$T$3,"")</f>
        <v/>
      </c>
      <c r="AE69" s="71" t="str">
        <f>IF(AE$4&lt;=PARAMETER!$X$2,SUMIF('2024'!$F:$F,$B69,'2024'!AD:AD)/PARAMETER!$T$3,"")</f>
        <v/>
      </c>
      <c r="AF69" s="71" t="str">
        <f>IF(AF$4&lt;=PARAMETER!$X$2,SUMIF('2024'!$F:$F,$B69,'2024'!AE:AE)/PARAMETER!$T$3,"")</f>
        <v/>
      </c>
      <c r="AG69" s="71" t="str">
        <f>IF(AG$4&lt;=PARAMETER!$X$2,SUMIF('2024'!$F:$F,$B69,'2024'!AF:AF)/PARAMETER!$T$3,"")</f>
        <v/>
      </c>
      <c r="AH69" s="71" t="str">
        <f>IF(AH$4&lt;=PARAMETER!$X$2,SUMIF('2024'!$F:$F,$B69,'2024'!AG:AG)/PARAMETER!$T$3,"")</f>
        <v/>
      </c>
      <c r="AI69" s="71" t="str">
        <f>IF(AI$4&lt;=PARAMETER!$X$2,SUMIF('2024'!$F:$F,$B69,'2024'!AH:AH)/PARAMETER!$T$3,"")</f>
        <v/>
      </c>
      <c r="AJ69" s="71" t="str">
        <f>IF(AJ$4&lt;=PARAMETER!$X$2,SUMIF('2024'!$F:$F,$B69,'2024'!AI:AI)/PARAMETER!$T$3,"")</f>
        <v/>
      </c>
      <c r="AK69" s="71" t="str">
        <f>IF(AK$4&lt;=PARAMETER!$X$2,SUMIF('2024'!$F:$F,$B69,'2024'!AJ:AJ)/PARAMETER!$T$3,"")</f>
        <v/>
      </c>
      <c r="AL69" s="71" t="str">
        <f>IF(AL$4&lt;=PARAMETER!$X$2,SUMIF('2024'!$F:$F,$B69,'2024'!AK:AK)/PARAMETER!$T$3,"")</f>
        <v/>
      </c>
      <c r="AM69" s="71" t="str">
        <f>IF(AM$4&lt;=PARAMETER!$X$2,SUMIF('2024'!$F:$F,$B69,'2024'!AL:AL)/PARAMETER!$T$3,"")</f>
        <v/>
      </c>
      <c r="AN69" s="71" t="str">
        <f>IF(AN$4&lt;=PARAMETER!$X$2,SUMIF('2024'!$F:$F,$B69,'2024'!AM:AM)/PARAMETER!$T$3,"")</f>
        <v/>
      </c>
      <c r="AO69" s="71" t="str">
        <f>IF(AO$4&lt;=PARAMETER!$X$2,SUMIF('2024'!$F:$F,$B69,'2024'!AN:AN)/PARAMETER!$T$3,"")</f>
        <v/>
      </c>
      <c r="AP69" s="71" t="str">
        <f>IF(AP$4&lt;=PARAMETER!$X$2,SUMIF('2024'!$F:$F,$B69,'2024'!AO:AO)/PARAMETER!$T$3,"")</f>
        <v/>
      </c>
      <c r="AQ69" s="71" t="str">
        <f>IF(AQ$4&lt;=PARAMETER!$X$2,SUMIF('2024'!$F:$F,$B69,'2024'!AP:AP)/PARAMETER!$T$3,"")</f>
        <v/>
      </c>
      <c r="AR69" s="71" t="str">
        <f>IF(AR$4&lt;=PARAMETER!$X$2,SUMIF('2024'!$F:$F,$B69,'2024'!AQ:AQ)/PARAMETER!$T$3,"")</f>
        <v/>
      </c>
      <c r="AS69" s="71" t="str">
        <f>IF(AS$4&lt;=PARAMETER!$X$2,SUMIF('2024'!$F:$F,$B69,'2024'!AR:AR)/PARAMETER!$T$3,"")</f>
        <v/>
      </c>
      <c r="AT69" s="71" t="str">
        <f>IF(AT$4&lt;=PARAMETER!$X$2,SUMIF('2024'!$F:$F,$B69,'2024'!AS:AS)/PARAMETER!$T$3,"")</f>
        <v/>
      </c>
      <c r="AU69" s="71" t="str">
        <f>IF(AU$4&lt;=PARAMETER!$X$2,SUMIF('2024'!$F:$F,$B69,'2024'!AT:AT)/PARAMETER!$T$3,"")</f>
        <v/>
      </c>
      <c r="AV69" s="71" t="str">
        <f>IF(AV$4&lt;=PARAMETER!$X$2,SUMIF('2024'!$F:$F,$B69,'2024'!AU:AU)/PARAMETER!$T$3,"")</f>
        <v/>
      </c>
      <c r="AW69" s="71" t="str">
        <f>IF(AW$4&lt;=PARAMETER!$X$2,SUMIF('2024'!$F:$F,$B69,'2024'!AV:AV)/PARAMETER!$T$3,"")</f>
        <v/>
      </c>
      <c r="AX69" s="71" t="str">
        <f>IF(AX$4&lt;=PARAMETER!$X$2,SUMIF('2024'!$F:$F,$B69,'2024'!AW:AW)/PARAMETER!$T$3,"")</f>
        <v/>
      </c>
      <c r="AY69" s="71" t="str">
        <f>IF(AY$4&lt;=PARAMETER!$X$2,SUMIF('2024'!$F:$F,$B69,'2024'!AX:AX)/PARAMETER!$T$3,"")</f>
        <v/>
      </c>
      <c r="AZ69" s="71" t="str">
        <f>IF(AZ$4&lt;=PARAMETER!$X$2,SUMIF('2024'!$F:$F,$B69,'2024'!AY:AY)/PARAMETER!$T$3,"")</f>
        <v/>
      </c>
      <c r="BA69" s="71" t="str">
        <f>IF(BA$4&lt;=PARAMETER!$X$2,SUMIF('2024'!$F:$F,$B69,'2024'!AZ:AZ)/PARAMETER!$T$3,"")</f>
        <v/>
      </c>
      <c r="BB69" s="71" t="str">
        <f>IF(BB$4&lt;=PARAMETER!$X$2,SUMIF('2024'!$F:$F,$B69,'2024'!BA:BA)/PARAMETER!$T$3,"")</f>
        <v/>
      </c>
      <c r="BC69" s="71" t="str">
        <f>IF(BC$4&lt;=PARAMETER!$X$2,SUMIF('2024'!$F:$F,$B69,'2024'!BB:BB)/PARAMETER!$T$3,"")</f>
        <v/>
      </c>
      <c r="BD69" s="71" t="str">
        <f>IF(BD$4&lt;=PARAMETER!$X$2,SUMIF('2024'!$F:$F,$B69,'2024'!BC:BC)/PARAMETER!$T$3,"")</f>
        <v/>
      </c>
      <c r="BE69" s="71" t="str">
        <f>IF(BE$4&lt;=PARAMETER!$X$2,SUMIF('2024'!$F:$F,$B69,'2024'!BD:BD)/PARAMETER!$T$3,"")</f>
        <v/>
      </c>
      <c r="BF69" s="71" t="str">
        <f>IF(BF$4&lt;=PARAMETER!$X$2,SUMIF('2024'!$F:$F,$B69,'2024'!BE:BE)/PARAMETER!$T$3,"")</f>
        <v/>
      </c>
      <c r="BG69" s="71" t="str">
        <f>IF(BG$4&lt;=PARAMETER!$X$2,SUMIF('2024'!$F:$F,$B69,'2024'!BF:BF)/PARAMETER!$T$3,"")</f>
        <v/>
      </c>
      <c r="BH69" s="71" t="str">
        <f>IF(BH$4&lt;=PARAMETER!$X$2,SUMIF('2024'!$F:$F,$B69,'2024'!BG:BG)/PARAMETER!$T$3,"")</f>
        <v/>
      </c>
      <c r="BI69" s="71" t="str">
        <f>IF(BI$4&lt;=PARAMETER!$X$2,SUMIF('2024'!$F:$F,$B69,'2024'!BH:BH)/PARAMETER!$T$3,"")</f>
        <v/>
      </c>
      <c r="BJ69" s="71" t="str">
        <f>IF(BJ$4&lt;=PARAMETER!$X$2,SUMIF('2024'!$F:$F,$B69,'2024'!BI:BI)/PARAMETER!$T$3,"")</f>
        <v/>
      </c>
    </row>
    <row r="70" spans="1:62" x14ac:dyDescent="0.25">
      <c r="A70">
        <v>15</v>
      </c>
      <c r="B70" s="78" t="str">
        <f>CONCATENATE(C70,PARAMETER!T$2)</f>
        <v>VOL</v>
      </c>
      <c r="C70" s="21" t="str">
        <f>IFERROR(VLOOKUP(A70,PARAMETER!K$2:M78,3,0),"")</f>
        <v/>
      </c>
      <c r="D70" s="22" t="s">
        <v>127</v>
      </c>
      <c r="E70" s="37" t="str">
        <f t="shared" ref="E70" si="90">IFERROR(I71/I70,"")</f>
        <v/>
      </c>
      <c r="F70" s="23">
        <f t="shared" ref="F70:F72" si="91">IFERROR(IF(E70&gt;300%,300%,E70),"")</f>
        <v>3</v>
      </c>
      <c r="G70" s="24" t="str">
        <f t="shared" si="20"/>
        <v>Target</v>
      </c>
      <c r="H70" s="25">
        <f>IF(H$4&lt;=PARAMETER!$X$2,SUMIF('2026 T'!$F:$F,$B70,'2026 T'!G:G)/PARAMETER!$T$3,"")</f>
        <v>0</v>
      </c>
      <c r="I70" s="25">
        <f>IF(I$4&lt;=PARAMETER!$X$2,SUMIF('2026 T'!$F:$F,$B70,'2026 T'!H:H)/PARAMETER!$T$3,"")</f>
        <v>0</v>
      </c>
      <c r="J70" s="25">
        <f>IF(J$4&lt;=PARAMETER!$X$2,SUMIF('2026 T'!$F:$F,$B70,'2026 T'!I:I)/PARAMETER!$T$3,"")</f>
        <v>0</v>
      </c>
      <c r="K70" s="25">
        <f>IF(K$4&lt;=PARAMETER!$X$2,SUMIF('2026 T'!$F:$F,$B70,'2026 T'!J:J)/PARAMETER!$T$3,"")</f>
        <v>0</v>
      </c>
      <c r="L70" s="25">
        <f>IF(L$4&lt;=PARAMETER!$X$2,SUMIF('2026 T'!$F:$F,$B70,'2026 T'!K:K)/PARAMETER!$T$3,"")</f>
        <v>0</v>
      </c>
      <c r="M70" s="25">
        <f>IF(M$4&lt;=PARAMETER!$X$2,SUMIF('2026 T'!$F:$F,$B70,'2026 T'!L:L)/PARAMETER!$T$3,"")</f>
        <v>0</v>
      </c>
      <c r="N70" s="25">
        <f>IF(N$4&lt;=PARAMETER!$X$2,SUMIF('2026 T'!$F:$F,$B70,'2026 T'!M:M)/PARAMETER!$T$3,"")</f>
        <v>0</v>
      </c>
      <c r="O70" s="25">
        <f>IF(O$4&lt;=PARAMETER!$X$2,SUMIF('2026 T'!$F:$F,$B70,'2026 T'!N:N)/PARAMETER!$T$3,"")</f>
        <v>0</v>
      </c>
      <c r="P70" s="25">
        <f>IF(P$4&lt;=PARAMETER!$X$2,SUMIF('2026 T'!$F:$F,$B70,'2026 T'!O:O)/PARAMETER!$T$3,"")</f>
        <v>0</v>
      </c>
      <c r="Q70" s="25">
        <f>IF(Q$4&lt;=PARAMETER!$X$2,SUMIF('2026 T'!$F:$F,$B70,'2026 T'!P:P)/PARAMETER!$T$3,"")</f>
        <v>0</v>
      </c>
      <c r="R70" s="25">
        <f>IF(R$4&lt;=PARAMETER!$X$2,SUMIF('2026 T'!$F:$F,$B70,'2026 T'!Q:Q)/PARAMETER!$T$3,"")</f>
        <v>0</v>
      </c>
      <c r="S70" s="25">
        <f>IF(S$4&lt;=PARAMETER!$X$2,SUMIF('2026 T'!$F:$F,$B70,'2026 T'!R:R)/PARAMETER!$T$3,"")</f>
        <v>0</v>
      </c>
      <c r="T70" s="25">
        <f>IF(T$4&lt;=PARAMETER!$X$2,SUMIF('2026 T'!$F:$F,$B70,'2026 T'!S:S)/PARAMETER!$T$3,"")</f>
        <v>0</v>
      </c>
      <c r="U70" s="25" t="str">
        <f>IF(U$4&lt;=PARAMETER!$X$2,SUMIF('2026 T'!$F:$F,$B70,'2026 T'!T:T)/PARAMETER!$T$3,"")</f>
        <v/>
      </c>
      <c r="V70" s="25" t="str">
        <f>IF(V$4&lt;=PARAMETER!$X$2,SUMIF('2026 T'!$F:$F,$B70,'2026 T'!U:U)/PARAMETER!$T$3,"")</f>
        <v/>
      </c>
      <c r="W70" s="25" t="str">
        <f>IF(W$4&lt;=PARAMETER!$X$2,SUMIF('2026 T'!$F:$F,$B70,'2026 T'!V:V)/PARAMETER!$T$3,"")</f>
        <v/>
      </c>
      <c r="X70" s="25" t="str">
        <f>IF(X$4&lt;=PARAMETER!$X$2,SUMIF('2026 T'!$F:$F,$B70,'2026 T'!W:W)/PARAMETER!$T$3,"")</f>
        <v/>
      </c>
      <c r="Y70" s="25" t="str">
        <f>IF(Y$4&lt;=PARAMETER!$X$2,SUMIF('2026 T'!$F:$F,$B70,'2026 T'!X:X)/PARAMETER!$T$3,"")</f>
        <v/>
      </c>
      <c r="Z70" s="25" t="str">
        <f>IF(Z$4&lt;=PARAMETER!$X$2,SUMIF('2026 T'!$F:$F,$B70,'2026 T'!Y:Y)/PARAMETER!$T$3,"")</f>
        <v/>
      </c>
      <c r="AA70" s="25" t="str">
        <f>IF(AA$4&lt;=PARAMETER!$X$2,SUMIF('2026 T'!$F:$F,$B70,'2026 T'!Z:Z)/PARAMETER!$T$3,"")</f>
        <v/>
      </c>
      <c r="AB70" s="25" t="str">
        <f>IF(AB$4&lt;=PARAMETER!$X$2,SUMIF('2026 T'!$F:$F,$B70,'2026 T'!AA:AA)/PARAMETER!$T$3,"")</f>
        <v/>
      </c>
      <c r="AC70" s="25" t="str">
        <f>IF(AC$4&lt;=PARAMETER!$X$2,SUMIF('2026 T'!$F:$F,$B70,'2026 T'!AB:AB)/PARAMETER!$T$3,"")</f>
        <v/>
      </c>
      <c r="AD70" s="25" t="str">
        <f>IF(AD$4&lt;=PARAMETER!$X$2,SUMIF('2026 T'!$F:$F,$B70,'2026 T'!AC:AC)/PARAMETER!$T$3,"")</f>
        <v/>
      </c>
      <c r="AE70" s="25" t="str">
        <f>IF(AE$4&lt;=PARAMETER!$X$2,SUMIF('2026 T'!$F:$F,$B70,'2026 T'!AD:AD)/PARAMETER!$T$3,"")</f>
        <v/>
      </c>
      <c r="AF70" s="25" t="str">
        <f>IF(AF$4&lt;=PARAMETER!$X$2,SUMIF('2026 T'!$F:$F,$B70,'2026 T'!AE:AE)/PARAMETER!$T$3,"")</f>
        <v/>
      </c>
      <c r="AG70" s="25" t="str">
        <f>IF(AG$4&lt;=PARAMETER!$X$2,SUMIF('2026 T'!$F:$F,$B70,'2026 T'!AF:AF)/PARAMETER!$T$3,"")</f>
        <v/>
      </c>
      <c r="AH70" s="25" t="str">
        <f>IF(AH$4&lt;=PARAMETER!$X$2,SUMIF('2026 T'!$F:$F,$B70,'2026 T'!AG:AG)/PARAMETER!$T$3,"")</f>
        <v/>
      </c>
      <c r="AI70" s="25" t="str">
        <f>IF(AI$4&lt;=PARAMETER!$X$2,SUMIF('2026 T'!$F:$F,$B70,'2026 T'!AH:AH)/PARAMETER!$T$3,"")</f>
        <v/>
      </c>
      <c r="AJ70" s="25" t="str">
        <f>IF(AJ$4&lt;=PARAMETER!$X$2,SUMIF('2026 T'!$F:$F,$B70,'2026 T'!AI:AI)/PARAMETER!$T$3,"")</f>
        <v/>
      </c>
      <c r="AK70" s="25" t="str">
        <f>IF(AK$4&lt;=PARAMETER!$X$2,SUMIF('2026 T'!$F:$F,$B70,'2026 T'!AJ:AJ)/PARAMETER!$T$3,"")</f>
        <v/>
      </c>
      <c r="AL70" s="25" t="str">
        <f>IF(AL$4&lt;=PARAMETER!$X$2,SUMIF('2026 T'!$F:$F,$B70,'2026 T'!AK:AK)/PARAMETER!$T$3,"")</f>
        <v/>
      </c>
      <c r="AM70" s="25" t="str">
        <f>IF(AM$4&lt;=PARAMETER!$X$2,SUMIF('2026 T'!$F:$F,$B70,'2026 T'!AL:AL)/PARAMETER!$T$3,"")</f>
        <v/>
      </c>
      <c r="AN70" s="25" t="str">
        <f>IF(AN$4&lt;=PARAMETER!$X$2,SUMIF('2026 T'!$F:$F,$B70,'2026 T'!AM:AM)/PARAMETER!$T$3,"")</f>
        <v/>
      </c>
      <c r="AO70" s="25" t="str">
        <f>IF(AO$4&lt;=PARAMETER!$X$2,SUMIF('2026 T'!$F:$F,$B70,'2026 T'!AN:AN)/PARAMETER!$T$3,"")</f>
        <v/>
      </c>
      <c r="AP70" s="25" t="str">
        <f>IF(AP$4&lt;=PARAMETER!$X$2,SUMIF('2026 T'!$F:$F,$B70,'2026 T'!AO:AO)/PARAMETER!$T$3,"")</f>
        <v/>
      </c>
      <c r="AQ70" s="25" t="str">
        <f>IF(AQ$4&lt;=PARAMETER!$X$2,SUMIF('2026 T'!$F:$F,$B70,'2026 T'!AP:AP)/PARAMETER!$T$3,"")</f>
        <v/>
      </c>
      <c r="AR70" s="25" t="str">
        <f>IF(AR$4&lt;=PARAMETER!$X$2,SUMIF('2026 T'!$F:$F,$B70,'2026 T'!AQ:AQ)/PARAMETER!$T$3,"")</f>
        <v/>
      </c>
      <c r="AS70" s="25" t="str">
        <f>IF(AS$4&lt;=PARAMETER!$X$2,SUMIF('2026 T'!$F:$F,$B70,'2026 T'!AR:AR)/PARAMETER!$T$3,"")</f>
        <v/>
      </c>
      <c r="AT70" s="25" t="str">
        <f>IF(AT$4&lt;=PARAMETER!$X$2,SUMIF('2026 T'!$F:$F,$B70,'2026 T'!AS:AS)/PARAMETER!$T$3,"")</f>
        <v/>
      </c>
      <c r="AU70" s="25" t="str">
        <f>IF(AU$4&lt;=PARAMETER!$X$2,SUMIF('2026 T'!$F:$F,$B70,'2026 T'!AT:AT)/PARAMETER!$T$3,"")</f>
        <v/>
      </c>
      <c r="AV70" s="25" t="str">
        <f>IF(AV$4&lt;=PARAMETER!$X$2,SUMIF('2026 T'!$F:$F,$B70,'2026 T'!AU:AU)/PARAMETER!$T$3,"")</f>
        <v/>
      </c>
      <c r="AW70" s="25" t="str">
        <f>IF(AW$4&lt;=PARAMETER!$X$2,SUMIF('2026 T'!$F:$F,$B70,'2026 T'!AV:AV)/PARAMETER!$T$3,"")</f>
        <v/>
      </c>
      <c r="AX70" s="25" t="str">
        <f>IF(AX$4&lt;=PARAMETER!$X$2,SUMIF('2026 T'!$F:$F,$B70,'2026 T'!AW:AW)/PARAMETER!$T$3,"")</f>
        <v/>
      </c>
      <c r="AY70" s="25" t="str">
        <f>IF(AY$4&lt;=PARAMETER!$X$2,SUMIF('2026 T'!$F:$F,$B70,'2026 T'!AX:AX)/PARAMETER!$T$3,"")</f>
        <v/>
      </c>
      <c r="AZ70" s="25" t="str">
        <f>IF(AZ$4&lt;=PARAMETER!$X$2,SUMIF('2026 T'!$F:$F,$B70,'2026 T'!AY:AY)/PARAMETER!$T$3,"")</f>
        <v/>
      </c>
      <c r="BA70" s="25" t="str">
        <f>IF(BA$4&lt;=PARAMETER!$X$2,SUMIF('2026 T'!$F:$F,$B70,'2026 T'!AZ:AZ)/PARAMETER!$T$3,"")</f>
        <v/>
      </c>
      <c r="BB70" s="25" t="str">
        <f>IF(BB$4&lt;=PARAMETER!$X$2,SUMIF('2026 T'!$F:$F,$B70,'2026 T'!BA:BA)/PARAMETER!$T$3,"")</f>
        <v/>
      </c>
      <c r="BC70" s="25" t="str">
        <f>IF(BC$4&lt;=PARAMETER!$X$2,SUMIF('2026 T'!$F:$F,$B70,'2026 T'!BB:BB)/PARAMETER!$T$3,"")</f>
        <v/>
      </c>
      <c r="BD70" s="25" t="str">
        <f>IF(BD$4&lt;=PARAMETER!$X$2,SUMIF('2026 T'!$F:$F,$B70,'2026 T'!BC:BC)/PARAMETER!$T$3,"")</f>
        <v/>
      </c>
      <c r="BE70" s="25" t="str">
        <f>IF(BE$4&lt;=PARAMETER!$X$2,SUMIF('2026 T'!$F:$F,$B70,'2026 T'!BD:BD)/PARAMETER!$T$3,"")</f>
        <v/>
      </c>
      <c r="BF70" s="25" t="str">
        <f>IF(BF$4&lt;=PARAMETER!$X$2,SUMIF('2026 T'!$F:$F,$B70,'2026 T'!BE:BE)/PARAMETER!$T$3,"")</f>
        <v/>
      </c>
      <c r="BG70" s="25" t="str">
        <f>IF(BG$4&lt;=PARAMETER!$X$2,SUMIF('2026 T'!$F:$F,$B70,'2026 T'!BF:BF)/PARAMETER!$T$3,"")</f>
        <v/>
      </c>
      <c r="BH70" s="25" t="str">
        <f>IF(BH$4&lt;=PARAMETER!$X$2,SUMIF('2026 T'!$F:$F,$B70,'2026 T'!BG:BG)/PARAMETER!$T$3,"")</f>
        <v/>
      </c>
      <c r="BI70" s="25" t="str">
        <f>IF(BI$4&lt;=PARAMETER!$X$2,SUMIF('2026 T'!$F:$F,$B70,'2026 T'!BH:BH)/PARAMETER!$T$3,"")</f>
        <v/>
      </c>
      <c r="BJ70" s="25" t="str">
        <f>IF(BJ$4&lt;=PARAMETER!$X$2,SUMIF('2026 T'!$F:$F,$B70,'2026 T'!BI:BI)/PARAMETER!$T$3,"")</f>
        <v/>
      </c>
    </row>
    <row r="71" spans="1:62" x14ac:dyDescent="0.25">
      <c r="A71">
        <f t="shared" ref="A71:A72" si="92">A70</f>
        <v>15</v>
      </c>
      <c r="B71" s="78" t="str">
        <f>CONCATENATE(C71,PARAMETER!T$2)</f>
        <v>VOL</v>
      </c>
      <c r="C71" s="26" t="str">
        <f t="shared" ref="C71:C73" si="93">C70</f>
        <v/>
      </c>
      <c r="D71" s="27" t="s">
        <v>128</v>
      </c>
      <c r="E71" s="35" t="str">
        <f t="shared" ref="E71:E72" si="94">IFERROR(I71/I72-1,"")</f>
        <v/>
      </c>
      <c r="F71" s="28">
        <f t="shared" si="91"/>
        <v>3</v>
      </c>
      <c r="G71" s="39">
        <f t="shared" si="20"/>
        <v>2026</v>
      </c>
      <c r="H71" s="40">
        <f>IF(H$4&lt;=PARAMETER!$X$2,SUMIF('2026'!$F:$F,$B71,'2026'!G:G)/PARAMETER!$T$3,"")</f>
        <v>0</v>
      </c>
      <c r="I71" s="40">
        <f>IF(I$4&lt;=PARAMETER!$X$2,SUMIF('2026'!$F:$F,$B71,'2026'!H:H)/PARAMETER!$T$3,"")</f>
        <v>0</v>
      </c>
      <c r="J71" s="40">
        <f>IF(J$4&lt;=PARAMETER!$X$2,SUMIF('2026'!$F:$F,$B71,'2026'!I:I)/PARAMETER!$T$3,"")</f>
        <v>0</v>
      </c>
      <c r="K71" s="40">
        <f>IF(K$4&lt;=PARAMETER!$X$2,SUMIF('2026'!$F:$F,$B71,'2026'!J:J)/PARAMETER!$T$3,"")</f>
        <v>0</v>
      </c>
      <c r="L71" s="40">
        <f>IF(L$4&lt;=PARAMETER!$X$2,SUMIF('2026'!$F:$F,$B71,'2026'!K:K)/PARAMETER!$T$3,"")</f>
        <v>0</v>
      </c>
      <c r="M71" s="40">
        <f>IF(M$4&lt;=PARAMETER!$X$2,SUMIF('2026'!$F:$F,$B71,'2026'!L:L)/PARAMETER!$T$3,"")</f>
        <v>0</v>
      </c>
      <c r="N71" s="40">
        <f>IF(N$4&lt;=PARAMETER!$X$2,SUMIF('2026'!$F:$F,$B71,'2026'!M:M)/PARAMETER!$T$3,"")</f>
        <v>0</v>
      </c>
      <c r="O71" s="40">
        <f>IF(O$4&lt;=PARAMETER!$X$2,SUMIF('2026'!$F:$F,$B71,'2026'!N:N)/PARAMETER!$T$3,"")</f>
        <v>0</v>
      </c>
      <c r="P71" s="40">
        <f>IF(P$4&lt;=PARAMETER!$X$2,SUMIF('2026'!$F:$F,$B71,'2026'!O:O)/PARAMETER!$T$3,"")</f>
        <v>0</v>
      </c>
      <c r="Q71" s="40">
        <f>IF(Q$4&lt;=PARAMETER!$X$2,SUMIF('2026'!$F:$F,$B71,'2026'!P:P)/PARAMETER!$T$3,"")</f>
        <v>0</v>
      </c>
      <c r="R71" s="40">
        <f>IF(R$4&lt;=PARAMETER!$X$2,SUMIF('2026'!$F:$F,$B71,'2026'!Q:Q)/PARAMETER!$T$3,"")</f>
        <v>0</v>
      </c>
      <c r="S71" s="40">
        <f>IF(S$4&lt;=PARAMETER!$X$2,SUMIF('2026'!$F:$F,$B71,'2026'!R:R)/PARAMETER!$T$3,"")</f>
        <v>0</v>
      </c>
      <c r="T71" s="40">
        <f>IF(T$4&lt;=PARAMETER!$X$2,SUMIF('2026'!$F:$F,$B71,'2026'!S:S)/PARAMETER!$T$3,"")</f>
        <v>0</v>
      </c>
      <c r="U71" s="40" t="str">
        <f>IF(U$4&lt;=PARAMETER!$X$2,SUMIF('2026'!$F:$F,$B71,'2026'!T:T)/PARAMETER!$T$3,"")</f>
        <v/>
      </c>
      <c r="V71" s="40" t="str">
        <f>IF(V$4&lt;=PARAMETER!$X$2,SUMIF('2026'!$F:$F,$B71,'2026'!U:U)/PARAMETER!$T$3,"")</f>
        <v/>
      </c>
      <c r="W71" s="40" t="str">
        <f>IF(W$4&lt;=PARAMETER!$X$2,SUMIF('2026'!$F:$F,$B71,'2026'!V:V)/PARAMETER!$T$3,"")</f>
        <v/>
      </c>
      <c r="X71" s="40" t="str">
        <f>IF(X$4&lt;=PARAMETER!$X$2,SUMIF('2026'!$F:$F,$B71,'2026'!W:W)/PARAMETER!$T$3,"")</f>
        <v/>
      </c>
      <c r="Y71" s="40" t="str">
        <f>IF(Y$4&lt;=PARAMETER!$X$2,SUMIF('2026'!$F:$F,$B71,'2026'!X:X)/PARAMETER!$T$3,"")</f>
        <v/>
      </c>
      <c r="Z71" s="40" t="str">
        <f>IF(Z$4&lt;=PARAMETER!$X$2,SUMIF('2026'!$F:$F,$B71,'2026'!Y:Y)/PARAMETER!$T$3,"")</f>
        <v/>
      </c>
      <c r="AA71" s="40" t="str">
        <f>IF(AA$4&lt;=PARAMETER!$X$2,SUMIF('2026'!$F:$F,$B71,'2026'!Z:Z)/PARAMETER!$T$3,"")</f>
        <v/>
      </c>
      <c r="AB71" s="40" t="str">
        <f>IF(AB$4&lt;=PARAMETER!$X$2,SUMIF('2026'!$F:$F,$B71,'2026'!AA:AA)/PARAMETER!$T$3,"")</f>
        <v/>
      </c>
      <c r="AC71" s="40" t="str">
        <f>IF(AC$4&lt;=PARAMETER!$X$2,SUMIF('2026'!$F:$F,$B71,'2026'!AB:AB)/PARAMETER!$T$3,"")</f>
        <v/>
      </c>
      <c r="AD71" s="40" t="str">
        <f>IF(AD$4&lt;=PARAMETER!$X$2,SUMIF('2026'!$F:$F,$B71,'2026'!AC:AC)/PARAMETER!$T$3,"")</f>
        <v/>
      </c>
      <c r="AE71" s="40" t="str">
        <f>IF(AE$4&lt;=PARAMETER!$X$2,SUMIF('2026'!$F:$F,$B71,'2026'!AD:AD)/PARAMETER!$T$3,"")</f>
        <v/>
      </c>
      <c r="AF71" s="40" t="str">
        <f>IF(AF$4&lt;=PARAMETER!$X$2,SUMIF('2026'!$F:$F,$B71,'2026'!AE:AE)/PARAMETER!$T$3,"")</f>
        <v/>
      </c>
      <c r="AG71" s="40" t="str">
        <f>IF(AG$4&lt;=PARAMETER!$X$2,SUMIF('2026'!$F:$F,$B71,'2026'!AF:AF)/PARAMETER!$T$3,"")</f>
        <v/>
      </c>
      <c r="AH71" s="40" t="str">
        <f>IF(AH$4&lt;=PARAMETER!$X$2,SUMIF('2026'!$F:$F,$B71,'2026'!AG:AG)/PARAMETER!$T$3,"")</f>
        <v/>
      </c>
      <c r="AI71" s="40" t="str">
        <f>IF(AI$4&lt;=PARAMETER!$X$2,SUMIF('2026'!$F:$F,$B71,'2026'!AH:AH)/PARAMETER!$T$3,"")</f>
        <v/>
      </c>
      <c r="AJ71" s="40" t="str">
        <f>IF(AJ$4&lt;=PARAMETER!$X$2,SUMIF('2026'!$F:$F,$B71,'2026'!AI:AI)/PARAMETER!$T$3,"")</f>
        <v/>
      </c>
      <c r="AK71" s="40" t="str">
        <f>IF(AK$4&lt;=PARAMETER!$X$2,SUMIF('2026'!$F:$F,$B71,'2026'!AJ:AJ)/PARAMETER!$T$3,"")</f>
        <v/>
      </c>
      <c r="AL71" s="40" t="str">
        <f>IF(AL$4&lt;=PARAMETER!$X$2,SUMIF('2026'!$F:$F,$B71,'2026'!AK:AK)/PARAMETER!$T$3,"")</f>
        <v/>
      </c>
      <c r="AM71" s="40" t="str">
        <f>IF(AM$4&lt;=PARAMETER!$X$2,SUMIF('2026'!$F:$F,$B71,'2026'!AL:AL)/PARAMETER!$T$3,"")</f>
        <v/>
      </c>
      <c r="AN71" s="40" t="str">
        <f>IF(AN$4&lt;=PARAMETER!$X$2,SUMIF('2026'!$F:$F,$B71,'2026'!AM:AM)/PARAMETER!$T$3,"")</f>
        <v/>
      </c>
      <c r="AO71" s="40" t="str">
        <f>IF(AO$4&lt;=PARAMETER!$X$2,SUMIF('2026'!$F:$F,$B71,'2026'!AN:AN)/PARAMETER!$T$3,"")</f>
        <v/>
      </c>
      <c r="AP71" s="40" t="str">
        <f>IF(AP$4&lt;=PARAMETER!$X$2,SUMIF('2026'!$F:$F,$B71,'2026'!AO:AO)/PARAMETER!$T$3,"")</f>
        <v/>
      </c>
      <c r="AQ71" s="40" t="str">
        <f>IF(AQ$4&lt;=PARAMETER!$X$2,SUMIF('2026'!$F:$F,$B71,'2026'!AP:AP)/PARAMETER!$T$3,"")</f>
        <v/>
      </c>
      <c r="AR71" s="40" t="str">
        <f>IF(AR$4&lt;=PARAMETER!$X$2,SUMIF('2026'!$F:$F,$B71,'2026'!AQ:AQ)/PARAMETER!$T$3,"")</f>
        <v/>
      </c>
      <c r="AS71" s="40" t="str">
        <f>IF(AS$4&lt;=PARAMETER!$X$2,SUMIF('2026'!$F:$F,$B71,'2026'!AR:AR)/PARAMETER!$T$3,"")</f>
        <v/>
      </c>
      <c r="AT71" s="40" t="str">
        <f>IF(AT$4&lt;=PARAMETER!$X$2,SUMIF('2026'!$F:$F,$B71,'2026'!AS:AS)/PARAMETER!$T$3,"")</f>
        <v/>
      </c>
      <c r="AU71" s="40" t="str">
        <f>IF(AU$4&lt;=PARAMETER!$X$2,SUMIF('2026'!$F:$F,$B71,'2026'!AT:AT)/PARAMETER!$T$3,"")</f>
        <v/>
      </c>
      <c r="AV71" s="40" t="str">
        <f>IF(AV$4&lt;=PARAMETER!$X$2,SUMIF('2026'!$F:$F,$B71,'2026'!AU:AU)/PARAMETER!$T$3,"")</f>
        <v/>
      </c>
      <c r="AW71" s="40" t="str">
        <f>IF(AW$4&lt;=PARAMETER!$X$2,SUMIF('2026'!$F:$F,$B71,'2026'!AV:AV)/PARAMETER!$T$3,"")</f>
        <v/>
      </c>
      <c r="AX71" s="40" t="str">
        <f>IF(AX$4&lt;=PARAMETER!$X$2,SUMIF('2026'!$F:$F,$B71,'2026'!AW:AW)/PARAMETER!$T$3,"")</f>
        <v/>
      </c>
      <c r="AY71" s="40" t="str">
        <f>IF(AY$4&lt;=PARAMETER!$X$2,SUMIF('2026'!$F:$F,$B71,'2026'!AX:AX)/PARAMETER!$T$3,"")</f>
        <v/>
      </c>
      <c r="AZ71" s="40" t="str">
        <f>IF(AZ$4&lt;=PARAMETER!$X$2,SUMIF('2026'!$F:$F,$B71,'2026'!AY:AY)/PARAMETER!$T$3,"")</f>
        <v/>
      </c>
      <c r="BA71" s="40" t="str">
        <f>IF(BA$4&lt;=PARAMETER!$X$2,SUMIF('2026'!$F:$F,$B71,'2026'!AZ:AZ)/PARAMETER!$T$3,"")</f>
        <v/>
      </c>
      <c r="BB71" s="40" t="str">
        <f>IF(BB$4&lt;=PARAMETER!$X$2,SUMIF('2026'!$F:$F,$B71,'2026'!BA:BA)/PARAMETER!$T$3,"")</f>
        <v/>
      </c>
      <c r="BC71" s="40" t="str">
        <f>IF(BC$4&lt;=PARAMETER!$X$2,SUMIF('2026'!$F:$F,$B71,'2026'!BB:BB)/PARAMETER!$T$3,"")</f>
        <v/>
      </c>
      <c r="BD71" s="40" t="str">
        <f>IF(BD$4&lt;=PARAMETER!$X$2,SUMIF('2026'!$F:$F,$B71,'2026'!BC:BC)/PARAMETER!$T$3,"")</f>
        <v/>
      </c>
      <c r="BE71" s="40" t="str">
        <f>IF(BE$4&lt;=PARAMETER!$X$2,SUMIF('2026'!$F:$F,$B71,'2026'!BD:BD)/PARAMETER!$T$3,"")</f>
        <v/>
      </c>
      <c r="BF71" s="40" t="str">
        <f>IF(BF$4&lt;=PARAMETER!$X$2,SUMIF('2026'!$F:$F,$B71,'2026'!BE:BE)/PARAMETER!$T$3,"")</f>
        <v/>
      </c>
      <c r="BG71" s="40" t="str">
        <f>IF(BG$4&lt;=PARAMETER!$X$2,SUMIF('2026'!$F:$F,$B71,'2026'!BF:BF)/PARAMETER!$T$3,"")</f>
        <v/>
      </c>
      <c r="BH71" s="40" t="str">
        <f>IF(BH$4&lt;=PARAMETER!$X$2,SUMIF('2026'!$F:$F,$B71,'2026'!BG:BG)/PARAMETER!$T$3,"")</f>
        <v/>
      </c>
      <c r="BI71" s="40" t="str">
        <f>IF(BI$4&lt;=PARAMETER!$X$2,SUMIF('2026'!$F:$F,$B71,'2026'!BH:BH)/PARAMETER!$T$3,"")</f>
        <v/>
      </c>
      <c r="BJ71" s="40" t="str">
        <f>IF(BJ$4&lt;=PARAMETER!$X$2,SUMIF('2026'!$F:$F,$B71,'2026'!BI:BI)/PARAMETER!$T$3,"")</f>
        <v/>
      </c>
    </row>
    <row r="72" spans="1:62" x14ac:dyDescent="0.25">
      <c r="A72">
        <f t="shared" si="92"/>
        <v>15</v>
      </c>
      <c r="B72" s="78" t="str">
        <f>CONCATENATE(C72,PARAMETER!T$2)</f>
        <v>VOL</v>
      </c>
      <c r="C72" s="26" t="str">
        <f t="shared" si="93"/>
        <v/>
      </c>
      <c r="D72" s="27" t="s">
        <v>128</v>
      </c>
      <c r="E72" s="35" t="str">
        <f t="shared" si="94"/>
        <v/>
      </c>
      <c r="F72" s="28">
        <f t="shared" si="91"/>
        <v>3</v>
      </c>
      <c r="G72" s="39">
        <f t="shared" si="20"/>
        <v>2025</v>
      </c>
      <c r="H72" s="40">
        <f>IF(H$4&lt;=PARAMETER!$X$2,SUMIF('2025'!$F:$F,$B72,'2025'!G:G)/PARAMETER!$T$3,"")</f>
        <v>0</v>
      </c>
      <c r="I72" s="40">
        <f>IF(I$4&lt;=PARAMETER!$X$2,SUMIF('2025'!$F:$F,$B72,'2025'!H:H)/PARAMETER!$T$3,"")</f>
        <v>0</v>
      </c>
      <c r="J72" s="40">
        <f>IF(J$4&lt;=PARAMETER!$X$2,SUMIF('2025'!$F:$F,$B72,'2025'!I:I)/PARAMETER!$T$3,"")</f>
        <v>0</v>
      </c>
      <c r="K72" s="40">
        <f>IF(K$4&lt;=PARAMETER!$X$2,SUMIF('2025'!$F:$F,$B72,'2025'!J:J)/PARAMETER!$T$3,"")</f>
        <v>0</v>
      </c>
      <c r="L72" s="40">
        <f>IF(L$4&lt;=PARAMETER!$X$2,SUMIF('2025'!$F:$F,$B72,'2025'!K:K)/PARAMETER!$T$3,"")</f>
        <v>0</v>
      </c>
      <c r="M72" s="40">
        <f>IF(M$4&lt;=PARAMETER!$X$2,SUMIF('2025'!$F:$F,$B72,'2025'!L:L)/PARAMETER!$T$3,"")</f>
        <v>0</v>
      </c>
      <c r="N72" s="40">
        <f>IF(N$4&lt;=PARAMETER!$X$2,SUMIF('2025'!$F:$F,$B72,'2025'!M:M)/PARAMETER!$T$3,"")</f>
        <v>0</v>
      </c>
      <c r="O72" s="40">
        <f>IF(O$4&lt;=PARAMETER!$X$2,SUMIF('2025'!$F:$F,$B72,'2025'!N:N)/PARAMETER!$T$3,"")</f>
        <v>0</v>
      </c>
      <c r="P72" s="40">
        <f>IF(P$4&lt;=PARAMETER!$X$2,SUMIF('2025'!$F:$F,$B72,'2025'!O:O)/PARAMETER!$T$3,"")</f>
        <v>0</v>
      </c>
      <c r="Q72" s="40">
        <f>IF(Q$4&lt;=PARAMETER!$X$2,SUMIF('2025'!$F:$F,$B72,'2025'!P:P)/PARAMETER!$T$3,"")</f>
        <v>0</v>
      </c>
      <c r="R72" s="40">
        <f>IF(R$4&lt;=PARAMETER!$X$2,SUMIF('2025'!$F:$F,$B72,'2025'!Q:Q)/PARAMETER!$T$3,"")</f>
        <v>0</v>
      </c>
      <c r="S72" s="40">
        <f>IF(S$4&lt;=PARAMETER!$X$2,SUMIF('2025'!$F:$F,$B72,'2025'!R:R)/PARAMETER!$T$3,"")</f>
        <v>0</v>
      </c>
      <c r="T72" s="40">
        <f>IF(T$4&lt;=PARAMETER!$X$2,SUMIF('2025'!$F:$F,$B72,'2025'!S:S)/PARAMETER!$T$3,"")</f>
        <v>0</v>
      </c>
      <c r="U72" s="40" t="str">
        <f>IF(U$4&lt;=PARAMETER!$X$2,SUMIF('2025'!$F:$F,$B72,'2025'!T:T)/PARAMETER!$T$3,"")</f>
        <v/>
      </c>
      <c r="V72" s="40" t="str">
        <f>IF(V$4&lt;=PARAMETER!$X$2,SUMIF('2025'!$F:$F,$B72,'2025'!U:U)/PARAMETER!$T$3,"")</f>
        <v/>
      </c>
      <c r="W72" s="40" t="str">
        <f>IF(W$4&lt;=PARAMETER!$X$2,SUMIF('2025'!$F:$F,$B72,'2025'!V:V)/PARAMETER!$T$3,"")</f>
        <v/>
      </c>
      <c r="X72" s="40" t="str">
        <f>IF(X$4&lt;=PARAMETER!$X$2,SUMIF('2025'!$F:$F,$B72,'2025'!W:W)/PARAMETER!$T$3,"")</f>
        <v/>
      </c>
      <c r="Y72" s="40" t="str">
        <f>IF(Y$4&lt;=PARAMETER!$X$2,SUMIF('2025'!$F:$F,$B72,'2025'!X:X)/PARAMETER!$T$3,"")</f>
        <v/>
      </c>
      <c r="Z72" s="40" t="str">
        <f>IF(Z$4&lt;=PARAMETER!$X$2,SUMIF('2025'!$F:$F,$B72,'2025'!Y:Y)/PARAMETER!$T$3,"")</f>
        <v/>
      </c>
      <c r="AA72" s="40" t="str">
        <f>IF(AA$4&lt;=PARAMETER!$X$2,SUMIF('2025'!$F:$F,$B72,'2025'!Z:Z)/PARAMETER!$T$3,"")</f>
        <v/>
      </c>
      <c r="AB72" s="40" t="str">
        <f>IF(AB$4&lt;=PARAMETER!$X$2,SUMIF('2025'!$F:$F,$B72,'2025'!AA:AA)/PARAMETER!$T$3,"")</f>
        <v/>
      </c>
      <c r="AC72" s="40" t="str">
        <f>IF(AC$4&lt;=PARAMETER!$X$2,SUMIF('2025'!$F:$F,$B72,'2025'!AB:AB)/PARAMETER!$T$3,"")</f>
        <v/>
      </c>
      <c r="AD72" s="40" t="str">
        <f>IF(AD$4&lt;=PARAMETER!$X$2,SUMIF('2025'!$F:$F,$B72,'2025'!AC:AC)/PARAMETER!$T$3,"")</f>
        <v/>
      </c>
      <c r="AE72" s="40" t="str">
        <f>IF(AE$4&lt;=PARAMETER!$X$2,SUMIF('2025'!$F:$F,$B72,'2025'!AD:AD)/PARAMETER!$T$3,"")</f>
        <v/>
      </c>
      <c r="AF72" s="40" t="str">
        <f>IF(AF$4&lt;=PARAMETER!$X$2,SUMIF('2025'!$F:$F,$B72,'2025'!AE:AE)/PARAMETER!$T$3,"")</f>
        <v/>
      </c>
      <c r="AG72" s="40" t="str">
        <f>IF(AG$4&lt;=PARAMETER!$X$2,SUMIF('2025'!$F:$F,$B72,'2025'!AF:AF)/PARAMETER!$T$3,"")</f>
        <v/>
      </c>
      <c r="AH72" s="40" t="str">
        <f>IF(AH$4&lt;=PARAMETER!$X$2,SUMIF('2025'!$F:$F,$B72,'2025'!AG:AG)/PARAMETER!$T$3,"")</f>
        <v/>
      </c>
      <c r="AI72" s="40" t="str">
        <f>IF(AI$4&lt;=PARAMETER!$X$2,SUMIF('2025'!$F:$F,$B72,'2025'!AH:AH)/PARAMETER!$T$3,"")</f>
        <v/>
      </c>
      <c r="AJ72" s="40" t="str">
        <f>IF(AJ$4&lt;=PARAMETER!$X$2,SUMIF('2025'!$F:$F,$B72,'2025'!AI:AI)/PARAMETER!$T$3,"")</f>
        <v/>
      </c>
      <c r="AK72" s="40" t="str">
        <f>IF(AK$4&lt;=PARAMETER!$X$2,SUMIF('2025'!$F:$F,$B72,'2025'!AJ:AJ)/PARAMETER!$T$3,"")</f>
        <v/>
      </c>
      <c r="AL72" s="40" t="str">
        <f>IF(AL$4&lt;=PARAMETER!$X$2,SUMIF('2025'!$F:$F,$B72,'2025'!AK:AK)/PARAMETER!$T$3,"")</f>
        <v/>
      </c>
      <c r="AM72" s="40" t="str">
        <f>IF(AM$4&lt;=PARAMETER!$X$2,SUMIF('2025'!$F:$F,$B72,'2025'!AL:AL)/PARAMETER!$T$3,"")</f>
        <v/>
      </c>
      <c r="AN72" s="40" t="str">
        <f>IF(AN$4&lt;=PARAMETER!$X$2,SUMIF('2025'!$F:$F,$B72,'2025'!AM:AM)/PARAMETER!$T$3,"")</f>
        <v/>
      </c>
      <c r="AO72" s="40" t="str">
        <f>IF(AO$4&lt;=PARAMETER!$X$2,SUMIF('2025'!$F:$F,$B72,'2025'!AN:AN)/PARAMETER!$T$3,"")</f>
        <v/>
      </c>
      <c r="AP72" s="40" t="str">
        <f>IF(AP$4&lt;=PARAMETER!$X$2,SUMIF('2025'!$F:$F,$B72,'2025'!AO:AO)/PARAMETER!$T$3,"")</f>
        <v/>
      </c>
      <c r="AQ72" s="40" t="str">
        <f>IF(AQ$4&lt;=PARAMETER!$X$2,SUMIF('2025'!$F:$F,$B72,'2025'!AP:AP)/PARAMETER!$T$3,"")</f>
        <v/>
      </c>
      <c r="AR72" s="40" t="str">
        <f>IF(AR$4&lt;=PARAMETER!$X$2,SUMIF('2025'!$F:$F,$B72,'2025'!AQ:AQ)/PARAMETER!$T$3,"")</f>
        <v/>
      </c>
      <c r="AS72" s="40" t="str">
        <f>IF(AS$4&lt;=PARAMETER!$X$2,SUMIF('2025'!$F:$F,$B72,'2025'!AR:AR)/PARAMETER!$T$3,"")</f>
        <v/>
      </c>
      <c r="AT72" s="40" t="str">
        <f>IF(AT$4&lt;=PARAMETER!$X$2,SUMIF('2025'!$F:$F,$B72,'2025'!AS:AS)/PARAMETER!$T$3,"")</f>
        <v/>
      </c>
      <c r="AU72" s="40" t="str">
        <f>IF(AU$4&lt;=PARAMETER!$X$2,SUMIF('2025'!$F:$F,$B72,'2025'!AT:AT)/PARAMETER!$T$3,"")</f>
        <v/>
      </c>
      <c r="AV72" s="40" t="str">
        <f>IF(AV$4&lt;=PARAMETER!$X$2,SUMIF('2025'!$F:$F,$B72,'2025'!AU:AU)/PARAMETER!$T$3,"")</f>
        <v/>
      </c>
      <c r="AW72" s="40" t="str">
        <f>IF(AW$4&lt;=PARAMETER!$X$2,SUMIF('2025'!$F:$F,$B72,'2025'!AV:AV)/PARAMETER!$T$3,"")</f>
        <v/>
      </c>
      <c r="AX72" s="40" t="str">
        <f>IF(AX$4&lt;=PARAMETER!$X$2,SUMIF('2025'!$F:$F,$B72,'2025'!AW:AW)/PARAMETER!$T$3,"")</f>
        <v/>
      </c>
      <c r="AY72" s="40" t="str">
        <f>IF(AY$4&lt;=PARAMETER!$X$2,SUMIF('2025'!$F:$F,$B72,'2025'!AX:AX)/PARAMETER!$T$3,"")</f>
        <v/>
      </c>
      <c r="AZ72" s="40" t="str">
        <f>IF(AZ$4&lt;=PARAMETER!$X$2,SUMIF('2025'!$F:$F,$B72,'2025'!AY:AY)/PARAMETER!$T$3,"")</f>
        <v/>
      </c>
      <c r="BA72" s="40" t="str">
        <f>IF(BA$4&lt;=PARAMETER!$X$2,SUMIF('2025'!$F:$F,$B72,'2025'!AZ:AZ)/PARAMETER!$T$3,"")</f>
        <v/>
      </c>
      <c r="BB72" s="40" t="str">
        <f>IF(BB$4&lt;=PARAMETER!$X$2,SUMIF('2025'!$F:$F,$B72,'2025'!BA:BA)/PARAMETER!$T$3,"")</f>
        <v/>
      </c>
      <c r="BC72" s="40" t="str">
        <f>IF(BC$4&lt;=PARAMETER!$X$2,SUMIF('2025'!$F:$F,$B72,'2025'!BB:BB)/PARAMETER!$T$3,"")</f>
        <v/>
      </c>
      <c r="BD72" s="40" t="str">
        <f>IF(BD$4&lt;=PARAMETER!$X$2,SUMIF('2025'!$F:$F,$B72,'2025'!BC:BC)/PARAMETER!$T$3,"")</f>
        <v/>
      </c>
      <c r="BE72" s="40" t="str">
        <f>IF(BE$4&lt;=PARAMETER!$X$2,SUMIF('2025'!$F:$F,$B72,'2025'!BD:BD)/PARAMETER!$T$3,"")</f>
        <v/>
      </c>
      <c r="BF72" s="40" t="str">
        <f>IF(BF$4&lt;=PARAMETER!$X$2,SUMIF('2025'!$F:$F,$B72,'2025'!BE:BE)/PARAMETER!$T$3,"")</f>
        <v/>
      </c>
      <c r="BG72" s="40" t="str">
        <f>IF(BG$4&lt;=PARAMETER!$X$2,SUMIF('2025'!$F:$F,$B72,'2025'!BF:BF)/PARAMETER!$T$3,"")</f>
        <v/>
      </c>
      <c r="BH72" s="40" t="str">
        <f>IF(BH$4&lt;=PARAMETER!$X$2,SUMIF('2025'!$F:$F,$B72,'2025'!BG:BG)/PARAMETER!$T$3,"")</f>
        <v/>
      </c>
      <c r="BI72" s="40" t="str">
        <f>IF(BI$4&lt;=PARAMETER!$X$2,SUMIF('2025'!$F:$F,$B72,'2025'!BH:BH)/PARAMETER!$T$3,"")</f>
        <v/>
      </c>
      <c r="BJ72" s="40" t="str">
        <f>IF(BJ$4&lt;=PARAMETER!$X$2,SUMIF('2025'!$F:$F,$B72,'2025'!BI:BI)/PARAMETER!$T$3,"")</f>
        <v/>
      </c>
    </row>
    <row r="73" spans="1:62" x14ac:dyDescent="0.25">
      <c r="A73">
        <f t="shared" ref="A73" si="95">A71</f>
        <v>15</v>
      </c>
      <c r="B73" s="78" t="str">
        <f>CONCATENATE(C73,PARAMETER!T$2)</f>
        <v>VOL</v>
      </c>
      <c r="C73" s="26" t="str">
        <f t="shared" si="93"/>
        <v/>
      </c>
      <c r="D73" s="67"/>
      <c r="E73" s="68"/>
      <c r="F73" s="69"/>
      <c r="G73" s="70">
        <f t="shared" si="20"/>
        <v>2024</v>
      </c>
      <c r="H73" s="71">
        <f>IF(H$4&lt;=PARAMETER!$X$2,SUMIF('2024'!$F:$F,$B73,'2024'!G:G)/PARAMETER!$T$3,"")</f>
        <v>0</v>
      </c>
      <c r="I73" s="71">
        <f>IF(I$4&lt;=PARAMETER!$X$2,SUMIF('2024'!$F:$F,$B73,'2024'!H:H)/PARAMETER!$T$3,"")</f>
        <v>0</v>
      </c>
      <c r="J73" s="71">
        <f>IF(J$4&lt;=PARAMETER!$X$2,SUMIF('2024'!$F:$F,$B73,'2024'!I:I)/PARAMETER!$T$3,"")</f>
        <v>0</v>
      </c>
      <c r="K73" s="71">
        <f>IF(K$4&lt;=PARAMETER!$X$2,SUMIF('2024'!$F:$F,$B73,'2024'!J:J)/PARAMETER!$T$3,"")</f>
        <v>0</v>
      </c>
      <c r="L73" s="71">
        <f>IF(L$4&lt;=PARAMETER!$X$2,SUMIF('2024'!$F:$F,$B73,'2024'!K:K)/PARAMETER!$T$3,"")</f>
        <v>0</v>
      </c>
      <c r="M73" s="71">
        <f>IF(M$4&lt;=PARAMETER!$X$2,SUMIF('2024'!$F:$F,$B73,'2024'!L:L)/PARAMETER!$T$3,"")</f>
        <v>0</v>
      </c>
      <c r="N73" s="71">
        <f>IF(N$4&lt;=PARAMETER!$X$2,SUMIF('2024'!$F:$F,$B73,'2024'!M:M)/PARAMETER!$T$3,"")</f>
        <v>0</v>
      </c>
      <c r="O73" s="71">
        <f>IF(O$4&lt;=PARAMETER!$X$2,SUMIF('2024'!$F:$F,$B73,'2024'!N:N)/PARAMETER!$T$3,"")</f>
        <v>0</v>
      </c>
      <c r="P73" s="71">
        <f>IF(P$4&lt;=PARAMETER!$X$2,SUMIF('2024'!$F:$F,$B73,'2024'!O:O)/PARAMETER!$T$3,"")</f>
        <v>0</v>
      </c>
      <c r="Q73" s="71">
        <f>IF(Q$4&lt;=PARAMETER!$X$2,SUMIF('2024'!$F:$F,$B73,'2024'!P:P)/PARAMETER!$T$3,"")</f>
        <v>0</v>
      </c>
      <c r="R73" s="71">
        <f>IF(R$4&lt;=PARAMETER!$X$2,SUMIF('2024'!$F:$F,$B73,'2024'!Q:Q)/PARAMETER!$T$3,"")</f>
        <v>0</v>
      </c>
      <c r="S73" s="71">
        <f>IF(S$4&lt;=PARAMETER!$X$2,SUMIF('2024'!$F:$F,$B73,'2024'!R:R)/PARAMETER!$T$3,"")</f>
        <v>0</v>
      </c>
      <c r="T73" s="71">
        <f>IF(T$4&lt;=PARAMETER!$X$2,SUMIF('2024'!$F:$F,$B73,'2024'!S:S)/PARAMETER!$T$3,"")</f>
        <v>0</v>
      </c>
      <c r="U73" s="71" t="str">
        <f>IF(U$4&lt;=PARAMETER!$X$2,SUMIF('2024'!$F:$F,$B73,'2024'!T:T)/PARAMETER!$T$3,"")</f>
        <v/>
      </c>
      <c r="V73" s="71" t="str">
        <f>IF(V$4&lt;=PARAMETER!$X$2,SUMIF('2024'!$F:$F,$B73,'2024'!U:U)/PARAMETER!$T$3,"")</f>
        <v/>
      </c>
      <c r="W73" s="71" t="str">
        <f>IF(W$4&lt;=PARAMETER!$X$2,SUMIF('2024'!$F:$F,$B73,'2024'!V:V)/PARAMETER!$T$3,"")</f>
        <v/>
      </c>
      <c r="X73" s="71" t="str">
        <f>IF(X$4&lt;=PARAMETER!$X$2,SUMIF('2024'!$F:$F,$B73,'2024'!W:W)/PARAMETER!$T$3,"")</f>
        <v/>
      </c>
      <c r="Y73" s="71" t="str">
        <f>IF(Y$4&lt;=PARAMETER!$X$2,SUMIF('2024'!$F:$F,$B73,'2024'!X:X)/PARAMETER!$T$3,"")</f>
        <v/>
      </c>
      <c r="Z73" s="71" t="str">
        <f>IF(Z$4&lt;=PARAMETER!$X$2,SUMIF('2024'!$F:$F,$B73,'2024'!Y:Y)/PARAMETER!$T$3,"")</f>
        <v/>
      </c>
      <c r="AA73" s="71" t="str">
        <f>IF(AA$4&lt;=PARAMETER!$X$2,SUMIF('2024'!$F:$F,$B73,'2024'!Z:Z)/PARAMETER!$T$3,"")</f>
        <v/>
      </c>
      <c r="AB73" s="71" t="str">
        <f>IF(AB$4&lt;=PARAMETER!$X$2,SUMIF('2024'!$F:$F,$B73,'2024'!AA:AA)/PARAMETER!$T$3,"")</f>
        <v/>
      </c>
      <c r="AC73" s="71" t="str">
        <f>IF(AC$4&lt;=PARAMETER!$X$2,SUMIF('2024'!$F:$F,$B73,'2024'!AB:AB)/PARAMETER!$T$3,"")</f>
        <v/>
      </c>
      <c r="AD73" s="71" t="str">
        <f>IF(AD$4&lt;=PARAMETER!$X$2,SUMIF('2024'!$F:$F,$B73,'2024'!AC:AC)/PARAMETER!$T$3,"")</f>
        <v/>
      </c>
      <c r="AE73" s="71" t="str">
        <f>IF(AE$4&lt;=PARAMETER!$X$2,SUMIF('2024'!$F:$F,$B73,'2024'!AD:AD)/PARAMETER!$T$3,"")</f>
        <v/>
      </c>
      <c r="AF73" s="71" t="str">
        <f>IF(AF$4&lt;=PARAMETER!$X$2,SUMIF('2024'!$F:$F,$B73,'2024'!AE:AE)/PARAMETER!$T$3,"")</f>
        <v/>
      </c>
      <c r="AG73" s="71" t="str">
        <f>IF(AG$4&lt;=PARAMETER!$X$2,SUMIF('2024'!$F:$F,$B73,'2024'!AF:AF)/PARAMETER!$T$3,"")</f>
        <v/>
      </c>
      <c r="AH73" s="71" t="str">
        <f>IF(AH$4&lt;=PARAMETER!$X$2,SUMIF('2024'!$F:$F,$B73,'2024'!AG:AG)/PARAMETER!$T$3,"")</f>
        <v/>
      </c>
      <c r="AI73" s="71" t="str">
        <f>IF(AI$4&lt;=PARAMETER!$X$2,SUMIF('2024'!$F:$F,$B73,'2024'!AH:AH)/PARAMETER!$T$3,"")</f>
        <v/>
      </c>
      <c r="AJ73" s="71" t="str">
        <f>IF(AJ$4&lt;=PARAMETER!$X$2,SUMIF('2024'!$F:$F,$B73,'2024'!AI:AI)/PARAMETER!$T$3,"")</f>
        <v/>
      </c>
      <c r="AK73" s="71" t="str">
        <f>IF(AK$4&lt;=PARAMETER!$X$2,SUMIF('2024'!$F:$F,$B73,'2024'!AJ:AJ)/PARAMETER!$T$3,"")</f>
        <v/>
      </c>
      <c r="AL73" s="71" t="str">
        <f>IF(AL$4&lt;=PARAMETER!$X$2,SUMIF('2024'!$F:$F,$B73,'2024'!AK:AK)/PARAMETER!$T$3,"")</f>
        <v/>
      </c>
      <c r="AM73" s="71" t="str">
        <f>IF(AM$4&lt;=PARAMETER!$X$2,SUMIF('2024'!$F:$F,$B73,'2024'!AL:AL)/PARAMETER!$T$3,"")</f>
        <v/>
      </c>
      <c r="AN73" s="71" t="str">
        <f>IF(AN$4&lt;=PARAMETER!$X$2,SUMIF('2024'!$F:$F,$B73,'2024'!AM:AM)/PARAMETER!$T$3,"")</f>
        <v/>
      </c>
      <c r="AO73" s="71" t="str">
        <f>IF(AO$4&lt;=PARAMETER!$X$2,SUMIF('2024'!$F:$F,$B73,'2024'!AN:AN)/PARAMETER!$T$3,"")</f>
        <v/>
      </c>
      <c r="AP73" s="71" t="str">
        <f>IF(AP$4&lt;=PARAMETER!$X$2,SUMIF('2024'!$F:$F,$B73,'2024'!AO:AO)/PARAMETER!$T$3,"")</f>
        <v/>
      </c>
      <c r="AQ73" s="71" t="str">
        <f>IF(AQ$4&lt;=PARAMETER!$X$2,SUMIF('2024'!$F:$F,$B73,'2024'!AP:AP)/PARAMETER!$T$3,"")</f>
        <v/>
      </c>
      <c r="AR73" s="71" t="str">
        <f>IF(AR$4&lt;=PARAMETER!$X$2,SUMIF('2024'!$F:$F,$B73,'2024'!AQ:AQ)/PARAMETER!$T$3,"")</f>
        <v/>
      </c>
      <c r="AS73" s="71" t="str">
        <f>IF(AS$4&lt;=PARAMETER!$X$2,SUMIF('2024'!$F:$F,$B73,'2024'!AR:AR)/PARAMETER!$T$3,"")</f>
        <v/>
      </c>
      <c r="AT73" s="71" t="str">
        <f>IF(AT$4&lt;=PARAMETER!$X$2,SUMIF('2024'!$F:$F,$B73,'2024'!AS:AS)/PARAMETER!$T$3,"")</f>
        <v/>
      </c>
      <c r="AU73" s="71" t="str">
        <f>IF(AU$4&lt;=PARAMETER!$X$2,SUMIF('2024'!$F:$F,$B73,'2024'!AT:AT)/PARAMETER!$T$3,"")</f>
        <v/>
      </c>
      <c r="AV73" s="71" t="str">
        <f>IF(AV$4&lt;=PARAMETER!$X$2,SUMIF('2024'!$F:$F,$B73,'2024'!AU:AU)/PARAMETER!$T$3,"")</f>
        <v/>
      </c>
      <c r="AW73" s="71" t="str">
        <f>IF(AW$4&lt;=PARAMETER!$X$2,SUMIF('2024'!$F:$F,$B73,'2024'!AV:AV)/PARAMETER!$T$3,"")</f>
        <v/>
      </c>
      <c r="AX73" s="71" t="str">
        <f>IF(AX$4&lt;=PARAMETER!$X$2,SUMIF('2024'!$F:$F,$B73,'2024'!AW:AW)/PARAMETER!$T$3,"")</f>
        <v/>
      </c>
      <c r="AY73" s="71" t="str">
        <f>IF(AY$4&lt;=PARAMETER!$X$2,SUMIF('2024'!$F:$F,$B73,'2024'!AX:AX)/PARAMETER!$T$3,"")</f>
        <v/>
      </c>
      <c r="AZ73" s="71" t="str">
        <f>IF(AZ$4&lt;=PARAMETER!$X$2,SUMIF('2024'!$F:$F,$B73,'2024'!AY:AY)/PARAMETER!$T$3,"")</f>
        <v/>
      </c>
      <c r="BA73" s="71" t="str">
        <f>IF(BA$4&lt;=PARAMETER!$X$2,SUMIF('2024'!$F:$F,$B73,'2024'!AZ:AZ)/PARAMETER!$T$3,"")</f>
        <v/>
      </c>
      <c r="BB73" s="71" t="str">
        <f>IF(BB$4&lt;=PARAMETER!$X$2,SUMIF('2024'!$F:$F,$B73,'2024'!BA:BA)/PARAMETER!$T$3,"")</f>
        <v/>
      </c>
      <c r="BC73" s="71" t="str">
        <f>IF(BC$4&lt;=PARAMETER!$X$2,SUMIF('2024'!$F:$F,$B73,'2024'!BB:BB)/PARAMETER!$T$3,"")</f>
        <v/>
      </c>
      <c r="BD73" s="71" t="str">
        <f>IF(BD$4&lt;=PARAMETER!$X$2,SUMIF('2024'!$F:$F,$B73,'2024'!BC:BC)/PARAMETER!$T$3,"")</f>
        <v/>
      </c>
      <c r="BE73" s="71" t="str">
        <f>IF(BE$4&lt;=PARAMETER!$X$2,SUMIF('2024'!$F:$F,$B73,'2024'!BD:BD)/PARAMETER!$T$3,"")</f>
        <v/>
      </c>
      <c r="BF73" s="71" t="str">
        <f>IF(BF$4&lt;=PARAMETER!$X$2,SUMIF('2024'!$F:$F,$B73,'2024'!BE:BE)/PARAMETER!$T$3,"")</f>
        <v/>
      </c>
      <c r="BG73" s="71" t="str">
        <f>IF(BG$4&lt;=PARAMETER!$X$2,SUMIF('2024'!$F:$F,$B73,'2024'!BF:BF)/PARAMETER!$T$3,"")</f>
        <v/>
      </c>
      <c r="BH73" s="71" t="str">
        <f>IF(BH$4&lt;=PARAMETER!$X$2,SUMIF('2024'!$F:$F,$B73,'2024'!BG:BG)/PARAMETER!$T$3,"")</f>
        <v/>
      </c>
      <c r="BI73" s="71" t="str">
        <f>IF(BI$4&lt;=PARAMETER!$X$2,SUMIF('2024'!$F:$F,$B73,'2024'!BH:BH)/PARAMETER!$T$3,"")</f>
        <v/>
      </c>
      <c r="BJ73" s="71" t="str">
        <f>IF(BJ$4&lt;=PARAMETER!$X$2,SUMIF('2024'!$F:$F,$B73,'2024'!BI:BI)/PARAMETER!$T$3,"")</f>
        <v/>
      </c>
    </row>
    <row r="74" spans="1:62" x14ac:dyDescent="0.25">
      <c r="A74">
        <v>16</v>
      </c>
      <c r="B74" s="78" t="str">
        <f>CONCATENATE(C74,PARAMETER!T$2)</f>
        <v>VOL</v>
      </c>
      <c r="C74" s="21" t="str">
        <f>IFERROR(VLOOKUP(A74,PARAMETER!K$2:M82,3,0),"")</f>
        <v/>
      </c>
      <c r="D74" s="22" t="s">
        <v>127</v>
      </c>
      <c r="E74" s="37" t="str">
        <f t="shared" ref="E74" si="96">IFERROR(I75/I74,"")</f>
        <v/>
      </c>
      <c r="F74" s="23">
        <f t="shared" ref="F74:F76" si="97">IFERROR(IF(E74&gt;300%,300%,E74),"")</f>
        <v>3</v>
      </c>
      <c r="G74" s="24" t="str">
        <f t="shared" si="20"/>
        <v>Target</v>
      </c>
      <c r="H74" s="25">
        <f>IF(H$4&lt;=PARAMETER!$X$2,SUMIF('2026 T'!$F:$F,$B74,'2026 T'!G:G)/PARAMETER!$T$3,"")</f>
        <v>0</v>
      </c>
      <c r="I74" s="25">
        <f>IF(I$4&lt;=PARAMETER!$X$2,SUMIF('2026 T'!$F:$F,$B74,'2026 T'!H:H)/PARAMETER!$T$3,"")</f>
        <v>0</v>
      </c>
      <c r="J74" s="25">
        <f>IF(J$4&lt;=PARAMETER!$X$2,SUMIF('2026 T'!$F:$F,$B74,'2026 T'!I:I)/PARAMETER!$T$3,"")</f>
        <v>0</v>
      </c>
      <c r="K74" s="25">
        <f>IF(K$4&lt;=PARAMETER!$X$2,SUMIF('2026 T'!$F:$F,$B74,'2026 T'!J:J)/PARAMETER!$T$3,"")</f>
        <v>0</v>
      </c>
      <c r="L74" s="25">
        <f>IF(L$4&lt;=PARAMETER!$X$2,SUMIF('2026 T'!$F:$F,$B74,'2026 T'!K:K)/PARAMETER!$T$3,"")</f>
        <v>0</v>
      </c>
      <c r="M74" s="25">
        <f>IF(M$4&lt;=PARAMETER!$X$2,SUMIF('2026 T'!$F:$F,$B74,'2026 T'!L:L)/PARAMETER!$T$3,"")</f>
        <v>0</v>
      </c>
      <c r="N74" s="25">
        <f>IF(N$4&lt;=PARAMETER!$X$2,SUMIF('2026 T'!$F:$F,$B74,'2026 T'!M:M)/PARAMETER!$T$3,"")</f>
        <v>0</v>
      </c>
      <c r="O74" s="25">
        <f>IF(O$4&lt;=PARAMETER!$X$2,SUMIF('2026 T'!$F:$F,$B74,'2026 T'!N:N)/PARAMETER!$T$3,"")</f>
        <v>0</v>
      </c>
      <c r="P74" s="25">
        <f>IF(P$4&lt;=PARAMETER!$X$2,SUMIF('2026 T'!$F:$F,$B74,'2026 T'!O:O)/PARAMETER!$T$3,"")</f>
        <v>0</v>
      </c>
      <c r="Q74" s="25">
        <f>IF(Q$4&lt;=PARAMETER!$X$2,SUMIF('2026 T'!$F:$F,$B74,'2026 T'!P:P)/PARAMETER!$T$3,"")</f>
        <v>0</v>
      </c>
      <c r="R74" s="25">
        <f>IF(R$4&lt;=PARAMETER!$X$2,SUMIF('2026 T'!$F:$F,$B74,'2026 T'!Q:Q)/PARAMETER!$T$3,"")</f>
        <v>0</v>
      </c>
      <c r="S74" s="25">
        <f>IF(S$4&lt;=PARAMETER!$X$2,SUMIF('2026 T'!$F:$F,$B74,'2026 T'!R:R)/PARAMETER!$T$3,"")</f>
        <v>0</v>
      </c>
      <c r="T74" s="25">
        <f>IF(T$4&lt;=PARAMETER!$X$2,SUMIF('2026 T'!$F:$F,$B74,'2026 T'!S:S)/PARAMETER!$T$3,"")</f>
        <v>0</v>
      </c>
      <c r="U74" s="25" t="str">
        <f>IF(U$4&lt;=PARAMETER!$X$2,SUMIF('2026 T'!$F:$F,$B74,'2026 T'!T:T)/PARAMETER!$T$3,"")</f>
        <v/>
      </c>
      <c r="V74" s="25" t="str">
        <f>IF(V$4&lt;=PARAMETER!$X$2,SUMIF('2026 T'!$F:$F,$B74,'2026 T'!U:U)/PARAMETER!$T$3,"")</f>
        <v/>
      </c>
      <c r="W74" s="25" t="str">
        <f>IF(W$4&lt;=PARAMETER!$X$2,SUMIF('2026 T'!$F:$F,$B74,'2026 T'!V:V)/PARAMETER!$T$3,"")</f>
        <v/>
      </c>
      <c r="X74" s="25" t="str">
        <f>IF(X$4&lt;=PARAMETER!$X$2,SUMIF('2026 T'!$F:$F,$B74,'2026 T'!W:W)/PARAMETER!$T$3,"")</f>
        <v/>
      </c>
      <c r="Y74" s="25" t="str">
        <f>IF(Y$4&lt;=PARAMETER!$X$2,SUMIF('2026 T'!$F:$F,$B74,'2026 T'!X:X)/PARAMETER!$T$3,"")</f>
        <v/>
      </c>
      <c r="Z74" s="25" t="str">
        <f>IF(Z$4&lt;=PARAMETER!$X$2,SUMIF('2026 T'!$F:$F,$B74,'2026 T'!Y:Y)/PARAMETER!$T$3,"")</f>
        <v/>
      </c>
      <c r="AA74" s="25" t="str">
        <f>IF(AA$4&lt;=PARAMETER!$X$2,SUMIF('2026 T'!$F:$F,$B74,'2026 T'!Z:Z)/PARAMETER!$T$3,"")</f>
        <v/>
      </c>
      <c r="AB74" s="25" t="str">
        <f>IF(AB$4&lt;=PARAMETER!$X$2,SUMIF('2026 T'!$F:$F,$B74,'2026 T'!AA:AA)/PARAMETER!$T$3,"")</f>
        <v/>
      </c>
      <c r="AC74" s="25" t="str">
        <f>IF(AC$4&lt;=PARAMETER!$X$2,SUMIF('2026 T'!$F:$F,$B74,'2026 T'!AB:AB)/PARAMETER!$T$3,"")</f>
        <v/>
      </c>
      <c r="AD74" s="25" t="str">
        <f>IF(AD$4&lt;=PARAMETER!$X$2,SUMIF('2026 T'!$F:$F,$B74,'2026 T'!AC:AC)/PARAMETER!$T$3,"")</f>
        <v/>
      </c>
      <c r="AE74" s="25" t="str">
        <f>IF(AE$4&lt;=PARAMETER!$X$2,SUMIF('2026 T'!$F:$F,$B74,'2026 T'!AD:AD)/PARAMETER!$T$3,"")</f>
        <v/>
      </c>
      <c r="AF74" s="25" t="str">
        <f>IF(AF$4&lt;=PARAMETER!$X$2,SUMIF('2026 T'!$F:$F,$B74,'2026 T'!AE:AE)/PARAMETER!$T$3,"")</f>
        <v/>
      </c>
      <c r="AG74" s="25" t="str">
        <f>IF(AG$4&lt;=PARAMETER!$X$2,SUMIF('2026 T'!$F:$F,$B74,'2026 T'!AF:AF)/PARAMETER!$T$3,"")</f>
        <v/>
      </c>
      <c r="AH74" s="25" t="str">
        <f>IF(AH$4&lt;=PARAMETER!$X$2,SUMIF('2026 T'!$F:$F,$B74,'2026 T'!AG:AG)/PARAMETER!$T$3,"")</f>
        <v/>
      </c>
      <c r="AI74" s="25" t="str">
        <f>IF(AI$4&lt;=PARAMETER!$X$2,SUMIF('2026 T'!$F:$F,$B74,'2026 T'!AH:AH)/PARAMETER!$T$3,"")</f>
        <v/>
      </c>
      <c r="AJ74" s="25" t="str">
        <f>IF(AJ$4&lt;=PARAMETER!$X$2,SUMIF('2026 T'!$F:$F,$B74,'2026 T'!AI:AI)/PARAMETER!$T$3,"")</f>
        <v/>
      </c>
      <c r="AK74" s="25" t="str">
        <f>IF(AK$4&lt;=PARAMETER!$X$2,SUMIF('2026 T'!$F:$F,$B74,'2026 T'!AJ:AJ)/PARAMETER!$T$3,"")</f>
        <v/>
      </c>
      <c r="AL74" s="25" t="str">
        <f>IF(AL$4&lt;=PARAMETER!$X$2,SUMIF('2026 T'!$F:$F,$B74,'2026 T'!AK:AK)/PARAMETER!$T$3,"")</f>
        <v/>
      </c>
      <c r="AM74" s="25" t="str">
        <f>IF(AM$4&lt;=PARAMETER!$X$2,SUMIF('2026 T'!$F:$F,$B74,'2026 T'!AL:AL)/PARAMETER!$T$3,"")</f>
        <v/>
      </c>
      <c r="AN74" s="25" t="str">
        <f>IF(AN$4&lt;=PARAMETER!$X$2,SUMIF('2026 T'!$F:$F,$B74,'2026 T'!AM:AM)/PARAMETER!$T$3,"")</f>
        <v/>
      </c>
      <c r="AO74" s="25" t="str">
        <f>IF(AO$4&lt;=PARAMETER!$X$2,SUMIF('2026 T'!$F:$F,$B74,'2026 T'!AN:AN)/PARAMETER!$T$3,"")</f>
        <v/>
      </c>
      <c r="AP74" s="25" t="str">
        <f>IF(AP$4&lt;=PARAMETER!$X$2,SUMIF('2026 T'!$F:$F,$B74,'2026 T'!AO:AO)/PARAMETER!$T$3,"")</f>
        <v/>
      </c>
      <c r="AQ74" s="25" t="str">
        <f>IF(AQ$4&lt;=PARAMETER!$X$2,SUMIF('2026 T'!$F:$F,$B74,'2026 T'!AP:AP)/PARAMETER!$T$3,"")</f>
        <v/>
      </c>
      <c r="AR74" s="25" t="str">
        <f>IF(AR$4&lt;=PARAMETER!$X$2,SUMIF('2026 T'!$F:$F,$B74,'2026 T'!AQ:AQ)/PARAMETER!$T$3,"")</f>
        <v/>
      </c>
      <c r="AS74" s="25" t="str">
        <f>IF(AS$4&lt;=PARAMETER!$X$2,SUMIF('2026 T'!$F:$F,$B74,'2026 T'!AR:AR)/PARAMETER!$T$3,"")</f>
        <v/>
      </c>
      <c r="AT74" s="25" t="str">
        <f>IF(AT$4&lt;=PARAMETER!$X$2,SUMIF('2026 T'!$F:$F,$B74,'2026 T'!AS:AS)/PARAMETER!$T$3,"")</f>
        <v/>
      </c>
      <c r="AU74" s="25" t="str">
        <f>IF(AU$4&lt;=PARAMETER!$X$2,SUMIF('2026 T'!$F:$F,$B74,'2026 T'!AT:AT)/PARAMETER!$T$3,"")</f>
        <v/>
      </c>
      <c r="AV74" s="25" t="str">
        <f>IF(AV$4&lt;=PARAMETER!$X$2,SUMIF('2026 T'!$F:$F,$B74,'2026 T'!AU:AU)/PARAMETER!$T$3,"")</f>
        <v/>
      </c>
      <c r="AW74" s="25" t="str">
        <f>IF(AW$4&lt;=PARAMETER!$X$2,SUMIF('2026 T'!$F:$F,$B74,'2026 T'!AV:AV)/PARAMETER!$T$3,"")</f>
        <v/>
      </c>
      <c r="AX74" s="25" t="str">
        <f>IF(AX$4&lt;=PARAMETER!$X$2,SUMIF('2026 T'!$F:$F,$B74,'2026 T'!AW:AW)/PARAMETER!$T$3,"")</f>
        <v/>
      </c>
      <c r="AY74" s="25" t="str">
        <f>IF(AY$4&lt;=PARAMETER!$X$2,SUMIF('2026 T'!$F:$F,$B74,'2026 T'!AX:AX)/PARAMETER!$T$3,"")</f>
        <v/>
      </c>
      <c r="AZ74" s="25" t="str">
        <f>IF(AZ$4&lt;=PARAMETER!$X$2,SUMIF('2026 T'!$F:$F,$B74,'2026 T'!AY:AY)/PARAMETER!$T$3,"")</f>
        <v/>
      </c>
      <c r="BA74" s="25" t="str">
        <f>IF(BA$4&lt;=PARAMETER!$X$2,SUMIF('2026 T'!$F:$F,$B74,'2026 T'!AZ:AZ)/PARAMETER!$T$3,"")</f>
        <v/>
      </c>
      <c r="BB74" s="25" t="str">
        <f>IF(BB$4&lt;=PARAMETER!$X$2,SUMIF('2026 T'!$F:$F,$B74,'2026 T'!BA:BA)/PARAMETER!$T$3,"")</f>
        <v/>
      </c>
      <c r="BC74" s="25" t="str">
        <f>IF(BC$4&lt;=PARAMETER!$X$2,SUMIF('2026 T'!$F:$F,$B74,'2026 T'!BB:BB)/PARAMETER!$T$3,"")</f>
        <v/>
      </c>
      <c r="BD74" s="25" t="str">
        <f>IF(BD$4&lt;=PARAMETER!$X$2,SUMIF('2026 T'!$F:$F,$B74,'2026 T'!BC:BC)/PARAMETER!$T$3,"")</f>
        <v/>
      </c>
      <c r="BE74" s="25" t="str">
        <f>IF(BE$4&lt;=PARAMETER!$X$2,SUMIF('2026 T'!$F:$F,$B74,'2026 T'!BD:BD)/PARAMETER!$T$3,"")</f>
        <v/>
      </c>
      <c r="BF74" s="25" t="str">
        <f>IF(BF$4&lt;=PARAMETER!$X$2,SUMIF('2026 T'!$F:$F,$B74,'2026 T'!BE:BE)/PARAMETER!$T$3,"")</f>
        <v/>
      </c>
      <c r="BG74" s="25" t="str">
        <f>IF(BG$4&lt;=PARAMETER!$X$2,SUMIF('2026 T'!$F:$F,$B74,'2026 T'!BF:BF)/PARAMETER!$T$3,"")</f>
        <v/>
      </c>
      <c r="BH74" s="25" t="str">
        <f>IF(BH$4&lt;=PARAMETER!$X$2,SUMIF('2026 T'!$F:$F,$B74,'2026 T'!BG:BG)/PARAMETER!$T$3,"")</f>
        <v/>
      </c>
      <c r="BI74" s="25" t="str">
        <f>IF(BI$4&lt;=PARAMETER!$X$2,SUMIF('2026 T'!$F:$F,$B74,'2026 T'!BH:BH)/PARAMETER!$T$3,"")</f>
        <v/>
      </c>
      <c r="BJ74" s="25" t="str">
        <f>IF(BJ$4&lt;=PARAMETER!$X$2,SUMIF('2026 T'!$F:$F,$B74,'2026 T'!BI:BI)/PARAMETER!$T$3,"")</f>
        <v/>
      </c>
    </row>
    <row r="75" spans="1:62" x14ac:dyDescent="0.25">
      <c r="A75">
        <f t="shared" ref="A75:A76" si="98">A74</f>
        <v>16</v>
      </c>
      <c r="B75" s="78" t="str">
        <f>CONCATENATE(C75,PARAMETER!T$2)</f>
        <v>VOL</v>
      </c>
      <c r="C75" s="26" t="str">
        <f t="shared" ref="C75:C77" si="99">C74</f>
        <v/>
      </c>
      <c r="D75" s="27" t="s">
        <v>128</v>
      </c>
      <c r="E75" s="35" t="str">
        <f t="shared" ref="E75:E76" si="100">IFERROR(I75/I76-1,"")</f>
        <v/>
      </c>
      <c r="F75" s="28">
        <f t="shared" si="97"/>
        <v>3</v>
      </c>
      <c r="G75" s="39">
        <f t="shared" si="20"/>
        <v>2026</v>
      </c>
      <c r="H75" s="40">
        <f>IF(H$4&lt;=PARAMETER!$X$2,SUMIF('2026'!$F:$F,$B75,'2026'!G:G)/PARAMETER!$T$3,"")</f>
        <v>0</v>
      </c>
      <c r="I75" s="40">
        <f>IF(I$4&lt;=PARAMETER!$X$2,SUMIF('2026'!$F:$F,$B75,'2026'!H:H)/PARAMETER!$T$3,"")</f>
        <v>0</v>
      </c>
      <c r="J75" s="40">
        <f>IF(J$4&lt;=PARAMETER!$X$2,SUMIF('2026'!$F:$F,$B75,'2026'!I:I)/PARAMETER!$T$3,"")</f>
        <v>0</v>
      </c>
      <c r="K75" s="40">
        <f>IF(K$4&lt;=PARAMETER!$X$2,SUMIF('2026'!$F:$F,$B75,'2026'!J:J)/PARAMETER!$T$3,"")</f>
        <v>0</v>
      </c>
      <c r="L75" s="40">
        <f>IF(L$4&lt;=PARAMETER!$X$2,SUMIF('2026'!$F:$F,$B75,'2026'!K:K)/PARAMETER!$T$3,"")</f>
        <v>0</v>
      </c>
      <c r="M75" s="40">
        <f>IF(M$4&lt;=PARAMETER!$X$2,SUMIF('2026'!$F:$F,$B75,'2026'!L:L)/PARAMETER!$T$3,"")</f>
        <v>0</v>
      </c>
      <c r="N75" s="40">
        <f>IF(N$4&lt;=PARAMETER!$X$2,SUMIF('2026'!$F:$F,$B75,'2026'!M:M)/PARAMETER!$T$3,"")</f>
        <v>0</v>
      </c>
      <c r="O75" s="40">
        <f>IF(O$4&lt;=PARAMETER!$X$2,SUMIF('2026'!$F:$F,$B75,'2026'!N:N)/PARAMETER!$T$3,"")</f>
        <v>0</v>
      </c>
      <c r="P75" s="40">
        <f>IF(P$4&lt;=PARAMETER!$X$2,SUMIF('2026'!$F:$F,$B75,'2026'!O:O)/PARAMETER!$T$3,"")</f>
        <v>0</v>
      </c>
      <c r="Q75" s="40">
        <f>IF(Q$4&lt;=PARAMETER!$X$2,SUMIF('2026'!$F:$F,$B75,'2026'!P:P)/PARAMETER!$T$3,"")</f>
        <v>0</v>
      </c>
      <c r="R75" s="40">
        <f>IF(R$4&lt;=PARAMETER!$X$2,SUMIF('2026'!$F:$F,$B75,'2026'!Q:Q)/PARAMETER!$T$3,"")</f>
        <v>0</v>
      </c>
      <c r="S75" s="40">
        <f>IF(S$4&lt;=PARAMETER!$X$2,SUMIF('2026'!$F:$F,$B75,'2026'!R:R)/PARAMETER!$T$3,"")</f>
        <v>0</v>
      </c>
      <c r="T75" s="40">
        <f>IF(T$4&lt;=PARAMETER!$X$2,SUMIF('2026'!$F:$F,$B75,'2026'!S:S)/PARAMETER!$T$3,"")</f>
        <v>0</v>
      </c>
      <c r="U75" s="40" t="str">
        <f>IF(U$4&lt;=PARAMETER!$X$2,SUMIF('2026'!$F:$F,$B75,'2026'!T:T)/PARAMETER!$T$3,"")</f>
        <v/>
      </c>
      <c r="V75" s="40" t="str">
        <f>IF(V$4&lt;=PARAMETER!$X$2,SUMIF('2026'!$F:$F,$B75,'2026'!U:U)/PARAMETER!$T$3,"")</f>
        <v/>
      </c>
      <c r="W75" s="40" t="str">
        <f>IF(W$4&lt;=PARAMETER!$X$2,SUMIF('2026'!$F:$F,$B75,'2026'!V:V)/PARAMETER!$T$3,"")</f>
        <v/>
      </c>
      <c r="X75" s="40" t="str">
        <f>IF(X$4&lt;=PARAMETER!$X$2,SUMIF('2026'!$F:$F,$B75,'2026'!W:W)/PARAMETER!$T$3,"")</f>
        <v/>
      </c>
      <c r="Y75" s="40" t="str">
        <f>IF(Y$4&lt;=PARAMETER!$X$2,SUMIF('2026'!$F:$F,$B75,'2026'!X:X)/PARAMETER!$T$3,"")</f>
        <v/>
      </c>
      <c r="Z75" s="40" t="str">
        <f>IF(Z$4&lt;=PARAMETER!$X$2,SUMIF('2026'!$F:$F,$B75,'2026'!Y:Y)/PARAMETER!$T$3,"")</f>
        <v/>
      </c>
      <c r="AA75" s="40" t="str">
        <f>IF(AA$4&lt;=PARAMETER!$X$2,SUMIF('2026'!$F:$F,$B75,'2026'!Z:Z)/PARAMETER!$T$3,"")</f>
        <v/>
      </c>
      <c r="AB75" s="40" t="str">
        <f>IF(AB$4&lt;=PARAMETER!$X$2,SUMIF('2026'!$F:$F,$B75,'2026'!AA:AA)/PARAMETER!$T$3,"")</f>
        <v/>
      </c>
      <c r="AC75" s="40" t="str">
        <f>IF(AC$4&lt;=PARAMETER!$X$2,SUMIF('2026'!$F:$F,$B75,'2026'!AB:AB)/PARAMETER!$T$3,"")</f>
        <v/>
      </c>
      <c r="AD75" s="40" t="str">
        <f>IF(AD$4&lt;=PARAMETER!$X$2,SUMIF('2026'!$F:$F,$B75,'2026'!AC:AC)/PARAMETER!$T$3,"")</f>
        <v/>
      </c>
      <c r="AE75" s="40" t="str">
        <f>IF(AE$4&lt;=PARAMETER!$X$2,SUMIF('2026'!$F:$F,$B75,'2026'!AD:AD)/PARAMETER!$T$3,"")</f>
        <v/>
      </c>
      <c r="AF75" s="40" t="str">
        <f>IF(AF$4&lt;=PARAMETER!$X$2,SUMIF('2026'!$F:$F,$B75,'2026'!AE:AE)/PARAMETER!$T$3,"")</f>
        <v/>
      </c>
      <c r="AG75" s="40" t="str">
        <f>IF(AG$4&lt;=PARAMETER!$X$2,SUMIF('2026'!$F:$F,$B75,'2026'!AF:AF)/PARAMETER!$T$3,"")</f>
        <v/>
      </c>
      <c r="AH75" s="40" t="str">
        <f>IF(AH$4&lt;=PARAMETER!$X$2,SUMIF('2026'!$F:$F,$B75,'2026'!AG:AG)/PARAMETER!$T$3,"")</f>
        <v/>
      </c>
      <c r="AI75" s="40" t="str">
        <f>IF(AI$4&lt;=PARAMETER!$X$2,SUMIF('2026'!$F:$F,$B75,'2026'!AH:AH)/PARAMETER!$T$3,"")</f>
        <v/>
      </c>
      <c r="AJ75" s="40" t="str">
        <f>IF(AJ$4&lt;=PARAMETER!$X$2,SUMIF('2026'!$F:$F,$B75,'2026'!AI:AI)/PARAMETER!$T$3,"")</f>
        <v/>
      </c>
      <c r="AK75" s="40" t="str">
        <f>IF(AK$4&lt;=PARAMETER!$X$2,SUMIF('2026'!$F:$F,$B75,'2026'!AJ:AJ)/PARAMETER!$T$3,"")</f>
        <v/>
      </c>
      <c r="AL75" s="40" t="str">
        <f>IF(AL$4&lt;=PARAMETER!$X$2,SUMIF('2026'!$F:$F,$B75,'2026'!AK:AK)/PARAMETER!$T$3,"")</f>
        <v/>
      </c>
      <c r="AM75" s="40" t="str">
        <f>IF(AM$4&lt;=PARAMETER!$X$2,SUMIF('2026'!$F:$F,$B75,'2026'!AL:AL)/PARAMETER!$T$3,"")</f>
        <v/>
      </c>
      <c r="AN75" s="40" t="str">
        <f>IF(AN$4&lt;=PARAMETER!$X$2,SUMIF('2026'!$F:$F,$B75,'2026'!AM:AM)/PARAMETER!$T$3,"")</f>
        <v/>
      </c>
      <c r="AO75" s="40" t="str">
        <f>IF(AO$4&lt;=PARAMETER!$X$2,SUMIF('2026'!$F:$F,$B75,'2026'!AN:AN)/PARAMETER!$T$3,"")</f>
        <v/>
      </c>
      <c r="AP75" s="40" t="str">
        <f>IF(AP$4&lt;=PARAMETER!$X$2,SUMIF('2026'!$F:$F,$B75,'2026'!AO:AO)/PARAMETER!$T$3,"")</f>
        <v/>
      </c>
      <c r="AQ75" s="40" t="str">
        <f>IF(AQ$4&lt;=PARAMETER!$X$2,SUMIF('2026'!$F:$F,$B75,'2026'!AP:AP)/PARAMETER!$T$3,"")</f>
        <v/>
      </c>
      <c r="AR75" s="40" t="str">
        <f>IF(AR$4&lt;=PARAMETER!$X$2,SUMIF('2026'!$F:$F,$B75,'2026'!AQ:AQ)/PARAMETER!$T$3,"")</f>
        <v/>
      </c>
      <c r="AS75" s="40" t="str">
        <f>IF(AS$4&lt;=PARAMETER!$X$2,SUMIF('2026'!$F:$F,$B75,'2026'!AR:AR)/PARAMETER!$T$3,"")</f>
        <v/>
      </c>
      <c r="AT75" s="40" t="str">
        <f>IF(AT$4&lt;=PARAMETER!$X$2,SUMIF('2026'!$F:$F,$B75,'2026'!AS:AS)/PARAMETER!$T$3,"")</f>
        <v/>
      </c>
      <c r="AU75" s="40" t="str">
        <f>IF(AU$4&lt;=PARAMETER!$X$2,SUMIF('2026'!$F:$F,$B75,'2026'!AT:AT)/PARAMETER!$T$3,"")</f>
        <v/>
      </c>
      <c r="AV75" s="40" t="str">
        <f>IF(AV$4&lt;=PARAMETER!$X$2,SUMIF('2026'!$F:$F,$B75,'2026'!AU:AU)/PARAMETER!$T$3,"")</f>
        <v/>
      </c>
      <c r="AW75" s="40" t="str">
        <f>IF(AW$4&lt;=PARAMETER!$X$2,SUMIF('2026'!$F:$F,$B75,'2026'!AV:AV)/PARAMETER!$T$3,"")</f>
        <v/>
      </c>
      <c r="AX75" s="40" t="str">
        <f>IF(AX$4&lt;=PARAMETER!$X$2,SUMIF('2026'!$F:$F,$B75,'2026'!AW:AW)/PARAMETER!$T$3,"")</f>
        <v/>
      </c>
      <c r="AY75" s="40" t="str">
        <f>IF(AY$4&lt;=PARAMETER!$X$2,SUMIF('2026'!$F:$F,$B75,'2026'!AX:AX)/PARAMETER!$T$3,"")</f>
        <v/>
      </c>
      <c r="AZ75" s="40" t="str">
        <f>IF(AZ$4&lt;=PARAMETER!$X$2,SUMIF('2026'!$F:$F,$B75,'2026'!AY:AY)/PARAMETER!$T$3,"")</f>
        <v/>
      </c>
      <c r="BA75" s="40" t="str">
        <f>IF(BA$4&lt;=PARAMETER!$X$2,SUMIF('2026'!$F:$F,$B75,'2026'!AZ:AZ)/PARAMETER!$T$3,"")</f>
        <v/>
      </c>
      <c r="BB75" s="40" t="str">
        <f>IF(BB$4&lt;=PARAMETER!$X$2,SUMIF('2026'!$F:$F,$B75,'2026'!BA:BA)/PARAMETER!$T$3,"")</f>
        <v/>
      </c>
      <c r="BC75" s="40" t="str">
        <f>IF(BC$4&lt;=PARAMETER!$X$2,SUMIF('2026'!$F:$F,$B75,'2026'!BB:BB)/PARAMETER!$T$3,"")</f>
        <v/>
      </c>
      <c r="BD75" s="40" t="str">
        <f>IF(BD$4&lt;=PARAMETER!$X$2,SUMIF('2026'!$F:$F,$B75,'2026'!BC:BC)/PARAMETER!$T$3,"")</f>
        <v/>
      </c>
      <c r="BE75" s="40" t="str">
        <f>IF(BE$4&lt;=PARAMETER!$X$2,SUMIF('2026'!$F:$F,$B75,'2026'!BD:BD)/PARAMETER!$T$3,"")</f>
        <v/>
      </c>
      <c r="BF75" s="40" t="str">
        <f>IF(BF$4&lt;=PARAMETER!$X$2,SUMIF('2026'!$F:$F,$B75,'2026'!BE:BE)/PARAMETER!$T$3,"")</f>
        <v/>
      </c>
      <c r="BG75" s="40" t="str">
        <f>IF(BG$4&lt;=PARAMETER!$X$2,SUMIF('2026'!$F:$F,$B75,'2026'!BF:BF)/PARAMETER!$T$3,"")</f>
        <v/>
      </c>
      <c r="BH75" s="40" t="str">
        <f>IF(BH$4&lt;=PARAMETER!$X$2,SUMIF('2026'!$F:$F,$B75,'2026'!BG:BG)/PARAMETER!$T$3,"")</f>
        <v/>
      </c>
      <c r="BI75" s="40" t="str">
        <f>IF(BI$4&lt;=PARAMETER!$X$2,SUMIF('2026'!$F:$F,$B75,'2026'!BH:BH)/PARAMETER!$T$3,"")</f>
        <v/>
      </c>
      <c r="BJ75" s="40" t="str">
        <f>IF(BJ$4&lt;=PARAMETER!$X$2,SUMIF('2026'!$F:$F,$B75,'2026'!BI:BI)/PARAMETER!$T$3,"")</f>
        <v/>
      </c>
    </row>
    <row r="76" spans="1:62" x14ac:dyDescent="0.25">
      <c r="A76">
        <f t="shared" si="98"/>
        <v>16</v>
      </c>
      <c r="B76" s="78" t="str">
        <f>CONCATENATE(C76,PARAMETER!T$2)</f>
        <v>VOL</v>
      </c>
      <c r="C76" s="26" t="str">
        <f t="shared" si="99"/>
        <v/>
      </c>
      <c r="D76" s="27" t="s">
        <v>128</v>
      </c>
      <c r="E76" s="35" t="str">
        <f t="shared" si="100"/>
        <v/>
      </c>
      <c r="F76" s="28">
        <f t="shared" si="97"/>
        <v>3</v>
      </c>
      <c r="G76" s="39">
        <f t="shared" si="20"/>
        <v>2025</v>
      </c>
      <c r="H76" s="40">
        <f>IF(H$4&lt;=PARAMETER!$X$2,SUMIF('2025'!$F:$F,$B76,'2025'!G:G)/PARAMETER!$T$3,"")</f>
        <v>0</v>
      </c>
      <c r="I76" s="40">
        <f>IF(I$4&lt;=PARAMETER!$X$2,SUMIF('2025'!$F:$F,$B76,'2025'!H:H)/PARAMETER!$T$3,"")</f>
        <v>0</v>
      </c>
      <c r="J76" s="40">
        <f>IF(J$4&lt;=PARAMETER!$X$2,SUMIF('2025'!$F:$F,$B76,'2025'!I:I)/PARAMETER!$T$3,"")</f>
        <v>0</v>
      </c>
      <c r="K76" s="40">
        <f>IF(K$4&lt;=PARAMETER!$X$2,SUMIF('2025'!$F:$F,$B76,'2025'!J:J)/PARAMETER!$T$3,"")</f>
        <v>0</v>
      </c>
      <c r="L76" s="40">
        <f>IF(L$4&lt;=PARAMETER!$X$2,SUMIF('2025'!$F:$F,$B76,'2025'!K:K)/PARAMETER!$T$3,"")</f>
        <v>0</v>
      </c>
      <c r="M76" s="40">
        <f>IF(M$4&lt;=PARAMETER!$X$2,SUMIF('2025'!$F:$F,$B76,'2025'!L:L)/PARAMETER!$T$3,"")</f>
        <v>0</v>
      </c>
      <c r="N76" s="40">
        <f>IF(N$4&lt;=PARAMETER!$X$2,SUMIF('2025'!$F:$F,$B76,'2025'!M:M)/PARAMETER!$T$3,"")</f>
        <v>0</v>
      </c>
      <c r="O76" s="40">
        <f>IF(O$4&lt;=PARAMETER!$X$2,SUMIF('2025'!$F:$F,$B76,'2025'!N:N)/PARAMETER!$T$3,"")</f>
        <v>0</v>
      </c>
      <c r="P76" s="40">
        <f>IF(P$4&lt;=PARAMETER!$X$2,SUMIF('2025'!$F:$F,$B76,'2025'!O:O)/PARAMETER!$T$3,"")</f>
        <v>0</v>
      </c>
      <c r="Q76" s="40">
        <f>IF(Q$4&lt;=PARAMETER!$X$2,SUMIF('2025'!$F:$F,$B76,'2025'!P:P)/PARAMETER!$T$3,"")</f>
        <v>0</v>
      </c>
      <c r="R76" s="40">
        <f>IF(R$4&lt;=PARAMETER!$X$2,SUMIF('2025'!$F:$F,$B76,'2025'!Q:Q)/PARAMETER!$T$3,"")</f>
        <v>0</v>
      </c>
      <c r="S76" s="40">
        <f>IF(S$4&lt;=PARAMETER!$X$2,SUMIF('2025'!$F:$F,$B76,'2025'!R:R)/PARAMETER!$T$3,"")</f>
        <v>0</v>
      </c>
      <c r="T76" s="40">
        <f>IF(T$4&lt;=PARAMETER!$X$2,SUMIF('2025'!$F:$F,$B76,'2025'!S:S)/PARAMETER!$T$3,"")</f>
        <v>0</v>
      </c>
      <c r="U76" s="40" t="str">
        <f>IF(U$4&lt;=PARAMETER!$X$2,SUMIF('2025'!$F:$F,$B76,'2025'!T:T)/PARAMETER!$T$3,"")</f>
        <v/>
      </c>
      <c r="V76" s="40" t="str">
        <f>IF(V$4&lt;=PARAMETER!$X$2,SUMIF('2025'!$F:$F,$B76,'2025'!U:U)/PARAMETER!$T$3,"")</f>
        <v/>
      </c>
      <c r="W76" s="40" t="str">
        <f>IF(W$4&lt;=PARAMETER!$X$2,SUMIF('2025'!$F:$F,$B76,'2025'!V:V)/PARAMETER!$T$3,"")</f>
        <v/>
      </c>
      <c r="X76" s="40" t="str">
        <f>IF(X$4&lt;=PARAMETER!$X$2,SUMIF('2025'!$F:$F,$B76,'2025'!W:W)/PARAMETER!$T$3,"")</f>
        <v/>
      </c>
      <c r="Y76" s="40" t="str">
        <f>IF(Y$4&lt;=PARAMETER!$X$2,SUMIF('2025'!$F:$F,$B76,'2025'!X:X)/PARAMETER!$T$3,"")</f>
        <v/>
      </c>
      <c r="Z76" s="40" t="str">
        <f>IF(Z$4&lt;=PARAMETER!$X$2,SUMIF('2025'!$F:$F,$B76,'2025'!Y:Y)/PARAMETER!$T$3,"")</f>
        <v/>
      </c>
      <c r="AA76" s="40" t="str">
        <f>IF(AA$4&lt;=PARAMETER!$X$2,SUMIF('2025'!$F:$F,$B76,'2025'!Z:Z)/PARAMETER!$T$3,"")</f>
        <v/>
      </c>
      <c r="AB76" s="40" t="str">
        <f>IF(AB$4&lt;=PARAMETER!$X$2,SUMIF('2025'!$F:$F,$B76,'2025'!AA:AA)/PARAMETER!$T$3,"")</f>
        <v/>
      </c>
      <c r="AC76" s="40" t="str">
        <f>IF(AC$4&lt;=PARAMETER!$X$2,SUMIF('2025'!$F:$F,$B76,'2025'!AB:AB)/PARAMETER!$T$3,"")</f>
        <v/>
      </c>
      <c r="AD76" s="40" t="str">
        <f>IF(AD$4&lt;=PARAMETER!$X$2,SUMIF('2025'!$F:$F,$B76,'2025'!AC:AC)/PARAMETER!$T$3,"")</f>
        <v/>
      </c>
      <c r="AE76" s="40" t="str">
        <f>IF(AE$4&lt;=PARAMETER!$X$2,SUMIF('2025'!$F:$F,$B76,'2025'!AD:AD)/PARAMETER!$T$3,"")</f>
        <v/>
      </c>
      <c r="AF76" s="40" t="str">
        <f>IF(AF$4&lt;=PARAMETER!$X$2,SUMIF('2025'!$F:$F,$B76,'2025'!AE:AE)/PARAMETER!$T$3,"")</f>
        <v/>
      </c>
      <c r="AG76" s="40" t="str">
        <f>IF(AG$4&lt;=PARAMETER!$X$2,SUMIF('2025'!$F:$F,$B76,'2025'!AF:AF)/PARAMETER!$T$3,"")</f>
        <v/>
      </c>
      <c r="AH76" s="40" t="str">
        <f>IF(AH$4&lt;=PARAMETER!$X$2,SUMIF('2025'!$F:$F,$B76,'2025'!AG:AG)/PARAMETER!$T$3,"")</f>
        <v/>
      </c>
      <c r="AI76" s="40" t="str">
        <f>IF(AI$4&lt;=PARAMETER!$X$2,SUMIF('2025'!$F:$F,$B76,'2025'!AH:AH)/PARAMETER!$T$3,"")</f>
        <v/>
      </c>
      <c r="AJ76" s="40" t="str">
        <f>IF(AJ$4&lt;=PARAMETER!$X$2,SUMIF('2025'!$F:$F,$B76,'2025'!AI:AI)/PARAMETER!$T$3,"")</f>
        <v/>
      </c>
      <c r="AK76" s="40" t="str">
        <f>IF(AK$4&lt;=PARAMETER!$X$2,SUMIF('2025'!$F:$F,$B76,'2025'!AJ:AJ)/PARAMETER!$T$3,"")</f>
        <v/>
      </c>
      <c r="AL76" s="40" t="str">
        <f>IF(AL$4&lt;=PARAMETER!$X$2,SUMIF('2025'!$F:$F,$B76,'2025'!AK:AK)/PARAMETER!$T$3,"")</f>
        <v/>
      </c>
      <c r="AM76" s="40" t="str">
        <f>IF(AM$4&lt;=PARAMETER!$X$2,SUMIF('2025'!$F:$F,$B76,'2025'!AL:AL)/PARAMETER!$T$3,"")</f>
        <v/>
      </c>
      <c r="AN76" s="40" t="str">
        <f>IF(AN$4&lt;=PARAMETER!$X$2,SUMIF('2025'!$F:$F,$B76,'2025'!AM:AM)/PARAMETER!$T$3,"")</f>
        <v/>
      </c>
      <c r="AO76" s="40" t="str">
        <f>IF(AO$4&lt;=PARAMETER!$X$2,SUMIF('2025'!$F:$F,$B76,'2025'!AN:AN)/PARAMETER!$T$3,"")</f>
        <v/>
      </c>
      <c r="AP76" s="40" t="str">
        <f>IF(AP$4&lt;=PARAMETER!$X$2,SUMIF('2025'!$F:$F,$B76,'2025'!AO:AO)/PARAMETER!$T$3,"")</f>
        <v/>
      </c>
      <c r="AQ76" s="40" t="str">
        <f>IF(AQ$4&lt;=PARAMETER!$X$2,SUMIF('2025'!$F:$F,$B76,'2025'!AP:AP)/PARAMETER!$T$3,"")</f>
        <v/>
      </c>
      <c r="AR76" s="40" t="str">
        <f>IF(AR$4&lt;=PARAMETER!$X$2,SUMIF('2025'!$F:$F,$B76,'2025'!AQ:AQ)/PARAMETER!$T$3,"")</f>
        <v/>
      </c>
      <c r="AS76" s="40" t="str">
        <f>IF(AS$4&lt;=PARAMETER!$X$2,SUMIF('2025'!$F:$F,$B76,'2025'!AR:AR)/PARAMETER!$T$3,"")</f>
        <v/>
      </c>
      <c r="AT76" s="40" t="str">
        <f>IF(AT$4&lt;=PARAMETER!$X$2,SUMIF('2025'!$F:$F,$B76,'2025'!AS:AS)/PARAMETER!$T$3,"")</f>
        <v/>
      </c>
      <c r="AU76" s="40" t="str">
        <f>IF(AU$4&lt;=PARAMETER!$X$2,SUMIF('2025'!$F:$F,$B76,'2025'!AT:AT)/PARAMETER!$T$3,"")</f>
        <v/>
      </c>
      <c r="AV76" s="40" t="str">
        <f>IF(AV$4&lt;=PARAMETER!$X$2,SUMIF('2025'!$F:$F,$B76,'2025'!AU:AU)/PARAMETER!$T$3,"")</f>
        <v/>
      </c>
      <c r="AW76" s="40" t="str">
        <f>IF(AW$4&lt;=PARAMETER!$X$2,SUMIF('2025'!$F:$F,$B76,'2025'!AV:AV)/PARAMETER!$T$3,"")</f>
        <v/>
      </c>
      <c r="AX76" s="40" t="str">
        <f>IF(AX$4&lt;=PARAMETER!$X$2,SUMIF('2025'!$F:$F,$B76,'2025'!AW:AW)/PARAMETER!$T$3,"")</f>
        <v/>
      </c>
      <c r="AY76" s="40" t="str">
        <f>IF(AY$4&lt;=PARAMETER!$X$2,SUMIF('2025'!$F:$F,$B76,'2025'!AX:AX)/PARAMETER!$T$3,"")</f>
        <v/>
      </c>
      <c r="AZ76" s="40" t="str">
        <f>IF(AZ$4&lt;=PARAMETER!$X$2,SUMIF('2025'!$F:$F,$B76,'2025'!AY:AY)/PARAMETER!$T$3,"")</f>
        <v/>
      </c>
      <c r="BA76" s="40" t="str">
        <f>IF(BA$4&lt;=PARAMETER!$X$2,SUMIF('2025'!$F:$F,$B76,'2025'!AZ:AZ)/PARAMETER!$T$3,"")</f>
        <v/>
      </c>
      <c r="BB76" s="40" t="str">
        <f>IF(BB$4&lt;=PARAMETER!$X$2,SUMIF('2025'!$F:$F,$B76,'2025'!BA:BA)/PARAMETER!$T$3,"")</f>
        <v/>
      </c>
      <c r="BC76" s="40" t="str">
        <f>IF(BC$4&lt;=PARAMETER!$X$2,SUMIF('2025'!$F:$F,$B76,'2025'!BB:BB)/PARAMETER!$T$3,"")</f>
        <v/>
      </c>
      <c r="BD76" s="40" t="str">
        <f>IF(BD$4&lt;=PARAMETER!$X$2,SUMIF('2025'!$F:$F,$B76,'2025'!BC:BC)/PARAMETER!$T$3,"")</f>
        <v/>
      </c>
      <c r="BE76" s="40" t="str">
        <f>IF(BE$4&lt;=PARAMETER!$X$2,SUMIF('2025'!$F:$F,$B76,'2025'!BD:BD)/PARAMETER!$T$3,"")</f>
        <v/>
      </c>
      <c r="BF76" s="40" t="str">
        <f>IF(BF$4&lt;=PARAMETER!$X$2,SUMIF('2025'!$F:$F,$B76,'2025'!BE:BE)/PARAMETER!$T$3,"")</f>
        <v/>
      </c>
      <c r="BG76" s="40" t="str">
        <f>IF(BG$4&lt;=PARAMETER!$X$2,SUMIF('2025'!$F:$F,$B76,'2025'!BF:BF)/PARAMETER!$T$3,"")</f>
        <v/>
      </c>
      <c r="BH76" s="40" t="str">
        <f>IF(BH$4&lt;=PARAMETER!$X$2,SUMIF('2025'!$F:$F,$B76,'2025'!BG:BG)/PARAMETER!$T$3,"")</f>
        <v/>
      </c>
      <c r="BI76" s="40" t="str">
        <f>IF(BI$4&lt;=PARAMETER!$X$2,SUMIF('2025'!$F:$F,$B76,'2025'!BH:BH)/PARAMETER!$T$3,"")</f>
        <v/>
      </c>
      <c r="BJ76" s="40" t="str">
        <f>IF(BJ$4&lt;=PARAMETER!$X$2,SUMIF('2025'!$F:$F,$B76,'2025'!BI:BI)/PARAMETER!$T$3,"")</f>
        <v/>
      </c>
    </row>
    <row r="77" spans="1:62" x14ac:dyDescent="0.25">
      <c r="A77">
        <f t="shared" ref="A77" si="101">A75</f>
        <v>16</v>
      </c>
      <c r="B77" s="78" t="str">
        <f>CONCATENATE(C77,PARAMETER!T$2)</f>
        <v>VOL</v>
      </c>
      <c r="C77" s="26" t="str">
        <f t="shared" si="99"/>
        <v/>
      </c>
      <c r="D77" s="67"/>
      <c r="E77" s="68"/>
      <c r="F77" s="69"/>
      <c r="G77" s="70">
        <f t="shared" si="20"/>
        <v>2024</v>
      </c>
      <c r="H77" s="71">
        <f>IF(H$4&lt;=PARAMETER!$X$2,SUMIF('2024'!$F:$F,$B77,'2024'!G:G)/PARAMETER!$T$3,"")</f>
        <v>0</v>
      </c>
      <c r="I77" s="71">
        <f>IF(I$4&lt;=PARAMETER!$X$2,SUMIF('2024'!$F:$F,$B77,'2024'!H:H)/PARAMETER!$T$3,"")</f>
        <v>0</v>
      </c>
      <c r="J77" s="71">
        <f>IF(J$4&lt;=PARAMETER!$X$2,SUMIF('2024'!$F:$F,$B77,'2024'!I:I)/PARAMETER!$T$3,"")</f>
        <v>0</v>
      </c>
      <c r="K77" s="71">
        <f>IF(K$4&lt;=PARAMETER!$X$2,SUMIF('2024'!$F:$F,$B77,'2024'!J:J)/PARAMETER!$T$3,"")</f>
        <v>0</v>
      </c>
      <c r="L77" s="71">
        <f>IF(L$4&lt;=PARAMETER!$X$2,SUMIF('2024'!$F:$F,$B77,'2024'!K:K)/PARAMETER!$T$3,"")</f>
        <v>0</v>
      </c>
      <c r="M77" s="71">
        <f>IF(M$4&lt;=PARAMETER!$X$2,SUMIF('2024'!$F:$F,$B77,'2024'!L:L)/PARAMETER!$T$3,"")</f>
        <v>0</v>
      </c>
      <c r="N77" s="71">
        <f>IF(N$4&lt;=PARAMETER!$X$2,SUMIF('2024'!$F:$F,$B77,'2024'!M:M)/PARAMETER!$T$3,"")</f>
        <v>0</v>
      </c>
      <c r="O77" s="71">
        <f>IF(O$4&lt;=PARAMETER!$X$2,SUMIF('2024'!$F:$F,$B77,'2024'!N:N)/PARAMETER!$T$3,"")</f>
        <v>0</v>
      </c>
      <c r="P77" s="71">
        <f>IF(P$4&lt;=PARAMETER!$X$2,SUMIF('2024'!$F:$F,$B77,'2024'!O:O)/PARAMETER!$T$3,"")</f>
        <v>0</v>
      </c>
      <c r="Q77" s="71">
        <f>IF(Q$4&lt;=PARAMETER!$X$2,SUMIF('2024'!$F:$F,$B77,'2024'!P:P)/PARAMETER!$T$3,"")</f>
        <v>0</v>
      </c>
      <c r="R77" s="71">
        <f>IF(R$4&lt;=PARAMETER!$X$2,SUMIF('2024'!$F:$F,$B77,'2024'!Q:Q)/PARAMETER!$T$3,"")</f>
        <v>0</v>
      </c>
      <c r="S77" s="71">
        <f>IF(S$4&lt;=PARAMETER!$X$2,SUMIF('2024'!$F:$F,$B77,'2024'!R:R)/PARAMETER!$T$3,"")</f>
        <v>0</v>
      </c>
      <c r="T77" s="71">
        <f>IF(T$4&lt;=PARAMETER!$X$2,SUMIF('2024'!$F:$F,$B77,'2024'!S:S)/PARAMETER!$T$3,"")</f>
        <v>0</v>
      </c>
      <c r="U77" s="71" t="str">
        <f>IF(U$4&lt;=PARAMETER!$X$2,SUMIF('2024'!$F:$F,$B77,'2024'!T:T)/PARAMETER!$T$3,"")</f>
        <v/>
      </c>
      <c r="V77" s="71" t="str">
        <f>IF(V$4&lt;=PARAMETER!$X$2,SUMIF('2024'!$F:$F,$B77,'2024'!U:U)/PARAMETER!$T$3,"")</f>
        <v/>
      </c>
      <c r="W77" s="71" t="str">
        <f>IF(W$4&lt;=PARAMETER!$X$2,SUMIF('2024'!$F:$F,$B77,'2024'!V:V)/PARAMETER!$T$3,"")</f>
        <v/>
      </c>
      <c r="X77" s="71" t="str">
        <f>IF(X$4&lt;=PARAMETER!$X$2,SUMIF('2024'!$F:$F,$B77,'2024'!W:W)/PARAMETER!$T$3,"")</f>
        <v/>
      </c>
      <c r="Y77" s="71" t="str">
        <f>IF(Y$4&lt;=PARAMETER!$X$2,SUMIF('2024'!$F:$F,$B77,'2024'!X:X)/PARAMETER!$T$3,"")</f>
        <v/>
      </c>
      <c r="Z77" s="71" t="str">
        <f>IF(Z$4&lt;=PARAMETER!$X$2,SUMIF('2024'!$F:$F,$B77,'2024'!Y:Y)/PARAMETER!$T$3,"")</f>
        <v/>
      </c>
      <c r="AA77" s="71" t="str">
        <f>IF(AA$4&lt;=PARAMETER!$X$2,SUMIF('2024'!$F:$F,$B77,'2024'!Z:Z)/PARAMETER!$T$3,"")</f>
        <v/>
      </c>
      <c r="AB77" s="71" t="str">
        <f>IF(AB$4&lt;=PARAMETER!$X$2,SUMIF('2024'!$F:$F,$B77,'2024'!AA:AA)/PARAMETER!$T$3,"")</f>
        <v/>
      </c>
      <c r="AC77" s="71" t="str">
        <f>IF(AC$4&lt;=PARAMETER!$X$2,SUMIF('2024'!$F:$F,$B77,'2024'!AB:AB)/PARAMETER!$T$3,"")</f>
        <v/>
      </c>
      <c r="AD77" s="71" t="str">
        <f>IF(AD$4&lt;=PARAMETER!$X$2,SUMIF('2024'!$F:$F,$B77,'2024'!AC:AC)/PARAMETER!$T$3,"")</f>
        <v/>
      </c>
      <c r="AE77" s="71" t="str">
        <f>IF(AE$4&lt;=PARAMETER!$X$2,SUMIF('2024'!$F:$F,$B77,'2024'!AD:AD)/PARAMETER!$T$3,"")</f>
        <v/>
      </c>
      <c r="AF77" s="71" t="str">
        <f>IF(AF$4&lt;=PARAMETER!$X$2,SUMIF('2024'!$F:$F,$B77,'2024'!AE:AE)/PARAMETER!$T$3,"")</f>
        <v/>
      </c>
      <c r="AG77" s="71" t="str">
        <f>IF(AG$4&lt;=PARAMETER!$X$2,SUMIF('2024'!$F:$F,$B77,'2024'!AF:AF)/PARAMETER!$T$3,"")</f>
        <v/>
      </c>
      <c r="AH77" s="71" t="str">
        <f>IF(AH$4&lt;=PARAMETER!$X$2,SUMIF('2024'!$F:$F,$B77,'2024'!AG:AG)/PARAMETER!$T$3,"")</f>
        <v/>
      </c>
      <c r="AI77" s="71" t="str">
        <f>IF(AI$4&lt;=PARAMETER!$X$2,SUMIF('2024'!$F:$F,$B77,'2024'!AH:AH)/PARAMETER!$T$3,"")</f>
        <v/>
      </c>
      <c r="AJ77" s="71" t="str">
        <f>IF(AJ$4&lt;=PARAMETER!$X$2,SUMIF('2024'!$F:$F,$B77,'2024'!AI:AI)/PARAMETER!$T$3,"")</f>
        <v/>
      </c>
      <c r="AK77" s="71" t="str">
        <f>IF(AK$4&lt;=PARAMETER!$X$2,SUMIF('2024'!$F:$F,$B77,'2024'!AJ:AJ)/PARAMETER!$T$3,"")</f>
        <v/>
      </c>
      <c r="AL77" s="71" t="str">
        <f>IF(AL$4&lt;=PARAMETER!$X$2,SUMIF('2024'!$F:$F,$B77,'2024'!AK:AK)/PARAMETER!$T$3,"")</f>
        <v/>
      </c>
      <c r="AM77" s="71" t="str">
        <f>IF(AM$4&lt;=PARAMETER!$X$2,SUMIF('2024'!$F:$F,$B77,'2024'!AL:AL)/PARAMETER!$T$3,"")</f>
        <v/>
      </c>
      <c r="AN77" s="71" t="str">
        <f>IF(AN$4&lt;=PARAMETER!$X$2,SUMIF('2024'!$F:$F,$B77,'2024'!AM:AM)/PARAMETER!$T$3,"")</f>
        <v/>
      </c>
      <c r="AO77" s="71" t="str">
        <f>IF(AO$4&lt;=PARAMETER!$X$2,SUMIF('2024'!$F:$F,$B77,'2024'!AN:AN)/PARAMETER!$T$3,"")</f>
        <v/>
      </c>
      <c r="AP77" s="71" t="str">
        <f>IF(AP$4&lt;=PARAMETER!$X$2,SUMIF('2024'!$F:$F,$B77,'2024'!AO:AO)/PARAMETER!$T$3,"")</f>
        <v/>
      </c>
      <c r="AQ77" s="71" t="str">
        <f>IF(AQ$4&lt;=PARAMETER!$X$2,SUMIF('2024'!$F:$F,$B77,'2024'!AP:AP)/PARAMETER!$T$3,"")</f>
        <v/>
      </c>
      <c r="AR77" s="71" t="str">
        <f>IF(AR$4&lt;=PARAMETER!$X$2,SUMIF('2024'!$F:$F,$B77,'2024'!AQ:AQ)/PARAMETER!$T$3,"")</f>
        <v/>
      </c>
      <c r="AS77" s="71" t="str">
        <f>IF(AS$4&lt;=PARAMETER!$X$2,SUMIF('2024'!$F:$F,$B77,'2024'!AR:AR)/PARAMETER!$T$3,"")</f>
        <v/>
      </c>
      <c r="AT77" s="71" t="str">
        <f>IF(AT$4&lt;=PARAMETER!$X$2,SUMIF('2024'!$F:$F,$B77,'2024'!AS:AS)/PARAMETER!$T$3,"")</f>
        <v/>
      </c>
      <c r="AU77" s="71" t="str">
        <f>IF(AU$4&lt;=PARAMETER!$X$2,SUMIF('2024'!$F:$F,$B77,'2024'!AT:AT)/PARAMETER!$T$3,"")</f>
        <v/>
      </c>
      <c r="AV77" s="71" t="str">
        <f>IF(AV$4&lt;=PARAMETER!$X$2,SUMIF('2024'!$F:$F,$B77,'2024'!AU:AU)/PARAMETER!$T$3,"")</f>
        <v/>
      </c>
      <c r="AW77" s="71" t="str">
        <f>IF(AW$4&lt;=PARAMETER!$X$2,SUMIF('2024'!$F:$F,$B77,'2024'!AV:AV)/PARAMETER!$T$3,"")</f>
        <v/>
      </c>
      <c r="AX77" s="71" t="str">
        <f>IF(AX$4&lt;=PARAMETER!$X$2,SUMIF('2024'!$F:$F,$B77,'2024'!AW:AW)/PARAMETER!$T$3,"")</f>
        <v/>
      </c>
      <c r="AY77" s="71" t="str">
        <f>IF(AY$4&lt;=PARAMETER!$X$2,SUMIF('2024'!$F:$F,$B77,'2024'!AX:AX)/PARAMETER!$T$3,"")</f>
        <v/>
      </c>
      <c r="AZ77" s="71" t="str">
        <f>IF(AZ$4&lt;=PARAMETER!$X$2,SUMIF('2024'!$F:$F,$B77,'2024'!AY:AY)/PARAMETER!$T$3,"")</f>
        <v/>
      </c>
      <c r="BA77" s="71" t="str">
        <f>IF(BA$4&lt;=PARAMETER!$X$2,SUMIF('2024'!$F:$F,$B77,'2024'!AZ:AZ)/PARAMETER!$T$3,"")</f>
        <v/>
      </c>
      <c r="BB77" s="71" t="str">
        <f>IF(BB$4&lt;=PARAMETER!$X$2,SUMIF('2024'!$F:$F,$B77,'2024'!BA:BA)/PARAMETER!$T$3,"")</f>
        <v/>
      </c>
      <c r="BC77" s="71" t="str">
        <f>IF(BC$4&lt;=PARAMETER!$X$2,SUMIF('2024'!$F:$F,$B77,'2024'!BB:BB)/PARAMETER!$T$3,"")</f>
        <v/>
      </c>
      <c r="BD77" s="71" t="str">
        <f>IF(BD$4&lt;=PARAMETER!$X$2,SUMIF('2024'!$F:$F,$B77,'2024'!BC:BC)/PARAMETER!$T$3,"")</f>
        <v/>
      </c>
      <c r="BE77" s="71" t="str">
        <f>IF(BE$4&lt;=PARAMETER!$X$2,SUMIF('2024'!$F:$F,$B77,'2024'!BD:BD)/PARAMETER!$T$3,"")</f>
        <v/>
      </c>
      <c r="BF77" s="71" t="str">
        <f>IF(BF$4&lt;=PARAMETER!$X$2,SUMIF('2024'!$F:$F,$B77,'2024'!BE:BE)/PARAMETER!$T$3,"")</f>
        <v/>
      </c>
      <c r="BG77" s="71" t="str">
        <f>IF(BG$4&lt;=PARAMETER!$X$2,SUMIF('2024'!$F:$F,$B77,'2024'!BF:BF)/PARAMETER!$T$3,"")</f>
        <v/>
      </c>
      <c r="BH77" s="71" t="str">
        <f>IF(BH$4&lt;=PARAMETER!$X$2,SUMIF('2024'!$F:$F,$B77,'2024'!BG:BG)/PARAMETER!$T$3,"")</f>
        <v/>
      </c>
      <c r="BI77" s="71" t="str">
        <f>IF(BI$4&lt;=PARAMETER!$X$2,SUMIF('2024'!$F:$F,$B77,'2024'!BH:BH)/PARAMETER!$T$3,"")</f>
        <v/>
      </c>
      <c r="BJ77" s="71" t="str">
        <f>IF(BJ$4&lt;=PARAMETER!$X$2,SUMIF('2024'!$F:$F,$B77,'2024'!BI:BI)/PARAMETER!$T$3,"")</f>
        <v/>
      </c>
    </row>
    <row r="78" spans="1:62" x14ac:dyDescent="0.25">
      <c r="A78">
        <v>17</v>
      </c>
      <c r="B78" s="78" t="str">
        <f>CONCATENATE(C78,PARAMETER!T$2)</f>
        <v>VOL</v>
      </c>
      <c r="C78" s="21" t="str">
        <f>IFERROR(VLOOKUP(A78,PARAMETER!K$2:M86,3,0),"")</f>
        <v/>
      </c>
      <c r="D78" s="22" t="s">
        <v>127</v>
      </c>
      <c r="E78" s="37" t="str">
        <f t="shared" ref="E78" si="102">IFERROR(I79/I78,"")</f>
        <v/>
      </c>
      <c r="F78" s="23">
        <f t="shared" ref="F78:F80" si="103">IFERROR(IF(E78&gt;300%,300%,E78),"")</f>
        <v>3</v>
      </c>
      <c r="G78" s="24" t="str">
        <f t="shared" si="20"/>
        <v>Target</v>
      </c>
      <c r="H78" s="25">
        <f>IF(H$4&lt;=PARAMETER!$X$2,SUMIF('2026 T'!$F:$F,$B78,'2026 T'!G:G)/PARAMETER!$T$3,"")</f>
        <v>0</v>
      </c>
      <c r="I78" s="25">
        <f>IF(I$4&lt;=PARAMETER!$X$2,SUMIF('2026 T'!$F:$F,$B78,'2026 T'!H:H)/PARAMETER!$T$3,"")</f>
        <v>0</v>
      </c>
      <c r="J78" s="25">
        <f>IF(J$4&lt;=PARAMETER!$X$2,SUMIF('2026 T'!$F:$F,$B78,'2026 T'!I:I)/PARAMETER!$T$3,"")</f>
        <v>0</v>
      </c>
      <c r="K78" s="25">
        <f>IF(K$4&lt;=PARAMETER!$X$2,SUMIF('2026 T'!$F:$F,$B78,'2026 T'!J:J)/PARAMETER!$T$3,"")</f>
        <v>0</v>
      </c>
      <c r="L78" s="25">
        <f>IF(L$4&lt;=PARAMETER!$X$2,SUMIF('2026 T'!$F:$F,$B78,'2026 T'!K:K)/PARAMETER!$T$3,"")</f>
        <v>0</v>
      </c>
      <c r="M78" s="25">
        <f>IF(M$4&lt;=PARAMETER!$X$2,SUMIF('2026 T'!$F:$F,$B78,'2026 T'!L:L)/PARAMETER!$T$3,"")</f>
        <v>0</v>
      </c>
      <c r="N78" s="25">
        <f>IF(N$4&lt;=PARAMETER!$X$2,SUMIF('2026 T'!$F:$F,$B78,'2026 T'!M:M)/PARAMETER!$T$3,"")</f>
        <v>0</v>
      </c>
      <c r="O78" s="25">
        <f>IF(O$4&lt;=PARAMETER!$X$2,SUMIF('2026 T'!$F:$F,$B78,'2026 T'!N:N)/PARAMETER!$T$3,"")</f>
        <v>0</v>
      </c>
      <c r="P78" s="25">
        <f>IF(P$4&lt;=PARAMETER!$X$2,SUMIF('2026 T'!$F:$F,$B78,'2026 T'!O:O)/PARAMETER!$T$3,"")</f>
        <v>0</v>
      </c>
      <c r="Q78" s="25">
        <f>IF(Q$4&lt;=PARAMETER!$X$2,SUMIF('2026 T'!$F:$F,$B78,'2026 T'!P:P)/PARAMETER!$T$3,"")</f>
        <v>0</v>
      </c>
      <c r="R78" s="25">
        <f>IF(R$4&lt;=PARAMETER!$X$2,SUMIF('2026 T'!$F:$F,$B78,'2026 T'!Q:Q)/PARAMETER!$T$3,"")</f>
        <v>0</v>
      </c>
      <c r="S78" s="25">
        <f>IF(S$4&lt;=PARAMETER!$X$2,SUMIF('2026 T'!$F:$F,$B78,'2026 T'!R:R)/PARAMETER!$T$3,"")</f>
        <v>0</v>
      </c>
      <c r="T78" s="25">
        <f>IF(T$4&lt;=PARAMETER!$X$2,SUMIF('2026 T'!$F:$F,$B78,'2026 T'!S:S)/PARAMETER!$T$3,"")</f>
        <v>0</v>
      </c>
      <c r="U78" s="25" t="str">
        <f>IF(U$4&lt;=PARAMETER!$X$2,SUMIF('2026 T'!$F:$F,$B78,'2026 T'!T:T)/PARAMETER!$T$3,"")</f>
        <v/>
      </c>
      <c r="V78" s="25" t="str">
        <f>IF(V$4&lt;=PARAMETER!$X$2,SUMIF('2026 T'!$F:$F,$B78,'2026 T'!U:U)/PARAMETER!$T$3,"")</f>
        <v/>
      </c>
      <c r="W78" s="25" t="str">
        <f>IF(W$4&lt;=PARAMETER!$X$2,SUMIF('2026 T'!$F:$F,$B78,'2026 T'!V:V)/PARAMETER!$T$3,"")</f>
        <v/>
      </c>
      <c r="X78" s="25" t="str">
        <f>IF(X$4&lt;=PARAMETER!$X$2,SUMIF('2026 T'!$F:$F,$B78,'2026 T'!W:W)/PARAMETER!$T$3,"")</f>
        <v/>
      </c>
      <c r="Y78" s="25" t="str">
        <f>IF(Y$4&lt;=PARAMETER!$X$2,SUMIF('2026 T'!$F:$F,$B78,'2026 T'!X:X)/PARAMETER!$T$3,"")</f>
        <v/>
      </c>
      <c r="Z78" s="25" t="str">
        <f>IF(Z$4&lt;=PARAMETER!$X$2,SUMIF('2026 T'!$F:$F,$B78,'2026 T'!Y:Y)/PARAMETER!$T$3,"")</f>
        <v/>
      </c>
      <c r="AA78" s="25" t="str">
        <f>IF(AA$4&lt;=PARAMETER!$X$2,SUMIF('2026 T'!$F:$F,$B78,'2026 T'!Z:Z)/PARAMETER!$T$3,"")</f>
        <v/>
      </c>
      <c r="AB78" s="25" t="str">
        <f>IF(AB$4&lt;=PARAMETER!$X$2,SUMIF('2026 T'!$F:$F,$B78,'2026 T'!AA:AA)/PARAMETER!$T$3,"")</f>
        <v/>
      </c>
      <c r="AC78" s="25" t="str">
        <f>IF(AC$4&lt;=PARAMETER!$X$2,SUMIF('2026 T'!$F:$F,$B78,'2026 T'!AB:AB)/PARAMETER!$T$3,"")</f>
        <v/>
      </c>
      <c r="AD78" s="25" t="str">
        <f>IF(AD$4&lt;=PARAMETER!$X$2,SUMIF('2026 T'!$F:$F,$B78,'2026 T'!AC:AC)/PARAMETER!$T$3,"")</f>
        <v/>
      </c>
      <c r="AE78" s="25" t="str">
        <f>IF(AE$4&lt;=PARAMETER!$X$2,SUMIF('2026 T'!$F:$F,$B78,'2026 T'!AD:AD)/PARAMETER!$T$3,"")</f>
        <v/>
      </c>
      <c r="AF78" s="25" t="str">
        <f>IF(AF$4&lt;=PARAMETER!$X$2,SUMIF('2026 T'!$F:$F,$B78,'2026 T'!AE:AE)/PARAMETER!$T$3,"")</f>
        <v/>
      </c>
      <c r="AG78" s="25" t="str">
        <f>IF(AG$4&lt;=PARAMETER!$X$2,SUMIF('2026 T'!$F:$F,$B78,'2026 T'!AF:AF)/PARAMETER!$T$3,"")</f>
        <v/>
      </c>
      <c r="AH78" s="25" t="str">
        <f>IF(AH$4&lt;=PARAMETER!$X$2,SUMIF('2026 T'!$F:$F,$B78,'2026 T'!AG:AG)/PARAMETER!$T$3,"")</f>
        <v/>
      </c>
      <c r="AI78" s="25" t="str">
        <f>IF(AI$4&lt;=PARAMETER!$X$2,SUMIF('2026 T'!$F:$F,$B78,'2026 T'!AH:AH)/PARAMETER!$T$3,"")</f>
        <v/>
      </c>
      <c r="AJ78" s="25" t="str">
        <f>IF(AJ$4&lt;=PARAMETER!$X$2,SUMIF('2026 T'!$F:$F,$B78,'2026 T'!AI:AI)/PARAMETER!$T$3,"")</f>
        <v/>
      </c>
      <c r="AK78" s="25" t="str">
        <f>IF(AK$4&lt;=PARAMETER!$X$2,SUMIF('2026 T'!$F:$F,$B78,'2026 T'!AJ:AJ)/PARAMETER!$T$3,"")</f>
        <v/>
      </c>
      <c r="AL78" s="25" t="str">
        <f>IF(AL$4&lt;=PARAMETER!$X$2,SUMIF('2026 T'!$F:$F,$B78,'2026 T'!AK:AK)/PARAMETER!$T$3,"")</f>
        <v/>
      </c>
      <c r="AM78" s="25" t="str">
        <f>IF(AM$4&lt;=PARAMETER!$X$2,SUMIF('2026 T'!$F:$F,$B78,'2026 T'!AL:AL)/PARAMETER!$T$3,"")</f>
        <v/>
      </c>
      <c r="AN78" s="25" t="str">
        <f>IF(AN$4&lt;=PARAMETER!$X$2,SUMIF('2026 T'!$F:$F,$B78,'2026 T'!AM:AM)/PARAMETER!$T$3,"")</f>
        <v/>
      </c>
      <c r="AO78" s="25" t="str">
        <f>IF(AO$4&lt;=PARAMETER!$X$2,SUMIF('2026 T'!$F:$F,$B78,'2026 T'!AN:AN)/PARAMETER!$T$3,"")</f>
        <v/>
      </c>
      <c r="AP78" s="25" t="str">
        <f>IF(AP$4&lt;=PARAMETER!$X$2,SUMIF('2026 T'!$F:$F,$B78,'2026 T'!AO:AO)/PARAMETER!$T$3,"")</f>
        <v/>
      </c>
      <c r="AQ78" s="25" t="str">
        <f>IF(AQ$4&lt;=PARAMETER!$X$2,SUMIF('2026 T'!$F:$F,$B78,'2026 T'!AP:AP)/PARAMETER!$T$3,"")</f>
        <v/>
      </c>
      <c r="AR78" s="25" t="str">
        <f>IF(AR$4&lt;=PARAMETER!$X$2,SUMIF('2026 T'!$F:$F,$B78,'2026 T'!AQ:AQ)/PARAMETER!$T$3,"")</f>
        <v/>
      </c>
      <c r="AS78" s="25" t="str">
        <f>IF(AS$4&lt;=PARAMETER!$X$2,SUMIF('2026 T'!$F:$F,$B78,'2026 T'!AR:AR)/PARAMETER!$T$3,"")</f>
        <v/>
      </c>
      <c r="AT78" s="25" t="str">
        <f>IF(AT$4&lt;=PARAMETER!$X$2,SUMIF('2026 T'!$F:$F,$B78,'2026 T'!AS:AS)/PARAMETER!$T$3,"")</f>
        <v/>
      </c>
      <c r="AU78" s="25" t="str">
        <f>IF(AU$4&lt;=PARAMETER!$X$2,SUMIF('2026 T'!$F:$F,$B78,'2026 T'!AT:AT)/PARAMETER!$T$3,"")</f>
        <v/>
      </c>
      <c r="AV78" s="25" t="str">
        <f>IF(AV$4&lt;=PARAMETER!$X$2,SUMIF('2026 T'!$F:$F,$B78,'2026 T'!AU:AU)/PARAMETER!$T$3,"")</f>
        <v/>
      </c>
      <c r="AW78" s="25" t="str">
        <f>IF(AW$4&lt;=PARAMETER!$X$2,SUMIF('2026 T'!$F:$F,$B78,'2026 T'!AV:AV)/PARAMETER!$T$3,"")</f>
        <v/>
      </c>
      <c r="AX78" s="25" t="str">
        <f>IF(AX$4&lt;=PARAMETER!$X$2,SUMIF('2026 T'!$F:$F,$B78,'2026 T'!AW:AW)/PARAMETER!$T$3,"")</f>
        <v/>
      </c>
      <c r="AY78" s="25" t="str">
        <f>IF(AY$4&lt;=PARAMETER!$X$2,SUMIF('2026 T'!$F:$F,$B78,'2026 T'!AX:AX)/PARAMETER!$T$3,"")</f>
        <v/>
      </c>
      <c r="AZ78" s="25" t="str">
        <f>IF(AZ$4&lt;=PARAMETER!$X$2,SUMIF('2026 T'!$F:$F,$B78,'2026 T'!AY:AY)/PARAMETER!$T$3,"")</f>
        <v/>
      </c>
      <c r="BA78" s="25" t="str">
        <f>IF(BA$4&lt;=PARAMETER!$X$2,SUMIF('2026 T'!$F:$F,$B78,'2026 T'!AZ:AZ)/PARAMETER!$T$3,"")</f>
        <v/>
      </c>
      <c r="BB78" s="25" t="str">
        <f>IF(BB$4&lt;=PARAMETER!$X$2,SUMIF('2026 T'!$F:$F,$B78,'2026 T'!BA:BA)/PARAMETER!$T$3,"")</f>
        <v/>
      </c>
      <c r="BC78" s="25" t="str">
        <f>IF(BC$4&lt;=PARAMETER!$X$2,SUMIF('2026 T'!$F:$F,$B78,'2026 T'!BB:BB)/PARAMETER!$T$3,"")</f>
        <v/>
      </c>
      <c r="BD78" s="25" t="str">
        <f>IF(BD$4&lt;=PARAMETER!$X$2,SUMIF('2026 T'!$F:$F,$B78,'2026 T'!BC:BC)/PARAMETER!$T$3,"")</f>
        <v/>
      </c>
      <c r="BE78" s="25" t="str">
        <f>IF(BE$4&lt;=PARAMETER!$X$2,SUMIF('2026 T'!$F:$F,$B78,'2026 T'!BD:BD)/PARAMETER!$T$3,"")</f>
        <v/>
      </c>
      <c r="BF78" s="25" t="str">
        <f>IF(BF$4&lt;=PARAMETER!$X$2,SUMIF('2026 T'!$F:$F,$B78,'2026 T'!BE:BE)/PARAMETER!$T$3,"")</f>
        <v/>
      </c>
      <c r="BG78" s="25" t="str">
        <f>IF(BG$4&lt;=PARAMETER!$X$2,SUMIF('2026 T'!$F:$F,$B78,'2026 T'!BF:BF)/PARAMETER!$T$3,"")</f>
        <v/>
      </c>
      <c r="BH78" s="25" t="str">
        <f>IF(BH$4&lt;=PARAMETER!$X$2,SUMIF('2026 T'!$F:$F,$B78,'2026 T'!BG:BG)/PARAMETER!$T$3,"")</f>
        <v/>
      </c>
      <c r="BI78" s="25" t="str">
        <f>IF(BI$4&lt;=PARAMETER!$X$2,SUMIF('2026 T'!$F:$F,$B78,'2026 T'!BH:BH)/PARAMETER!$T$3,"")</f>
        <v/>
      </c>
      <c r="BJ78" s="25" t="str">
        <f>IF(BJ$4&lt;=PARAMETER!$X$2,SUMIF('2026 T'!$F:$F,$B78,'2026 T'!BI:BI)/PARAMETER!$T$3,"")</f>
        <v/>
      </c>
    </row>
    <row r="79" spans="1:62" x14ac:dyDescent="0.25">
      <c r="A79">
        <f t="shared" ref="A79:A80" si="104">A78</f>
        <v>17</v>
      </c>
      <c r="B79" s="78" t="str">
        <f>CONCATENATE(C79,PARAMETER!T$2)</f>
        <v>VOL</v>
      </c>
      <c r="C79" s="26" t="str">
        <f t="shared" ref="C79:C81" si="105">C78</f>
        <v/>
      </c>
      <c r="D79" s="27" t="s">
        <v>128</v>
      </c>
      <c r="E79" s="35" t="str">
        <f t="shared" ref="E79:E80" si="106">IFERROR(I79/I80-1,"")</f>
        <v/>
      </c>
      <c r="F79" s="28">
        <f t="shared" si="103"/>
        <v>3</v>
      </c>
      <c r="G79" s="39">
        <f t="shared" si="20"/>
        <v>2026</v>
      </c>
      <c r="H79" s="40">
        <f>IF(H$4&lt;=PARAMETER!$X$2,SUMIF('2026'!$F:$F,$B79,'2026'!G:G)/PARAMETER!$T$3,"")</f>
        <v>0</v>
      </c>
      <c r="I79" s="40">
        <f>IF(I$4&lt;=PARAMETER!$X$2,SUMIF('2026'!$F:$F,$B79,'2026'!H:H)/PARAMETER!$T$3,"")</f>
        <v>0</v>
      </c>
      <c r="J79" s="40">
        <f>IF(J$4&lt;=PARAMETER!$X$2,SUMIF('2026'!$F:$F,$B79,'2026'!I:I)/PARAMETER!$T$3,"")</f>
        <v>0</v>
      </c>
      <c r="K79" s="40">
        <f>IF(K$4&lt;=PARAMETER!$X$2,SUMIF('2026'!$F:$F,$B79,'2026'!J:J)/PARAMETER!$T$3,"")</f>
        <v>0</v>
      </c>
      <c r="L79" s="40">
        <f>IF(L$4&lt;=PARAMETER!$X$2,SUMIF('2026'!$F:$F,$B79,'2026'!K:K)/PARAMETER!$T$3,"")</f>
        <v>0</v>
      </c>
      <c r="M79" s="40">
        <f>IF(M$4&lt;=PARAMETER!$X$2,SUMIF('2026'!$F:$F,$B79,'2026'!L:L)/PARAMETER!$T$3,"")</f>
        <v>0</v>
      </c>
      <c r="N79" s="40">
        <f>IF(N$4&lt;=PARAMETER!$X$2,SUMIF('2026'!$F:$F,$B79,'2026'!M:M)/PARAMETER!$T$3,"")</f>
        <v>0</v>
      </c>
      <c r="O79" s="40">
        <f>IF(O$4&lt;=PARAMETER!$X$2,SUMIF('2026'!$F:$F,$B79,'2026'!N:N)/PARAMETER!$T$3,"")</f>
        <v>0</v>
      </c>
      <c r="P79" s="40">
        <f>IF(P$4&lt;=PARAMETER!$X$2,SUMIF('2026'!$F:$F,$B79,'2026'!O:O)/PARAMETER!$T$3,"")</f>
        <v>0</v>
      </c>
      <c r="Q79" s="40">
        <f>IF(Q$4&lt;=PARAMETER!$X$2,SUMIF('2026'!$F:$F,$B79,'2026'!P:P)/PARAMETER!$T$3,"")</f>
        <v>0</v>
      </c>
      <c r="R79" s="40">
        <f>IF(R$4&lt;=PARAMETER!$X$2,SUMIF('2026'!$F:$F,$B79,'2026'!Q:Q)/PARAMETER!$T$3,"")</f>
        <v>0</v>
      </c>
      <c r="S79" s="40">
        <f>IF(S$4&lt;=PARAMETER!$X$2,SUMIF('2026'!$F:$F,$B79,'2026'!R:R)/PARAMETER!$T$3,"")</f>
        <v>0</v>
      </c>
      <c r="T79" s="40">
        <f>IF(T$4&lt;=PARAMETER!$X$2,SUMIF('2026'!$F:$F,$B79,'2026'!S:S)/PARAMETER!$T$3,"")</f>
        <v>0</v>
      </c>
      <c r="U79" s="40" t="str">
        <f>IF(U$4&lt;=PARAMETER!$X$2,SUMIF('2026'!$F:$F,$B79,'2026'!T:T)/PARAMETER!$T$3,"")</f>
        <v/>
      </c>
      <c r="V79" s="40" t="str">
        <f>IF(V$4&lt;=PARAMETER!$X$2,SUMIF('2026'!$F:$F,$B79,'2026'!U:U)/PARAMETER!$T$3,"")</f>
        <v/>
      </c>
      <c r="W79" s="40" t="str">
        <f>IF(W$4&lt;=PARAMETER!$X$2,SUMIF('2026'!$F:$F,$B79,'2026'!V:V)/PARAMETER!$T$3,"")</f>
        <v/>
      </c>
      <c r="X79" s="40" t="str">
        <f>IF(X$4&lt;=PARAMETER!$X$2,SUMIF('2026'!$F:$F,$B79,'2026'!W:W)/PARAMETER!$T$3,"")</f>
        <v/>
      </c>
      <c r="Y79" s="40" t="str">
        <f>IF(Y$4&lt;=PARAMETER!$X$2,SUMIF('2026'!$F:$F,$B79,'2026'!X:X)/PARAMETER!$T$3,"")</f>
        <v/>
      </c>
      <c r="Z79" s="40" t="str">
        <f>IF(Z$4&lt;=PARAMETER!$X$2,SUMIF('2026'!$F:$F,$B79,'2026'!Y:Y)/PARAMETER!$T$3,"")</f>
        <v/>
      </c>
      <c r="AA79" s="40" t="str">
        <f>IF(AA$4&lt;=PARAMETER!$X$2,SUMIF('2026'!$F:$F,$B79,'2026'!Z:Z)/PARAMETER!$T$3,"")</f>
        <v/>
      </c>
      <c r="AB79" s="40" t="str">
        <f>IF(AB$4&lt;=PARAMETER!$X$2,SUMIF('2026'!$F:$F,$B79,'2026'!AA:AA)/PARAMETER!$T$3,"")</f>
        <v/>
      </c>
      <c r="AC79" s="40" t="str">
        <f>IF(AC$4&lt;=PARAMETER!$X$2,SUMIF('2026'!$F:$F,$B79,'2026'!AB:AB)/PARAMETER!$T$3,"")</f>
        <v/>
      </c>
      <c r="AD79" s="40" t="str">
        <f>IF(AD$4&lt;=PARAMETER!$X$2,SUMIF('2026'!$F:$F,$B79,'2026'!AC:AC)/PARAMETER!$T$3,"")</f>
        <v/>
      </c>
      <c r="AE79" s="40" t="str">
        <f>IF(AE$4&lt;=PARAMETER!$X$2,SUMIF('2026'!$F:$F,$B79,'2026'!AD:AD)/PARAMETER!$T$3,"")</f>
        <v/>
      </c>
      <c r="AF79" s="40" t="str">
        <f>IF(AF$4&lt;=PARAMETER!$X$2,SUMIF('2026'!$F:$F,$B79,'2026'!AE:AE)/PARAMETER!$T$3,"")</f>
        <v/>
      </c>
      <c r="AG79" s="40" t="str">
        <f>IF(AG$4&lt;=PARAMETER!$X$2,SUMIF('2026'!$F:$F,$B79,'2026'!AF:AF)/PARAMETER!$T$3,"")</f>
        <v/>
      </c>
      <c r="AH79" s="40" t="str">
        <f>IF(AH$4&lt;=PARAMETER!$X$2,SUMIF('2026'!$F:$F,$B79,'2026'!AG:AG)/PARAMETER!$T$3,"")</f>
        <v/>
      </c>
      <c r="AI79" s="40" t="str">
        <f>IF(AI$4&lt;=PARAMETER!$X$2,SUMIF('2026'!$F:$F,$B79,'2026'!AH:AH)/PARAMETER!$T$3,"")</f>
        <v/>
      </c>
      <c r="AJ79" s="40" t="str">
        <f>IF(AJ$4&lt;=PARAMETER!$X$2,SUMIF('2026'!$F:$F,$B79,'2026'!AI:AI)/PARAMETER!$T$3,"")</f>
        <v/>
      </c>
      <c r="AK79" s="40" t="str">
        <f>IF(AK$4&lt;=PARAMETER!$X$2,SUMIF('2026'!$F:$F,$B79,'2026'!AJ:AJ)/PARAMETER!$T$3,"")</f>
        <v/>
      </c>
      <c r="AL79" s="40" t="str">
        <f>IF(AL$4&lt;=PARAMETER!$X$2,SUMIF('2026'!$F:$F,$B79,'2026'!AK:AK)/PARAMETER!$T$3,"")</f>
        <v/>
      </c>
      <c r="AM79" s="40" t="str">
        <f>IF(AM$4&lt;=PARAMETER!$X$2,SUMIF('2026'!$F:$F,$B79,'2026'!AL:AL)/PARAMETER!$T$3,"")</f>
        <v/>
      </c>
      <c r="AN79" s="40" t="str">
        <f>IF(AN$4&lt;=PARAMETER!$X$2,SUMIF('2026'!$F:$F,$B79,'2026'!AM:AM)/PARAMETER!$T$3,"")</f>
        <v/>
      </c>
      <c r="AO79" s="40" t="str">
        <f>IF(AO$4&lt;=PARAMETER!$X$2,SUMIF('2026'!$F:$F,$B79,'2026'!AN:AN)/PARAMETER!$T$3,"")</f>
        <v/>
      </c>
      <c r="AP79" s="40" t="str">
        <f>IF(AP$4&lt;=PARAMETER!$X$2,SUMIF('2026'!$F:$F,$B79,'2026'!AO:AO)/PARAMETER!$T$3,"")</f>
        <v/>
      </c>
      <c r="AQ79" s="40" t="str">
        <f>IF(AQ$4&lt;=PARAMETER!$X$2,SUMIF('2026'!$F:$F,$B79,'2026'!AP:AP)/PARAMETER!$T$3,"")</f>
        <v/>
      </c>
      <c r="AR79" s="40" t="str">
        <f>IF(AR$4&lt;=PARAMETER!$X$2,SUMIF('2026'!$F:$F,$B79,'2026'!AQ:AQ)/PARAMETER!$T$3,"")</f>
        <v/>
      </c>
      <c r="AS79" s="40" t="str">
        <f>IF(AS$4&lt;=PARAMETER!$X$2,SUMIF('2026'!$F:$F,$B79,'2026'!AR:AR)/PARAMETER!$T$3,"")</f>
        <v/>
      </c>
      <c r="AT79" s="40" t="str">
        <f>IF(AT$4&lt;=PARAMETER!$X$2,SUMIF('2026'!$F:$F,$B79,'2026'!AS:AS)/PARAMETER!$T$3,"")</f>
        <v/>
      </c>
      <c r="AU79" s="40" t="str">
        <f>IF(AU$4&lt;=PARAMETER!$X$2,SUMIF('2026'!$F:$F,$B79,'2026'!AT:AT)/PARAMETER!$T$3,"")</f>
        <v/>
      </c>
      <c r="AV79" s="40" t="str">
        <f>IF(AV$4&lt;=PARAMETER!$X$2,SUMIF('2026'!$F:$F,$B79,'2026'!AU:AU)/PARAMETER!$T$3,"")</f>
        <v/>
      </c>
      <c r="AW79" s="40" t="str">
        <f>IF(AW$4&lt;=PARAMETER!$X$2,SUMIF('2026'!$F:$F,$B79,'2026'!AV:AV)/PARAMETER!$T$3,"")</f>
        <v/>
      </c>
      <c r="AX79" s="40" t="str">
        <f>IF(AX$4&lt;=PARAMETER!$X$2,SUMIF('2026'!$F:$F,$B79,'2026'!AW:AW)/PARAMETER!$T$3,"")</f>
        <v/>
      </c>
      <c r="AY79" s="40" t="str">
        <f>IF(AY$4&lt;=PARAMETER!$X$2,SUMIF('2026'!$F:$F,$B79,'2026'!AX:AX)/PARAMETER!$T$3,"")</f>
        <v/>
      </c>
      <c r="AZ79" s="40" t="str">
        <f>IF(AZ$4&lt;=PARAMETER!$X$2,SUMIF('2026'!$F:$F,$B79,'2026'!AY:AY)/PARAMETER!$T$3,"")</f>
        <v/>
      </c>
      <c r="BA79" s="40" t="str">
        <f>IF(BA$4&lt;=PARAMETER!$X$2,SUMIF('2026'!$F:$F,$B79,'2026'!AZ:AZ)/PARAMETER!$T$3,"")</f>
        <v/>
      </c>
      <c r="BB79" s="40" t="str">
        <f>IF(BB$4&lt;=PARAMETER!$X$2,SUMIF('2026'!$F:$F,$B79,'2026'!BA:BA)/PARAMETER!$T$3,"")</f>
        <v/>
      </c>
      <c r="BC79" s="40" t="str">
        <f>IF(BC$4&lt;=PARAMETER!$X$2,SUMIF('2026'!$F:$F,$B79,'2026'!BB:BB)/PARAMETER!$T$3,"")</f>
        <v/>
      </c>
      <c r="BD79" s="40" t="str">
        <f>IF(BD$4&lt;=PARAMETER!$X$2,SUMIF('2026'!$F:$F,$B79,'2026'!BC:BC)/PARAMETER!$T$3,"")</f>
        <v/>
      </c>
      <c r="BE79" s="40" t="str">
        <f>IF(BE$4&lt;=PARAMETER!$X$2,SUMIF('2026'!$F:$F,$B79,'2026'!BD:BD)/PARAMETER!$T$3,"")</f>
        <v/>
      </c>
      <c r="BF79" s="40" t="str">
        <f>IF(BF$4&lt;=PARAMETER!$X$2,SUMIF('2026'!$F:$F,$B79,'2026'!BE:BE)/PARAMETER!$T$3,"")</f>
        <v/>
      </c>
      <c r="BG79" s="40" t="str">
        <f>IF(BG$4&lt;=PARAMETER!$X$2,SUMIF('2026'!$F:$F,$B79,'2026'!BF:BF)/PARAMETER!$T$3,"")</f>
        <v/>
      </c>
      <c r="BH79" s="40" t="str">
        <f>IF(BH$4&lt;=PARAMETER!$X$2,SUMIF('2026'!$F:$F,$B79,'2026'!BG:BG)/PARAMETER!$T$3,"")</f>
        <v/>
      </c>
      <c r="BI79" s="40" t="str">
        <f>IF(BI$4&lt;=PARAMETER!$X$2,SUMIF('2026'!$F:$F,$B79,'2026'!BH:BH)/PARAMETER!$T$3,"")</f>
        <v/>
      </c>
      <c r="BJ79" s="40" t="str">
        <f>IF(BJ$4&lt;=PARAMETER!$X$2,SUMIF('2026'!$F:$F,$B79,'2026'!BI:BI)/PARAMETER!$T$3,"")</f>
        <v/>
      </c>
    </row>
    <row r="80" spans="1:62" x14ac:dyDescent="0.25">
      <c r="A80">
        <f t="shared" si="104"/>
        <v>17</v>
      </c>
      <c r="B80" s="78" t="str">
        <f>CONCATENATE(C80,PARAMETER!T$2)</f>
        <v>VOL</v>
      </c>
      <c r="C80" s="26" t="str">
        <f t="shared" si="105"/>
        <v/>
      </c>
      <c r="D80" s="27" t="s">
        <v>128</v>
      </c>
      <c r="E80" s="35" t="str">
        <f t="shared" si="106"/>
        <v/>
      </c>
      <c r="F80" s="28">
        <f t="shared" si="103"/>
        <v>3</v>
      </c>
      <c r="G80" s="39">
        <f t="shared" si="20"/>
        <v>2025</v>
      </c>
      <c r="H80" s="40">
        <f>IF(H$4&lt;=PARAMETER!$X$2,SUMIF('2025'!$F:$F,$B80,'2025'!G:G)/PARAMETER!$T$3,"")</f>
        <v>0</v>
      </c>
      <c r="I80" s="40">
        <f>IF(I$4&lt;=PARAMETER!$X$2,SUMIF('2025'!$F:$F,$B80,'2025'!H:H)/PARAMETER!$T$3,"")</f>
        <v>0</v>
      </c>
      <c r="J80" s="40">
        <f>IF(J$4&lt;=PARAMETER!$X$2,SUMIF('2025'!$F:$F,$B80,'2025'!I:I)/PARAMETER!$T$3,"")</f>
        <v>0</v>
      </c>
      <c r="K80" s="40">
        <f>IF(K$4&lt;=PARAMETER!$X$2,SUMIF('2025'!$F:$F,$B80,'2025'!J:J)/PARAMETER!$T$3,"")</f>
        <v>0</v>
      </c>
      <c r="L80" s="40">
        <f>IF(L$4&lt;=PARAMETER!$X$2,SUMIF('2025'!$F:$F,$B80,'2025'!K:K)/PARAMETER!$T$3,"")</f>
        <v>0</v>
      </c>
      <c r="M80" s="40">
        <f>IF(M$4&lt;=PARAMETER!$X$2,SUMIF('2025'!$F:$F,$B80,'2025'!L:L)/PARAMETER!$T$3,"")</f>
        <v>0</v>
      </c>
      <c r="N80" s="40">
        <f>IF(N$4&lt;=PARAMETER!$X$2,SUMIF('2025'!$F:$F,$B80,'2025'!M:M)/PARAMETER!$T$3,"")</f>
        <v>0</v>
      </c>
      <c r="O80" s="40">
        <f>IF(O$4&lt;=PARAMETER!$X$2,SUMIF('2025'!$F:$F,$B80,'2025'!N:N)/PARAMETER!$T$3,"")</f>
        <v>0</v>
      </c>
      <c r="P80" s="40">
        <f>IF(P$4&lt;=PARAMETER!$X$2,SUMIF('2025'!$F:$F,$B80,'2025'!O:O)/PARAMETER!$T$3,"")</f>
        <v>0</v>
      </c>
      <c r="Q80" s="40">
        <f>IF(Q$4&lt;=PARAMETER!$X$2,SUMIF('2025'!$F:$F,$B80,'2025'!P:P)/PARAMETER!$T$3,"")</f>
        <v>0</v>
      </c>
      <c r="R80" s="40">
        <f>IF(R$4&lt;=PARAMETER!$X$2,SUMIF('2025'!$F:$F,$B80,'2025'!Q:Q)/PARAMETER!$T$3,"")</f>
        <v>0</v>
      </c>
      <c r="S80" s="40">
        <f>IF(S$4&lt;=PARAMETER!$X$2,SUMIF('2025'!$F:$F,$B80,'2025'!R:R)/PARAMETER!$T$3,"")</f>
        <v>0</v>
      </c>
      <c r="T80" s="40">
        <f>IF(T$4&lt;=PARAMETER!$X$2,SUMIF('2025'!$F:$F,$B80,'2025'!S:S)/PARAMETER!$T$3,"")</f>
        <v>0</v>
      </c>
      <c r="U80" s="40" t="str">
        <f>IF(U$4&lt;=PARAMETER!$X$2,SUMIF('2025'!$F:$F,$B80,'2025'!T:T)/PARAMETER!$T$3,"")</f>
        <v/>
      </c>
      <c r="V80" s="40" t="str">
        <f>IF(V$4&lt;=PARAMETER!$X$2,SUMIF('2025'!$F:$F,$B80,'2025'!U:U)/PARAMETER!$T$3,"")</f>
        <v/>
      </c>
      <c r="W80" s="40" t="str">
        <f>IF(W$4&lt;=PARAMETER!$X$2,SUMIF('2025'!$F:$F,$B80,'2025'!V:V)/PARAMETER!$T$3,"")</f>
        <v/>
      </c>
      <c r="X80" s="40" t="str">
        <f>IF(X$4&lt;=PARAMETER!$X$2,SUMIF('2025'!$F:$F,$B80,'2025'!W:W)/PARAMETER!$T$3,"")</f>
        <v/>
      </c>
      <c r="Y80" s="40" t="str">
        <f>IF(Y$4&lt;=PARAMETER!$X$2,SUMIF('2025'!$F:$F,$B80,'2025'!X:X)/PARAMETER!$T$3,"")</f>
        <v/>
      </c>
      <c r="Z80" s="40" t="str">
        <f>IF(Z$4&lt;=PARAMETER!$X$2,SUMIF('2025'!$F:$F,$B80,'2025'!Y:Y)/PARAMETER!$T$3,"")</f>
        <v/>
      </c>
      <c r="AA80" s="40" t="str">
        <f>IF(AA$4&lt;=PARAMETER!$X$2,SUMIF('2025'!$F:$F,$B80,'2025'!Z:Z)/PARAMETER!$T$3,"")</f>
        <v/>
      </c>
      <c r="AB80" s="40" t="str">
        <f>IF(AB$4&lt;=PARAMETER!$X$2,SUMIF('2025'!$F:$F,$B80,'2025'!AA:AA)/PARAMETER!$T$3,"")</f>
        <v/>
      </c>
      <c r="AC80" s="40" t="str">
        <f>IF(AC$4&lt;=PARAMETER!$X$2,SUMIF('2025'!$F:$F,$B80,'2025'!AB:AB)/PARAMETER!$T$3,"")</f>
        <v/>
      </c>
      <c r="AD80" s="40" t="str">
        <f>IF(AD$4&lt;=PARAMETER!$X$2,SUMIF('2025'!$F:$F,$B80,'2025'!AC:AC)/PARAMETER!$T$3,"")</f>
        <v/>
      </c>
      <c r="AE80" s="40" t="str">
        <f>IF(AE$4&lt;=PARAMETER!$X$2,SUMIF('2025'!$F:$F,$B80,'2025'!AD:AD)/PARAMETER!$T$3,"")</f>
        <v/>
      </c>
      <c r="AF80" s="40" t="str">
        <f>IF(AF$4&lt;=PARAMETER!$X$2,SUMIF('2025'!$F:$F,$B80,'2025'!AE:AE)/PARAMETER!$T$3,"")</f>
        <v/>
      </c>
      <c r="AG80" s="40" t="str">
        <f>IF(AG$4&lt;=PARAMETER!$X$2,SUMIF('2025'!$F:$F,$B80,'2025'!AF:AF)/PARAMETER!$T$3,"")</f>
        <v/>
      </c>
      <c r="AH80" s="40" t="str">
        <f>IF(AH$4&lt;=PARAMETER!$X$2,SUMIF('2025'!$F:$F,$B80,'2025'!AG:AG)/PARAMETER!$T$3,"")</f>
        <v/>
      </c>
      <c r="AI80" s="40" t="str">
        <f>IF(AI$4&lt;=PARAMETER!$X$2,SUMIF('2025'!$F:$F,$B80,'2025'!AH:AH)/PARAMETER!$T$3,"")</f>
        <v/>
      </c>
      <c r="AJ80" s="40" t="str">
        <f>IF(AJ$4&lt;=PARAMETER!$X$2,SUMIF('2025'!$F:$F,$B80,'2025'!AI:AI)/PARAMETER!$T$3,"")</f>
        <v/>
      </c>
      <c r="AK80" s="40" t="str">
        <f>IF(AK$4&lt;=PARAMETER!$X$2,SUMIF('2025'!$F:$F,$B80,'2025'!AJ:AJ)/PARAMETER!$T$3,"")</f>
        <v/>
      </c>
      <c r="AL80" s="40" t="str">
        <f>IF(AL$4&lt;=PARAMETER!$X$2,SUMIF('2025'!$F:$F,$B80,'2025'!AK:AK)/PARAMETER!$T$3,"")</f>
        <v/>
      </c>
      <c r="AM80" s="40" t="str">
        <f>IF(AM$4&lt;=PARAMETER!$X$2,SUMIF('2025'!$F:$F,$B80,'2025'!AL:AL)/PARAMETER!$T$3,"")</f>
        <v/>
      </c>
      <c r="AN80" s="40" t="str">
        <f>IF(AN$4&lt;=PARAMETER!$X$2,SUMIF('2025'!$F:$F,$B80,'2025'!AM:AM)/PARAMETER!$T$3,"")</f>
        <v/>
      </c>
      <c r="AO80" s="40" t="str">
        <f>IF(AO$4&lt;=PARAMETER!$X$2,SUMIF('2025'!$F:$F,$B80,'2025'!AN:AN)/PARAMETER!$T$3,"")</f>
        <v/>
      </c>
      <c r="AP80" s="40" t="str">
        <f>IF(AP$4&lt;=PARAMETER!$X$2,SUMIF('2025'!$F:$F,$B80,'2025'!AO:AO)/PARAMETER!$T$3,"")</f>
        <v/>
      </c>
      <c r="AQ80" s="40" t="str">
        <f>IF(AQ$4&lt;=PARAMETER!$X$2,SUMIF('2025'!$F:$F,$B80,'2025'!AP:AP)/PARAMETER!$T$3,"")</f>
        <v/>
      </c>
      <c r="AR80" s="40" t="str">
        <f>IF(AR$4&lt;=PARAMETER!$X$2,SUMIF('2025'!$F:$F,$B80,'2025'!AQ:AQ)/PARAMETER!$T$3,"")</f>
        <v/>
      </c>
      <c r="AS80" s="40" t="str">
        <f>IF(AS$4&lt;=PARAMETER!$X$2,SUMIF('2025'!$F:$F,$B80,'2025'!AR:AR)/PARAMETER!$T$3,"")</f>
        <v/>
      </c>
      <c r="AT80" s="40" t="str">
        <f>IF(AT$4&lt;=PARAMETER!$X$2,SUMIF('2025'!$F:$F,$B80,'2025'!AS:AS)/PARAMETER!$T$3,"")</f>
        <v/>
      </c>
      <c r="AU80" s="40" t="str">
        <f>IF(AU$4&lt;=PARAMETER!$X$2,SUMIF('2025'!$F:$F,$B80,'2025'!AT:AT)/PARAMETER!$T$3,"")</f>
        <v/>
      </c>
      <c r="AV80" s="40" t="str">
        <f>IF(AV$4&lt;=PARAMETER!$X$2,SUMIF('2025'!$F:$F,$B80,'2025'!AU:AU)/PARAMETER!$T$3,"")</f>
        <v/>
      </c>
      <c r="AW80" s="40" t="str">
        <f>IF(AW$4&lt;=PARAMETER!$X$2,SUMIF('2025'!$F:$F,$B80,'2025'!AV:AV)/PARAMETER!$T$3,"")</f>
        <v/>
      </c>
      <c r="AX80" s="40" t="str">
        <f>IF(AX$4&lt;=PARAMETER!$X$2,SUMIF('2025'!$F:$F,$B80,'2025'!AW:AW)/PARAMETER!$T$3,"")</f>
        <v/>
      </c>
      <c r="AY80" s="40" t="str">
        <f>IF(AY$4&lt;=PARAMETER!$X$2,SUMIF('2025'!$F:$F,$B80,'2025'!AX:AX)/PARAMETER!$T$3,"")</f>
        <v/>
      </c>
      <c r="AZ80" s="40" t="str">
        <f>IF(AZ$4&lt;=PARAMETER!$X$2,SUMIF('2025'!$F:$F,$B80,'2025'!AY:AY)/PARAMETER!$T$3,"")</f>
        <v/>
      </c>
      <c r="BA80" s="40" t="str">
        <f>IF(BA$4&lt;=PARAMETER!$X$2,SUMIF('2025'!$F:$F,$B80,'2025'!AZ:AZ)/PARAMETER!$T$3,"")</f>
        <v/>
      </c>
      <c r="BB80" s="40" t="str">
        <f>IF(BB$4&lt;=PARAMETER!$X$2,SUMIF('2025'!$F:$F,$B80,'2025'!BA:BA)/PARAMETER!$T$3,"")</f>
        <v/>
      </c>
      <c r="BC80" s="40" t="str">
        <f>IF(BC$4&lt;=PARAMETER!$X$2,SUMIF('2025'!$F:$F,$B80,'2025'!BB:BB)/PARAMETER!$T$3,"")</f>
        <v/>
      </c>
      <c r="BD80" s="40" t="str">
        <f>IF(BD$4&lt;=PARAMETER!$X$2,SUMIF('2025'!$F:$F,$B80,'2025'!BC:BC)/PARAMETER!$T$3,"")</f>
        <v/>
      </c>
      <c r="BE80" s="40" t="str">
        <f>IF(BE$4&lt;=PARAMETER!$X$2,SUMIF('2025'!$F:$F,$B80,'2025'!BD:BD)/PARAMETER!$T$3,"")</f>
        <v/>
      </c>
      <c r="BF80" s="40" t="str">
        <f>IF(BF$4&lt;=PARAMETER!$X$2,SUMIF('2025'!$F:$F,$B80,'2025'!BE:BE)/PARAMETER!$T$3,"")</f>
        <v/>
      </c>
      <c r="BG80" s="40" t="str">
        <f>IF(BG$4&lt;=PARAMETER!$X$2,SUMIF('2025'!$F:$F,$B80,'2025'!BF:BF)/PARAMETER!$T$3,"")</f>
        <v/>
      </c>
      <c r="BH80" s="40" t="str">
        <f>IF(BH$4&lt;=PARAMETER!$X$2,SUMIF('2025'!$F:$F,$B80,'2025'!BG:BG)/PARAMETER!$T$3,"")</f>
        <v/>
      </c>
      <c r="BI80" s="40" t="str">
        <f>IF(BI$4&lt;=PARAMETER!$X$2,SUMIF('2025'!$F:$F,$B80,'2025'!BH:BH)/PARAMETER!$T$3,"")</f>
        <v/>
      </c>
      <c r="BJ80" s="40" t="str">
        <f>IF(BJ$4&lt;=PARAMETER!$X$2,SUMIF('2025'!$F:$F,$B80,'2025'!BI:BI)/PARAMETER!$T$3,"")</f>
        <v/>
      </c>
    </row>
    <row r="81" spans="1:62" x14ac:dyDescent="0.25">
      <c r="A81">
        <f t="shared" ref="A81:A93" si="107">A79</f>
        <v>17</v>
      </c>
      <c r="B81" s="78" t="str">
        <f>CONCATENATE(C81,PARAMETER!T$2)</f>
        <v>VOL</v>
      </c>
      <c r="C81" s="26" t="str">
        <f t="shared" si="105"/>
        <v/>
      </c>
      <c r="D81" s="67"/>
      <c r="E81" s="68"/>
      <c r="F81" s="69"/>
      <c r="G81" s="70">
        <f t="shared" si="20"/>
        <v>2024</v>
      </c>
      <c r="H81" s="71">
        <f>IF(H$4&lt;=PARAMETER!$X$2,SUMIF('2024'!$F:$F,$B81,'2024'!G:G)/PARAMETER!$T$3,"")</f>
        <v>0</v>
      </c>
      <c r="I81" s="71">
        <f>IF(I$4&lt;=PARAMETER!$X$2,SUMIF('2024'!$F:$F,$B81,'2024'!H:H)/PARAMETER!$T$3,"")</f>
        <v>0</v>
      </c>
      <c r="J81" s="71">
        <f>IF(J$4&lt;=PARAMETER!$X$2,SUMIF('2024'!$F:$F,$B81,'2024'!I:I)/PARAMETER!$T$3,"")</f>
        <v>0</v>
      </c>
      <c r="K81" s="71">
        <f>IF(K$4&lt;=PARAMETER!$X$2,SUMIF('2024'!$F:$F,$B81,'2024'!J:J)/PARAMETER!$T$3,"")</f>
        <v>0</v>
      </c>
      <c r="L81" s="71">
        <f>IF(L$4&lt;=PARAMETER!$X$2,SUMIF('2024'!$F:$F,$B81,'2024'!K:K)/PARAMETER!$T$3,"")</f>
        <v>0</v>
      </c>
      <c r="M81" s="71">
        <f>IF(M$4&lt;=PARAMETER!$X$2,SUMIF('2024'!$F:$F,$B81,'2024'!L:L)/PARAMETER!$T$3,"")</f>
        <v>0</v>
      </c>
      <c r="N81" s="71">
        <f>IF(N$4&lt;=PARAMETER!$X$2,SUMIF('2024'!$F:$F,$B81,'2024'!M:M)/PARAMETER!$T$3,"")</f>
        <v>0</v>
      </c>
      <c r="O81" s="71">
        <f>IF(O$4&lt;=PARAMETER!$X$2,SUMIF('2024'!$F:$F,$B81,'2024'!N:N)/PARAMETER!$T$3,"")</f>
        <v>0</v>
      </c>
      <c r="P81" s="71">
        <f>IF(P$4&lt;=PARAMETER!$X$2,SUMIF('2024'!$F:$F,$B81,'2024'!O:O)/PARAMETER!$T$3,"")</f>
        <v>0</v>
      </c>
      <c r="Q81" s="71">
        <f>IF(Q$4&lt;=PARAMETER!$X$2,SUMIF('2024'!$F:$F,$B81,'2024'!P:P)/PARAMETER!$T$3,"")</f>
        <v>0</v>
      </c>
      <c r="R81" s="71">
        <f>IF(R$4&lt;=PARAMETER!$X$2,SUMIF('2024'!$F:$F,$B81,'2024'!Q:Q)/PARAMETER!$T$3,"")</f>
        <v>0</v>
      </c>
      <c r="S81" s="71">
        <f>IF(S$4&lt;=PARAMETER!$X$2,SUMIF('2024'!$F:$F,$B81,'2024'!R:R)/PARAMETER!$T$3,"")</f>
        <v>0</v>
      </c>
      <c r="T81" s="71">
        <f>IF(T$4&lt;=PARAMETER!$X$2,SUMIF('2024'!$F:$F,$B81,'2024'!S:S)/PARAMETER!$T$3,"")</f>
        <v>0</v>
      </c>
      <c r="U81" s="71" t="str">
        <f>IF(U$4&lt;=PARAMETER!$X$2,SUMIF('2024'!$F:$F,$B81,'2024'!T:T)/PARAMETER!$T$3,"")</f>
        <v/>
      </c>
      <c r="V81" s="71" t="str">
        <f>IF(V$4&lt;=PARAMETER!$X$2,SUMIF('2024'!$F:$F,$B81,'2024'!U:U)/PARAMETER!$T$3,"")</f>
        <v/>
      </c>
      <c r="W81" s="71" t="str">
        <f>IF(W$4&lt;=PARAMETER!$X$2,SUMIF('2024'!$F:$F,$B81,'2024'!V:V)/PARAMETER!$T$3,"")</f>
        <v/>
      </c>
      <c r="X81" s="71" t="str">
        <f>IF(X$4&lt;=PARAMETER!$X$2,SUMIF('2024'!$F:$F,$B81,'2024'!W:W)/PARAMETER!$T$3,"")</f>
        <v/>
      </c>
      <c r="Y81" s="71" t="str">
        <f>IF(Y$4&lt;=PARAMETER!$X$2,SUMIF('2024'!$F:$F,$B81,'2024'!X:X)/PARAMETER!$T$3,"")</f>
        <v/>
      </c>
      <c r="Z81" s="71" t="str">
        <f>IF(Z$4&lt;=PARAMETER!$X$2,SUMIF('2024'!$F:$F,$B81,'2024'!Y:Y)/PARAMETER!$T$3,"")</f>
        <v/>
      </c>
      <c r="AA81" s="71" t="str">
        <f>IF(AA$4&lt;=PARAMETER!$X$2,SUMIF('2024'!$F:$F,$B81,'2024'!Z:Z)/PARAMETER!$T$3,"")</f>
        <v/>
      </c>
      <c r="AB81" s="71" t="str">
        <f>IF(AB$4&lt;=PARAMETER!$X$2,SUMIF('2024'!$F:$F,$B81,'2024'!AA:AA)/PARAMETER!$T$3,"")</f>
        <v/>
      </c>
      <c r="AC81" s="71" t="str">
        <f>IF(AC$4&lt;=PARAMETER!$X$2,SUMIF('2024'!$F:$F,$B81,'2024'!AB:AB)/PARAMETER!$T$3,"")</f>
        <v/>
      </c>
      <c r="AD81" s="71" t="str">
        <f>IF(AD$4&lt;=PARAMETER!$X$2,SUMIF('2024'!$F:$F,$B81,'2024'!AC:AC)/PARAMETER!$T$3,"")</f>
        <v/>
      </c>
      <c r="AE81" s="71" t="str">
        <f>IF(AE$4&lt;=PARAMETER!$X$2,SUMIF('2024'!$F:$F,$B81,'2024'!AD:AD)/PARAMETER!$T$3,"")</f>
        <v/>
      </c>
      <c r="AF81" s="71" t="str">
        <f>IF(AF$4&lt;=PARAMETER!$X$2,SUMIF('2024'!$F:$F,$B81,'2024'!AE:AE)/PARAMETER!$T$3,"")</f>
        <v/>
      </c>
      <c r="AG81" s="71" t="str">
        <f>IF(AG$4&lt;=PARAMETER!$X$2,SUMIF('2024'!$F:$F,$B81,'2024'!AF:AF)/PARAMETER!$T$3,"")</f>
        <v/>
      </c>
      <c r="AH81" s="71" t="str">
        <f>IF(AH$4&lt;=PARAMETER!$X$2,SUMIF('2024'!$F:$F,$B81,'2024'!AG:AG)/PARAMETER!$T$3,"")</f>
        <v/>
      </c>
      <c r="AI81" s="71" t="str">
        <f>IF(AI$4&lt;=PARAMETER!$X$2,SUMIF('2024'!$F:$F,$B81,'2024'!AH:AH)/PARAMETER!$T$3,"")</f>
        <v/>
      </c>
      <c r="AJ81" s="71" t="str">
        <f>IF(AJ$4&lt;=PARAMETER!$X$2,SUMIF('2024'!$F:$F,$B81,'2024'!AI:AI)/PARAMETER!$T$3,"")</f>
        <v/>
      </c>
      <c r="AK81" s="71" t="str">
        <f>IF(AK$4&lt;=PARAMETER!$X$2,SUMIF('2024'!$F:$F,$B81,'2024'!AJ:AJ)/PARAMETER!$T$3,"")</f>
        <v/>
      </c>
      <c r="AL81" s="71" t="str">
        <f>IF(AL$4&lt;=PARAMETER!$X$2,SUMIF('2024'!$F:$F,$B81,'2024'!AK:AK)/PARAMETER!$T$3,"")</f>
        <v/>
      </c>
      <c r="AM81" s="71" t="str">
        <f>IF(AM$4&lt;=PARAMETER!$X$2,SUMIF('2024'!$F:$F,$B81,'2024'!AL:AL)/PARAMETER!$T$3,"")</f>
        <v/>
      </c>
      <c r="AN81" s="71" t="str">
        <f>IF(AN$4&lt;=PARAMETER!$X$2,SUMIF('2024'!$F:$F,$B81,'2024'!AM:AM)/PARAMETER!$T$3,"")</f>
        <v/>
      </c>
      <c r="AO81" s="71" t="str">
        <f>IF(AO$4&lt;=PARAMETER!$X$2,SUMIF('2024'!$F:$F,$B81,'2024'!AN:AN)/PARAMETER!$T$3,"")</f>
        <v/>
      </c>
      <c r="AP81" s="71" t="str">
        <f>IF(AP$4&lt;=PARAMETER!$X$2,SUMIF('2024'!$F:$F,$B81,'2024'!AO:AO)/PARAMETER!$T$3,"")</f>
        <v/>
      </c>
      <c r="AQ81" s="71" t="str">
        <f>IF(AQ$4&lt;=PARAMETER!$X$2,SUMIF('2024'!$F:$F,$B81,'2024'!AP:AP)/PARAMETER!$T$3,"")</f>
        <v/>
      </c>
      <c r="AR81" s="71" t="str">
        <f>IF(AR$4&lt;=PARAMETER!$X$2,SUMIF('2024'!$F:$F,$B81,'2024'!AQ:AQ)/PARAMETER!$T$3,"")</f>
        <v/>
      </c>
      <c r="AS81" s="71" t="str">
        <f>IF(AS$4&lt;=PARAMETER!$X$2,SUMIF('2024'!$F:$F,$B81,'2024'!AR:AR)/PARAMETER!$T$3,"")</f>
        <v/>
      </c>
      <c r="AT81" s="71" t="str">
        <f>IF(AT$4&lt;=PARAMETER!$X$2,SUMIF('2024'!$F:$F,$B81,'2024'!AS:AS)/PARAMETER!$T$3,"")</f>
        <v/>
      </c>
      <c r="AU81" s="71" t="str">
        <f>IF(AU$4&lt;=PARAMETER!$X$2,SUMIF('2024'!$F:$F,$B81,'2024'!AT:AT)/PARAMETER!$T$3,"")</f>
        <v/>
      </c>
      <c r="AV81" s="71" t="str">
        <f>IF(AV$4&lt;=PARAMETER!$X$2,SUMIF('2024'!$F:$F,$B81,'2024'!AU:AU)/PARAMETER!$T$3,"")</f>
        <v/>
      </c>
      <c r="AW81" s="71" t="str">
        <f>IF(AW$4&lt;=PARAMETER!$X$2,SUMIF('2024'!$F:$F,$B81,'2024'!AV:AV)/PARAMETER!$T$3,"")</f>
        <v/>
      </c>
      <c r="AX81" s="71" t="str">
        <f>IF(AX$4&lt;=PARAMETER!$X$2,SUMIF('2024'!$F:$F,$B81,'2024'!AW:AW)/PARAMETER!$T$3,"")</f>
        <v/>
      </c>
      <c r="AY81" s="71" t="str">
        <f>IF(AY$4&lt;=PARAMETER!$X$2,SUMIF('2024'!$F:$F,$B81,'2024'!AX:AX)/PARAMETER!$T$3,"")</f>
        <v/>
      </c>
      <c r="AZ81" s="71" t="str">
        <f>IF(AZ$4&lt;=PARAMETER!$X$2,SUMIF('2024'!$F:$F,$B81,'2024'!AY:AY)/PARAMETER!$T$3,"")</f>
        <v/>
      </c>
      <c r="BA81" s="71" t="str">
        <f>IF(BA$4&lt;=PARAMETER!$X$2,SUMIF('2024'!$F:$F,$B81,'2024'!AZ:AZ)/PARAMETER!$T$3,"")</f>
        <v/>
      </c>
      <c r="BB81" s="71" t="str">
        <f>IF(BB$4&lt;=PARAMETER!$X$2,SUMIF('2024'!$F:$F,$B81,'2024'!BA:BA)/PARAMETER!$T$3,"")</f>
        <v/>
      </c>
      <c r="BC81" s="71" t="str">
        <f>IF(BC$4&lt;=PARAMETER!$X$2,SUMIF('2024'!$F:$F,$B81,'2024'!BB:BB)/PARAMETER!$T$3,"")</f>
        <v/>
      </c>
      <c r="BD81" s="71" t="str">
        <f>IF(BD$4&lt;=PARAMETER!$X$2,SUMIF('2024'!$F:$F,$B81,'2024'!BC:BC)/PARAMETER!$T$3,"")</f>
        <v/>
      </c>
      <c r="BE81" s="71" t="str">
        <f>IF(BE$4&lt;=PARAMETER!$X$2,SUMIF('2024'!$F:$F,$B81,'2024'!BD:BD)/PARAMETER!$T$3,"")</f>
        <v/>
      </c>
      <c r="BF81" s="71" t="str">
        <f>IF(BF$4&lt;=PARAMETER!$X$2,SUMIF('2024'!$F:$F,$B81,'2024'!BE:BE)/PARAMETER!$T$3,"")</f>
        <v/>
      </c>
      <c r="BG81" s="71" t="str">
        <f>IF(BG$4&lt;=PARAMETER!$X$2,SUMIF('2024'!$F:$F,$B81,'2024'!BF:BF)/PARAMETER!$T$3,"")</f>
        <v/>
      </c>
      <c r="BH81" s="71" t="str">
        <f>IF(BH$4&lt;=PARAMETER!$X$2,SUMIF('2024'!$F:$F,$B81,'2024'!BG:BG)/PARAMETER!$T$3,"")</f>
        <v/>
      </c>
      <c r="BI81" s="71" t="str">
        <f>IF(BI$4&lt;=PARAMETER!$X$2,SUMIF('2024'!$F:$F,$B81,'2024'!BH:BH)/PARAMETER!$T$3,"")</f>
        <v/>
      </c>
      <c r="BJ81" s="71" t="str">
        <f>IF(BJ$4&lt;=PARAMETER!$X$2,SUMIF('2024'!$F:$F,$B81,'2024'!BI:BI)/PARAMETER!$T$3,"")</f>
        <v/>
      </c>
    </row>
    <row r="82" spans="1:62" x14ac:dyDescent="0.25">
      <c r="A82">
        <v>18</v>
      </c>
      <c r="B82" s="78" t="str">
        <f>CONCATENATE(C82,PARAMETER!T$2)</f>
        <v>VOL</v>
      </c>
      <c r="C82" s="21" t="str">
        <f>IFERROR(VLOOKUP(A82,PARAMETER!K$2:M90,3,0),"")</f>
        <v/>
      </c>
      <c r="D82" s="22" t="s">
        <v>127</v>
      </c>
      <c r="E82" s="37" t="str">
        <f t="shared" ref="E82" si="108">IFERROR(I83/I82,"")</f>
        <v/>
      </c>
      <c r="F82" s="23">
        <f t="shared" ref="F82:F84" si="109">IFERROR(IF(E82&gt;300%,300%,E82),"")</f>
        <v>3</v>
      </c>
      <c r="G82" s="24" t="str">
        <f t="shared" si="20"/>
        <v>Target</v>
      </c>
      <c r="H82" s="25">
        <f>IF(H$4&lt;=PARAMETER!$X$2,SUMIF('2026 T'!$F:$F,$B82,'2026 T'!G:G)/PARAMETER!$T$3,"")</f>
        <v>0</v>
      </c>
      <c r="I82" s="25">
        <f>IF(I$4&lt;=PARAMETER!$X$2,SUMIF('2026 T'!$F:$F,$B82,'2026 T'!H:H)/PARAMETER!$T$3,"")</f>
        <v>0</v>
      </c>
      <c r="J82" s="25">
        <f>IF(J$4&lt;=PARAMETER!$X$2,SUMIF('2026 T'!$F:$F,$B82,'2026 T'!I:I)/PARAMETER!$T$3,"")</f>
        <v>0</v>
      </c>
      <c r="K82" s="25">
        <f>IF(K$4&lt;=PARAMETER!$X$2,SUMIF('2026 T'!$F:$F,$B82,'2026 T'!J:J)/PARAMETER!$T$3,"")</f>
        <v>0</v>
      </c>
      <c r="L82" s="25">
        <f>IF(L$4&lt;=PARAMETER!$X$2,SUMIF('2026 T'!$F:$F,$B82,'2026 T'!K:K)/PARAMETER!$T$3,"")</f>
        <v>0</v>
      </c>
      <c r="M82" s="25">
        <f>IF(M$4&lt;=PARAMETER!$X$2,SUMIF('2026 T'!$F:$F,$B82,'2026 T'!L:L)/PARAMETER!$T$3,"")</f>
        <v>0</v>
      </c>
      <c r="N82" s="25">
        <f>IF(N$4&lt;=PARAMETER!$X$2,SUMIF('2026 T'!$F:$F,$B82,'2026 T'!M:M)/PARAMETER!$T$3,"")</f>
        <v>0</v>
      </c>
      <c r="O82" s="25">
        <f>IF(O$4&lt;=PARAMETER!$X$2,SUMIF('2026 T'!$F:$F,$B82,'2026 T'!N:N)/PARAMETER!$T$3,"")</f>
        <v>0</v>
      </c>
      <c r="P82" s="25">
        <f>IF(P$4&lt;=PARAMETER!$X$2,SUMIF('2026 T'!$F:$F,$B82,'2026 T'!O:O)/PARAMETER!$T$3,"")</f>
        <v>0</v>
      </c>
      <c r="Q82" s="25">
        <f>IF(Q$4&lt;=PARAMETER!$X$2,SUMIF('2026 T'!$F:$F,$B82,'2026 T'!P:P)/PARAMETER!$T$3,"")</f>
        <v>0</v>
      </c>
      <c r="R82" s="25">
        <f>IF(R$4&lt;=PARAMETER!$X$2,SUMIF('2026 T'!$F:$F,$B82,'2026 T'!Q:Q)/PARAMETER!$T$3,"")</f>
        <v>0</v>
      </c>
      <c r="S82" s="25">
        <f>IF(S$4&lt;=PARAMETER!$X$2,SUMIF('2026 T'!$F:$F,$B82,'2026 T'!R:R)/PARAMETER!$T$3,"")</f>
        <v>0</v>
      </c>
      <c r="T82" s="25">
        <f>IF(T$4&lt;=PARAMETER!$X$2,SUMIF('2026 T'!$F:$F,$B82,'2026 T'!S:S)/PARAMETER!$T$3,"")</f>
        <v>0</v>
      </c>
      <c r="U82" s="25" t="str">
        <f>IF(U$4&lt;=PARAMETER!$X$2,SUMIF('2026 T'!$F:$F,$B82,'2026 T'!T:T)/PARAMETER!$T$3,"")</f>
        <v/>
      </c>
      <c r="V82" s="25" t="str">
        <f>IF(V$4&lt;=PARAMETER!$X$2,SUMIF('2026 T'!$F:$F,$B82,'2026 T'!U:U)/PARAMETER!$T$3,"")</f>
        <v/>
      </c>
      <c r="W82" s="25" t="str">
        <f>IF(W$4&lt;=PARAMETER!$X$2,SUMIF('2026 T'!$F:$F,$B82,'2026 T'!V:V)/PARAMETER!$T$3,"")</f>
        <v/>
      </c>
      <c r="X82" s="25" t="str">
        <f>IF(X$4&lt;=PARAMETER!$X$2,SUMIF('2026 T'!$F:$F,$B82,'2026 T'!W:W)/PARAMETER!$T$3,"")</f>
        <v/>
      </c>
      <c r="Y82" s="25" t="str">
        <f>IF(Y$4&lt;=PARAMETER!$X$2,SUMIF('2026 T'!$F:$F,$B82,'2026 T'!X:X)/PARAMETER!$T$3,"")</f>
        <v/>
      </c>
      <c r="Z82" s="25" t="str">
        <f>IF(Z$4&lt;=PARAMETER!$X$2,SUMIF('2026 T'!$F:$F,$B82,'2026 T'!Y:Y)/PARAMETER!$T$3,"")</f>
        <v/>
      </c>
      <c r="AA82" s="25" t="str">
        <f>IF(AA$4&lt;=PARAMETER!$X$2,SUMIF('2026 T'!$F:$F,$B82,'2026 T'!Z:Z)/PARAMETER!$T$3,"")</f>
        <v/>
      </c>
      <c r="AB82" s="25" t="str">
        <f>IF(AB$4&lt;=PARAMETER!$X$2,SUMIF('2026 T'!$F:$F,$B82,'2026 T'!AA:AA)/PARAMETER!$T$3,"")</f>
        <v/>
      </c>
      <c r="AC82" s="25" t="str">
        <f>IF(AC$4&lt;=PARAMETER!$X$2,SUMIF('2026 T'!$F:$F,$B82,'2026 T'!AB:AB)/PARAMETER!$T$3,"")</f>
        <v/>
      </c>
      <c r="AD82" s="25" t="str">
        <f>IF(AD$4&lt;=PARAMETER!$X$2,SUMIF('2026 T'!$F:$F,$B82,'2026 T'!AC:AC)/PARAMETER!$T$3,"")</f>
        <v/>
      </c>
      <c r="AE82" s="25" t="str">
        <f>IF(AE$4&lt;=PARAMETER!$X$2,SUMIF('2026 T'!$F:$F,$B82,'2026 T'!AD:AD)/PARAMETER!$T$3,"")</f>
        <v/>
      </c>
      <c r="AF82" s="25" t="str">
        <f>IF(AF$4&lt;=PARAMETER!$X$2,SUMIF('2026 T'!$F:$F,$B82,'2026 T'!AE:AE)/PARAMETER!$T$3,"")</f>
        <v/>
      </c>
      <c r="AG82" s="25" t="str">
        <f>IF(AG$4&lt;=PARAMETER!$X$2,SUMIF('2026 T'!$F:$F,$B82,'2026 T'!AF:AF)/PARAMETER!$T$3,"")</f>
        <v/>
      </c>
      <c r="AH82" s="25" t="str">
        <f>IF(AH$4&lt;=PARAMETER!$X$2,SUMIF('2026 T'!$F:$F,$B82,'2026 T'!AG:AG)/PARAMETER!$T$3,"")</f>
        <v/>
      </c>
      <c r="AI82" s="25" t="str">
        <f>IF(AI$4&lt;=PARAMETER!$X$2,SUMIF('2026 T'!$F:$F,$B82,'2026 T'!AH:AH)/PARAMETER!$T$3,"")</f>
        <v/>
      </c>
      <c r="AJ82" s="25" t="str">
        <f>IF(AJ$4&lt;=PARAMETER!$X$2,SUMIF('2026 T'!$F:$F,$B82,'2026 T'!AI:AI)/PARAMETER!$T$3,"")</f>
        <v/>
      </c>
      <c r="AK82" s="25" t="str">
        <f>IF(AK$4&lt;=PARAMETER!$X$2,SUMIF('2026 T'!$F:$F,$B82,'2026 T'!AJ:AJ)/PARAMETER!$T$3,"")</f>
        <v/>
      </c>
      <c r="AL82" s="25" t="str">
        <f>IF(AL$4&lt;=PARAMETER!$X$2,SUMIF('2026 T'!$F:$F,$B82,'2026 T'!AK:AK)/PARAMETER!$T$3,"")</f>
        <v/>
      </c>
      <c r="AM82" s="25" t="str">
        <f>IF(AM$4&lt;=PARAMETER!$X$2,SUMIF('2026 T'!$F:$F,$B82,'2026 T'!AL:AL)/PARAMETER!$T$3,"")</f>
        <v/>
      </c>
      <c r="AN82" s="25" t="str">
        <f>IF(AN$4&lt;=PARAMETER!$X$2,SUMIF('2026 T'!$F:$F,$B82,'2026 T'!AM:AM)/PARAMETER!$T$3,"")</f>
        <v/>
      </c>
      <c r="AO82" s="25" t="str">
        <f>IF(AO$4&lt;=PARAMETER!$X$2,SUMIF('2026 T'!$F:$F,$B82,'2026 T'!AN:AN)/PARAMETER!$T$3,"")</f>
        <v/>
      </c>
      <c r="AP82" s="25" t="str">
        <f>IF(AP$4&lt;=PARAMETER!$X$2,SUMIF('2026 T'!$F:$F,$B82,'2026 T'!AO:AO)/PARAMETER!$T$3,"")</f>
        <v/>
      </c>
      <c r="AQ82" s="25" t="str">
        <f>IF(AQ$4&lt;=PARAMETER!$X$2,SUMIF('2026 T'!$F:$F,$B82,'2026 T'!AP:AP)/PARAMETER!$T$3,"")</f>
        <v/>
      </c>
      <c r="AR82" s="25" t="str">
        <f>IF(AR$4&lt;=PARAMETER!$X$2,SUMIF('2026 T'!$F:$F,$B82,'2026 T'!AQ:AQ)/PARAMETER!$T$3,"")</f>
        <v/>
      </c>
      <c r="AS82" s="25" t="str">
        <f>IF(AS$4&lt;=PARAMETER!$X$2,SUMIF('2026 T'!$F:$F,$B82,'2026 T'!AR:AR)/PARAMETER!$T$3,"")</f>
        <v/>
      </c>
      <c r="AT82" s="25" t="str">
        <f>IF(AT$4&lt;=PARAMETER!$X$2,SUMIF('2026 T'!$F:$F,$B82,'2026 T'!AS:AS)/PARAMETER!$T$3,"")</f>
        <v/>
      </c>
      <c r="AU82" s="25" t="str">
        <f>IF(AU$4&lt;=PARAMETER!$X$2,SUMIF('2026 T'!$F:$F,$B82,'2026 T'!AT:AT)/PARAMETER!$T$3,"")</f>
        <v/>
      </c>
      <c r="AV82" s="25" t="str">
        <f>IF(AV$4&lt;=PARAMETER!$X$2,SUMIF('2026 T'!$F:$F,$B82,'2026 T'!AU:AU)/PARAMETER!$T$3,"")</f>
        <v/>
      </c>
      <c r="AW82" s="25" t="str">
        <f>IF(AW$4&lt;=PARAMETER!$X$2,SUMIF('2026 T'!$F:$F,$B82,'2026 T'!AV:AV)/PARAMETER!$T$3,"")</f>
        <v/>
      </c>
      <c r="AX82" s="25" t="str">
        <f>IF(AX$4&lt;=PARAMETER!$X$2,SUMIF('2026 T'!$F:$F,$B82,'2026 T'!AW:AW)/PARAMETER!$T$3,"")</f>
        <v/>
      </c>
      <c r="AY82" s="25" t="str">
        <f>IF(AY$4&lt;=PARAMETER!$X$2,SUMIF('2026 T'!$F:$F,$B82,'2026 T'!AX:AX)/PARAMETER!$T$3,"")</f>
        <v/>
      </c>
      <c r="AZ82" s="25" t="str">
        <f>IF(AZ$4&lt;=PARAMETER!$X$2,SUMIF('2026 T'!$F:$F,$B82,'2026 T'!AY:AY)/PARAMETER!$T$3,"")</f>
        <v/>
      </c>
      <c r="BA82" s="25" t="str">
        <f>IF(BA$4&lt;=PARAMETER!$X$2,SUMIF('2026 T'!$F:$F,$B82,'2026 T'!AZ:AZ)/PARAMETER!$T$3,"")</f>
        <v/>
      </c>
      <c r="BB82" s="25" t="str">
        <f>IF(BB$4&lt;=PARAMETER!$X$2,SUMIF('2026 T'!$F:$F,$B82,'2026 T'!BA:BA)/PARAMETER!$T$3,"")</f>
        <v/>
      </c>
      <c r="BC82" s="25" t="str">
        <f>IF(BC$4&lt;=PARAMETER!$X$2,SUMIF('2026 T'!$F:$F,$B82,'2026 T'!BB:BB)/PARAMETER!$T$3,"")</f>
        <v/>
      </c>
      <c r="BD82" s="25" t="str">
        <f>IF(BD$4&lt;=PARAMETER!$X$2,SUMIF('2026 T'!$F:$F,$B82,'2026 T'!BC:BC)/PARAMETER!$T$3,"")</f>
        <v/>
      </c>
      <c r="BE82" s="25" t="str">
        <f>IF(BE$4&lt;=PARAMETER!$X$2,SUMIF('2026 T'!$F:$F,$B82,'2026 T'!BD:BD)/PARAMETER!$T$3,"")</f>
        <v/>
      </c>
      <c r="BF82" s="25" t="str">
        <f>IF(BF$4&lt;=PARAMETER!$X$2,SUMIF('2026 T'!$F:$F,$B82,'2026 T'!BE:BE)/PARAMETER!$T$3,"")</f>
        <v/>
      </c>
      <c r="BG82" s="25" t="str">
        <f>IF(BG$4&lt;=PARAMETER!$X$2,SUMIF('2026 T'!$F:$F,$B82,'2026 T'!BF:BF)/PARAMETER!$T$3,"")</f>
        <v/>
      </c>
      <c r="BH82" s="25" t="str">
        <f>IF(BH$4&lt;=PARAMETER!$X$2,SUMIF('2026 T'!$F:$F,$B82,'2026 T'!BG:BG)/PARAMETER!$T$3,"")</f>
        <v/>
      </c>
      <c r="BI82" s="25" t="str">
        <f>IF(BI$4&lt;=PARAMETER!$X$2,SUMIF('2026 T'!$F:$F,$B82,'2026 T'!BH:BH)/PARAMETER!$T$3,"")</f>
        <v/>
      </c>
      <c r="BJ82" s="25" t="str">
        <f>IF(BJ$4&lt;=PARAMETER!$X$2,SUMIF('2026 T'!$F:$F,$B82,'2026 T'!BI:BI)/PARAMETER!$T$3,"")</f>
        <v/>
      </c>
    </row>
    <row r="83" spans="1:62" x14ac:dyDescent="0.25">
      <c r="A83">
        <f t="shared" ref="A83:A84" si="110">A82</f>
        <v>18</v>
      </c>
      <c r="B83" s="78" t="str">
        <f>CONCATENATE(C83,PARAMETER!T$2)</f>
        <v>VOL</v>
      </c>
      <c r="C83" s="26" t="str">
        <f t="shared" ref="C83:C85" si="111">C82</f>
        <v/>
      </c>
      <c r="D83" s="27" t="s">
        <v>128</v>
      </c>
      <c r="E83" s="35" t="str">
        <f t="shared" ref="E83:E84" si="112">IFERROR(I83/I84-1,"")</f>
        <v/>
      </c>
      <c r="F83" s="28">
        <f t="shared" si="109"/>
        <v>3</v>
      </c>
      <c r="G83" s="39">
        <f t="shared" si="20"/>
        <v>2026</v>
      </c>
      <c r="H83" s="40">
        <f>IF(H$4&lt;=PARAMETER!$X$2,SUMIF('2026'!$F:$F,$B83,'2026'!G:G)/PARAMETER!$T$3,"")</f>
        <v>0</v>
      </c>
      <c r="I83" s="40">
        <f>IF(I$4&lt;=PARAMETER!$X$2,SUMIF('2026'!$F:$F,$B83,'2026'!H:H)/PARAMETER!$T$3,"")</f>
        <v>0</v>
      </c>
      <c r="J83" s="40">
        <f>IF(J$4&lt;=PARAMETER!$X$2,SUMIF('2026'!$F:$F,$B83,'2026'!I:I)/PARAMETER!$T$3,"")</f>
        <v>0</v>
      </c>
      <c r="K83" s="40">
        <f>IF(K$4&lt;=PARAMETER!$X$2,SUMIF('2026'!$F:$F,$B83,'2026'!J:J)/PARAMETER!$T$3,"")</f>
        <v>0</v>
      </c>
      <c r="L83" s="40">
        <f>IF(L$4&lt;=PARAMETER!$X$2,SUMIF('2026'!$F:$F,$B83,'2026'!K:K)/PARAMETER!$T$3,"")</f>
        <v>0</v>
      </c>
      <c r="M83" s="40">
        <f>IF(M$4&lt;=PARAMETER!$X$2,SUMIF('2026'!$F:$F,$B83,'2026'!L:L)/PARAMETER!$T$3,"")</f>
        <v>0</v>
      </c>
      <c r="N83" s="40">
        <f>IF(N$4&lt;=PARAMETER!$X$2,SUMIF('2026'!$F:$F,$B83,'2026'!M:M)/PARAMETER!$T$3,"")</f>
        <v>0</v>
      </c>
      <c r="O83" s="40">
        <f>IF(O$4&lt;=PARAMETER!$X$2,SUMIF('2026'!$F:$F,$B83,'2026'!N:N)/PARAMETER!$T$3,"")</f>
        <v>0</v>
      </c>
      <c r="P83" s="40">
        <f>IF(P$4&lt;=PARAMETER!$X$2,SUMIF('2026'!$F:$F,$B83,'2026'!O:O)/PARAMETER!$T$3,"")</f>
        <v>0</v>
      </c>
      <c r="Q83" s="40">
        <f>IF(Q$4&lt;=PARAMETER!$X$2,SUMIF('2026'!$F:$F,$B83,'2026'!P:P)/PARAMETER!$T$3,"")</f>
        <v>0</v>
      </c>
      <c r="R83" s="40">
        <f>IF(R$4&lt;=PARAMETER!$X$2,SUMIF('2026'!$F:$F,$B83,'2026'!Q:Q)/PARAMETER!$T$3,"")</f>
        <v>0</v>
      </c>
      <c r="S83" s="40">
        <f>IF(S$4&lt;=PARAMETER!$X$2,SUMIF('2026'!$F:$F,$B83,'2026'!R:R)/PARAMETER!$T$3,"")</f>
        <v>0</v>
      </c>
      <c r="T83" s="40">
        <f>IF(T$4&lt;=PARAMETER!$X$2,SUMIF('2026'!$F:$F,$B83,'2026'!S:S)/PARAMETER!$T$3,"")</f>
        <v>0</v>
      </c>
      <c r="U83" s="40" t="str">
        <f>IF(U$4&lt;=PARAMETER!$X$2,SUMIF('2026'!$F:$F,$B83,'2026'!T:T)/PARAMETER!$T$3,"")</f>
        <v/>
      </c>
      <c r="V83" s="40" t="str">
        <f>IF(V$4&lt;=PARAMETER!$X$2,SUMIF('2026'!$F:$F,$B83,'2026'!U:U)/PARAMETER!$T$3,"")</f>
        <v/>
      </c>
      <c r="W83" s="40" t="str">
        <f>IF(W$4&lt;=PARAMETER!$X$2,SUMIF('2026'!$F:$F,$B83,'2026'!V:V)/PARAMETER!$T$3,"")</f>
        <v/>
      </c>
      <c r="X83" s="40" t="str">
        <f>IF(X$4&lt;=PARAMETER!$X$2,SUMIF('2026'!$F:$F,$B83,'2026'!W:W)/PARAMETER!$T$3,"")</f>
        <v/>
      </c>
      <c r="Y83" s="40" t="str">
        <f>IF(Y$4&lt;=PARAMETER!$X$2,SUMIF('2026'!$F:$F,$B83,'2026'!X:X)/PARAMETER!$T$3,"")</f>
        <v/>
      </c>
      <c r="Z83" s="40" t="str">
        <f>IF(Z$4&lt;=PARAMETER!$X$2,SUMIF('2026'!$F:$F,$B83,'2026'!Y:Y)/PARAMETER!$T$3,"")</f>
        <v/>
      </c>
      <c r="AA83" s="40" t="str">
        <f>IF(AA$4&lt;=PARAMETER!$X$2,SUMIF('2026'!$F:$F,$B83,'2026'!Z:Z)/PARAMETER!$T$3,"")</f>
        <v/>
      </c>
      <c r="AB83" s="40" t="str">
        <f>IF(AB$4&lt;=PARAMETER!$X$2,SUMIF('2026'!$F:$F,$B83,'2026'!AA:AA)/PARAMETER!$T$3,"")</f>
        <v/>
      </c>
      <c r="AC83" s="40" t="str">
        <f>IF(AC$4&lt;=PARAMETER!$X$2,SUMIF('2026'!$F:$F,$B83,'2026'!AB:AB)/PARAMETER!$T$3,"")</f>
        <v/>
      </c>
      <c r="AD83" s="40" t="str">
        <f>IF(AD$4&lt;=PARAMETER!$X$2,SUMIF('2026'!$F:$F,$B83,'2026'!AC:AC)/PARAMETER!$T$3,"")</f>
        <v/>
      </c>
      <c r="AE83" s="40" t="str">
        <f>IF(AE$4&lt;=PARAMETER!$X$2,SUMIF('2026'!$F:$F,$B83,'2026'!AD:AD)/PARAMETER!$T$3,"")</f>
        <v/>
      </c>
      <c r="AF83" s="40" t="str">
        <f>IF(AF$4&lt;=PARAMETER!$X$2,SUMIF('2026'!$F:$F,$B83,'2026'!AE:AE)/PARAMETER!$T$3,"")</f>
        <v/>
      </c>
      <c r="AG83" s="40" t="str">
        <f>IF(AG$4&lt;=PARAMETER!$X$2,SUMIF('2026'!$F:$F,$B83,'2026'!AF:AF)/PARAMETER!$T$3,"")</f>
        <v/>
      </c>
      <c r="AH83" s="40" t="str">
        <f>IF(AH$4&lt;=PARAMETER!$X$2,SUMIF('2026'!$F:$F,$B83,'2026'!AG:AG)/PARAMETER!$T$3,"")</f>
        <v/>
      </c>
      <c r="AI83" s="40" t="str">
        <f>IF(AI$4&lt;=PARAMETER!$X$2,SUMIF('2026'!$F:$F,$B83,'2026'!AH:AH)/PARAMETER!$T$3,"")</f>
        <v/>
      </c>
      <c r="AJ83" s="40" t="str">
        <f>IF(AJ$4&lt;=PARAMETER!$X$2,SUMIF('2026'!$F:$F,$B83,'2026'!AI:AI)/PARAMETER!$T$3,"")</f>
        <v/>
      </c>
      <c r="AK83" s="40" t="str">
        <f>IF(AK$4&lt;=PARAMETER!$X$2,SUMIF('2026'!$F:$F,$B83,'2026'!AJ:AJ)/PARAMETER!$T$3,"")</f>
        <v/>
      </c>
      <c r="AL83" s="40" t="str">
        <f>IF(AL$4&lt;=PARAMETER!$X$2,SUMIF('2026'!$F:$F,$B83,'2026'!AK:AK)/PARAMETER!$T$3,"")</f>
        <v/>
      </c>
      <c r="AM83" s="40" t="str">
        <f>IF(AM$4&lt;=PARAMETER!$X$2,SUMIF('2026'!$F:$F,$B83,'2026'!AL:AL)/PARAMETER!$T$3,"")</f>
        <v/>
      </c>
      <c r="AN83" s="40" t="str">
        <f>IF(AN$4&lt;=PARAMETER!$X$2,SUMIF('2026'!$F:$F,$B83,'2026'!AM:AM)/PARAMETER!$T$3,"")</f>
        <v/>
      </c>
      <c r="AO83" s="40" t="str">
        <f>IF(AO$4&lt;=PARAMETER!$X$2,SUMIF('2026'!$F:$F,$B83,'2026'!AN:AN)/PARAMETER!$T$3,"")</f>
        <v/>
      </c>
      <c r="AP83" s="40" t="str">
        <f>IF(AP$4&lt;=PARAMETER!$X$2,SUMIF('2026'!$F:$F,$B83,'2026'!AO:AO)/PARAMETER!$T$3,"")</f>
        <v/>
      </c>
      <c r="AQ83" s="40" t="str">
        <f>IF(AQ$4&lt;=PARAMETER!$X$2,SUMIF('2026'!$F:$F,$B83,'2026'!AP:AP)/PARAMETER!$T$3,"")</f>
        <v/>
      </c>
      <c r="AR83" s="40" t="str">
        <f>IF(AR$4&lt;=PARAMETER!$X$2,SUMIF('2026'!$F:$F,$B83,'2026'!AQ:AQ)/PARAMETER!$T$3,"")</f>
        <v/>
      </c>
      <c r="AS83" s="40" t="str">
        <f>IF(AS$4&lt;=PARAMETER!$X$2,SUMIF('2026'!$F:$F,$B83,'2026'!AR:AR)/PARAMETER!$T$3,"")</f>
        <v/>
      </c>
      <c r="AT83" s="40" t="str">
        <f>IF(AT$4&lt;=PARAMETER!$X$2,SUMIF('2026'!$F:$F,$B83,'2026'!AS:AS)/PARAMETER!$T$3,"")</f>
        <v/>
      </c>
      <c r="AU83" s="40" t="str">
        <f>IF(AU$4&lt;=PARAMETER!$X$2,SUMIF('2026'!$F:$F,$B83,'2026'!AT:AT)/PARAMETER!$T$3,"")</f>
        <v/>
      </c>
      <c r="AV83" s="40" t="str">
        <f>IF(AV$4&lt;=PARAMETER!$X$2,SUMIF('2026'!$F:$F,$B83,'2026'!AU:AU)/PARAMETER!$T$3,"")</f>
        <v/>
      </c>
      <c r="AW83" s="40" t="str">
        <f>IF(AW$4&lt;=PARAMETER!$X$2,SUMIF('2026'!$F:$F,$B83,'2026'!AV:AV)/PARAMETER!$T$3,"")</f>
        <v/>
      </c>
      <c r="AX83" s="40" t="str">
        <f>IF(AX$4&lt;=PARAMETER!$X$2,SUMIF('2026'!$F:$F,$B83,'2026'!AW:AW)/PARAMETER!$T$3,"")</f>
        <v/>
      </c>
      <c r="AY83" s="40" t="str">
        <f>IF(AY$4&lt;=PARAMETER!$X$2,SUMIF('2026'!$F:$F,$B83,'2026'!AX:AX)/PARAMETER!$T$3,"")</f>
        <v/>
      </c>
      <c r="AZ83" s="40" t="str">
        <f>IF(AZ$4&lt;=PARAMETER!$X$2,SUMIF('2026'!$F:$F,$B83,'2026'!AY:AY)/PARAMETER!$T$3,"")</f>
        <v/>
      </c>
      <c r="BA83" s="40" t="str">
        <f>IF(BA$4&lt;=PARAMETER!$X$2,SUMIF('2026'!$F:$F,$B83,'2026'!AZ:AZ)/PARAMETER!$T$3,"")</f>
        <v/>
      </c>
      <c r="BB83" s="40" t="str">
        <f>IF(BB$4&lt;=PARAMETER!$X$2,SUMIF('2026'!$F:$F,$B83,'2026'!BA:BA)/PARAMETER!$T$3,"")</f>
        <v/>
      </c>
      <c r="BC83" s="40" t="str">
        <f>IF(BC$4&lt;=PARAMETER!$X$2,SUMIF('2026'!$F:$F,$B83,'2026'!BB:BB)/PARAMETER!$T$3,"")</f>
        <v/>
      </c>
      <c r="BD83" s="40" t="str">
        <f>IF(BD$4&lt;=PARAMETER!$X$2,SUMIF('2026'!$F:$F,$B83,'2026'!BC:BC)/PARAMETER!$T$3,"")</f>
        <v/>
      </c>
      <c r="BE83" s="40" t="str">
        <f>IF(BE$4&lt;=PARAMETER!$X$2,SUMIF('2026'!$F:$F,$B83,'2026'!BD:BD)/PARAMETER!$T$3,"")</f>
        <v/>
      </c>
      <c r="BF83" s="40" t="str">
        <f>IF(BF$4&lt;=PARAMETER!$X$2,SUMIF('2026'!$F:$F,$B83,'2026'!BE:BE)/PARAMETER!$T$3,"")</f>
        <v/>
      </c>
      <c r="BG83" s="40" t="str">
        <f>IF(BG$4&lt;=PARAMETER!$X$2,SUMIF('2026'!$F:$F,$B83,'2026'!BF:BF)/PARAMETER!$T$3,"")</f>
        <v/>
      </c>
      <c r="BH83" s="40" t="str">
        <f>IF(BH$4&lt;=PARAMETER!$X$2,SUMIF('2026'!$F:$F,$B83,'2026'!BG:BG)/PARAMETER!$T$3,"")</f>
        <v/>
      </c>
      <c r="BI83" s="40" t="str">
        <f>IF(BI$4&lt;=PARAMETER!$X$2,SUMIF('2026'!$F:$F,$B83,'2026'!BH:BH)/PARAMETER!$T$3,"")</f>
        <v/>
      </c>
      <c r="BJ83" s="40" t="str">
        <f>IF(BJ$4&lt;=PARAMETER!$X$2,SUMIF('2026'!$F:$F,$B83,'2026'!BI:BI)/PARAMETER!$T$3,"")</f>
        <v/>
      </c>
    </row>
    <row r="84" spans="1:62" x14ac:dyDescent="0.25">
      <c r="A84">
        <f t="shared" si="110"/>
        <v>18</v>
      </c>
      <c r="B84" s="78" t="str">
        <f>CONCATENATE(C84,PARAMETER!T$2)</f>
        <v>VOL</v>
      </c>
      <c r="C84" s="26" t="str">
        <f t="shared" si="111"/>
        <v/>
      </c>
      <c r="D84" s="27" t="s">
        <v>128</v>
      </c>
      <c r="E84" s="35" t="str">
        <f t="shared" si="112"/>
        <v/>
      </c>
      <c r="F84" s="28">
        <f t="shared" si="109"/>
        <v>3</v>
      </c>
      <c r="G84" s="39">
        <f t="shared" si="20"/>
        <v>2025</v>
      </c>
      <c r="H84" s="40">
        <f>IF(H$4&lt;=PARAMETER!$X$2,SUMIF('2025'!$F:$F,$B84,'2025'!G:G)/PARAMETER!$T$3,"")</f>
        <v>0</v>
      </c>
      <c r="I84" s="40">
        <f>IF(I$4&lt;=PARAMETER!$X$2,SUMIF('2025'!$F:$F,$B84,'2025'!H:H)/PARAMETER!$T$3,"")</f>
        <v>0</v>
      </c>
      <c r="J84" s="40">
        <f>IF(J$4&lt;=PARAMETER!$X$2,SUMIF('2025'!$F:$F,$B84,'2025'!I:I)/PARAMETER!$T$3,"")</f>
        <v>0</v>
      </c>
      <c r="K84" s="40">
        <f>IF(K$4&lt;=PARAMETER!$X$2,SUMIF('2025'!$F:$F,$B84,'2025'!J:J)/PARAMETER!$T$3,"")</f>
        <v>0</v>
      </c>
      <c r="L84" s="40">
        <f>IF(L$4&lt;=PARAMETER!$X$2,SUMIF('2025'!$F:$F,$B84,'2025'!K:K)/PARAMETER!$T$3,"")</f>
        <v>0</v>
      </c>
      <c r="M84" s="40">
        <f>IF(M$4&lt;=PARAMETER!$X$2,SUMIF('2025'!$F:$F,$B84,'2025'!L:L)/PARAMETER!$T$3,"")</f>
        <v>0</v>
      </c>
      <c r="N84" s="40">
        <f>IF(N$4&lt;=PARAMETER!$X$2,SUMIF('2025'!$F:$F,$B84,'2025'!M:M)/PARAMETER!$T$3,"")</f>
        <v>0</v>
      </c>
      <c r="O84" s="40">
        <f>IF(O$4&lt;=PARAMETER!$X$2,SUMIF('2025'!$F:$F,$B84,'2025'!N:N)/PARAMETER!$T$3,"")</f>
        <v>0</v>
      </c>
      <c r="P84" s="40">
        <f>IF(P$4&lt;=PARAMETER!$X$2,SUMIF('2025'!$F:$F,$B84,'2025'!O:O)/PARAMETER!$T$3,"")</f>
        <v>0</v>
      </c>
      <c r="Q84" s="40">
        <f>IF(Q$4&lt;=PARAMETER!$X$2,SUMIF('2025'!$F:$F,$B84,'2025'!P:P)/PARAMETER!$T$3,"")</f>
        <v>0</v>
      </c>
      <c r="R84" s="40">
        <f>IF(R$4&lt;=PARAMETER!$X$2,SUMIF('2025'!$F:$F,$B84,'2025'!Q:Q)/PARAMETER!$T$3,"")</f>
        <v>0</v>
      </c>
      <c r="S84" s="40">
        <f>IF(S$4&lt;=PARAMETER!$X$2,SUMIF('2025'!$F:$F,$B84,'2025'!R:R)/PARAMETER!$T$3,"")</f>
        <v>0</v>
      </c>
      <c r="T84" s="40">
        <f>IF(T$4&lt;=PARAMETER!$X$2,SUMIF('2025'!$F:$F,$B84,'2025'!S:S)/PARAMETER!$T$3,"")</f>
        <v>0</v>
      </c>
      <c r="U84" s="40" t="str">
        <f>IF(U$4&lt;=PARAMETER!$X$2,SUMIF('2025'!$F:$F,$B84,'2025'!T:T)/PARAMETER!$T$3,"")</f>
        <v/>
      </c>
      <c r="V84" s="40" t="str">
        <f>IF(V$4&lt;=PARAMETER!$X$2,SUMIF('2025'!$F:$F,$B84,'2025'!U:U)/PARAMETER!$T$3,"")</f>
        <v/>
      </c>
      <c r="W84" s="40" t="str">
        <f>IF(W$4&lt;=PARAMETER!$X$2,SUMIF('2025'!$F:$F,$B84,'2025'!V:V)/PARAMETER!$T$3,"")</f>
        <v/>
      </c>
      <c r="X84" s="40" t="str">
        <f>IF(X$4&lt;=PARAMETER!$X$2,SUMIF('2025'!$F:$F,$B84,'2025'!W:W)/PARAMETER!$T$3,"")</f>
        <v/>
      </c>
      <c r="Y84" s="40" t="str">
        <f>IF(Y$4&lt;=PARAMETER!$X$2,SUMIF('2025'!$F:$F,$B84,'2025'!X:X)/PARAMETER!$T$3,"")</f>
        <v/>
      </c>
      <c r="Z84" s="40" t="str">
        <f>IF(Z$4&lt;=PARAMETER!$X$2,SUMIF('2025'!$F:$F,$B84,'2025'!Y:Y)/PARAMETER!$T$3,"")</f>
        <v/>
      </c>
      <c r="AA84" s="40" t="str">
        <f>IF(AA$4&lt;=PARAMETER!$X$2,SUMIF('2025'!$F:$F,$B84,'2025'!Z:Z)/PARAMETER!$T$3,"")</f>
        <v/>
      </c>
      <c r="AB84" s="40" t="str">
        <f>IF(AB$4&lt;=PARAMETER!$X$2,SUMIF('2025'!$F:$F,$B84,'2025'!AA:AA)/PARAMETER!$T$3,"")</f>
        <v/>
      </c>
      <c r="AC84" s="40" t="str">
        <f>IF(AC$4&lt;=PARAMETER!$X$2,SUMIF('2025'!$F:$F,$B84,'2025'!AB:AB)/PARAMETER!$T$3,"")</f>
        <v/>
      </c>
      <c r="AD84" s="40" t="str">
        <f>IF(AD$4&lt;=PARAMETER!$X$2,SUMIF('2025'!$F:$F,$B84,'2025'!AC:AC)/PARAMETER!$T$3,"")</f>
        <v/>
      </c>
      <c r="AE84" s="40" t="str">
        <f>IF(AE$4&lt;=PARAMETER!$X$2,SUMIF('2025'!$F:$F,$B84,'2025'!AD:AD)/PARAMETER!$T$3,"")</f>
        <v/>
      </c>
      <c r="AF84" s="40" t="str">
        <f>IF(AF$4&lt;=PARAMETER!$X$2,SUMIF('2025'!$F:$F,$B84,'2025'!AE:AE)/PARAMETER!$T$3,"")</f>
        <v/>
      </c>
      <c r="AG84" s="40" t="str">
        <f>IF(AG$4&lt;=PARAMETER!$X$2,SUMIF('2025'!$F:$F,$B84,'2025'!AF:AF)/PARAMETER!$T$3,"")</f>
        <v/>
      </c>
      <c r="AH84" s="40" t="str">
        <f>IF(AH$4&lt;=PARAMETER!$X$2,SUMIF('2025'!$F:$F,$B84,'2025'!AG:AG)/PARAMETER!$T$3,"")</f>
        <v/>
      </c>
      <c r="AI84" s="40" t="str">
        <f>IF(AI$4&lt;=PARAMETER!$X$2,SUMIF('2025'!$F:$F,$B84,'2025'!AH:AH)/PARAMETER!$T$3,"")</f>
        <v/>
      </c>
      <c r="AJ84" s="40" t="str">
        <f>IF(AJ$4&lt;=PARAMETER!$X$2,SUMIF('2025'!$F:$F,$B84,'2025'!AI:AI)/PARAMETER!$T$3,"")</f>
        <v/>
      </c>
      <c r="AK84" s="40" t="str">
        <f>IF(AK$4&lt;=PARAMETER!$X$2,SUMIF('2025'!$F:$F,$B84,'2025'!AJ:AJ)/PARAMETER!$T$3,"")</f>
        <v/>
      </c>
      <c r="AL84" s="40" t="str">
        <f>IF(AL$4&lt;=PARAMETER!$X$2,SUMIF('2025'!$F:$F,$B84,'2025'!AK:AK)/PARAMETER!$T$3,"")</f>
        <v/>
      </c>
      <c r="AM84" s="40" t="str">
        <f>IF(AM$4&lt;=PARAMETER!$X$2,SUMIF('2025'!$F:$F,$B84,'2025'!AL:AL)/PARAMETER!$T$3,"")</f>
        <v/>
      </c>
      <c r="AN84" s="40" t="str">
        <f>IF(AN$4&lt;=PARAMETER!$X$2,SUMIF('2025'!$F:$F,$B84,'2025'!AM:AM)/PARAMETER!$T$3,"")</f>
        <v/>
      </c>
      <c r="AO84" s="40" t="str">
        <f>IF(AO$4&lt;=PARAMETER!$X$2,SUMIF('2025'!$F:$F,$B84,'2025'!AN:AN)/PARAMETER!$T$3,"")</f>
        <v/>
      </c>
      <c r="AP84" s="40" t="str">
        <f>IF(AP$4&lt;=PARAMETER!$X$2,SUMIF('2025'!$F:$F,$B84,'2025'!AO:AO)/PARAMETER!$T$3,"")</f>
        <v/>
      </c>
      <c r="AQ84" s="40" t="str">
        <f>IF(AQ$4&lt;=PARAMETER!$X$2,SUMIF('2025'!$F:$F,$B84,'2025'!AP:AP)/PARAMETER!$T$3,"")</f>
        <v/>
      </c>
      <c r="AR84" s="40" t="str">
        <f>IF(AR$4&lt;=PARAMETER!$X$2,SUMIF('2025'!$F:$F,$B84,'2025'!AQ:AQ)/PARAMETER!$T$3,"")</f>
        <v/>
      </c>
      <c r="AS84" s="40" t="str">
        <f>IF(AS$4&lt;=PARAMETER!$X$2,SUMIF('2025'!$F:$F,$B84,'2025'!AR:AR)/PARAMETER!$T$3,"")</f>
        <v/>
      </c>
      <c r="AT84" s="40" t="str">
        <f>IF(AT$4&lt;=PARAMETER!$X$2,SUMIF('2025'!$F:$F,$B84,'2025'!AS:AS)/PARAMETER!$T$3,"")</f>
        <v/>
      </c>
      <c r="AU84" s="40" t="str">
        <f>IF(AU$4&lt;=PARAMETER!$X$2,SUMIF('2025'!$F:$F,$B84,'2025'!AT:AT)/PARAMETER!$T$3,"")</f>
        <v/>
      </c>
      <c r="AV84" s="40" t="str">
        <f>IF(AV$4&lt;=PARAMETER!$X$2,SUMIF('2025'!$F:$F,$B84,'2025'!AU:AU)/PARAMETER!$T$3,"")</f>
        <v/>
      </c>
      <c r="AW84" s="40" t="str">
        <f>IF(AW$4&lt;=PARAMETER!$X$2,SUMIF('2025'!$F:$F,$B84,'2025'!AV:AV)/PARAMETER!$T$3,"")</f>
        <v/>
      </c>
      <c r="AX84" s="40" t="str">
        <f>IF(AX$4&lt;=PARAMETER!$X$2,SUMIF('2025'!$F:$F,$B84,'2025'!AW:AW)/PARAMETER!$T$3,"")</f>
        <v/>
      </c>
      <c r="AY84" s="40" t="str">
        <f>IF(AY$4&lt;=PARAMETER!$X$2,SUMIF('2025'!$F:$F,$B84,'2025'!AX:AX)/PARAMETER!$T$3,"")</f>
        <v/>
      </c>
      <c r="AZ84" s="40" t="str">
        <f>IF(AZ$4&lt;=PARAMETER!$X$2,SUMIF('2025'!$F:$F,$B84,'2025'!AY:AY)/PARAMETER!$T$3,"")</f>
        <v/>
      </c>
      <c r="BA84" s="40" t="str">
        <f>IF(BA$4&lt;=PARAMETER!$X$2,SUMIF('2025'!$F:$F,$B84,'2025'!AZ:AZ)/PARAMETER!$T$3,"")</f>
        <v/>
      </c>
      <c r="BB84" s="40" t="str">
        <f>IF(BB$4&lt;=PARAMETER!$X$2,SUMIF('2025'!$F:$F,$B84,'2025'!BA:BA)/PARAMETER!$T$3,"")</f>
        <v/>
      </c>
      <c r="BC84" s="40" t="str">
        <f>IF(BC$4&lt;=PARAMETER!$X$2,SUMIF('2025'!$F:$F,$B84,'2025'!BB:BB)/PARAMETER!$T$3,"")</f>
        <v/>
      </c>
      <c r="BD84" s="40" t="str">
        <f>IF(BD$4&lt;=PARAMETER!$X$2,SUMIF('2025'!$F:$F,$B84,'2025'!BC:BC)/PARAMETER!$T$3,"")</f>
        <v/>
      </c>
      <c r="BE84" s="40" t="str">
        <f>IF(BE$4&lt;=PARAMETER!$X$2,SUMIF('2025'!$F:$F,$B84,'2025'!BD:BD)/PARAMETER!$T$3,"")</f>
        <v/>
      </c>
      <c r="BF84" s="40" t="str">
        <f>IF(BF$4&lt;=PARAMETER!$X$2,SUMIF('2025'!$F:$F,$B84,'2025'!BE:BE)/PARAMETER!$T$3,"")</f>
        <v/>
      </c>
      <c r="BG84" s="40" t="str">
        <f>IF(BG$4&lt;=PARAMETER!$X$2,SUMIF('2025'!$F:$F,$B84,'2025'!BF:BF)/PARAMETER!$T$3,"")</f>
        <v/>
      </c>
      <c r="BH84" s="40" t="str">
        <f>IF(BH$4&lt;=PARAMETER!$X$2,SUMIF('2025'!$F:$F,$B84,'2025'!BG:BG)/PARAMETER!$T$3,"")</f>
        <v/>
      </c>
      <c r="BI84" s="40" t="str">
        <f>IF(BI$4&lt;=PARAMETER!$X$2,SUMIF('2025'!$F:$F,$B84,'2025'!BH:BH)/PARAMETER!$T$3,"")</f>
        <v/>
      </c>
      <c r="BJ84" s="40" t="str">
        <f>IF(BJ$4&lt;=PARAMETER!$X$2,SUMIF('2025'!$F:$F,$B84,'2025'!BI:BI)/PARAMETER!$T$3,"")</f>
        <v/>
      </c>
    </row>
    <row r="85" spans="1:62" x14ac:dyDescent="0.25">
      <c r="A85">
        <f t="shared" si="107"/>
        <v>18</v>
      </c>
      <c r="B85" s="78" t="str">
        <f>CONCATENATE(C85,PARAMETER!T$2)</f>
        <v>VOL</v>
      </c>
      <c r="C85" s="26" t="str">
        <f t="shared" si="111"/>
        <v/>
      </c>
      <c r="D85" s="67"/>
      <c r="E85" s="68"/>
      <c r="F85" s="69"/>
      <c r="G85" s="70">
        <f t="shared" si="20"/>
        <v>2024</v>
      </c>
      <c r="H85" s="71">
        <f>IF(H$4&lt;=PARAMETER!$X$2,SUMIF('2024'!$F:$F,$B85,'2024'!G:G)/PARAMETER!$T$3,"")</f>
        <v>0</v>
      </c>
      <c r="I85" s="71">
        <f>IF(I$4&lt;=PARAMETER!$X$2,SUMIF('2024'!$F:$F,$B85,'2024'!H:H)/PARAMETER!$T$3,"")</f>
        <v>0</v>
      </c>
      <c r="J85" s="71">
        <f>IF(J$4&lt;=PARAMETER!$X$2,SUMIF('2024'!$F:$F,$B85,'2024'!I:I)/PARAMETER!$T$3,"")</f>
        <v>0</v>
      </c>
      <c r="K85" s="71">
        <f>IF(K$4&lt;=PARAMETER!$X$2,SUMIF('2024'!$F:$F,$B85,'2024'!J:J)/PARAMETER!$T$3,"")</f>
        <v>0</v>
      </c>
      <c r="L85" s="71">
        <f>IF(L$4&lt;=PARAMETER!$X$2,SUMIF('2024'!$F:$F,$B85,'2024'!K:K)/PARAMETER!$T$3,"")</f>
        <v>0</v>
      </c>
      <c r="M85" s="71">
        <f>IF(M$4&lt;=PARAMETER!$X$2,SUMIF('2024'!$F:$F,$B85,'2024'!L:L)/PARAMETER!$T$3,"")</f>
        <v>0</v>
      </c>
      <c r="N85" s="71">
        <f>IF(N$4&lt;=PARAMETER!$X$2,SUMIF('2024'!$F:$F,$B85,'2024'!M:M)/PARAMETER!$T$3,"")</f>
        <v>0</v>
      </c>
      <c r="O85" s="71">
        <f>IF(O$4&lt;=PARAMETER!$X$2,SUMIF('2024'!$F:$F,$B85,'2024'!N:N)/PARAMETER!$T$3,"")</f>
        <v>0</v>
      </c>
      <c r="P85" s="71">
        <f>IF(P$4&lt;=PARAMETER!$X$2,SUMIF('2024'!$F:$F,$B85,'2024'!O:O)/PARAMETER!$T$3,"")</f>
        <v>0</v>
      </c>
      <c r="Q85" s="71">
        <f>IF(Q$4&lt;=PARAMETER!$X$2,SUMIF('2024'!$F:$F,$B85,'2024'!P:P)/PARAMETER!$T$3,"")</f>
        <v>0</v>
      </c>
      <c r="R85" s="71">
        <f>IF(R$4&lt;=PARAMETER!$X$2,SUMIF('2024'!$F:$F,$B85,'2024'!Q:Q)/PARAMETER!$T$3,"")</f>
        <v>0</v>
      </c>
      <c r="S85" s="71">
        <f>IF(S$4&lt;=PARAMETER!$X$2,SUMIF('2024'!$F:$F,$B85,'2024'!R:R)/PARAMETER!$T$3,"")</f>
        <v>0</v>
      </c>
      <c r="T85" s="71">
        <f>IF(T$4&lt;=PARAMETER!$X$2,SUMIF('2024'!$F:$F,$B85,'2024'!S:S)/PARAMETER!$T$3,"")</f>
        <v>0</v>
      </c>
      <c r="U85" s="71" t="str">
        <f>IF(U$4&lt;=PARAMETER!$X$2,SUMIF('2024'!$F:$F,$B85,'2024'!T:T)/PARAMETER!$T$3,"")</f>
        <v/>
      </c>
      <c r="V85" s="71" t="str">
        <f>IF(V$4&lt;=PARAMETER!$X$2,SUMIF('2024'!$F:$F,$B85,'2024'!U:U)/PARAMETER!$T$3,"")</f>
        <v/>
      </c>
      <c r="W85" s="71" t="str">
        <f>IF(W$4&lt;=PARAMETER!$X$2,SUMIF('2024'!$F:$F,$B85,'2024'!V:V)/PARAMETER!$T$3,"")</f>
        <v/>
      </c>
      <c r="X85" s="71" t="str">
        <f>IF(X$4&lt;=PARAMETER!$X$2,SUMIF('2024'!$F:$F,$B85,'2024'!W:W)/PARAMETER!$T$3,"")</f>
        <v/>
      </c>
      <c r="Y85" s="71" t="str">
        <f>IF(Y$4&lt;=PARAMETER!$X$2,SUMIF('2024'!$F:$F,$B85,'2024'!X:X)/PARAMETER!$T$3,"")</f>
        <v/>
      </c>
      <c r="Z85" s="71" t="str">
        <f>IF(Z$4&lt;=PARAMETER!$X$2,SUMIF('2024'!$F:$F,$B85,'2024'!Y:Y)/PARAMETER!$T$3,"")</f>
        <v/>
      </c>
      <c r="AA85" s="71" t="str">
        <f>IF(AA$4&lt;=PARAMETER!$X$2,SUMIF('2024'!$F:$F,$B85,'2024'!Z:Z)/PARAMETER!$T$3,"")</f>
        <v/>
      </c>
      <c r="AB85" s="71" t="str">
        <f>IF(AB$4&lt;=PARAMETER!$X$2,SUMIF('2024'!$F:$F,$B85,'2024'!AA:AA)/PARAMETER!$T$3,"")</f>
        <v/>
      </c>
      <c r="AC85" s="71" t="str">
        <f>IF(AC$4&lt;=PARAMETER!$X$2,SUMIF('2024'!$F:$F,$B85,'2024'!AB:AB)/PARAMETER!$T$3,"")</f>
        <v/>
      </c>
      <c r="AD85" s="71" t="str">
        <f>IF(AD$4&lt;=PARAMETER!$X$2,SUMIF('2024'!$F:$F,$B85,'2024'!AC:AC)/PARAMETER!$T$3,"")</f>
        <v/>
      </c>
      <c r="AE85" s="71" t="str">
        <f>IF(AE$4&lt;=PARAMETER!$X$2,SUMIF('2024'!$F:$F,$B85,'2024'!AD:AD)/PARAMETER!$T$3,"")</f>
        <v/>
      </c>
      <c r="AF85" s="71" t="str">
        <f>IF(AF$4&lt;=PARAMETER!$X$2,SUMIF('2024'!$F:$F,$B85,'2024'!AE:AE)/PARAMETER!$T$3,"")</f>
        <v/>
      </c>
      <c r="AG85" s="71" t="str">
        <f>IF(AG$4&lt;=PARAMETER!$X$2,SUMIF('2024'!$F:$F,$B85,'2024'!AF:AF)/PARAMETER!$T$3,"")</f>
        <v/>
      </c>
      <c r="AH85" s="71" t="str">
        <f>IF(AH$4&lt;=PARAMETER!$X$2,SUMIF('2024'!$F:$F,$B85,'2024'!AG:AG)/PARAMETER!$T$3,"")</f>
        <v/>
      </c>
      <c r="AI85" s="71" t="str">
        <f>IF(AI$4&lt;=PARAMETER!$X$2,SUMIF('2024'!$F:$F,$B85,'2024'!AH:AH)/PARAMETER!$T$3,"")</f>
        <v/>
      </c>
      <c r="AJ85" s="71" t="str">
        <f>IF(AJ$4&lt;=PARAMETER!$X$2,SUMIF('2024'!$F:$F,$B85,'2024'!AI:AI)/PARAMETER!$T$3,"")</f>
        <v/>
      </c>
      <c r="AK85" s="71" t="str">
        <f>IF(AK$4&lt;=PARAMETER!$X$2,SUMIF('2024'!$F:$F,$B85,'2024'!AJ:AJ)/PARAMETER!$T$3,"")</f>
        <v/>
      </c>
      <c r="AL85" s="71" t="str">
        <f>IF(AL$4&lt;=PARAMETER!$X$2,SUMIF('2024'!$F:$F,$B85,'2024'!AK:AK)/PARAMETER!$T$3,"")</f>
        <v/>
      </c>
      <c r="AM85" s="71" t="str">
        <f>IF(AM$4&lt;=PARAMETER!$X$2,SUMIF('2024'!$F:$F,$B85,'2024'!AL:AL)/PARAMETER!$T$3,"")</f>
        <v/>
      </c>
      <c r="AN85" s="71" t="str">
        <f>IF(AN$4&lt;=PARAMETER!$X$2,SUMIF('2024'!$F:$F,$B85,'2024'!AM:AM)/PARAMETER!$T$3,"")</f>
        <v/>
      </c>
      <c r="AO85" s="71" t="str">
        <f>IF(AO$4&lt;=PARAMETER!$X$2,SUMIF('2024'!$F:$F,$B85,'2024'!AN:AN)/PARAMETER!$T$3,"")</f>
        <v/>
      </c>
      <c r="AP85" s="71" t="str">
        <f>IF(AP$4&lt;=PARAMETER!$X$2,SUMIF('2024'!$F:$F,$B85,'2024'!AO:AO)/PARAMETER!$T$3,"")</f>
        <v/>
      </c>
      <c r="AQ85" s="71" t="str">
        <f>IF(AQ$4&lt;=PARAMETER!$X$2,SUMIF('2024'!$F:$F,$B85,'2024'!AP:AP)/PARAMETER!$T$3,"")</f>
        <v/>
      </c>
      <c r="AR85" s="71" t="str">
        <f>IF(AR$4&lt;=PARAMETER!$X$2,SUMIF('2024'!$F:$F,$B85,'2024'!AQ:AQ)/PARAMETER!$T$3,"")</f>
        <v/>
      </c>
      <c r="AS85" s="71" t="str">
        <f>IF(AS$4&lt;=PARAMETER!$X$2,SUMIF('2024'!$F:$F,$B85,'2024'!AR:AR)/PARAMETER!$T$3,"")</f>
        <v/>
      </c>
      <c r="AT85" s="71" t="str">
        <f>IF(AT$4&lt;=PARAMETER!$X$2,SUMIF('2024'!$F:$F,$B85,'2024'!AS:AS)/PARAMETER!$T$3,"")</f>
        <v/>
      </c>
      <c r="AU85" s="71" t="str">
        <f>IF(AU$4&lt;=PARAMETER!$X$2,SUMIF('2024'!$F:$F,$B85,'2024'!AT:AT)/PARAMETER!$T$3,"")</f>
        <v/>
      </c>
      <c r="AV85" s="71" t="str">
        <f>IF(AV$4&lt;=PARAMETER!$X$2,SUMIF('2024'!$F:$F,$B85,'2024'!AU:AU)/PARAMETER!$T$3,"")</f>
        <v/>
      </c>
      <c r="AW85" s="71" t="str">
        <f>IF(AW$4&lt;=PARAMETER!$X$2,SUMIF('2024'!$F:$F,$B85,'2024'!AV:AV)/PARAMETER!$T$3,"")</f>
        <v/>
      </c>
      <c r="AX85" s="71" t="str">
        <f>IF(AX$4&lt;=PARAMETER!$X$2,SUMIF('2024'!$F:$F,$B85,'2024'!AW:AW)/PARAMETER!$T$3,"")</f>
        <v/>
      </c>
      <c r="AY85" s="71" t="str">
        <f>IF(AY$4&lt;=PARAMETER!$X$2,SUMIF('2024'!$F:$F,$B85,'2024'!AX:AX)/PARAMETER!$T$3,"")</f>
        <v/>
      </c>
      <c r="AZ85" s="71" t="str">
        <f>IF(AZ$4&lt;=PARAMETER!$X$2,SUMIF('2024'!$F:$F,$B85,'2024'!AY:AY)/PARAMETER!$T$3,"")</f>
        <v/>
      </c>
      <c r="BA85" s="71" t="str">
        <f>IF(BA$4&lt;=PARAMETER!$X$2,SUMIF('2024'!$F:$F,$B85,'2024'!AZ:AZ)/PARAMETER!$T$3,"")</f>
        <v/>
      </c>
      <c r="BB85" s="71" t="str">
        <f>IF(BB$4&lt;=PARAMETER!$X$2,SUMIF('2024'!$F:$F,$B85,'2024'!BA:BA)/PARAMETER!$T$3,"")</f>
        <v/>
      </c>
      <c r="BC85" s="71" t="str">
        <f>IF(BC$4&lt;=PARAMETER!$X$2,SUMIF('2024'!$F:$F,$B85,'2024'!BB:BB)/PARAMETER!$T$3,"")</f>
        <v/>
      </c>
      <c r="BD85" s="71" t="str">
        <f>IF(BD$4&lt;=PARAMETER!$X$2,SUMIF('2024'!$F:$F,$B85,'2024'!BC:BC)/PARAMETER!$T$3,"")</f>
        <v/>
      </c>
      <c r="BE85" s="71" t="str">
        <f>IF(BE$4&lt;=PARAMETER!$X$2,SUMIF('2024'!$F:$F,$B85,'2024'!BD:BD)/PARAMETER!$T$3,"")</f>
        <v/>
      </c>
      <c r="BF85" s="71" t="str">
        <f>IF(BF$4&lt;=PARAMETER!$X$2,SUMIF('2024'!$F:$F,$B85,'2024'!BE:BE)/PARAMETER!$T$3,"")</f>
        <v/>
      </c>
      <c r="BG85" s="71" t="str">
        <f>IF(BG$4&lt;=PARAMETER!$X$2,SUMIF('2024'!$F:$F,$B85,'2024'!BF:BF)/PARAMETER!$T$3,"")</f>
        <v/>
      </c>
      <c r="BH85" s="71" t="str">
        <f>IF(BH$4&lt;=PARAMETER!$X$2,SUMIF('2024'!$F:$F,$B85,'2024'!BG:BG)/PARAMETER!$T$3,"")</f>
        <v/>
      </c>
      <c r="BI85" s="71" t="str">
        <f>IF(BI$4&lt;=PARAMETER!$X$2,SUMIF('2024'!$F:$F,$B85,'2024'!BH:BH)/PARAMETER!$T$3,"")</f>
        <v/>
      </c>
      <c r="BJ85" s="71" t="str">
        <f>IF(BJ$4&lt;=PARAMETER!$X$2,SUMIF('2024'!$F:$F,$B85,'2024'!BI:BI)/PARAMETER!$T$3,"")</f>
        <v/>
      </c>
    </row>
    <row r="86" spans="1:62" x14ac:dyDescent="0.25">
      <c r="A86">
        <v>19</v>
      </c>
      <c r="B86" s="78" t="str">
        <f>CONCATENATE(C86,PARAMETER!T$2)</f>
        <v>VOL</v>
      </c>
      <c r="C86" s="21" t="str">
        <f>IFERROR(VLOOKUP(A86,PARAMETER!K$2:M94,3,0),"")</f>
        <v/>
      </c>
      <c r="D86" s="22" t="s">
        <v>127</v>
      </c>
      <c r="E86" s="37" t="str">
        <f t="shared" ref="E86" si="113">IFERROR(I87/I86,"")</f>
        <v/>
      </c>
      <c r="F86" s="23">
        <f t="shared" ref="F86:F88" si="114">IFERROR(IF(E86&gt;300%,300%,E86),"")</f>
        <v>3</v>
      </c>
      <c r="G86" s="24" t="str">
        <f t="shared" ref="G86:G101" si="115">G82</f>
        <v>Target</v>
      </c>
      <c r="H86" s="25">
        <f>IF(H$4&lt;=PARAMETER!$X$2,SUMIF('2026 T'!$F:$F,$B86,'2026 T'!G:G)/PARAMETER!$T$3,"")</f>
        <v>0</v>
      </c>
      <c r="I86" s="25">
        <f>IF(I$4&lt;=PARAMETER!$X$2,SUMIF('2026 T'!$F:$F,$B86,'2026 T'!H:H)/PARAMETER!$T$3,"")</f>
        <v>0</v>
      </c>
      <c r="J86" s="25">
        <f>IF(J$4&lt;=PARAMETER!$X$2,SUMIF('2026 T'!$F:$F,$B86,'2026 T'!I:I)/PARAMETER!$T$3,"")</f>
        <v>0</v>
      </c>
      <c r="K86" s="25">
        <f>IF(K$4&lt;=PARAMETER!$X$2,SUMIF('2026 T'!$F:$F,$B86,'2026 T'!J:J)/PARAMETER!$T$3,"")</f>
        <v>0</v>
      </c>
      <c r="L86" s="25">
        <f>IF(L$4&lt;=PARAMETER!$X$2,SUMIF('2026 T'!$F:$F,$B86,'2026 T'!K:K)/PARAMETER!$T$3,"")</f>
        <v>0</v>
      </c>
      <c r="M86" s="25">
        <f>IF(M$4&lt;=PARAMETER!$X$2,SUMIF('2026 T'!$F:$F,$B86,'2026 T'!L:L)/PARAMETER!$T$3,"")</f>
        <v>0</v>
      </c>
      <c r="N86" s="25">
        <f>IF(N$4&lt;=PARAMETER!$X$2,SUMIF('2026 T'!$F:$F,$B86,'2026 T'!M:M)/PARAMETER!$T$3,"")</f>
        <v>0</v>
      </c>
      <c r="O86" s="25">
        <f>IF(O$4&lt;=PARAMETER!$X$2,SUMIF('2026 T'!$F:$F,$B86,'2026 T'!N:N)/PARAMETER!$T$3,"")</f>
        <v>0</v>
      </c>
      <c r="P86" s="25">
        <f>IF(P$4&lt;=PARAMETER!$X$2,SUMIF('2026 T'!$F:$F,$B86,'2026 T'!O:O)/PARAMETER!$T$3,"")</f>
        <v>0</v>
      </c>
      <c r="Q86" s="25">
        <f>IF(Q$4&lt;=PARAMETER!$X$2,SUMIF('2026 T'!$F:$F,$B86,'2026 T'!P:P)/PARAMETER!$T$3,"")</f>
        <v>0</v>
      </c>
      <c r="R86" s="25">
        <f>IF(R$4&lt;=PARAMETER!$X$2,SUMIF('2026 T'!$F:$F,$B86,'2026 T'!Q:Q)/PARAMETER!$T$3,"")</f>
        <v>0</v>
      </c>
      <c r="S86" s="25">
        <f>IF(S$4&lt;=PARAMETER!$X$2,SUMIF('2026 T'!$F:$F,$B86,'2026 T'!R:R)/PARAMETER!$T$3,"")</f>
        <v>0</v>
      </c>
      <c r="T86" s="25">
        <f>IF(T$4&lt;=PARAMETER!$X$2,SUMIF('2026 T'!$F:$F,$B86,'2026 T'!S:S)/PARAMETER!$T$3,"")</f>
        <v>0</v>
      </c>
      <c r="U86" s="25" t="str">
        <f>IF(U$4&lt;=PARAMETER!$X$2,SUMIF('2026 T'!$F:$F,$B86,'2026 T'!T:T)/PARAMETER!$T$3,"")</f>
        <v/>
      </c>
      <c r="V86" s="25" t="str">
        <f>IF(V$4&lt;=PARAMETER!$X$2,SUMIF('2026 T'!$F:$F,$B86,'2026 T'!U:U)/PARAMETER!$T$3,"")</f>
        <v/>
      </c>
      <c r="W86" s="25" t="str">
        <f>IF(W$4&lt;=PARAMETER!$X$2,SUMIF('2026 T'!$F:$F,$B86,'2026 T'!V:V)/PARAMETER!$T$3,"")</f>
        <v/>
      </c>
      <c r="X86" s="25" t="str">
        <f>IF(X$4&lt;=PARAMETER!$X$2,SUMIF('2026 T'!$F:$F,$B86,'2026 T'!W:W)/PARAMETER!$T$3,"")</f>
        <v/>
      </c>
      <c r="Y86" s="25" t="str">
        <f>IF(Y$4&lt;=PARAMETER!$X$2,SUMIF('2026 T'!$F:$F,$B86,'2026 T'!X:X)/PARAMETER!$T$3,"")</f>
        <v/>
      </c>
      <c r="Z86" s="25" t="str">
        <f>IF(Z$4&lt;=PARAMETER!$X$2,SUMIF('2026 T'!$F:$F,$B86,'2026 T'!Y:Y)/PARAMETER!$T$3,"")</f>
        <v/>
      </c>
      <c r="AA86" s="25" t="str">
        <f>IF(AA$4&lt;=PARAMETER!$X$2,SUMIF('2026 T'!$F:$F,$B86,'2026 T'!Z:Z)/PARAMETER!$T$3,"")</f>
        <v/>
      </c>
      <c r="AB86" s="25" t="str">
        <f>IF(AB$4&lt;=PARAMETER!$X$2,SUMIF('2026 T'!$F:$F,$B86,'2026 T'!AA:AA)/PARAMETER!$T$3,"")</f>
        <v/>
      </c>
      <c r="AC86" s="25" t="str">
        <f>IF(AC$4&lt;=PARAMETER!$X$2,SUMIF('2026 T'!$F:$F,$B86,'2026 T'!AB:AB)/PARAMETER!$T$3,"")</f>
        <v/>
      </c>
      <c r="AD86" s="25" t="str">
        <f>IF(AD$4&lt;=PARAMETER!$X$2,SUMIF('2026 T'!$F:$F,$B86,'2026 T'!AC:AC)/PARAMETER!$T$3,"")</f>
        <v/>
      </c>
      <c r="AE86" s="25" t="str">
        <f>IF(AE$4&lt;=PARAMETER!$X$2,SUMIF('2026 T'!$F:$F,$B86,'2026 T'!AD:AD)/PARAMETER!$T$3,"")</f>
        <v/>
      </c>
      <c r="AF86" s="25" t="str">
        <f>IF(AF$4&lt;=PARAMETER!$X$2,SUMIF('2026 T'!$F:$F,$B86,'2026 T'!AE:AE)/PARAMETER!$T$3,"")</f>
        <v/>
      </c>
      <c r="AG86" s="25" t="str">
        <f>IF(AG$4&lt;=PARAMETER!$X$2,SUMIF('2026 T'!$F:$F,$B86,'2026 T'!AF:AF)/PARAMETER!$T$3,"")</f>
        <v/>
      </c>
      <c r="AH86" s="25" t="str">
        <f>IF(AH$4&lt;=PARAMETER!$X$2,SUMIF('2026 T'!$F:$F,$B86,'2026 T'!AG:AG)/PARAMETER!$T$3,"")</f>
        <v/>
      </c>
      <c r="AI86" s="25" t="str">
        <f>IF(AI$4&lt;=PARAMETER!$X$2,SUMIF('2026 T'!$F:$F,$B86,'2026 T'!AH:AH)/PARAMETER!$T$3,"")</f>
        <v/>
      </c>
      <c r="AJ86" s="25" t="str">
        <f>IF(AJ$4&lt;=PARAMETER!$X$2,SUMIF('2026 T'!$F:$F,$B86,'2026 T'!AI:AI)/PARAMETER!$T$3,"")</f>
        <v/>
      </c>
      <c r="AK86" s="25" t="str">
        <f>IF(AK$4&lt;=PARAMETER!$X$2,SUMIF('2026 T'!$F:$F,$B86,'2026 T'!AJ:AJ)/PARAMETER!$T$3,"")</f>
        <v/>
      </c>
      <c r="AL86" s="25" t="str">
        <f>IF(AL$4&lt;=PARAMETER!$X$2,SUMIF('2026 T'!$F:$F,$B86,'2026 T'!AK:AK)/PARAMETER!$T$3,"")</f>
        <v/>
      </c>
      <c r="AM86" s="25" t="str">
        <f>IF(AM$4&lt;=PARAMETER!$X$2,SUMIF('2026 T'!$F:$F,$B86,'2026 T'!AL:AL)/PARAMETER!$T$3,"")</f>
        <v/>
      </c>
      <c r="AN86" s="25" t="str">
        <f>IF(AN$4&lt;=PARAMETER!$X$2,SUMIF('2026 T'!$F:$F,$B86,'2026 T'!AM:AM)/PARAMETER!$T$3,"")</f>
        <v/>
      </c>
      <c r="AO86" s="25" t="str">
        <f>IF(AO$4&lt;=PARAMETER!$X$2,SUMIF('2026 T'!$F:$F,$B86,'2026 T'!AN:AN)/PARAMETER!$T$3,"")</f>
        <v/>
      </c>
      <c r="AP86" s="25" t="str">
        <f>IF(AP$4&lt;=PARAMETER!$X$2,SUMIF('2026 T'!$F:$F,$B86,'2026 T'!AO:AO)/PARAMETER!$T$3,"")</f>
        <v/>
      </c>
      <c r="AQ86" s="25" t="str">
        <f>IF(AQ$4&lt;=PARAMETER!$X$2,SUMIF('2026 T'!$F:$F,$B86,'2026 T'!AP:AP)/PARAMETER!$T$3,"")</f>
        <v/>
      </c>
      <c r="AR86" s="25" t="str">
        <f>IF(AR$4&lt;=PARAMETER!$X$2,SUMIF('2026 T'!$F:$F,$B86,'2026 T'!AQ:AQ)/PARAMETER!$T$3,"")</f>
        <v/>
      </c>
      <c r="AS86" s="25" t="str">
        <f>IF(AS$4&lt;=PARAMETER!$X$2,SUMIF('2026 T'!$F:$F,$B86,'2026 T'!AR:AR)/PARAMETER!$T$3,"")</f>
        <v/>
      </c>
      <c r="AT86" s="25" t="str">
        <f>IF(AT$4&lt;=PARAMETER!$X$2,SUMIF('2026 T'!$F:$F,$B86,'2026 T'!AS:AS)/PARAMETER!$T$3,"")</f>
        <v/>
      </c>
      <c r="AU86" s="25" t="str">
        <f>IF(AU$4&lt;=PARAMETER!$X$2,SUMIF('2026 T'!$F:$F,$B86,'2026 T'!AT:AT)/PARAMETER!$T$3,"")</f>
        <v/>
      </c>
      <c r="AV86" s="25" t="str">
        <f>IF(AV$4&lt;=PARAMETER!$X$2,SUMIF('2026 T'!$F:$F,$B86,'2026 T'!AU:AU)/PARAMETER!$T$3,"")</f>
        <v/>
      </c>
      <c r="AW86" s="25" t="str">
        <f>IF(AW$4&lt;=PARAMETER!$X$2,SUMIF('2026 T'!$F:$F,$B86,'2026 T'!AV:AV)/PARAMETER!$T$3,"")</f>
        <v/>
      </c>
      <c r="AX86" s="25" t="str">
        <f>IF(AX$4&lt;=PARAMETER!$X$2,SUMIF('2026 T'!$F:$F,$B86,'2026 T'!AW:AW)/PARAMETER!$T$3,"")</f>
        <v/>
      </c>
      <c r="AY86" s="25" t="str">
        <f>IF(AY$4&lt;=PARAMETER!$X$2,SUMIF('2026 T'!$F:$F,$B86,'2026 T'!AX:AX)/PARAMETER!$T$3,"")</f>
        <v/>
      </c>
      <c r="AZ86" s="25" t="str">
        <f>IF(AZ$4&lt;=PARAMETER!$X$2,SUMIF('2026 T'!$F:$F,$B86,'2026 T'!AY:AY)/PARAMETER!$T$3,"")</f>
        <v/>
      </c>
      <c r="BA86" s="25" t="str">
        <f>IF(BA$4&lt;=PARAMETER!$X$2,SUMIF('2026 T'!$F:$F,$B86,'2026 T'!AZ:AZ)/PARAMETER!$T$3,"")</f>
        <v/>
      </c>
      <c r="BB86" s="25" t="str">
        <f>IF(BB$4&lt;=PARAMETER!$X$2,SUMIF('2026 T'!$F:$F,$B86,'2026 T'!BA:BA)/PARAMETER!$T$3,"")</f>
        <v/>
      </c>
      <c r="BC86" s="25" t="str">
        <f>IF(BC$4&lt;=PARAMETER!$X$2,SUMIF('2026 T'!$F:$F,$B86,'2026 T'!BB:BB)/PARAMETER!$T$3,"")</f>
        <v/>
      </c>
      <c r="BD86" s="25" t="str">
        <f>IF(BD$4&lt;=PARAMETER!$X$2,SUMIF('2026 T'!$F:$F,$B86,'2026 T'!BC:BC)/PARAMETER!$T$3,"")</f>
        <v/>
      </c>
      <c r="BE86" s="25" t="str">
        <f>IF(BE$4&lt;=PARAMETER!$X$2,SUMIF('2026 T'!$F:$F,$B86,'2026 T'!BD:BD)/PARAMETER!$T$3,"")</f>
        <v/>
      </c>
      <c r="BF86" s="25" t="str">
        <f>IF(BF$4&lt;=PARAMETER!$X$2,SUMIF('2026 T'!$F:$F,$B86,'2026 T'!BE:BE)/PARAMETER!$T$3,"")</f>
        <v/>
      </c>
      <c r="BG86" s="25" t="str">
        <f>IF(BG$4&lt;=PARAMETER!$X$2,SUMIF('2026 T'!$F:$F,$B86,'2026 T'!BF:BF)/PARAMETER!$T$3,"")</f>
        <v/>
      </c>
      <c r="BH86" s="25" t="str">
        <f>IF(BH$4&lt;=PARAMETER!$X$2,SUMIF('2026 T'!$F:$F,$B86,'2026 T'!BG:BG)/PARAMETER!$T$3,"")</f>
        <v/>
      </c>
      <c r="BI86" s="25" t="str">
        <f>IF(BI$4&lt;=PARAMETER!$X$2,SUMIF('2026 T'!$F:$F,$B86,'2026 T'!BH:BH)/PARAMETER!$T$3,"")</f>
        <v/>
      </c>
      <c r="BJ86" s="25" t="str">
        <f>IF(BJ$4&lt;=PARAMETER!$X$2,SUMIF('2026 T'!$F:$F,$B86,'2026 T'!BI:BI)/PARAMETER!$T$3,"")</f>
        <v/>
      </c>
    </row>
    <row r="87" spans="1:62" x14ac:dyDescent="0.25">
      <c r="A87">
        <f t="shared" ref="A87:A88" si="116">A86</f>
        <v>19</v>
      </c>
      <c r="B87" s="78" t="str">
        <f>CONCATENATE(C87,PARAMETER!T$2)</f>
        <v>VOL</v>
      </c>
      <c r="C87" s="26" t="str">
        <f t="shared" ref="C87:C89" si="117">C86</f>
        <v/>
      </c>
      <c r="D87" s="27" t="s">
        <v>128</v>
      </c>
      <c r="E87" s="35" t="str">
        <f t="shared" ref="E87:E88" si="118">IFERROR(I87/I88-1,"")</f>
        <v/>
      </c>
      <c r="F87" s="28">
        <f t="shared" si="114"/>
        <v>3</v>
      </c>
      <c r="G87" s="39">
        <f t="shared" si="115"/>
        <v>2026</v>
      </c>
      <c r="H87" s="40">
        <f>IF(H$4&lt;=PARAMETER!$X$2,SUMIF('2026'!$F:$F,$B87,'2026'!G:G)/PARAMETER!$T$3,"")</f>
        <v>0</v>
      </c>
      <c r="I87" s="40">
        <f>IF(I$4&lt;=PARAMETER!$X$2,SUMIF('2026'!$F:$F,$B87,'2026'!H:H)/PARAMETER!$T$3,"")</f>
        <v>0</v>
      </c>
      <c r="J87" s="40">
        <f>IF(J$4&lt;=PARAMETER!$X$2,SUMIF('2026'!$F:$F,$B87,'2026'!I:I)/PARAMETER!$T$3,"")</f>
        <v>0</v>
      </c>
      <c r="K87" s="40">
        <f>IF(K$4&lt;=PARAMETER!$X$2,SUMIF('2026'!$F:$F,$B87,'2026'!J:J)/PARAMETER!$T$3,"")</f>
        <v>0</v>
      </c>
      <c r="L87" s="40">
        <f>IF(L$4&lt;=PARAMETER!$X$2,SUMIF('2026'!$F:$F,$B87,'2026'!K:K)/PARAMETER!$T$3,"")</f>
        <v>0</v>
      </c>
      <c r="M87" s="40">
        <f>IF(M$4&lt;=PARAMETER!$X$2,SUMIF('2026'!$F:$F,$B87,'2026'!L:L)/PARAMETER!$T$3,"")</f>
        <v>0</v>
      </c>
      <c r="N87" s="40">
        <f>IF(N$4&lt;=PARAMETER!$X$2,SUMIF('2026'!$F:$F,$B87,'2026'!M:M)/PARAMETER!$T$3,"")</f>
        <v>0</v>
      </c>
      <c r="O87" s="40">
        <f>IF(O$4&lt;=PARAMETER!$X$2,SUMIF('2026'!$F:$F,$B87,'2026'!N:N)/PARAMETER!$T$3,"")</f>
        <v>0</v>
      </c>
      <c r="P87" s="40">
        <f>IF(P$4&lt;=PARAMETER!$X$2,SUMIF('2026'!$F:$F,$B87,'2026'!O:O)/PARAMETER!$T$3,"")</f>
        <v>0</v>
      </c>
      <c r="Q87" s="40">
        <f>IF(Q$4&lt;=PARAMETER!$X$2,SUMIF('2026'!$F:$F,$B87,'2026'!P:P)/PARAMETER!$T$3,"")</f>
        <v>0</v>
      </c>
      <c r="R87" s="40">
        <f>IF(R$4&lt;=PARAMETER!$X$2,SUMIF('2026'!$F:$F,$B87,'2026'!Q:Q)/PARAMETER!$T$3,"")</f>
        <v>0</v>
      </c>
      <c r="S87" s="40">
        <f>IF(S$4&lt;=PARAMETER!$X$2,SUMIF('2026'!$F:$F,$B87,'2026'!R:R)/PARAMETER!$T$3,"")</f>
        <v>0</v>
      </c>
      <c r="T87" s="40">
        <f>IF(T$4&lt;=PARAMETER!$X$2,SUMIF('2026'!$F:$F,$B87,'2026'!S:S)/PARAMETER!$T$3,"")</f>
        <v>0</v>
      </c>
      <c r="U87" s="40" t="str">
        <f>IF(U$4&lt;=PARAMETER!$X$2,SUMIF('2026'!$F:$F,$B87,'2026'!T:T)/PARAMETER!$T$3,"")</f>
        <v/>
      </c>
      <c r="V87" s="40" t="str">
        <f>IF(V$4&lt;=PARAMETER!$X$2,SUMIF('2026'!$F:$F,$B87,'2026'!U:U)/PARAMETER!$T$3,"")</f>
        <v/>
      </c>
      <c r="W87" s="40" t="str">
        <f>IF(W$4&lt;=PARAMETER!$X$2,SUMIF('2026'!$F:$F,$B87,'2026'!V:V)/PARAMETER!$T$3,"")</f>
        <v/>
      </c>
      <c r="X87" s="40" t="str">
        <f>IF(X$4&lt;=PARAMETER!$X$2,SUMIF('2026'!$F:$F,$B87,'2026'!W:W)/PARAMETER!$T$3,"")</f>
        <v/>
      </c>
      <c r="Y87" s="40" t="str">
        <f>IF(Y$4&lt;=PARAMETER!$X$2,SUMIF('2026'!$F:$F,$B87,'2026'!X:X)/PARAMETER!$T$3,"")</f>
        <v/>
      </c>
      <c r="Z87" s="40" t="str">
        <f>IF(Z$4&lt;=PARAMETER!$X$2,SUMIF('2026'!$F:$F,$B87,'2026'!Y:Y)/PARAMETER!$T$3,"")</f>
        <v/>
      </c>
      <c r="AA87" s="40" t="str">
        <f>IF(AA$4&lt;=PARAMETER!$X$2,SUMIF('2026'!$F:$F,$B87,'2026'!Z:Z)/PARAMETER!$T$3,"")</f>
        <v/>
      </c>
      <c r="AB87" s="40" t="str">
        <f>IF(AB$4&lt;=PARAMETER!$X$2,SUMIF('2026'!$F:$F,$B87,'2026'!AA:AA)/PARAMETER!$T$3,"")</f>
        <v/>
      </c>
      <c r="AC87" s="40" t="str">
        <f>IF(AC$4&lt;=PARAMETER!$X$2,SUMIF('2026'!$F:$F,$B87,'2026'!AB:AB)/PARAMETER!$T$3,"")</f>
        <v/>
      </c>
      <c r="AD87" s="40" t="str">
        <f>IF(AD$4&lt;=PARAMETER!$X$2,SUMIF('2026'!$F:$F,$B87,'2026'!AC:AC)/PARAMETER!$T$3,"")</f>
        <v/>
      </c>
      <c r="AE87" s="40" t="str">
        <f>IF(AE$4&lt;=PARAMETER!$X$2,SUMIF('2026'!$F:$F,$B87,'2026'!AD:AD)/PARAMETER!$T$3,"")</f>
        <v/>
      </c>
      <c r="AF87" s="40" t="str">
        <f>IF(AF$4&lt;=PARAMETER!$X$2,SUMIF('2026'!$F:$F,$B87,'2026'!AE:AE)/PARAMETER!$T$3,"")</f>
        <v/>
      </c>
      <c r="AG87" s="40" t="str">
        <f>IF(AG$4&lt;=PARAMETER!$X$2,SUMIF('2026'!$F:$F,$B87,'2026'!AF:AF)/PARAMETER!$T$3,"")</f>
        <v/>
      </c>
      <c r="AH87" s="40" t="str">
        <f>IF(AH$4&lt;=PARAMETER!$X$2,SUMIF('2026'!$F:$F,$B87,'2026'!AG:AG)/PARAMETER!$T$3,"")</f>
        <v/>
      </c>
      <c r="AI87" s="40" t="str">
        <f>IF(AI$4&lt;=PARAMETER!$X$2,SUMIF('2026'!$F:$F,$B87,'2026'!AH:AH)/PARAMETER!$T$3,"")</f>
        <v/>
      </c>
      <c r="AJ87" s="40" t="str">
        <f>IF(AJ$4&lt;=PARAMETER!$X$2,SUMIF('2026'!$F:$F,$B87,'2026'!AI:AI)/PARAMETER!$T$3,"")</f>
        <v/>
      </c>
      <c r="AK87" s="40" t="str">
        <f>IF(AK$4&lt;=PARAMETER!$X$2,SUMIF('2026'!$F:$F,$B87,'2026'!AJ:AJ)/PARAMETER!$T$3,"")</f>
        <v/>
      </c>
      <c r="AL87" s="40" t="str">
        <f>IF(AL$4&lt;=PARAMETER!$X$2,SUMIF('2026'!$F:$F,$B87,'2026'!AK:AK)/PARAMETER!$T$3,"")</f>
        <v/>
      </c>
      <c r="AM87" s="40" t="str">
        <f>IF(AM$4&lt;=PARAMETER!$X$2,SUMIF('2026'!$F:$F,$B87,'2026'!AL:AL)/PARAMETER!$T$3,"")</f>
        <v/>
      </c>
      <c r="AN87" s="40" t="str">
        <f>IF(AN$4&lt;=PARAMETER!$X$2,SUMIF('2026'!$F:$F,$B87,'2026'!AM:AM)/PARAMETER!$T$3,"")</f>
        <v/>
      </c>
      <c r="AO87" s="40" t="str">
        <f>IF(AO$4&lt;=PARAMETER!$X$2,SUMIF('2026'!$F:$F,$B87,'2026'!AN:AN)/PARAMETER!$T$3,"")</f>
        <v/>
      </c>
      <c r="AP87" s="40" t="str">
        <f>IF(AP$4&lt;=PARAMETER!$X$2,SUMIF('2026'!$F:$F,$B87,'2026'!AO:AO)/PARAMETER!$T$3,"")</f>
        <v/>
      </c>
      <c r="AQ87" s="40" t="str">
        <f>IF(AQ$4&lt;=PARAMETER!$X$2,SUMIF('2026'!$F:$F,$B87,'2026'!AP:AP)/PARAMETER!$T$3,"")</f>
        <v/>
      </c>
      <c r="AR87" s="40" t="str">
        <f>IF(AR$4&lt;=PARAMETER!$X$2,SUMIF('2026'!$F:$F,$B87,'2026'!AQ:AQ)/PARAMETER!$T$3,"")</f>
        <v/>
      </c>
      <c r="AS87" s="40" t="str">
        <f>IF(AS$4&lt;=PARAMETER!$X$2,SUMIF('2026'!$F:$F,$B87,'2026'!AR:AR)/PARAMETER!$T$3,"")</f>
        <v/>
      </c>
      <c r="AT87" s="40" t="str">
        <f>IF(AT$4&lt;=PARAMETER!$X$2,SUMIF('2026'!$F:$F,$B87,'2026'!AS:AS)/PARAMETER!$T$3,"")</f>
        <v/>
      </c>
      <c r="AU87" s="40" t="str">
        <f>IF(AU$4&lt;=PARAMETER!$X$2,SUMIF('2026'!$F:$F,$B87,'2026'!AT:AT)/PARAMETER!$T$3,"")</f>
        <v/>
      </c>
      <c r="AV87" s="40" t="str">
        <f>IF(AV$4&lt;=PARAMETER!$X$2,SUMIF('2026'!$F:$F,$B87,'2026'!AU:AU)/PARAMETER!$T$3,"")</f>
        <v/>
      </c>
      <c r="AW87" s="40" t="str">
        <f>IF(AW$4&lt;=PARAMETER!$X$2,SUMIF('2026'!$F:$F,$B87,'2026'!AV:AV)/PARAMETER!$T$3,"")</f>
        <v/>
      </c>
      <c r="AX87" s="40" t="str">
        <f>IF(AX$4&lt;=PARAMETER!$X$2,SUMIF('2026'!$F:$F,$B87,'2026'!AW:AW)/PARAMETER!$T$3,"")</f>
        <v/>
      </c>
      <c r="AY87" s="40" t="str">
        <f>IF(AY$4&lt;=PARAMETER!$X$2,SUMIF('2026'!$F:$F,$B87,'2026'!AX:AX)/PARAMETER!$T$3,"")</f>
        <v/>
      </c>
      <c r="AZ87" s="40" t="str">
        <f>IF(AZ$4&lt;=PARAMETER!$X$2,SUMIF('2026'!$F:$F,$B87,'2026'!AY:AY)/PARAMETER!$T$3,"")</f>
        <v/>
      </c>
      <c r="BA87" s="40" t="str">
        <f>IF(BA$4&lt;=PARAMETER!$X$2,SUMIF('2026'!$F:$F,$B87,'2026'!AZ:AZ)/PARAMETER!$T$3,"")</f>
        <v/>
      </c>
      <c r="BB87" s="40" t="str">
        <f>IF(BB$4&lt;=PARAMETER!$X$2,SUMIF('2026'!$F:$F,$B87,'2026'!BA:BA)/PARAMETER!$T$3,"")</f>
        <v/>
      </c>
      <c r="BC87" s="40" t="str">
        <f>IF(BC$4&lt;=PARAMETER!$X$2,SUMIF('2026'!$F:$F,$B87,'2026'!BB:BB)/PARAMETER!$T$3,"")</f>
        <v/>
      </c>
      <c r="BD87" s="40" t="str">
        <f>IF(BD$4&lt;=PARAMETER!$X$2,SUMIF('2026'!$F:$F,$B87,'2026'!BC:BC)/PARAMETER!$T$3,"")</f>
        <v/>
      </c>
      <c r="BE87" s="40" t="str">
        <f>IF(BE$4&lt;=PARAMETER!$X$2,SUMIF('2026'!$F:$F,$B87,'2026'!BD:BD)/PARAMETER!$T$3,"")</f>
        <v/>
      </c>
      <c r="BF87" s="40" t="str">
        <f>IF(BF$4&lt;=PARAMETER!$X$2,SUMIF('2026'!$F:$F,$B87,'2026'!BE:BE)/PARAMETER!$T$3,"")</f>
        <v/>
      </c>
      <c r="BG87" s="40" t="str">
        <f>IF(BG$4&lt;=PARAMETER!$X$2,SUMIF('2026'!$F:$F,$B87,'2026'!BF:BF)/PARAMETER!$T$3,"")</f>
        <v/>
      </c>
      <c r="BH87" s="40" t="str">
        <f>IF(BH$4&lt;=PARAMETER!$X$2,SUMIF('2026'!$F:$F,$B87,'2026'!BG:BG)/PARAMETER!$T$3,"")</f>
        <v/>
      </c>
      <c r="BI87" s="40" t="str">
        <f>IF(BI$4&lt;=PARAMETER!$X$2,SUMIF('2026'!$F:$F,$B87,'2026'!BH:BH)/PARAMETER!$T$3,"")</f>
        <v/>
      </c>
      <c r="BJ87" s="40" t="str">
        <f>IF(BJ$4&lt;=PARAMETER!$X$2,SUMIF('2026'!$F:$F,$B87,'2026'!BI:BI)/PARAMETER!$T$3,"")</f>
        <v/>
      </c>
    </row>
    <row r="88" spans="1:62" x14ac:dyDescent="0.25">
      <c r="A88">
        <f t="shared" si="116"/>
        <v>19</v>
      </c>
      <c r="B88" s="78" t="str">
        <f>CONCATENATE(C88,PARAMETER!T$2)</f>
        <v>VOL</v>
      </c>
      <c r="C88" s="26" t="str">
        <f t="shared" si="117"/>
        <v/>
      </c>
      <c r="D88" s="27" t="s">
        <v>128</v>
      </c>
      <c r="E88" s="35" t="str">
        <f t="shared" si="118"/>
        <v/>
      </c>
      <c r="F88" s="28">
        <f t="shared" si="114"/>
        <v>3</v>
      </c>
      <c r="G88" s="39">
        <f t="shared" si="115"/>
        <v>2025</v>
      </c>
      <c r="H88" s="40">
        <f>IF(H$4&lt;=PARAMETER!$X$2,SUMIF('2025'!$F:$F,$B88,'2025'!G:G)/PARAMETER!$T$3,"")</f>
        <v>0</v>
      </c>
      <c r="I88" s="40">
        <f>IF(I$4&lt;=PARAMETER!$X$2,SUMIF('2025'!$F:$F,$B88,'2025'!H:H)/PARAMETER!$T$3,"")</f>
        <v>0</v>
      </c>
      <c r="J88" s="40">
        <f>IF(J$4&lt;=PARAMETER!$X$2,SUMIF('2025'!$F:$F,$B88,'2025'!I:I)/PARAMETER!$T$3,"")</f>
        <v>0</v>
      </c>
      <c r="K88" s="40">
        <f>IF(K$4&lt;=PARAMETER!$X$2,SUMIF('2025'!$F:$F,$B88,'2025'!J:J)/PARAMETER!$T$3,"")</f>
        <v>0</v>
      </c>
      <c r="L88" s="40">
        <f>IF(L$4&lt;=PARAMETER!$X$2,SUMIF('2025'!$F:$F,$B88,'2025'!K:K)/PARAMETER!$T$3,"")</f>
        <v>0</v>
      </c>
      <c r="M88" s="40">
        <f>IF(M$4&lt;=PARAMETER!$X$2,SUMIF('2025'!$F:$F,$B88,'2025'!L:L)/PARAMETER!$T$3,"")</f>
        <v>0</v>
      </c>
      <c r="N88" s="40">
        <f>IF(N$4&lt;=PARAMETER!$X$2,SUMIF('2025'!$F:$F,$B88,'2025'!M:M)/PARAMETER!$T$3,"")</f>
        <v>0</v>
      </c>
      <c r="O88" s="40">
        <f>IF(O$4&lt;=PARAMETER!$X$2,SUMIF('2025'!$F:$F,$B88,'2025'!N:N)/PARAMETER!$T$3,"")</f>
        <v>0</v>
      </c>
      <c r="P88" s="40">
        <f>IF(P$4&lt;=PARAMETER!$X$2,SUMIF('2025'!$F:$F,$B88,'2025'!O:O)/PARAMETER!$T$3,"")</f>
        <v>0</v>
      </c>
      <c r="Q88" s="40">
        <f>IF(Q$4&lt;=PARAMETER!$X$2,SUMIF('2025'!$F:$F,$B88,'2025'!P:P)/PARAMETER!$T$3,"")</f>
        <v>0</v>
      </c>
      <c r="R88" s="40">
        <f>IF(R$4&lt;=PARAMETER!$X$2,SUMIF('2025'!$F:$F,$B88,'2025'!Q:Q)/PARAMETER!$T$3,"")</f>
        <v>0</v>
      </c>
      <c r="S88" s="40">
        <f>IF(S$4&lt;=PARAMETER!$X$2,SUMIF('2025'!$F:$F,$B88,'2025'!R:R)/PARAMETER!$T$3,"")</f>
        <v>0</v>
      </c>
      <c r="T88" s="40">
        <f>IF(T$4&lt;=PARAMETER!$X$2,SUMIF('2025'!$F:$F,$B88,'2025'!S:S)/PARAMETER!$T$3,"")</f>
        <v>0</v>
      </c>
      <c r="U88" s="40" t="str">
        <f>IF(U$4&lt;=PARAMETER!$X$2,SUMIF('2025'!$F:$F,$B88,'2025'!T:T)/PARAMETER!$T$3,"")</f>
        <v/>
      </c>
      <c r="V88" s="40" t="str">
        <f>IF(V$4&lt;=PARAMETER!$X$2,SUMIF('2025'!$F:$F,$B88,'2025'!U:U)/PARAMETER!$T$3,"")</f>
        <v/>
      </c>
      <c r="W88" s="40" t="str">
        <f>IF(W$4&lt;=PARAMETER!$X$2,SUMIF('2025'!$F:$F,$B88,'2025'!V:V)/PARAMETER!$T$3,"")</f>
        <v/>
      </c>
      <c r="X88" s="40" t="str">
        <f>IF(X$4&lt;=PARAMETER!$X$2,SUMIF('2025'!$F:$F,$B88,'2025'!W:W)/PARAMETER!$T$3,"")</f>
        <v/>
      </c>
      <c r="Y88" s="40" t="str">
        <f>IF(Y$4&lt;=PARAMETER!$X$2,SUMIF('2025'!$F:$F,$B88,'2025'!X:X)/PARAMETER!$T$3,"")</f>
        <v/>
      </c>
      <c r="Z88" s="40" t="str">
        <f>IF(Z$4&lt;=PARAMETER!$X$2,SUMIF('2025'!$F:$F,$B88,'2025'!Y:Y)/PARAMETER!$T$3,"")</f>
        <v/>
      </c>
      <c r="AA88" s="40" t="str">
        <f>IF(AA$4&lt;=PARAMETER!$X$2,SUMIF('2025'!$F:$F,$B88,'2025'!Z:Z)/PARAMETER!$T$3,"")</f>
        <v/>
      </c>
      <c r="AB88" s="40" t="str">
        <f>IF(AB$4&lt;=PARAMETER!$X$2,SUMIF('2025'!$F:$F,$B88,'2025'!AA:AA)/PARAMETER!$T$3,"")</f>
        <v/>
      </c>
      <c r="AC88" s="40" t="str">
        <f>IF(AC$4&lt;=PARAMETER!$X$2,SUMIF('2025'!$F:$F,$B88,'2025'!AB:AB)/PARAMETER!$T$3,"")</f>
        <v/>
      </c>
      <c r="AD88" s="40" t="str">
        <f>IF(AD$4&lt;=PARAMETER!$X$2,SUMIF('2025'!$F:$F,$B88,'2025'!AC:AC)/PARAMETER!$T$3,"")</f>
        <v/>
      </c>
      <c r="AE88" s="40" t="str">
        <f>IF(AE$4&lt;=PARAMETER!$X$2,SUMIF('2025'!$F:$F,$B88,'2025'!AD:AD)/PARAMETER!$T$3,"")</f>
        <v/>
      </c>
      <c r="AF88" s="40" t="str">
        <f>IF(AF$4&lt;=PARAMETER!$X$2,SUMIF('2025'!$F:$F,$B88,'2025'!AE:AE)/PARAMETER!$T$3,"")</f>
        <v/>
      </c>
      <c r="AG88" s="40" t="str">
        <f>IF(AG$4&lt;=PARAMETER!$X$2,SUMIF('2025'!$F:$F,$B88,'2025'!AF:AF)/PARAMETER!$T$3,"")</f>
        <v/>
      </c>
      <c r="AH88" s="40" t="str">
        <f>IF(AH$4&lt;=PARAMETER!$X$2,SUMIF('2025'!$F:$F,$B88,'2025'!AG:AG)/PARAMETER!$T$3,"")</f>
        <v/>
      </c>
      <c r="AI88" s="40" t="str">
        <f>IF(AI$4&lt;=PARAMETER!$X$2,SUMIF('2025'!$F:$F,$B88,'2025'!AH:AH)/PARAMETER!$T$3,"")</f>
        <v/>
      </c>
      <c r="AJ88" s="40" t="str">
        <f>IF(AJ$4&lt;=PARAMETER!$X$2,SUMIF('2025'!$F:$F,$B88,'2025'!AI:AI)/PARAMETER!$T$3,"")</f>
        <v/>
      </c>
      <c r="AK88" s="40" t="str">
        <f>IF(AK$4&lt;=PARAMETER!$X$2,SUMIF('2025'!$F:$F,$B88,'2025'!AJ:AJ)/PARAMETER!$T$3,"")</f>
        <v/>
      </c>
      <c r="AL88" s="40" t="str">
        <f>IF(AL$4&lt;=PARAMETER!$X$2,SUMIF('2025'!$F:$F,$B88,'2025'!AK:AK)/PARAMETER!$T$3,"")</f>
        <v/>
      </c>
      <c r="AM88" s="40" t="str">
        <f>IF(AM$4&lt;=PARAMETER!$X$2,SUMIF('2025'!$F:$F,$B88,'2025'!AL:AL)/PARAMETER!$T$3,"")</f>
        <v/>
      </c>
      <c r="AN88" s="40" t="str">
        <f>IF(AN$4&lt;=PARAMETER!$X$2,SUMIF('2025'!$F:$F,$B88,'2025'!AM:AM)/PARAMETER!$T$3,"")</f>
        <v/>
      </c>
      <c r="AO88" s="40" t="str">
        <f>IF(AO$4&lt;=PARAMETER!$X$2,SUMIF('2025'!$F:$F,$B88,'2025'!AN:AN)/PARAMETER!$T$3,"")</f>
        <v/>
      </c>
      <c r="AP88" s="40" t="str">
        <f>IF(AP$4&lt;=PARAMETER!$X$2,SUMIF('2025'!$F:$F,$B88,'2025'!AO:AO)/PARAMETER!$T$3,"")</f>
        <v/>
      </c>
      <c r="AQ88" s="40" t="str">
        <f>IF(AQ$4&lt;=PARAMETER!$X$2,SUMIF('2025'!$F:$F,$B88,'2025'!AP:AP)/PARAMETER!$T$3,"")</f>
        <v/>
      </c>
      <c r="AR88" s="40" t="str">
        <f>IF(AR$4&lt;=PARAMETER!$X$2,SUMIF('2025'!$F:$F,$B88,'2025'!AQ:AQ)/PARAMETER!$T$3,"")</f>
        <v/>
      </c>
      <c r="AS88" s="40" t="str">
        <f>IF(AS$4&lt;=PARAMETER!$X$2,SUMIF('2025'!$F:$F,$B88,'2025'!AR:AR)/PARAMETER!$T$3,"")</f>
        <v/>
      </c>
      <c r="AT88" s="40" t="str">
        <f>IF(AT$4&lt;=PARAMETER!$X$2,SUMIF('2025'!$F:$F,$B88,'2025'!AS:AS)/PARAMETER!$T$3,"")</f>
        <v/>
      </c>
      <c r="AU88" s="40" t="str">
        <f>IF(AU$4&lt;=PARAMETER!$X$2,SUMIF('2025'!$F:$F,$B88,'2025'!AT:AT)/PARAMETER!$T$3,"")</f>
        <v/>
      </c>
      <c r="AV88" s="40" t="str">
        <f>IF(AV$4&lt;=PARAMETER!$X$2,SUMIF('2025'!$F:$F,$B88,'2025'!AU:AU)/PARAMETER!$T$3,"")</f>
        <v/>
      </c>
      <c r="AW88" s="40" t="str">
        <f>IF(AW$4&lt;=PARAMETER!$X$2,SUMIF('2025'!$F:$F,$B88,'2025'!AV:AV)/PARAMETER!$T$3,"")</f>
        <v/>
      </c>
      <c r="AX88" s="40" t="str">
        <f>IF(AX$4&lt;=PARAMETER!$X$2,SUMIF('2025'!$F:$F,$B88,'2025'!AW:AW)/PARAMETER!$T$3,"")</f>
        <v/>
      </c>
      <c r="AY88" s="40" t="str">
        <f>IF(AY$4&lt;=PARAMETER!$X$2,SUMIF('2025'!$F:$F,$B88,'2025'!AX:AX)/PARAMETER!$T$3,"")</f>
        <v/>
      </c>
      <c r="AZ88" s="40" t="str">
        <f>IF(AZ$4&lt;=PARAMETER!$X$2,SUMIF('2025'!$F:$F,$B88,'2025'!AY:AY)/PARAMETER!$T$3,"")</f>
        <v/>
      </c>
      <c r="BA88" s="40" t="str">
        <f>IF(BA$4&lt;=PARAMETER!$X$2,SUMIF('2025'!$F:$F,$B88,'2025'!AZ:AZ)/PARAMETER!$T$3,"")</f>
        <v/>
      </c>
      <c r="BB88" s="40" t="str">
        <f>IF(BB$4&lt;=PARAMETER!$X$2,SUMIF('2025'!$F:$F,$B88,'2025'!BA:BA)/PARAMETER!$T$3,"")</f>
        <v/>
      </c>
      <c r="BC88" s="40" t="str">
        <f>IF(BC$4&lt;=PARAMETER!$X$2,SUMIF('2025'!$F:$F,$B88,'2025'!BB:BB)/PARAMETER!$T$3,"")</f>
        <v/>
      </c>
      <c r="BD88" s="40" t="str">
        <f>IF(BD$4&lt;=PARAMETER!$X$2,SUMIF('2025'!$F:$F,$B88,'2025'!BC:BC)/PARAMETER!$T$3,"")</f>
        <v/>
      </c>
      <c r="BE88" s="40" t="str">
        <f>IF(BE$4&lt;=PARAMETER!$X$2,SUMIF('2025'!$F:$F,$B88,'2025'!BD:BD)/PARAMETER!$T$3,"")</f>
        <v/>
      </c>
      <c r="BF88" s="40" t="str">
        <f>IF(BF$4&lt;=PARAMETER!$X$2,SUMIF('2025'!$F:$F,$B88,'2025'!BE:BE)/PARAMETER!$T$3,"")</f>
        <v/>
      </c>
      <c r="BG88" s="40" t="str">
        <f>IF(BG$4&lt;=PARAMETER!$X$2,SUMIF('2025'!$F:$F,$B88,'2025'!BF:BF)/PARAMETER!$T$3,"")</f>
        <v/>
      </c>
      <c r="BH88" s="40" t="str">
        <f>IF(BH$4&lt;=PARAMETER!$X$2,SUMIF('2025'!$F:$F,$B88,'2025'!BG:BG)/PARAMETER!$T$3,"")</f>
        <v/>
      </c>
      <c r="BI88" s="40" t="str">
        <f>IF(BI$4&lt;=PARAMETER!$X$2,SUMIF('2025'!$F:$F,$B88,'2025'!BH:BH)/PARAMETER!$T$3,"")</f>
        <v/>
      </c>
      <c r="BJ88" s="40" t="str">
        <f>IF(BJ$4&lt;=PARAMETER!$X$2,SUMIF('2025'!$F:$F,$B88,'2025'!BI:BI)/PARAMETER!$T$3,"")</f>
        <v/>
      </c>
    </row>
    <row r="89" spans="1:62" x14ac:dyDescent="0.25">
      <c r="A89">
        <f t="shared" si="107"/>
        <v>19</v>
      </c>
      <c r="B89" s="78" t="str">
        <f>CONCATENATE(C89,PARAMETER!T$2)</f>
        <v>VOL</v>
      </c>
      <c r="C89" s="26" t="str">
        <f t="shared" si="117"/>
        <v/>
      </c>
      <c r="D89" s="67"/>
      <c r="E89" s="68"/>
      <c r="F89" s="69"/>
      <c r="G89" s="70">
        <f t="shared" si="115"/>
        <v>2024</v>
      </c>
      <c r="H89" s="71">
        <f>IF(H$4&lt;=PARAMETER!$X$2,SUMIF('2024'!$F:$F,$B89,'2024'!G:G)/PARAMETER!$T$3,"")</f>
        <v>0</v>
      </c>
      <c r="I89" s="71">
        <f>IF(I$4&lt;=PARAMETER!$X$2,SUMIF('2024'!$F:$F,$B89,'2024'!H:H)/PARAMETER!$T$3,"")</f>
        <v>0</v>
      </c>
      <c r="J89" s="71">
        <f>IF(J$4&lt;=PARAMETER!$X$2,SUMIF('2024'!$F:$F,$B89,'2024'!I:I)/PARAMETER!$T$3,"")</f>
        <v>0</v>
      </c>
      <c r="K89" s="71">
        <f>IF(K$4&lt;=PARAMETER!$X$2,SUMIF('2024'!$F:$F,$B89,'2024'!J:J)/PARAMETER!$T$3,"")</f>
        <v>0</v>
      </c>
      <c r="L89" s="71">
        <f>IF(L$4&lt;=PARAMETER!$X$2,SUMIF('2024'!$F:$F,$B89,'2024'!K:K)/PARAMETER!$T$3,"")</f>
        <v>0</v>
      </c>
      <c r="M89" s="71">
        <f>IF(M$4&lt;=PARAMETER!$X$2,SUMIF('2024'!$F:$F,$B89,'2024'!L:L)/PARAMETER!$T$3,"")</f>
        <v>0</v>
      </c>
      <c r="N89" s="71">
        <f>IF(N$4&lt;=PARAMETER!$X$2,SUMIF('2024'!$F:$F,$B89,'2024'!M:M)/PARAMETER!$T$3,"")</f>
        <v>0</v>
      </c>
      <c r="O89" s="71">
        <f>IF(O$4&lt;=PARAMETER!$X$2,SUMIF('2024'!$F:$F,$B89,'2024'!N:N)/PARAMETER!$T$3,"")</f>
        <v>0</v>
      </c>
      <c r="P89" s="71">
        <f>IF(P$4&lt;=PARAMETER!$X$2,SUMIF('2024'!$F:$F,$B89,'2024'!O:O)/PARAMETER!$T$3,"")</f>
        <v>0</v>
      </c>
      <c r="Q89" s="71">
        <f>IF(Q$4&lt;=PARAMETER!$X$2,SUMIF('2024'!$F:$F,$B89,'2024'!P:P)/PARAMETER!$T$3,"")</f>
        <v>0</v>
      </c>
      <c r="R89" s="71">
        <f>IF(R$4&lt;=PARAMETER!$X$2,SUMIF('2024'!$F:$F,$B89,'2024'!Q:Q)/PARAMETER!$T$3,"")</f>
        <v>0</v>
      </c>
      <c r="S89" s="71">
        <f>IF(S$4&lt;=PARAMETER!$X$2,SUMIF('2024'!$F:$F,$B89,'2024'!R:R)/PARAMETER!$T$3,"")</f>
        <v>0</v>
      </c>
      <c r="T89" s="71">
        <f>IF(T$4&lt;=PARAMETER!$X$2,SUMIF('2024'!$F:$F,$B89,'2024'!S:S)/PARAMETER!$T$3,"")</f>
        <v>0</v>
      </c>
      <c r="U89" s="71" t="str">
        <f>IF(U$4&lt;=PARAMETER!$X$2,SUMIF('2024'!$F:$F,$B89,'2024'!T:T)/PARAMETER!$T$3,"")</f>
        <v/>
      </c>
      <c r="V89" s="71" t="str">
        <f>IF(V$4&lt;=PARAMETER!$X$2,SUMIF('2024'!$F:$F,$B89,'2024'!U:U)/PARAMETER!$T$3,"")</f>
        <v/>
      </c>
      <c r="W89" s="71" t="str">
        <f>IF(W$4&lt;=PARAMETER!$X$2,SUMIF('2024'!$F:$F,$B89,'2024'!V:V)/PARAMETER!$T$3,"")</f>
        <v/>
      </c>
      <c r="X89" s="71" t="str">
        <f>IF(X$4&lt;=PARAMETER!$X$2,SUMIF('2024'!$F:$F,$B89,'2024'!W:W)/PARAMETER!$T$3,"")</f>
        <v/>
      </c>
      <c r="Y89" s="71" t="str">
        <f>IF(Y$4&lt;=PARAMETER!$X$2,SUMIF('2024'!$F:$F,$B89,'2024'!X:X)/PARAMETER!$T$3,"")</f>
        <v/>
      </c>
      <c r="Z89" s="71" t="str">
        <f>IF(Z$4&lt;=PARAMETER!$X$2,SUMIF('2024'!$F:$F,$B89,'2024'!Y:Y)/PARAMETER!$T$3,"")</f>
        <v/>
      </c>
      <c r="AA89" s="71" t="str">
        <f>IF(AA$4&lt;=PARAMETER!$X$2,SUMIF('2024'!$F:$F,$B89,'2024'!Z:Z)/PARAMETER!$T$3,"")</f>
        <v/>
      </c>
      <c r="AB89" s="71" t="str">
        <f>IF(AB$4&lt;=PARAMETER!$X$2,SUMIF('2024'!$F:$F,$B89,'2024'!AA:AA)/PARAMETER!$T$3,"")</f>
        <v/>
      </c>
      <c r="AC89" s="71" t="str">
        <f>IF(AC$4&lt;=PARAMETER!$X$2,SUMIF('2024'!$F:$F,$B89,'2024'!AB:AB)/PARAMETER!$T$3,"")</f>
        <v/>
      </c>
      <c r="AD89" s="71" t="str">
        <f>IF(AD$4&lt;=PARAMETER!$X$2,SUMIF('2024'!$F:$F,$B89,'2024'!AC:AC)/PARAMETER!$T$3,"")</f>
        <v/>
      </c>
      <c r="AE89" s="71" t="str">
        <f>IF(AE$4&lt;=PARAMETER!$X$2,SUMIF('2024'!$F:$F,$B89,'2024'!AD:AD)/PARAMETER!$T$3,"")</f>
        <v/>
      </c>
      <c r="AF89" s="71" t="str">
        <f>IF(AF$4&lt;=PARAMETER!$X$2,SUMIF('2024'!$F:$F,$B89,'2024'!AE:AE)/PARAMETER!$T$3,"")</f>
        <v/>
      </c>
      <c r="AG89" s="71" t="str">
        <f>IF(AG$4&lt;=PARAMETER!$X$2,SUMIF('2024'!$F:$F,$B89,'2024'!AF:AF)/PARAMETER!$T$3,"")</f>
        <v/>
      </c>
      <c r="AH89" s="71" t="str">
        <f>IF(AH$4&lt;=PARAMETER!$X$2,SUMIF('2024'!$F:$F,$B89,'2024'!AG:AG)/PARAMETER!$T$3,"")</f>
        <v/>
      </c>
      <c r="AI89" s="71" t="str">
        <f>IF(AI$4&lt;=PARAMETER!$X$2,SUMIF('2024'!$F:$F,$B89,'2024'!AH:AH)/PARAMETER!$T$3,"")</f>
        <v/>
      </c>
      <c r="AJ89" s="71" t="str">
        <f>IF(AJ$4&lt;=PARAMETER!$X$2,SUMIF('2024'!$F:$F,$B89,'2024'!AI:AI)/PARAMETER!$T$3,"")</f>
        <v/>
      </c>
      <c r="AK89" s="71" t="str">
        <f>IF(AK$4&lt;=PARAMETER!$X$2,SUMIF('2024'!$F:$F,$B89,'2024'!AJ:AJ)/PARAMETER!$T$3,"")</f>
        <v/>
      </c>
      <c r="AL89" s="71" t="str">
        <f>IF(AL$4&lt;=PARAMETER!$X$2,SUMIF('2024'!$F:$F,$B89,'2024'!AK:AK)/PARAMETER!$T$3,"")</f>
        <v/>
      </c>
      <c r="AM89" s="71" t="str">
        <f>IF(AM$4&lt;=PARAMETER!$X$2,SUMIF('2024'!$F:$F,$B89,'2024'!AL:AL)/PARAMETER!$T$3,"")</f>
        <v/>
      </c>
      <c r="AN89" s="71" t="str">
        <f>IF(AN$4&lt;=PARAMETER!$X$2,SUMIF('2024'!$F:$F,$B89,'2024'!AM:AM)/PARAMETER!$T$3,"")</f>
        <v/>
      </c>
      <c r="AO89" s="71" t="str">
        <f>IF(AO$4&lt;=PARAMETER!$X$2,SUMIF('2024'!$F:$F,$B89,'2024'!AN:AN)/PARAMETER!$T$3,"")</f>
        <v/>
      </c>
      <c r="AP89" s="71" t="str">
        <f>IF(AP$4&lt;=PARAMETER!$X$2,SUMIF('2024'!$F:$F,$B89,'2024'!AO:AO)/PARAMETER!$T$3,"")</f>
        <v/>
      </c>
      <c r="AQ89" s="71" t="str">
        <f>IF(AQ$4&lt;=PARAMETER!$X$2,SUMIF('2024'!$F:$F,$B89,'2024'!AP:AP)/PARAMETER!$T$3,"")</f>
        <v/>
      </c>
      <c r="AR89" s="71" t="str">
        <f>IF(AR$4&lt;=PARAMETER!$X$2,SUMIF('2024'!$F:$F,$B89,'2024'!AQ:AQ)/PARAMETER!$T$3,"")</f>
        <v/>
      </c>
      <c r="AS89" s="71" t="str">
        <f>IF(AS$4&lt;=PARAMETER!$X$2,SUMIF('2024'!$F:$F,$B89,'2024'!AR:AR)/PARAMETER!$T$3,"")</f>
        <v/>
      </c>
      <c r="AT89" s="71" t="str">
        <f>IF(AT$4&lt;=PARAMETER!$X$2,SUMIF('2024'!$F:$F,$B89,'2024'!AS:AS)/PARAMETER!$T$3,"")</f>
        <v/>
      </c>
      <c r="AU89" s="71" t="str">
        <f>IF(AU$4&lt;=PARAMETER!$X$2,SUMIF('2024'!$F:$F,$B89,'2024'!AT:AT)/PARAMETER!$T$3,"")</f>
        <v/>
      </c>
      <c r="AV89" s="71" t="str">
        <f>IF(AV$4&lt;=PARAMETER!$X$2,SUMIF('2024'!$F:$F,$B89,'2024'!AU:AU)/PARAMETER!$T$3,"")</f>
        <v/>
      </c>
      <c r="AW89" s="71" t="str">
        <f>IF(AW$4&lt;=PARAMETER!$X$2,SUMIF('2024'!$F:$F,$B89,'2024'!AV:AV)/PARAMETER!$T$3,"")</f>
        <v/>
      </c>
      <c r="AX89" s="71" t="str">
        <f>IF(AX$4&lt;=PARAMETER!$X$2,SUMIF('2024'!$F:$F,$B89,'2024'!AW:AW)/PARAMETER!$T$3,"")</f>
        <v/>
      </c>
      <c r="AY89" s="71" t="str">
        <f>IF(AY$4&lt;=PARAMETER!$X$2,SUMIF('2024'!$F:$F,$B89,'2024'!AX:AX)/PARAMETER!$T$3,"")</f>
        <v/>
      </c>
      <c r="AZ89" s="71" t="str">
        <f>IF(AZ$4&lt;=PARAMETER!$X$2,SUMIF('2024'!$F:$F,$B89,'2024'!AY:AY)/PARAMETER!$T$3,"")</f>
        <v/>
      </c>
      <c r="BA89" s="71" t="str">
        <f>IF(BA$4&lt;=PARAMETER!$X$2,SUMIF('2024'!$F:$F,$B89,'2024'!AZ:AZ)/PARAMETER!$T$3,"")</f>
        <v/>
      </c>
      <c r="BB89" s="71" t="str">
        <f>IF(BB$4&lt;=PARAMETER!$X$2,SUMIF('2024'!$F:$F,$B89,'2024'!BA:BA)/PARAMETER!$T$3,"")</f>
        <v/>
      </c>
      <c r="BC89" s="71" t="str">
        <f>IF(BC$4&lt;=PARAMETER!$X$2,SUMIF('2024'!$F:$F,$B89,'2024'!BB:BB)/PARAMETER!$T$3,"")</f>
        <v/>
      </c>
      <c r="BD89" s="71" t="str">
        <f>IF(BD$4&lt;=PARAMETER!$X$2,SUMIF('2024'!$F:$F,$B89,'2024'!BC:BC)/PARAMETER!$T$3,"")</f>
        <v/>
      </c>
      <c r="BE89" s="71" t="str">
        <f>IF(BE$4&lt;=PARAMETER!$X$2,SUMIF('2024'!$F:$F,$B89,'2024'!BD:BD)/PARAMETER!$T$3,"")</f>
        <v/>
      </c>
      <c r="BF89" s="71" t="str">
        <f>IF(BF$4&lt;=PARAMETER!$X$2,SUMIF('2024'!$F:$F,$B89,'2024'!BE:BE)/PARAMETER!$T$3,"")</f>
        <v/>
      </c>
      <c r="BG89" s="71" t="str">
        <f>IF(BG$4&lt;=PARAMETER!$X$2,SUMIF('2024'!$F:$F,$B89,'2024'!BF:BF)/PARAMETER!$T$3,"")</f>
        <v/>
      </c>
      <c r="BH89" s="71" t="str">
        <f>IF(BH$4&lt;=PARAMETER!$X$2,SUMIF('2024'!$F:$F,$B89,'2024'!BG:BG)/PARAMETER!$T$3,"")</f>
        <v/>
      </c>
      <c r="BI89" s="71" t="str">
        <f>IF(BI$4&lt;=PARAMETER!$X$2,SUMIF('2024'!$F:$F,$B89,'2024'!BH:BH)/PARAMETER!$T$3,"")</f>
        <v/>
      </c>
      <c r="BJ89" s="71" t="str">
        <f>IF(BJ$4&lt;=PARAMETER!$X$2,SUMIF('2024'!$F:$F,$B89,'2024'!BI:BI)/PARAMETER!$T$3,"")</f>
        <v/>
      </c>
    </row>
    <row r="90" spans="1:62" x14ac:dyDescent="0.25">
      <c r="A90">
        <v>20</v>
      </c>
      <c r="B90" s="78" t="str">
        <f>CONCATENATE(C90,PARAMETER!T$2)</f>
        <v>VOL</v>
      </c>
      <c r="C90" s="21" t="str">
        <f>IFERROR(VLOOKUP(A90,PARAMETER!K$2:M98,3,0),"")</f>
        <v/>
      </c>
      <c r="D90" s="22" t="s">
        <v>127</v>
      </c>
      <c r="E90" s="37" t="str">
        <f t="shared" ref="E90" si="119">IFERROR(I91/I90,"")</f>
        <v/>
      </c>
      <c r="F90" s="23">
        <f t="shared" ref="F90:F92" si="120">IFERROR(IF(E90&gt;300%,300%,E90),"")</f>
        <v>3</v>
      </c>
      <c r="G90" s="24" t="str">
        <f t="shared" si="115"/>
        <v>Target</v>
      </c>
      <c r="H90" s="25">
        <f>IF(H$4&lt;=PARAMETER!$X$2,SUMIF('2026 T'!$F:$F,$B90,'2026 T'!G:G)/PARAMETER!$T$3,"")</f>
        <v>0</v>
      </c>
      <c r="I90" s="25">
        <f>IF(I$4&lt;=PARAMETER!$X$2,SUMIF('2026 T'!$F:$F,$B90,'2026 T'!H:H)/PARAMETER!$T$3,"")</f>
        <v>0</v>
      </c>
      <c r="J90" s="25">
        <f>IF(J$4&lt;=PARAMETER!$X$2,SUMIF('2026 T'!$F:$F,$B90,'2026 T'!I:I)/PARAMETER!$T$3,"")</f>
        <v>0</v>
      </c>
      <c r="K90" s="25">
        <f>IF(K$4&lt;=PARAMETER!$X$2,SUMIF('2026 T'!$F:$F,$B90,'2026 T'!J:J)/PARAMETER!$T$3,"")</f>
        <v>0</v>
      </c>
      <c r="L90" s="25">
        <f>IF(L$4&lt;=PARAMETER!$X$2,SUMIF('2026 T'!$F:$F,$B90,'2026 T'!K:K)/PARAMETER!$T$3,"")</f>
        <v>0</v>
      </c>
      <c r="M90" s="25">
        <f>IF(M$4&lt;=PARAMETER!$X$2,SUMIF('2026 T'!$F:$F,$B90,'2026 T'!L:L)/PARAMETER!$T$3,"")</f>
        <v>0</v>
      </c>
      <c r="N90" s="25">
        <f>IF(N$4&lt;=PARAMETER!$X$2,SUMIF('2026 T'!$F:$F,$B90,'2026 T'!M:M)/PARAMETER!$T$3,"")</f>
        <v>0</v>
      </c>
      <c r="O90" s="25">
        <f>IF(O$4&lt;=PARAMETER!$X$2,SUMIF('2026 T'!$F:$F,$B90,'2026 T'!N:N)/PARAMETER!$T$3,"")</f>
        <v>0</v>
      </c>
      <c r="P90" s="25">
        <f>IF(P$4&lt;=PARAMETER!$X$2,SUMIF('2026 T'!$F:$F,$B90,'2026 T'!O:O)/PARAMETER!$T$3,"")</f>
        <v>0</v>
      </c>
      <c r="Q90" s="25">
        <f>IF(Q$4&lt;=PARAMETER!$X$2,SUMIF('2026 T'!$F:$F,$B90,'2026 T'!P:P)/PARAMETER!$T$3,"")</f>
        <v>0</v>
      </c>
      <c r="R90" s="25">
        <f>IF(R$4&lt;=PARAMETER!$X$2,SUMIF('2026 T'!$F:$F,$B90,'2026 T'!Q:Q)/PARAMETER!$T$3,"")</f>
        <v>0</v>
      </c>
      <c r="S90" s="25">
        <f>IF(S$4&lt;=PARAMETER!$X$2,SUMIF('2026 T'!$F:$F,$B90,'2026 T'!R:R)/PARAMETER!$T$3,"")</f>
        <v>0</v>
      </c>
      <c r="T90" s="25">
        <f>IF(T$4&lt;=PARAMETER!$X$2,SUMIF('2026 T'!$F:$F,$B90,'2026 T'!S:S)/PARAMETER!$T$3,"")</f>
        <v>0</v>
      </c>
      <c r="U90" s="25" t="str">
        <f>IF(U$4&lt;=PARAMETER!$X$2,SUMIF('2026 T'!$F:$F,$B90,'2026 T'!T:T)/PARAMETER!$T$3,"")</f>
        <v/>
      </c>
      <c r="V90" s="25" t="str">
        <f>IF(V$4&lt;=PARAMETER!$X$2,SUMIF('2026 T'!$F:$F,$B90,'2026 T'!U:U)/PARAMETER!$T$3,"")</f>
        <v/>
      </c>
      <c r="W90" s="25" t="str">
        <f>IF(W$4&lt;=PARAMETER!$X$2,SUMIF('2026 T'!$F:$F,$B90,'2026 T'!V:V)/PARAMETER!$T$3,"")</f>
        <v/>
      </c>
      <c r="X90" s="25" t="str">
        <f>IF(X$4&lt;=PARAMETER!$X$2,SUMIF('2026 T'!$F:$F,$B90,'2026 T'!W:W)/PARAMETER!$T$3,"")</f>
        <v/>
      </c>
      <c r="Y90" s="25" t="str">
        <f>IF(Y$4&lt;=PARAMETER!$X$2,SUMIF('2026 T'!$F:$F,$B90,'2026 T'!X:X)/PARAMETER!$T$3,"")</f>
        <v/>
      </c>
      <c r="Z90" s="25" t="str">
        <f>IF(Z$4&lt;=PARAMETER!$X$2,SUMIF('2026 T'!$F:$F,$B90,'2026 T'!Y:Y)/PARAMETER!$T$3,"")</f>
        <v/>
      </c>
      <c r="AA90" s="25" t="str">
        <f>IF(AA$4&lt;=PARAMETER!$X$2,SUMIF('2026 T'!$F:$F,$B90,'2026 T'!Z:Z)/PARAMETER!$T$3,"")</f>
        <v/>
      </c>
      <c r="AB90" s="25" t="str">
        <f>IF(AB$4&lt;=PARAMETER!$X$2,SUMIF('2026 T'!$F:$F,$B90,'2026 T'!AA:AA)/PARAMETER!$T$3,"")</f>
        <v/>
      </c>
      <c r="AC90" s="25" t="str">
        <f>IF(AC$4&lt;=PARAMETER!$X$2,SUMIF('2026 T'!$F:$F,$B90,'2026 T'!AB:AB)/PARAMETER!$T$3,"")</f>
        <v/>
      </c>
      <c r="AD90" s="25" t="str">
        <f>IF(AD$4&lt;=PARAMETER!$X$2,SUMIF('2026 T'!$F:$F,$B90,'2026 T'!AC:AC)/PARAMETER!$T$3,"")</f>
        <v/>
      </c>
      <c r="AE90" s="25" t="str">
        <f>IF(AE$4&lt;=PARAMETER!$X$2,SUMIF('2026 T'!$F:$F,$B90,'2026 T'!AD:AD)/PARAMETER!$T$3,"")</f>
        <v/>
      </c>
      <c r="AF90" s="25" t="str">
        <f>IF(AF$4&lt;=PARAMETER!$X$2,SUMIF('2026 T'!$F:$F,$B90,'2026 T'!AE:AE)/PARAMETER!$T$3,"")</f>
        <v/>
      </c>
      <c r="AG90" s="25" t="str">
        <f>IF(AG$4&lt;=PARAMETER!$X$2,SUMIF('2026 T'!$F:$F,$B90,'2026 T'!AF:AF)/PARAMETER!$T$3,"")</f>
        <v/>
      </c>
      <c r="AH90" s="25" t="str">
        <f>IF(AH$4&lt;=PARAMETER!$X$2,SUMIF('2026 T'!$F:$F,$B90,'2026 T'!AG:AG)/PARAMETER!$T$3,"")</f>
        <v/>
      </c>
      <c r="AI90" s="25" t="str">
        <f>IF(AI$4&lt;=PARAMETER!$X$2,SUMIF('2026 T'!$F:$F,$B90,'2026 T'!AH:AH)/PARAMETER!$T$3,"")</f>
        <v/>
      </c>
      <c r="AJ90" s="25" t="str">
        <f>IF(AJ$4&lt;=PARAMETER!$X$2,SUMIF('2026 T'!$F:$F,$B90,'2026 T'!AI:AI)/PARAMETER!$T$3,"")</f>
        <v/>
      </c>
      <c r="AK90" s="25" t="str">
        <f>IF(AK$4&lt;=PARAMETER!$X$2,SUMIF('2026 T'!$F:$F,$B90,'2026 T'!AJ:AJ)/PARAMETER!$T$3,"")</f>
        <v/>
      </c>
      <c r="AL90" s="25" t="str">
        <f>IF(AL$4&lt;=PARAMETER!$X$2,SUMIF('2026 T'!$F:$F,$B90,'2026 T'!AK:AK)/PARAMETER!$T$3,"")</f>
        <v/>
      </c>
      <c r="AM90" s="25" t="str">
        <f>IF(AM$4&lt;=PARAMETER!$X$2,SUMIF('2026 T'!$F:$F,$B90,'2026 T'!AL:AL)/PARAMETER!$T$3,"")</f>
        <v/>
      </c>
      <c r="AN90" s="25" t="str">
        <f>IF(AN$4&lt;=PARAMETER!$X$2,SUMIF('2026 T'!$F:$F,$B90,'2026 T'!AM:AM)/PARAMETER!$T$3,"")</f>
        <v/>
      </c>
      <c r="AO90" s="25" t="str">
        <f>IF(AO$4&lt;=PARAMETER!$X$2,SUMIF('2026 T'!$F:$F,$B90,'2026 T'!AN:AN)/PARAMETER!$T$3,"")</f>
        <v/>
      </c>
      <c r="AP90" s="25" t="str">
        <f>IF(AP$4&lt;=PARAMETER!$X$2,SUMIF('2026 T'!$F:$F,$B90,'2026 T'!AO:AO)/PARAMETER!$T$3,"")</f>
        <v/>
      </c>
      <c r="AQ90" s="25" t="str">
        <f>IF(AQ$4&lt;=PARAMETER!$X$2,SUMIF('2026 T'!$F:$F,$B90,'2026 T'!AP:AP)/PARAMETER!$T$3,"")</f>
        <v/>
      </c>
      <c r="AR90" s="25" t="str">
        <f>IF(AR$4&lt;=PARAMETER!$X$2,SUMIF('2026 T'!$F:$F,$B90,'2026 T'!AQ:AQ)/PARAMETER!$T$3,"")</f>
        <v/>
      </c>
      <c r="AS90" s="25" t="str">
        <f>IF(AS$4&lt;=PARAMETER!$X$2,SUMIF('2026 T'!$F:$F,$B90,'2026 T'!AR:AR)/PARAMETER!$T$3,"")</f>
        <v/>
      </c>
      <c r="AT90" s="25" t="str">
        <f>IF(AT$4&lt;=PARAMETER!$X$2,SUMIF('2026 T'!$F:$F,$B90,'2026 T'!AS:AS)/PARAMETER!$T$3,"")</f>
        <v/>
      </c>
      <c r="AU90" s="25" t="str">
        <f>IF(AU$4&lt;=PARAMETER!$X$2,SUMIF('2026 T'!$F:$F,$B90,'2026 T'!AT:AT)/PARAMETER!$T$3,"")</f>
        <v/>
      </c>
      <c r="AV90" s="25" t="str">
        <f>IF(AV$4&lt;=PARAMETER!$X$2,SUMIF('2026 T'!$F:$F,$B90,'2026 T'!AU:AU)/PARAMETER!$T$3,"")</f>
        <v/>
      </c>
      <c r="AW90" s="25" t="str">
        <f>IF(AW$4&lt;=PARAMETER!$X$2,SUMIF('2026 T'!$F:$F,$B90,'2026 T'!AV:AV)/PARAMETER!$T$3,"")</f>
        <v/>
      </c>
      <c r="AX90" s="25" t="str">
        <f>IF(AX$4&lt;=PARAMETER!$X$2,SUMIF('2026 T'!$F:$F,$B90,'2026 T'!AW:AW)/PARAMETER!$T$3,"")</f>
        <v/>
      </c>
      <c r="AY90" s="25" t="str">
        <f>IF(AY$4&lt;=PARAMETER!$X$2,SUMIF('2026 T'!$F:$F,$B90,'2026 T'!AX:AX)/PARAMETER!$T$3,"")</f>
        <v/>
      </c>
      <c r="AZ90" s="25" t="str">
        <f>IF(AZ$4&lt;=PARAMETER!$X$2,SUMIF('2026 T'!$F:$F,$B90,'2026 T'!AY:AY)/PARAMETER!$T$3,"")</f>
        <v/>
      </c>
      <c r="BA90" s="25" t="str">
        <f>IF(BA$4&lt;=PARAMETER!$X$2,SUMIF('2026 T'!$F:$F,$B90,'2026 T'!AZ:AZ)/PARAMETER!$T$3,"")</f>
        <v/>
      </c>
      <c r="BB90" s="25" t="str">
        <f>IF(BB$4&lt;=PARAMETER!$X$2,SUMIF('2026 T'!$F:$F,$B90,'2026 T'!BA:BA)/PARAMETER!$T$3,"")</f>
        <v/>
      </c>
      <c r="BC90" s="25" t="str">
        <f>IF(BC$4&lt;=PARAMETER!$X$2,SUMIF('2026 T'!$F:$F,$B90,'2026 T'!BB:BB)/PARAMETER!$T$3,"")</f>
        <v/>
      </c>
      <c r="BD90" s="25" t="str">
        <f>IF(BD$4&lt;=PARAMETER!$X$2,SUMIF('2026 T'!$F:$F,$B90,'2026 T'!BC:BC)/PARAMETER!$T$3,"")</f>
        <v/>
      </c>
      <c r="BE90" s="25" t="str">
        <f>IF(BE$4&lt;=PARAMETER!$X$2,SUMIF('2026 T'!$F:$F,$B90,'2026 T'!BD:BD)/PARAMETER!$T$3,"")</f>
        <v/>
      </c>
      <c r="BF90" s="25" t="str">
        <f>IF(BF$4&lt;=PARAMETER!$X$2,SUMIF('2026 T'!$F:$F,$B90,'2026 T'!BE:BE)/PARAMETER!$T$3,"")</f>
        <v/>
      </c>
      <c r="BG90" s="25" t="str">
        <f>IF(BG$4&lt;=PARAMETER!$X$2,SUMIF('2026 T'!$F:$F,$B90,'2026 T'!BF:BF)/PARAMETER!$T$3,"")</f>
        <v/>
      </c>
      <c r="BH90" s="25" t="str">
        <f>IF(BH$4&lt;=PARAMETER!$X$2,SUMIF('2026 T'!$F:$F,$B90,'2026 T'!BG:BG)/PARAMETER!$T$3,"")</f>
        <v/>
      </c>
      <c r="BI90" s="25" t="str">
        <f>IF(BI$4&lt;=PARAMETER!$X$2,SUMIF('2026 T'!$F:$F,$B90,'2026 T'!BH:BH)/PARAMETER!$T$3,"")</f>
        <v/>
      </c>
      <c r="BJ90" s="25" t="str">
        <f>IF(BJ$4&lt;=PARAMETER!$X$2,SUMIF('2026 T'!$F:$F,$B90,'2026 T'!BI:BI)/PARAMETER!$T$3,"")</f>
        <v/>
      </c>
    </row>
    <row r="91" spans="1:62" x14ac:dyDescent="0.25">
      <c r="A91">
        <f t="shared" ref="A91:A92" si="121">A90</f>
        <v>20</v>
      </c>
      <c r="B91" s="78" t="str">
        <f>CONCATENATE(C91,PARAMETER!T$2)</f>
        <v>VOL</v>
      </c>
      <c r="C91" s="26" t="str">
        <f t="shared" ref="C91:C93" si="122">C90</f>
        <v/>
      </c>
      <c r="D91" s="27" t="s">
        <v>128</v>
      </c>
      <c r="E91" s="35" t="str">
        <f t="shared" ref="E91:E92" si="123">IFERROR(I91/I92-1,"")</f>
        <v/>
      </c>
      <c r="F91" s="28">
        <f t="shared" si="120"/>
        <v>3</v>
      </c>
      <c r="G91" s="39">
        <f t="shared" si="115"/>
        <v>2026</v>
      </c>
      <c r="H91" s="40">
        <f>IF(H$4&lt;=PARAMETER!$X$2,SUMIF('2026'!$F:$F,$B91,'2026'!G:G)/PARAMETER!$T$3,"")</f>
        <v>0</v>
      </c>
      <c r="I91" s="40">
        <f>IF(I$4&lt;=PARAMETER!$X$2,SUMIF('2026'!$F:$F,$B91,'2026'!H:H)/PARAMETER!$T$3,"")</f>
        <v>0</v>
      </c>
      <c r="J91" s="40">
        <f>IF(J$4&lt;=PARAMETER!$X$2,SUMIF('2026'!$F:$F,$B91,'2026'!I:I)/PARAMETER!$T$3,"")</f>
        <v>0</v>
      </c>
      <c r="K91" s="40">
        <f>IF(K$4&lt;=PARAMETER!$X$2,SUMIF('2026'!$F:$F,$B91,'2026'!J:J)/PARAMETER!$T$3,"")</f>
        <v>0</v>
      </c>
      <c r="L91" s="40">
        <f>IF(L$4&lt;=PARAMETER!$X$2,SUMIF('2026'!$F:$F,$B91,'2026'!K:K)/PARAMETER!$T$3,"")</f>
        <v>0</v>
      </c>
      <c r="M91" s="40">
        <f>IF(M$4&lt;=PARAMETER!$X$2,SUMIF('2026'!$F:$F,$B91,'2026'!L:L)/PARAMETER!$T$3,"")</f>
        <v>0</v>
      </c>
      <c r="N91" s="40">
        <f>IF(N$4&lt;=PARAMETER!$X$2,SUMIF('2026'!$F:$F,$B91,'2026'!M:M)/PARAMETER!$T$3,"")</f>
        <v>0</v>
      </c>
      <c r="O91" s="40">
        <f>IF(O$4&lt;=PARAMETER!$X$2,SUMIF('2026'!$F:$F,$B91,'2026'!N:N)/PARAMETER!$T$3,"")</f>
        <v>0</v>
      </c>
      <c r="P91" s="40">
        <f>IF(P$4&lt;=PARAMETER!$X$2,SUMIF('2026'!$F:$F,$B91,'2026'!O:O)/PARAMETER!$T$3,"")</f>
        <v>0</v>
      </c>
      <c r="Q91" s="40">
        <f>IF(Q$4&lt;=PARAMETER!$X$2,SUMIF('2026'!$F:$F,$B91,'2026'!P:P)/PARAMETER!$T$3,"")</f>
        <v>0</v>
      </c>
      <c r="R91" s="40">
        <f>IF(R$4&lt;=PARAMETER!$X$2,SUMIF('2026'!$F:$F,$B91,'2026'!Q:Q)/PARAMETER!$T$3,"")</f>
        <v>0</v>
      </c>
      <c r="S91" s="40">
        <f>IF(S$4&lt;=PARAMETER!$X$2,SUMIF('2026'!$F:$F,$B91,'2026'!R:R)/PARAMETER!$T$3,"")</f>
        <v>0</v>
      </c>
      <c r="T91" s="40">
        <f>IF(T$4&lt;=PARAMETER!$X$2,SUMIF('2026'!$F:$F,$B91,'2026'!S:S)/PARAMETER!$T$3,"")</f>
        <v>0</v>
      </c>
      <c r="U91" s="40" t="str">
        <f>IF(U$4&lt;=PARAMETER!$X$2,SUMIF('2026'!$F:$F,$B91,'2026'!T:T)/PARAMETER!$T$3,"")</f>
        <v/>
      </c>
      <c r="V91" s="40" t="str">
        <f>IF(V$4&lt;=PARAMETER!$X$2,SUMIF('2026'!$F:$F,$B91,'2026'!U:U)/PARAMETER!$T$3,"")</f>
        <v/>
      </c>
      <c r="W91" s="40" t="str">
        <f>IF(W$4&lt;=PARAMETER!$X$2,SUMIF('2026'!$F:$F,$B91,'2026'!V:V)/PARAMETER!$T$3,"")</f>
        <v/>
      </c>
      <c r="X91" s="40" t="str">
        <f>IF(X$4&lt;=PARAMETER!$X$2,SUMIF('2026'!$F:$F,$B91,'2026'!W:W)/PARAMETER!$T$3,"")</f>
        <v/>
      </c>
      <c r="Y91" s="40" t="str">
        <f>IF(Y$4&lt;=PARAMETER!$X$2,SUMIF('2026'!$F:$F,$B91,'2026'!X:X)/PARAMETER!$T$3,"")</f>
        <v/>
      </c>
      <c r="Z91" s="40" t="str">
        <f>IF(Z$4&lt;=PARAMETER!$X$2,SUMIF('2026'!$F:$F,$B91,'2026'!Y:Y)/PARAMETER!$T$3,"")</f>
        <v/>
      </c>
      <c r="AA91" s="40" t="str">
        <f>IF(AA$4&lt;=PARAMETER!$X$2,SUMIF('2026'!$F:$F,$B91,'2026'!Z:Z)/PARAMETER!$T$3,"")</f>
        <v/>
      </c>
      <c r="AB91" s="40" t="str">
        <f>IF(AB$4&lt;=PARAMETER!$X$2,SUMIF('2026'!$F:$F,$B91,'2026'!AA:AA)/PARAMETER!$T$3,"")</f>
        <v/>
      </c>
      <c r="AC91" s="40" t="str">
        <f>IF(AC$4&lt;=PARAMETER!$X$2,SUMIF('2026'!$F:$F,$B91,'2026'!AB:AB)/PARAMETER!$T$3,"")</f>
        <v/>
      </c>
      <c r="AD91" s="40" t="str">
        <f>IF(AD$4&lt;=PARAMETER!$X$2,SUMIF('2026'!$F:$F,$B91,'2026'!AC:AC)/PARAMETER!$T$3,"")</f>
        <v/>
      </c>
      <c r="AE91" s="40" t="str">
        <f>IF(AE$4&lt;=PARAMETER!$X$2,SUMIF('2026'!$F:$F,$B91,'2026'!AD:AD)/PARAMETER!$T$3,"")</f>
        <v/>
      </c>
      <c r="AF91" s="40" t="str">
        <f>IF(AF$4&lt;=PARAMETER!$X$2,SUMIF('2026'!$F:$F,$B91,'2026'!AE:AE)/PARAMETER!$T$3,"")</f>
        <v/>
      </c>
      <c r="AG91" s="40" t="str">
        <f>IF(AG$4&lt;=PARAMETER!$X$2,SUMIF('2026'!$F:$F,$B91,'2026'!AF:AF)/PARAMETER!$T$3,"")</f>
        <v/>
      </c>
      <c r="AH91" s="40" t="str">
        <f>IF(AH$4&lt;=PARAMETER!$X$2,SUMIF('2026'!$F:$F,$B91,'2026'!AG:AG)/PARAMETER!$T$3,"")</f>
        <v/>
      </c>
      <c r="AI91" s="40" t="str">
        <f>IF(AI$4&lt;=PARAMETER!$X$2,SUMIF('2026'!$F:$F,$B91,'2026'!AH:AH)/PARAMETER!$T$3,"")</f>
        <v/>
      </c>
      <c r="AJ91" s="40" t="str">
        <f>IF(AJ$4&lt;=PARAMETER!$X$2,SUMIF('2026'!$F:$F,$B91,'2026'!AI:AI)/PARAMETER!$T$3,"")</f>
        <v/>
      </c>
      <c r="AK91" s="40" t="str">
        <f>IF(AK$4&lt;=PARAMETER!$X$2,SUMIF('2026'!$F:$F,$B91,'2026'!AJ:AJ)/PARAMETER!$T$3,"")</f>
        <v/>
      </c>
      <c r="AL91" s="40" t="str">
        <f>IF(AL$4&lt;=PARAMETER!$X$2,SUMIF('2026'!$F:$F,$B91,'2026'!AK:AK)/PARAMETER!$T$3,"")</f>
        <v/>
      </c>
      <c r="AM91" s="40" t="str">
        <f>IF(AM$4&lt;=PARAMETER!$X$2,SUMIF('2026'!$F:$F,$B91,'2026'!AL:AL)/PARAMETER!$T$3,"")</f>
        <v/>
      </c>
      <c r="AN91" s="40" t="str">
        <f>IF(AN$4&lt;=PARAMETER!$X$2,SUMIF('2026'!$F:$F,$B91,'2026'!AM:AM)/PARAMETER!$T$3,"")</f>
        <v/>
      </c>
      <c r="AO91" s="40" t="str">
        <f>IF(AO$4&lt;=PARAMETER!$X$2,SUMIF('2026'!$F:$F,$B91,'2026'!AN:AN)/PARAMETER!$T$3,"")</f>
        <v/>
      </c>
      <c r="AP91" s="40" t="str">
        <f>IF(AP$4&lt;=PARAMETER!$X$2,SUMIF('2026'!$F:$F,$B91,'2026'!AO:AO)/PARAMETER!$T$3,"")</f>
        <v/>
      </c>
      <c r="AQ91" s="40" t="str">
        <f>IF(AQ$4&lt;=PARAMETER!$X$2,SUMIF('2026'!$F:$F,$B91,'2026'!AP:AP)/PARAMETER!$T$3,"")</f>
        <v/>
      </c>
      <c r="AR91" s="40" t="str">
        <f>IF(AR$4&lt;=PARAMETER!$X$2,SUMIF('2026'!$F:$F,$B91,'2026'!AQ:AQ)/PARAMETER!$T$3,"")</f>
        <v/>
      </c>
      <c r="AS91" s="40" t="str">
        <f>IF(AS$4&lt;=PARAMETER!$X$2,SUMIF('2026'!$F:$F,$B91,'2026'!AR:AR)/PARAMETER!$T$3,"")</f>
        <v/>
      </c>
      <c r="AT91" s="40" t="str">
        <f>IF(AT$4&lt;=PARAMETER!$X$2,SUMIF('2026'!$F:$F,$B91,'2026'!AS:AS)/PARAMETER!$T$3,"")</f>
        <v/>
      </c>
      <c r="AU91" s="40" t="str">
        <f>IF(AU$4&lt;=PARAMETER!$X$2,SUMIF('2026'!$F:$F,$B91,'2026'!AT:AT)/PARAMETER!$T$3,"")</f>
        <v/>
      </c>
      <c r="AV91" s="40" t="str">
        <f>IF(AV$4&lt;=PARAMETER!$X$2,SUMIF('2026'!$F:$F,$B91,'2026'!AU:AU)/PARAMETER!$T$3,"")</f>
        <v/>
      </c>
      <c r="AW91" s="40" t="str">
        <f>IF(AW$4&lt;=PARAMETER!$X$2,SUMIF('2026'!$F:$F,$B91,'2026'!AV:AV)/PARAMETER!$T$3,"")</f>
        <v/>
      </c>
      <c r="AX91" s="40" t="str">
        <f>IF(AX$4&lt;=PARAMETER!$X$2,SUMIF('2026'!$F:$F,$B91,'2026'!AW:AW)/PARAMETER!$T$3,"")</f>
        <v/>
      </c>
      <c r="AY91" s="40" t="str">
        <f>IF(AY$4&lt;=PARAMETER!$X$2,SUMIF('2026'!$F:$F,$B91,'2026'!AX:AX)/PARAMETER!$T$3,"")</f>
        <v/>
      </c>
      <c r="AZ91" s="40" t="str">
        <f>IF(AZ$4&lt;=PARAMETER!$X$2,SUMIF('2026'!$F:$F,$B91,'2026'!AY:AY)/PARAMETER!$T$3,"")</f>
        <v/>
      </c>
      <c r="BA91" s="40" t="str">
        <f>IF(BA$4&lt;=PARAMETER!$X$2,SUMIF('2026'!$F:$F,$B91,'2026'!AZ:AZ)/PARAMETER!$T$3,"")</f>
        <v/>
      </c>
      <c r="BB91" s="40" t="str">
        <f>IF(BB$4&lt;=PARAMETER!$X$2,SUMIF('2026'!$F:$F,$B91,'2026'!BA:BA)/PARAMETER!$T$3,"")</f>
        <v/>
      </c>
      <c r="BC91" s="40" t="str">
        <f>IF(BC$4&lt;=PARAMETER!$X$2,SUMIF('2026'!$F:$F,$B91,'2026'!BB:BB)/PARAMETER!$T$3,"")</f>
        <v/>
      </c>
      <c r="BD91" s="40" t="str">
        <f>IF(BD$4&lt;=PARAMETER!$X$2,SUMIF('2026'!$F:$F,$B91,'2026'!BC:BC)/PARAMETER!$T$3,"")</f>
        <v/>
      </c>
      <c r="BE91" s="40" t="str">
        <f>IF(BE$4&lt;=PARAMETER!$X$2,SUMIF('2026'!$F:$F,$B91,'2026'!BD:BD)/PARAMETER!$T$3,"")</f>
        <v/>
      </c>
      <c r="BF91" s="40" t="str">
        <f>IF(BF$4&lt;=PARAMETER!$X$2,SUMIF('2026'!$F:$F,$B91,'2026'!BE:BE)/PARAMETER!$T$3,"")</f>
        <v/>
      </c>
      <c r="BG91" s="40" t="str">
        <f>IF(BG$4&lt;=PARAMETER!$X$2,SUMIF('2026'!$F:$F,$B91,'2026'!BF:BF)/PARAMETER!$T$3,"")</f>
        <v/>
      </c>
      <c r="BH91" s="40" t="str">
        <f>IF(BH$4&lt;=PARAMETER!$X$2,SUMIF('2026'!$F:$F,$B91,'2026'!BG:BG)/PARAMETER!$T$3,"")</f>
        <v/>
      </c>
      <c r="BI91" s="40" t="str">
        <f>IF(BI$4&lt;=PARAMETER!$X$2,SUMIF('2026'!$F:$F,$B91,'2026'!BH:BH)/PARAMETER!$T$3,"")</f>
        <v/>
      </c>
      <c r="BJ91" s="40" t="str">
        <f>IF(BJ$4&lt;=PARAMETER!$X$2,SUMIF('2026'!$F:$F,$B91,'2026'!BI:BI)/PARAMETER!$T$3,"")</f>
        <v/>
      </c>
    </row>
    <row r="92" spans="1:62" x14ac:dyDescent="0.25">
      <c r="A92">
        <f t="shared" si="121"/>
        <v>20</v>
      </c>
      <c r="B92" s="78" t="str">
        <f>CONCATENATE(C92,PARAMETER!T$2)</f>
        <v>VOL</v>
      </c>
      <c r="C92" s="26" t="str">
        <f t="shared" si="122"/>
        <v/>
      </c>
      <c r="D92" s="27" t="s">
        <v>128</v>
      </c>
      <c r="E92" s="35" t="str">
        <f t="shared" si="123"/>
        <v/>
      </c>
      <c r="F92" s="28">
        <f t="shared" si="120"/>
        <v>3</v>
      </c>
      <c r="G92" s="39">
        <f t="shared" si="115"/>
        <v>2025</v>
      </c>
      <c r="H92" s="40">
        <f>IF(H$4&lt;=PARAMETER!$X$2,SUMIF('2025'!$F:$F,$B92,'2025'!G:G)/PARAMETER!$T$3,"")</f>
        <v>0</v>
      </c>
      <c r="I92" s="40">
        <f>IF(I$4&lt;=PARAMETER!$X$2,SUMIF('2025'!$F:$F,$B92,'2025'!H:H)/PARAMETER!$T$3,"")</f>
        <v>0</v>
      </c>
      <c r="J92" s="40">
        <f>IF(J$4&lt;=PARAMETER!$X$2,SUMIF('2025'!$F:$F,$B92,'2025'!I:I)/PARAMETER!$T$3,"")</f>
        <v>0</v>
      </c>
      <c r="K92" s="40">
        <f>IF(K$4&lt;=PARAMETER!$X$2,SUMIF('2025'!$F:$F,$B92,'2025'!J:J)/PARAMETER!$T$3,"")</f>
        <v>0</v>
      </c>
      <c r="L92" s="40">
        <f>IF(L$4&lt;=PARAMETER!$X$2,SUMIF('2025'!$F:$F,$B92,'2025'!K:K)/PARAMETER!$T$3,"")</f>
        <v>0</v>
      </c>
      <c r="M92" s="40">
        <f>IF(M$4&lt;=PARAMETER!$X$2,SUMIF('2025'!$F:$F,$B92,'2025'!L:L)/PARAMETER!$T$3,"")</f>
        <v>0</v>
      </c>
      <c r="N92" s="40">
        <f>IF(N$4&lt;=PARAMETER!$X$2,SUMIF('2025'!$F:$F,$B92,'2025'!M:M)/PARAMETER!$T$3,"")</f>
        <v>0</v>
      </c>
      <c r="O92" s="40">
        <f>IF(O$4&lt;=PARAMETER!$X$2,SUMIF('2025'!$F:$F,$B92,'2025'!N:N)/PARAMETER!$T$3,"")</f>
        <v>0</v>
      </c>
      <c r="P92" s="40">
        <f>IF(P$4&lt;=PARAMETER!$X$2,SUMIF('2025'!$F:$F,$B92,'2025'!O:O)/PARAMETER!$T$3,"")</f>
        <v>0</v>
      </c>
      <c r="Q92" s="40">
        <f>IF(Q$4&lt;=PARAMETER!$X$2,SUMIF('2025'!$F:$F,$B92,'2025'!P:P)/PARAMETER!$T$3,"")</f>
        <v>0</v>
      </c>
      <c r="R92" s="40">
        <f>IF(R$4&lt;=PARAMETER!$X$2,SUMIF('2025'!$F:$F,$B92,'2025'!Q:Q)/PARAMETER!$T$3,"")</f>
        <v>0</v>
      </c>
      <c r="S92" s="40">
        <f>IF(S$4&lt;=PARAMETER!$X$2,SUMIF('2025'!$F:$F,$B92,'2025'!R:R)/PARAMETER!$T$3,"")</f>
        <v>0</v>
      </c>
      <c r="T92" s="40">
        <f>IF(T$4&lt;=PARAMETER!$X$2,SUMIF('2025'!$F:$F,$B92,'2025'!S:S)/PARAMETER!$T$3,"")</f>
        <v>0</v>
      </c>
      <c r="U92" s="40" t="str">
        <f>IF(U$4&lt;=PARAMETER!$X$2,SUMIF('2025'!$F:$F,$B92,'2025'!T:T)/PARAMETER!$T$3,"")</f>
        <v/>
      </c>
      <c r="V92" s="40" t="str">
        <f>IF(V$4&lt;=PARAMETER!$X$2,SUMIF('2025'!$F:$F,$B92,'2025'!U:U)/PARAMETER!$T$3,"")</f>
        <v/>
      </c>
      <c r="W92" s="40" t="str">
        <f>IF(W$4&lt;=PARAMETER!$X$2,SUMIF('2025'!$F:$F,$B92,'2025'!V:V)/PARAMETER!$T$3,"")</f>
        <v/>
      </c>
      <c r="X92" s="40" t="str">
        <f>IF(X$4&lt;=PARAMETER!$X$2,SUMIF('2025'!$F:$F,$B92,'2025'!W:W)/PARAMETER!$T$3,"")</f>
        <v/>
      </c>
      <c r="Y92" s="40" t="str">
        <f>IF(Y$4&lt;=PARAMETER!$X$2,SUMIF('2025'!$F:$F,$B92,'2025'!X:X)/PARAMETER!$T$3,"")</f>
        <v/>
      </c>
      <c r="Z92" s="40" t="str">
        <f>IF(Z$4&lt;=PARAMETER!$X$2,SUMIF('2025'!$F:$F,$B92,'2025'!Y:Y)/PARAMETER!$T$3,"")</f>
        <v/>
      </c>
      <c r="AA92" s="40" t="str">
        <f>IF(AA$4&lt;=PARAMETER!$X$2,SUMIF('2025'!$F:$F,$B92,'2025'!Z:Z)/PARAMETER!$T$3,"")</f>
        <v/>
      </c>
      <c r="AB92" s="40" t="str">
        <f>IF(AB$4&lt;=PARAMETER!$X$2,SUMIF('2025'!$F:$F,$B92,'2025'!AA:AA)/PARAMETER!$T$3,"")</f>
        <v/>
      </c>
      <c r="AC92" s="40" t="str">
        <f>IF(AC$4&lt;=PARAMETER!$X$2,SUMIF('2025'!$F:$F,$B92,'2025'!AB:AB)/PARAMETER!$T$3,"")</f>
        <v/>
      </c>
      <c r="AD92" s="40" t="str">
        <f>IF(AD$4&lt;=PARAMETER!$X$2,SUMIF('2025'!$F:$F,$B92,'2025'!AC:AC)/PARAMETER!$T$3,"")</f>
        <v/>
      </c>
      <c r="AE92" s="40" t="str">
        <f>IF(AE$4&lt;=PARAMETER!$X$2,SUMIF('2025'!$F:$F,$B92,'2025'!AD:AD)/PARAMETER!$T$3,"")</f>
        <v/>
      </c>
      <c r="AF92" s="40" t="str">
        <f>IF(AF$4&lt;=PARAMETER!$X$2,SUMIF('2025'!$F:$F,$B92,'2025'!AE:AE)/PARAMETER!$T$3,"")</f>
        <v/>
      </c>
      <c r="AG92" s="40" t="str">
        <f>IF(AG$4&lt;=PARAMETER!$X$2,SUMIF('2025'!$F:$F,$B92,'2025'!AF:AF)/PARAMETER!$T$3,"")</f>
        <v/>
      </c>
      <c r="AH92" s="40" t="str">
        <f>IF(AH$4&lt;=PARAMETER!$X$2,SUMIF('2025'!$F:$F,$B92,'2025'!AG:AG)/PARAMETER!$T$3,"")</f>
        <v/>
      </c>
      <c r="AI92" s="40" t="str">
        <f>IF(AI$4&lt;=PARAMETER!$X$2,SUMIF('2025'!$F:$F,$B92,'2025'!AH:AH)/PARAMETER!$T$3,"")</f>
        <v/>
      </c>
      <c r="AJ92" s="40" t="str">
        <f>IF(AJ$4&lt;=PARAMETER!$X$2,SUMIF('2025'!$F:$F,$B92,'2025'!AI:AI)/PARAMETER!$T$3,"")</f>
        <v/>
      </c>
      <c r="AK92" s="40" t="str">
        <f>IF(AK$4&lt;=PARAMETER!$X$2,SUMIF('2025'!$F:$F,$B92,'2025'!AJ:AJ)/PARAMETER!$T$3,"")</f>
        <v/>
      </c>
      <c r="AL92" s="40" t="str">
        <f>IF(AL$4&lt;=PARAMETER!$X$2,SUMIF('2025'!$F:$F,$B92,'2025'!AK:AK)/PARAMETER!$T$3,"")</f>
        <v/>
      </c>
      <c r="AM92" s="40" t="str">
        <f>IF(AM$4&lt;=PARAMETER!$X$2,SUMIF('2025'!$F:$F,$B92,'2025'!AL:AL)/PARAMETER!$T$3,"")</f>
        <v/>
      </c>
      <c r="AN92" s="40" t="str">
        <f>IF(AN$4&lt;=PARAMETER!$X$2,SUMIF('2025'!$F:$F,$B92,'2025'!AM:AM)/PARAMETER!$T$3,"")</f>
        <v/>
      </c>
      <c r="AO92" s="40" t="str">
        <f>IF(AO$4&lt;=PARAMETER!$X$2,SUMIF('2025'!$F:$F,$B92,'2025'!AN:AN)/PARAMETER!$T$3,"")</f>
        <v/>
      </c>
      <c r="AP92" s="40" t="str">
        <f>IF(AP$4&lt;=PARAMETER!$X$2,SUMIF('2025'!$F:$F,$B92,'2025'!AO:AO)/PARAMETER!$T$3,"")</f>
        <v/>
      </c>
      <c r="AQ92" s="40" t="str">
        <f>IF(AQ$4&lt;=PARAMETER!$X$2,SUMIF('2025'!$F:$F,$B92,'2025'!AP:AP)/PARAMETER!$T$3,"")</f>
        <v/>
      </c>
      <c r="AR92" s="40" t="str">
        <f>IF(AR$4&lt;=PARAMETER!$X$2,SUMIF('2025'!$F:$F,$B92,'2025'!AQ:AQ)/PARAMETER!$T$3,"")</f>
        <v/>
      </c>
      <c r="AS92" s="40" t="str">
        <f>IF(AS$4&lt;=PARAMETER!$X$2,SUMIF('2025'!$F:$F,$B92,'2025'!AR:AR)/PARAMETER!$T$3,"")</f>
        <v/>
      </c>
      <c r="AT92" s="40" t="str">
        <f>IF(AT$4&lt;=PARAMETER!$X$2,SUMIF('2025'!$F:$F,$B92,'2025'!AS:AS)/PARAMETER!$T$3,"")</f>
        <v/>
      </c>
      <c r="AU92" s="40" t="str">
        <f>IF(AU$4&lt;=PARAMETER!$X$2,SUMIF('2025'!$F:$F,$B92,'2025'!AT:AT)/PARAMETER!$T$3,"")</f>
        <v/>
      </c>
      <c r="AV92" s="40" t="str">
        <f>IF(AV$4&lt;=PARAMETER!$X$2,SUMIF('2025'!$F:$F,$B92,'2025'!AU:AU)/PARAMETER!$T$3,"")</f>
        <v/>
      </c>
      <c r="AW92" s="40" t="str">
        <f>IF(AW$4&lt;=PARAMETER!$X$2,SUMIF('2025'!$F:$F,$B92,'2025'!AV:AV)/PARAMETER!$T$3,"")</f>
        <v/>
      </c>
      <c r="AX92" s="40" t="str">
        <f>IF(AX$4&lt;=PARAMETER!$X$2,SUMIF('2025'!$F:$F,$B92,'2025'!AW:AW)/PARAMETER!$T$3,"")</f>
        <v/>
      </c>
      <c r="AY92" s="40" t="str">
        <f>IF(AY$4&lt;=PARAMETER!$X$2,SUMIF('2025'!$F:$F,$B92,'2025'!AX:AX)/PARAMETER!$T$3,"")</f>
        <v/>
      </c>
      <c r="AZ92" s="40" t="str">
        <f>IF(AZ$4&lt;=PARAMETER!$X$2,SUMIF('2025'!$F:$F,$B92,'2025'!AY:AY)/PARAMETER!$T$3,"")</f>
        <v/>
      </c>
      <c r="BA92" s="40" t="str">
        <f>IF(BA$4&lt;=PARAMETER!$X$2,SUMIF('2025'!$F:$F,$B92,'2025'!AZ:AZ)/PARAMETER!$T$3,"")</f>
        <v/>
      </c>
      <c r="BB92" s="40" t="str">
        <f>IF(BB$4&lt;=PARAMETER!$X$2,SUMIF('2025'!$F:$F,$B92,'2025'!BA:BA)/PARAMETER!$T$3,"")</f>
        <v/>
      </c>
      <c r="BC92" s="40" t="str">
        <f>IF(BC$4&lt;=PARAMETER!$X$2,SUMIF('2025'!$F:$F,$B92,'2025'!BB:BB)/PARAMETER!$T$3,"")</f>
        <v/>
      </c>
      <c r="BD92" s="40" t="str">
        <f>IF(BD$4&lt;=PARAMETER!$X$2,SUMIF('2025'!$F:$F,$B92,'2025'!BC:BC)/PARAMETER!$T$3,"")</f>
        <v/>
      </c>
      <c r="BE92" s="40" t="str">
        <f>IF(BE$4&lt;=PARAMETER!$X$2,SUMIF('2025'!$F:$F,$B92,'2025'!BD:BD)/PARAMETER!$T$3,"")</f>
        <v/>
      </c>
      <c r="BF92" s="40" t="str">
        <f>IF(BF$4&lt;=PARAMETER!$X$2,SUMIF('2025'!$F:$F,$B92,'2025'!BE:BE)/PARAMETER!$T$3,"")</f>
        <v/>
      </c>
      <c r="BG92" s="40" t="str">
        <f>IF(BG$4&lt;=PARAMETER!$X$2,SUMIF('2025'!$F:$F,$B92,'2025'!BF:BF)/PARAMETER!$T$3,"")</f>
        <v/>
      </c>
      <c r="BH92" s="40" t="str">
        <f>IF(BH$4&lt;=PARAMETER!$X$2,SUMIF('2025'!$F:$F,$B92,'2025'!BG:BG)/PARAMETER!$T$3,"")</f>
        <v/>
      </c>
      <c r="BI92" s="40" t="str">
        <f>IF(BI$4&lt;=PARAMETER!$X$2,SUMIF('2025'!$F:$F,$B92,'2025'!BH:BH)/PARAMETER!$T$3,"")</f>
        <v/>
      </c>
      <c r="BJ92" s="40" t="str">
        <f>IF(BJ$4&lt;=PARAMETER!$X$2,SUMIF('2025'!$F:$F,$B92,'2025'!BI:BI)/PARAMETER!$T$3,"")</f>
        <v/>
      </c>
    </row>
    <row r="93" spans="1:62" x14ac:dyDescent="0.25">
      <c r="A93">
        <f t="shared" si="107"/>
        <v>20</v>
      </c>
      <c r="B93" s="78" t="str">
        <f>CONCATENATE(C93,PARAMETER!T$2)</f>
        <v>VOL</v>
      </c>
      <c r="C93" s="26" t="str">
        <f t="shared" si="122"/>
        <v/>
      </c>
      <c r="D93" s="67"/>
      <c r="E93" s="68"/>
      <c r="F93" s="69"/>
      <c r="G93" s="70">
        <f t="shared" si="115"/>
        <v>2024</v>
      </c>
      <c r="H93" s="71">
        <f>IF(H$4&lt;=PARAMETER!$X$2,SUMIF('2024'!$F:$F,$B93,'2024'!G:G)/PARAMETER!$T$3,"")</f>
        <v>0</v>
      </c>
      <c r="I93" s="71">
        <f>IF(I$4&lt;=PARAMETER!$X$2,SUMIF('2024'!$F:$F,$B93,'2024'!H:H)/PARAMETER!$T$3,"")</f>
        <v>0</v>
      </c>
      <c r="J93" s="71">
        <f>IF(J$4&lt;=PARAMETER!$X$2,SUMIF('2024'!$F:$F,$B93,'2024'!I:I)/PARAMETER!$T$3,"")</f>
        <v>0</v>
      </c>
      <c r="K93" s="71">
        <f>IF(K$4&lt;=PARAMETER!$X$2,SUMIF('2024'!$F:$F,$B93,'2024'!J:J)/PARAMETER!$T$3,"")</f>
        <v>0</v>
      </c>
      <c r="L93" s="71">
        <f>IF(L$4&lt;=PARAMETER!$X$2,SUMIF('2024'!$F:$F,$B93,'2024'!K:K)/PARAMETER!$T$3,"")</f>
        <v>0</v>
      </c>
      <c r="M93" s="71">
        <f>IF(M$4&lt;=PARAMETER!$X$2,SUMIF('2024'!$F:$F,$B93,'2024'!L:L)/PARAMETER!$T$3,"")</f>
        <v>0</v>
      </c>
      <c r="N93" s="71">
        <f>IF(N$4&lt;=PARAMETER!$X$2,SUMIF('2024'!$F:$F,$B93,'2024'!M:M)/PARAMETER!$T$3,"")</f>
        <v>0</v>
      </c>
      <c r="O93" s="71">
        <f>IF(O$4&lt;=PARAMETER!$X$2,SUMIF('2024'!$F:$F,$B93,'2024'!N:N)/PARAMETER!$T$3,"")</f>
        <v>0</v>
      </c>
      <c r="P93" s="71">
        <f>IF(P$4&lt;=PARAMETER!$X$2,SUMIF('2024'!$F:$F,$B93,'2024'!O:O)/PARAMETER!$T$3,"")</f>
        <v>0</v>
      </c>
      <c r="Q93" s="71">
        <f>IF(Q$4&lt;=PARAMETER!$X$2,SUMIF('2024'!$F:$F,$B93,'2024'!P:P)/PARAMETER!$T$3,"")</f>
        <v>0</v>
      </c>
      <c r="R93" s="71">
        <f>IF(R$4&lt;=PARAMETER!$X$2,SUMIF('2024'!$F:$F,$B93,'2024'!Q:Q)/PARAMETER!$T$3,"")</f>
        <v>0</v>
      </c>
      <c r="S93" s="71">
        <f>IF(S$4&lt;=PARAMETER!$X$2,SUMIF('2024'!$F:$F,$B93,'2024'!R:R)/PARAMETER!$T$3,"")</f>
        <v>0</v>
      </c>
      <c r="T93" s="71">
        <f>IF(T$4&lt;=PARAMETER!$X$2,SUMIF('2024'!$F:$F,$B93,'2024'!S:S)/PARAMETER!$T$3,"")</f>
        <v>0</v>
      </c>
      <c r="U93" s="71" t="str">
        <f>IF(U$4&lt;=PARAMETER!$X$2,SUMIF('2024'!$F:$F,$B93,'2024'!T:T)/PARAMETER!$T$3,"")</f>
        <v/>
      </c>
      <c r="V93" s="71" t="str">
        <f>IF(V$4&lt;=PARAMETER!$X$2,SUMIF('2024'!$F:$F,$B93,'2024'!U:U)/PARAMETER!$T$3,"")</f>
        <v/>
      </c>
      <c r="W93" s="71" t="str">
        <f>IF(W$4&lt;=PARAMETER!$X$2,SUMIF('2024'!$F:$F,$B93,'2024'!V:V)/PARAMETER!$T$3,"")</f>
        <v/>
      </c>
      <c r="X93" s="71" t="str">
        <f>IF(X$4&lt;=PARAMETER!$X$2,SUMIF('2024'!$F:$F,$B93,'2024'!W:W)/PARAMETER!$T$3,"")</f>
        <v/>
      </c>
      <c r="Y93" s="71" t="str">
        <f>IF(Y$4&lt;=PARAMETER!$X$2,SUMIF('2024'!$F:$F,$B93,'2024'!X:X)/PARAMETER!$T$3,"")</f>
        <v/>
      </c>
      <c r="Z93" s="71" t="str">
        <f>IF(Z$4&lt;=PARAMETER!$X$2,SUMIF('2024'!$F:$F,$B93,'2024'!Y:Y)/PARAMETER!$T$3,"")</f>
        <v/>
      </c>
      <c r="AA93" s="71" t="str">
        <f>IF(AA$4&lt;=PARAMETER!$X$2,SUMIF('2024'!$F:$F,$B93,'2024'!Z:Z)/PARAMETER!$T$3,"")</f>
        <v/>
      </c>
      <c r="AB93" s="71" t="str">
        <f>IF(AB$4&lt;=PARAMETER!$X$2,SUMIF('2024'!$F:$F,$B93,'2024'!AA:AA)/PARAMETER!$T$3,"")</f>
        <v/>
      </c>
      <c r="AC93" s="71" t="str">
        <f>IF(AC$4&lt;=PARAMETER!$X$2,SUMIF('2024'!$F:$F,$B93,'2024'!AB:AB)/PARAMETER!$T$3,"")</f>
        <v/>
      </c>
      <c r="AD93" s="71" t="str">
        <f>IF(AD$4&lt;=PARAMETER!$X$2,SUMIF('2024'!$F:$F,$B93,'2024'!AC:AC)/PARAMETER!$T$3,"")</f>
        <v/>
      </c>
      <c r="AE93" s="71" t="str">
        <f>IF(AE$4&lt;=PARAMETER!$X$2,SUMIF('2024'!$F:$F,$B93,'2024'!AD:AD)/PARAMETER!$T$3,"")</f>
        <v/>
      </c>
      <c r="AF93" s="71" t="str">
        <f>IF(AF$4&lt;=PARAMETER!$X$2,SUMIF('2024'!$F:$F,$B93,'2024'!AE:AE)/PARAMETER!$T$3,"")</f>
        <v/>
      </c>
      <c r="AG93" s="71" t="str">
        <f>IF(AG$4&lt;=PARAMETER!$X$2,SUMIF('2024'!$F:$F,$B93,'2024'!AF:AF)/PARAMETER!$T$3,"")</f>
        <v/>
      </c>
      <c r="AH93" s="71" t="str">
        <f>IF(AH$4&lt;=PARAMETER!$X$2,SUMIF('2024'!$F:$F,$B93,'2024'!AG:AG)/PARAMETER!$T$3,"")</f>
        <v/>
      </c>
      <c r="AI93" s="71" t="str">
        <f>IF(AI$4&lt;=PARAMETER!$X$2,SUMIF('2024'!$F:$F,$B93,'2024'!AH:AH)/PARAMETER!$T$3,"")</f>
        <v/>
      </c>
      <c r="AJ93" s="71" t="str">
        <f>IF(AJ$4&lt;=PARAMETER!$X$2,SUMIF('2024'!$F:$F,$B93,'2024'!AI:AI)/PARAMETER!$T$3,"")</f>
        <v/>
      </c>
      <c r="AK93" s="71" t="str">
        <f>IF(AK$4&lt;=PARAMETER!$X$2,SUMIF('2024'!$F:$F,$B93,'2024'!AJ:AJ)/PARAMETER!$T$3,"")</f>
        <v/>
      </c>
      <c r="AL93" s="71" t="str">
        <f>IF(AL$4&lt;=PARAMETER!$X$2,SUMIF('2024'!$F:$F,$B93,'2024'!AK:AK)/PARAMETER!$T$3,"")</f>
        <v/>
      </c>
      <c r="AM93" s="71" t="str">
        <f>IF(AM$4&lt;=PARAMETER!$X$2,SUMIF('2024'!$F:$F,$B93,'2024'!AL:AL)/PARAMETER!$T$3,"")</f>
        <v/>
      </c>
      <c r="AN93" s="71" t="str">
        <f>IF(AN$4&lt;=PARAMETER!$X$2,SUMIF('2024'!$F:$F,$B93,'2024'!AM:AM)/PARAMETER!$T$3,"")</f>
        <v/>
      </c>
      <c r="AO93" s="71" t="str">
        <f>IF(AO$4&lt;=PARAMETER!$X$2,SUMIF('2024'!$F:$F,$B93,'2024'!AN:AN)/PARAMETER!$T$3,"")</f>
        <v/>
      </c>
      <c r="AP93" s="71" t="str">
        <f>IF(AP$4&lt;=PARAMETER!$X$2,SUMIF('2024'!$F:$F,$B93,'2024'!AO:AO)/PARAMETER!$T$3,"")</f>
        <v/>
      </c>
      <c r="AQ93" s="71" t="str">
        <f>IF(AQ$4&lt;=PARAMETER!$X$2,SUMIF('2024'!$F:$F,$B93,'2024'!AP:AP)/PARAMETER!$T$3,"")</f>
        <v/>
      </c>
      <c r="AR93" s="71" t="str">
        <f>IF(AR$4&lt;=PARAMETER!$X$2,SUMIF('2024'!$F:$F,$B93,'2024'!AQ:AQ)/PARAMETER!$T$3,"")</f>
        <v/>
      </c>
      <c r="AS93" s="71" t="str">
        <f>IF(AS$4&lt;=PARAMETER!$X$2,SUMIF('2024'!$F:$F,$B93,'2024'!AR:AR)/PARAMETER!$T$3,"")</f>
        <v/>
      </c>
      <c r="AT93" s="71" t="str">
        <f>IF(AT$4&lt;=PARAMETER!$X$2,SUMIF('2024'!$F:$F,$B93,'2024'!AS:AS)/PARAMETER!$T$3,"")</f>
        <v/>
      </c>
      <c r="AU93" s="71" t="str">
        <f>IF(AU$4&lt;=PARAMETER!$X$2,SUMIF('2024'!$F:$F,$B93,'2024'!AT:AT)/PARAMETER!$T$3,"")</f>
        <v/>
      </c>
      <c r="AV93" s="71" t="str">
        <f>IF(AV$4&lt;=PARAMETER!$X$2,SUMIF('2024'!$F:$F,$B93,'2024'!AU:AU)/PARAMETER!$T$3,"")</f>
        <v/>
      </c>
      <c r="AW93" s="71" t="str">
        <f>IF(AW$4&lt;=PARAMETER!$X$2,SUMIF('2024'!$F:$F,$B93,'2024'!AV:AV)/PARAMETER!$T$3,"")</f>
        <v/>
      </c>
      <c r="AX93" s="71" t="str">
        <f>IF(AX$4&lt;=PARAMETER!$X$2,SUMIF('2024'!$F:$F,$B93,'2024'!AW:AW)/PARAMETER!$T$3,"")</f>
        <v/>
      </c>
      <c r="AY93" s="71" t="str">
        <f>IF(AY$4&lt;=PARAMETER!$X$2,SUMIF('2024'!$F:$F,$B93,'2024'!AX:AX)/PARAMETER!$T$3,"")</f>
        <v/>
      </c>
      <c r="AZ93" s="71" t="str">
        <f>IF(AZ$4&lt;=PARAMETER!$X$2,SUMIF('2024'!$F:$F,$B93,'2024'!AY:AY)/PARAMETER!$T$3,"")</f>
        <v/>
      </c>
      <c r="BA93" s="71" t="str">
        <f>IF(BA$4&lt;=PARAMETER!$X$2,SUMIF('2024'!$F:$F,$B93,'2024'!AZ:AZ)/PARAMETER!$T$3,"")</f>
        <v/>
      </c>
      <c r="BB93" s="71" t="str">
        <f>IF(BB$4&lt;=PARAMETER!$X$2,SUMIF('2024'!$F:$F,$B93,'2024'!BA:BA)/PARAMETER!$T$3,"")</f>
        <v/>
      </c>
      <c r="BC93" s="71" t="str">
        <f>IF(BC$4&lt;=PARAMETER!$X$2,SUMIF('2024'!$F:$F,$B93,'2024'!BB:BB)/PARAMETER!$T$3,"")</f>
        <v/>
      </c>
      <c r="BD93" s="71" t="str">
        <f>IF(BD$4&lt;=PARAMETER!$X$2,SUMIF('2024'!$F:$F,$B93,'2024'!BC:BC)/PARAMETER!$T$3,"")</f>
        <v/>
      </c>
      <c r="BE93" s="71" t="str">
        <f>IF(BE$4&lt;=PARAMETER!$X$2,SUMIF('2024'!$F:$F,$B93,'2024'!BD:BD)/PARAMETER!$T$3,"")</f>
        <v/>
      </c>
      <c r="BF93" s="71" t="str">
        <f>IF(BF$4&lt;=PARAMETER!$X$2,SUMIF('2024'!$F:$F,$B93,'2024'!BE:BE)/PARAMETER!$T$3,"")</f>
        <v/>
      </c>
      <c r="BG93" s="71" t="str">
        <f>IF(BG$4&lt;=PARAMETER!$X$2,SUMIF('2024'!$F:$F,$B93,'2024'!BF:BF)/PARAMETER!$T$3,"")</f>
        <v/>
      </c>
      <c r="BH93" s="71" t="str">
        <f>IF(BH$4&lt;=PARAMETER!$X$2,SUMIF('2024'!$F:$F,$B93,'2024'!BG:BG)/PARAMETER!$T$3,"")</f>
        <v/>
      </c>
      <c r="BI93" s="71" t="str">
        <f>IF(BI$4&lt;=PARAMETER!$X$2,SUMIF('2024'!$F:$F,$B93,'2024'!BH:BH)/PARAMETER!$T$3,"")</f>
        <v/>
      </c>
      <c r="BJ93" s="71" t="str">
        <f>IF(BJ$4&lt;=PARAMETER!$X$2,SUMIF('2024'!$F:$F,$B93,'2024'!BI:BI)/PARAMETER!$T$3,"")</f>
        <v/>
      </c>
    </row>
    <row r="94" spans="1:62" x14ac:dyDescent="0.25">
      <c r="A94">
        <v>21</v>
      </c>
      <c r="B94" s="78" t="str">
        <f>CONCATENATE(C94,PARAMETER!T$2)</f>
        <v>VOL</v>
      </c>
      <c r="C94" s="21" t="str">
        <f>IFERROR(VLOOKUP(A94,PARAMETER!K$2:M102,3,0),"")</f>
        <v/>
      </c>
      <c r="D94" s="22" t="s">
        <v>127</v>
      </c>
      <c r="E94" s="37" t="str">
        <f t="shared" ref="E94" si="124">IFERROR(I95/I94,"")</f>
        <v/>
      </c>
      <c r="F94" s="23">
        <f t="shared" ref="F94:F96" si="125">IFERROR(IF(E94&gt;300%,300%,E94),"")</f>
        <v>3</v>
      </c>
      <c r="G94" s="24" t="str">
        <f t="shared" si="115"/>
        <v>Target</v>
      </c>
      <c r="H94" s="25">
        <f>IF(H$4&lt;=PARAMETER!$X$2,SUMIF('2026 T'!$F:$F,$B94,'2026 T'!G:G)/PARAMETER!$T$3,"")</f>
        <v>0</v>
      </c>
      <c r="I94" s="25">
        <f>IF(I$4&lt;=PARAMETER!$X$2,SUMIF('2026 T'!$F:$F,$B94,'2026 T'!H:H)/PARAMETER!$T$3,"")</f>
        <v>0</v>
      </c>
      <c r="J94" s="25">
        <f>IF(J$4&lt;=PARAMETER!$X$2,SUMIF('2026 T'!$F:$F,$B94,'2026 T'!I:I)/PARAMETER!$T$3,"")</f>
        <v>0</v>
      </c>
      <c r="K94" s="25">
        <f>IF(K$4&lt;=PARAMETER!$X$2,SUMIF('2026 T'!$F:$F,$B94,'2026 T'!J:J)/PARAMETER!$T$3,"")</f>
        <v>0</v>
      </c>
      <c r="L94" s="25">
        <f>IF(L$4&lt;=PARAMETER!$X$2,SUMIF('2026 T'!$F:$F,$B94,'2026 T'!K:K)/PARAMETER!$T$3,"")</f>
        <v>0</v>
      </c>
      <c r="M94" s="25">
        <f>IF(M$4&lt;=PARAMETER!$X$2,SUMIF('2026 T'!$F:$F,$B94,'2026 T'!L:L)/PARAMETER!$T$3,"")</f>
        <v>0</v>
      </c>
      <c r="N94" s="25">
        <f>IF(N$4&lt;=PARAMETER!$X$2,SUMIF('2026 T'!$F:$F,$B94,'2026 T'!M:M)/PARAMETER!$T$3,"")</f>
        <v>0</v>
      </c>
      <c r="O94" s="25">
        <f>IF(O$4&lt;=PARAMETER!$X$2,SUMIF('2026 T'!$F:$F,$B94,'2026 T'!N:N)/PARAMETER!$T$3,"")</f>
        <v>0</v>
      </c>
      <c r="P94" s="25">
        <f>IF(P$4&lt;=PARAMETER!$X$2,SUMIF('2026 T'!$F:$F,$B94,'2026 T'!O:O)/PARAMETER!$T$3,"")</f>
        <v>0</v>
      </c>
      <c r="Q94" s="25">
        <f>IF(Q$4&lt;=PARAMETER!$X$2,SUMIF('2026 T'!$F:$F,$B94,'2026 T'!P:P)/PARAMETER!$T$3,"")</f>
        <v>0</v>
      </c>
      <c r="R94" s="25">
        <f>IF(R$4&lt;=PARAMETER!$X$2,SUMIF('2026 T'!$F:$F,$B94,'2026 T'!Q:Q)/PARAMETER!$T$3,"")</f>
        <v>0</v>
      </c>
      <c r="S94" s="25">
        <f>IF(S$4&lt;=PARAMETER!$X$2,SUMIF('2026 T'!$F:$F,$B94,'2026 T'!R:R)/PARAMETER!$T$3,"")</f>
        <v>0</v>
      </c>
      <c r="T94" s="25">
        <f>IF(T$4&lt;=PARAMETER!$X$2,SUMIF('2026 T'!$F:$F,$B94,'2026 T'!S:S)/PARAMETER!$T$3,"")</f>
        <v>0</v>
      </c>
      <c r="U94" s="25" t="str">
        <f>IF(U$4&lt;=PARAMETER!$X$2,SUMIF('2026 T'!$F:$F,$B94,'2026 T'!T:T)/PARAMETER!$T$3,"")</f>
        <v/>
      </c>
      <c r="V94" s="25" t="str">
        <f>IF(V$4&lt;=PARAMETER!$X$2,SUMIF('2026 T'!$F:$F,$B94,'2026 T'!U:U)/PARAMETER!$T$3,"")</f>
        <v/>
      </c>
      <c r="W94" s="25" t="str">
        <f>IF(W$4&lt;=PARAMETER!$X$2,SUMIF('2026 T'!$F:$F,$B94,'2026 T'!V:V)/PARAMETER!$T$3,"")</f>
        <v/>
      </c>
      <c r="X94" s="25" t="str">
        <f>IF(X$4&lt;=PARAMETER!$X$2,SUMIF('2026 T'!$F:$F,$B94,'2026 T'!W:W)/PARAMETER!$T$3,"")</f>
        <v/>
      </c>
      <c r="Y94" s="25" t="str">
        <f>IF(Y$4&lt;=PARAMETER!$X$2,SUMIF('2026 T'!$F:$F,$B94,'2026 T'!X:X)/PARAMETER!$T$3,"")</f>
        <v/>
      </c>
      <c r="Z94" s="25" t="str">
        <f>IF(Z$4&lt;=PARAMETER!$X$2,SUMIF('2026 T'!$F:$F,$B94,'2026 T'!Y:Y)/PARAMETER!$T$3,"")</f>
        <v/>
      </c>
      <c r="AA94" s="25" t="str">
        <f>IF(AA$4&lt;=PARAMETER!$X$2,SUMIF('2026 T'!$F:$F,$B94,'2026 T'!Z:Z)/PARAMETER!$T$3,"")</f>
        <v/>
      </c>
      <c r="AB94" s="25" t="str">
        <f>IF(AB$4&lt;=PARAMETER!$X$2,SUMIF('2026 T'!$F:$F,$B94,'2026 T'!AA:AA)/PARAMETER!$T$3,"")</f>
        <v/>
      </c>
      <c r="AC94" s="25" t="str">
        <f>IF(AC$4&lt;=PARAMETER!$X$2,SUMIF('2026 T'!$F:$F,$B94,'2026 T'!AB:AB)/PARAMETER!$T$3,"")</f>
        <v/>
      </c>
      <c r="AD94" s="25" t="str">
        <f>IF(AD$4&lt;=PARAMETER!$X$2,SUMIF('2026 T'!$F:$F,$B94,'2026 T'!AC:AC)/PARAMETER!$T$3,"")</f>
        <v/>
      </c>
      <c r="AE94" s="25" t="str">
        <f>IF(AE$4&lt;=PARAMETER!$X$2,SUMIF('2026 T'!$F:$F,$B94,'2026 T'!AD:AD)/PARAMETER!$T$3,"")</f>
        <v/>
      </c>
      <c r="AF94" s="25" t="str">
        <f>IF(AF$4&lt;=PARAMETER!$X$2,SUMIF('2026 T'!$F:$F,$B94,'2026 T'!AE:AE)/PARAMETER!$T$3,"")</f>
        <v/>
      </c>
      <c r="AG94" s="25" t="str">
        <f>IF(AG$4&lt;=PARAMETER!$X$2,SUMIF('2026 T'!$F:$F,$B94,'2026 T'!AF:AF)/PARAMETER!$T$3,"")</f>
        <v/>
      </c>
      <c r="AH94" s="25" t="str">
        <f>IF(AH$4&lt;=PARAMETER!$X$2,SUMIF('2026 T'!$F:$F,$B94,'2026 T'!AG:AG)/PARAMETER!$T$3,"")</f>
        <v/>
      </c>
      <c r="AI94" s="25" t="str">
        <f>IF(AI$4&lt;=PARAMETER!$X$2,SUMIF('2026 T'!$F:$F,$B94,'2026 T'!AH:AH)/PARAMETER!$T$3,"")</f>
        <v/>
      </c>
      <c r="AJ94" s="25" t="str">
        <f>IF(AJ$4&lt;=PARAMETER!$X$2,SUMIF('2026 T'!$F:$F,$B94,'2026 T'!AI:AI)/PARAMETER!$T$3,"")</f>
        <v/>
      </c>
      <c r="AK94" s="25" t="str">
        <f>IF(AK$4&lt;=PARAMETER!$X$2,SUMIF('2026 T'!$F:$F,$B94,'2026 T'!AJ:AJ)/PARAMETER!$T$3,"")</f>
        <v/>
      </c>
      <c r="AL94" s="25" t="str">
        <f>IF(AL$4&lt;=PARAMETER!$X$2,SUMIF('2026 T'!$F:$F,$B94,'2026 T'!AK:AK)/PARAMETER!$T$3,"")</f>
        <v/>
      </c>
      <c r="AM94" s="25" t="str">
        <f>IF(AM$4&lt;=PARAMETER!$X$2,SUMIF('2026 T'!$F:$F,$B94,'2026 T'!AL:AL)/PARAMETER!$T$3,"")</f>
        <v/>
      </c>
      <c r="AN94" s="25" t="str">
        <f>IF(AN$4&lt;=PARAMETER!$X$2,SUMIF('2026 T'!$F:$F,$B94,'2026 T'!AM:AM)/PARAMETER!$T$3,"")</f>
        <v/>
      </c>
      <c r="AO94" s="25" t="str">
        <f>IF(AO$4&lt;=PARAMETER!$X$2,SUMIF('2026 T'!$F:$F,$B94,'2026 T'!AN:AN)/PARAMETER!$T$3,"")</f>
        <v/>
      </c>
      <c r="AP94" s="25" t="str">
        <f>IF(AP$4&lt;=PARAMETER!$X$2,SUMIF('2026 T'!$F:$F,$B94,'2026 T'!AO:AO)/PARAMETER!$T$3,"")</f>
        <v/>
      </c>
      <c r="AQ94" s="25" t="str">
        <f>IF(AQ$4&lt;=PARAMETER!$X$2,SUMIF('2026 T'!$F:$F,$B94,'2026 T'!AP:AP)/PARAMETER!$T$3,"")</f>
        <v/>
      </c>
      <c r="AR94" s="25" t="str">
        <f>IF(AR$4&lt;=PARAMETER!$X$2,SUMIF('2026 T'!$F:$F,$B94,'2026 T'!AQ:AQ)/PARAMETER!$T$3,"")</f>
        <v/>
      </c>
      <c r="AS94" s="25" t="str">
        <f>IF(AS$4&lt;=PARAMETER!$X$2,SUMIF('2026 T'!$F:$F,$B94,'2026 T'!AR:AR)/PARAMETER!$T$3,"")</f>
        <v/>
      </c>
      <c r="AT94" s="25" t="str">
        <f>IF(AT$4&lt;=PARAMETER!$X$2,SUMIF('2026 T'!$F:$F,$B94,'2026 T'!AS:AS)/PARAMETER!$T$3,"")</f>
        <v/>
      </c>
      <c r="AU94" s="25" t="str">
        <f>IF(AU$4&lt;=PARAMETER!$X$2,SUMIF('2026 T'!$F:$F,$B94,'2026 T'!AT:AT)/PARAMETER!$T$3,"")</f>
        <v/>
      </c>
      <c r="AV94" s="25" t="str">
        <f>IF(AV$4&lt;=PARAMETER!$X$2,SUMIF('2026 T'!$F:$F,$B94,'2026 T'!AU:AU)/PARAMETER!$T$3,"")</f>
        <v/>
      </c>
      <c r="AW94" s="25" t="str">
        <f>IF(AW$4&lt;=PARAMETER!$X$2,SUMIF('2026 T'!$F:$F,$B94,'2026 T'!AV:AV)/PARAMETER!$T$3,"")</f>
        <v/>
      </c>
      <c r="AX94" s="25" t="str">
        <f>IF(AX$4&lt;=PARAMETER!$X$2,SUMIF('2026 T'!$F:$F,$B94,'2026 T'!AW:AW)/PARAMETER!$T$3,"")</f>
        <v/>
      </c>
      <c r="AY94" s="25" t="str">
        <f>IF(AY$4&lt;=PARAMETER!$X$2,SUMIF('2026 T'!$F:$F,$B94,'2026 T'!AX:AX)/PARAMETER!$T$3,"")</f>
        <v/>
      </c>
      <c r="AZ94" s="25" t="str">
        <f>IF(AZ$4&lt;=PARAMETER!$X$2,SUMIF('2026 T'!$F:$F,$B94,'2026 T'!AY:AY)/PARAMETER!$T$3,"")</f>
        <v/>
      </c>
      <c r="BA94" s="25" t="str">
        <f>IF(BA$4&lt;=PARAMETER!$X$2,SUMIF('2026 T'!$F:$F,$B94,'2026 T'!AZ:AZ)/PARAMETER!$T$3,"")</f>
        <v/>
      </c>
      <c r="BB94" s="25" t="str">
        <f>IF(BB$4&lt;=PARAMETER!$X$2,SUMIF('2026 T'!$F:$F,$B94,'2026 T'!BA:BA)/PARAMETER!$T$3,"")</f>
        <v/>
      </c>
      <c r="BC94" s="25" t="str">
        <f>IF(BC$4&lt;=PARAMETER!$X$2,SUMIF('2026 T'!$F:$F,$B94,'2026 T'!BB:BB)/PARAMETER!$T$3,"")</f>
        <v/>
      </c>
      <c r="BD94" s="25" t="str">
        <f>IF(BD$4&lt;=PARAMETER!$X$2,SUMIF('2026 T'!$F:$F,$B94,'2026 T'!BC:BC)/PARAMETER!$T$3,"")</f>
        <v/>
      </c>
      <c r="BE94" s="25" t="str">
        <f>IF(BE$4&lt;=PARAMETER!$X$2,SUMIF('2026 T'!$F:$F,$B94,'2026 T'!BD:BD)/PARAMETER!$T$3,"")</f>
        <v/>
      </c>
      <c r="BF94" s="25" t="str">
        <f>IF(BF$4&lt;=PARAMETER!$X$2,SUMIF('2026 T'!$F:$F,$B94,'2026 T'!BE:BE)/PARAMETER!$T$3,"")</f>
        <v/>
      </c>
      <c r="BG94" s="25" t="str">
        <f>IF(BG$4&lt;=PARAMETER!$X$2,SUMIF('2026 T'!$F:$F,$B94,'2026 T'!BF:BF)/PARAMETER!$T$3,"")</f>
        <v/>
      </c>
      <c r="BH94" s="25" t="str">
        <f>IF(BH$4&lt;=PARAMETER!$X$2,SUMIF('2026 T'!$F:$F,$B94,'2026 T'!BG:BG)/PARAMETER!$T$3,"")</f>
        <v/>
      </c>
      <c r="BI94" s="25" t="str">
        <f>IF(BI$4&lt;=PARAMETER!$X$2,SUMIF('2026 T'!$F:$F,$B94,'2026 T'!BH:BH)/PARAMETER!$T$3,"")</f>
        <v/>
      </c>
      <c r="BJ94" s="25" t="str">
        <f>IF(BJ$4&lt;=PARAMETER!$X$2,SUMIF('2026 T'!$F:$F,$B94,'2026 T'!BI:BI)/PARAMETER!$T$3,"")</f>
        <v/>
      </c>
    </row>
    <row r="95" spans="1:62" x14ac:dyDescent="0.25">
      <c r="A95">
        <f t="shared" ref="A95:A96" si="126">A94</f>
        <v>21</v>
      </c>
      <c r="B95" s="78" t="str">
        <f>CONCATENATE(C95,PARAMETER!T$2)</f>
        <v>VOL</v>
      </c>
      <c r="C95" s="26" t="str">
        <f t="shared" ref="C95:C97" si="127">C94</f>
        <v/>
      </c>
      <c r="D95" s="27" t="s">
        <v>128</v>
      </c>
      <c r="E95" s="35" t="str">
        <f t="shared" ref="E95:E96" si="128">IFERROR(I95/I96-1,"")</f>
        <v/>
      </c>
      <c r="F95" s="28">
        <f t="shared" si="125"/>
        <v>3</v>
      </c>
      <c r="G95" s="39">
        <f t="shared" si="115"/>
        <v>2026</v>
      </c>
      <c r="H95" s="40">
        <f>IF(H$4&lt;=PARAMETER!$X$2,SUMIF('2026'!$F:$F,$B95,'2026'!G:G)/PARAMETER!$T$3,"")</f>
        <v>0</v>
      </c>
      <c r="I95" s="40">
        <f>IF(I$4&lt;=PARAMETER!$X$2,SUMIF('2026'!$F:$F,$B95,'2026'!H:H)/PARAMETER!$T$3,"")</f>
        <v>0</v>
      </c>
      <c r="J95" s="40">
        <f>IF(J$4&lt;=PARAMETER!$X$2,SUMIF('2026'!$F:$F,$B95,'2026'!I:I)/PARAMETER!$T$3,"")</f>
        <v>0</v>
      </c>
      <c r="K95" s="40">
        <f>IF(K$4&lt;=PARAMETER!$X$2,SUMIF('2026'!$F:$F,$B95,'2026'!J:J)/PARAMETER!$T$3,"")</f>
        <v>0</v>
      </c>
      <c r="L95" s="40">
        <f>IF(L$4&lt;=PARAMETER!$X$2,SUMIF('2026'!$F:$F,$B95,'2026'!K:K)/PARAMETER!$T$3,"")</f>
        <v>0</v>
      </c>
      <c r="M95" s="40">
        <f>IF(M$4&lt;=PARAMETER!$X$2,SUMIF('2026'!$F:$F,$B95,'2026'!L:L)/PARAMETER!$T$3,"")</f>
        <v>0</v>
      </c>
      <c r="N95" s="40">
        <f>IF(N$4&lt;=PARAMETER!$X$2,SUMIF('2026'!$F:$F,$B95,'2026'!M:M)/PARAMETER!$T$3,"")</f>
        <v>0</v>
      </c>
      <c r="O95" s="40">
        <f>IF(O$4&lt;=PARAMETER!$X$2,SUMIF('2026'!$F:$F,$B95,'2026'!N:N)/PARAMETER!$T$3,"")</f>
        <v>0</v>
      </c>
      <c r="P95" s="40">
        <f>IF(P$4&lt;=PARAMETER!$X$2,SUMIF('2026'!$F:$F,$B95,'2026'!O:O)/PARAMETER!$T$3,"")</f>
        <v>0</v>
      </c>
      <c r="Q95" s="40">
        <f>IF(Q$4&lt;=PARAMETER!$X$2,SUMIF('2026'!$F:$F,$B95,'2026'!P:P)/PARAMETER!$T$3,"")</f>
        <v>0</v>
      </c>
      <c r="R95" s="40">
        <f>IF(R$4&lt;=PARAMETER!$X$2,SUMIF('2026'!$F:$F,$B95,'2026'!Q:Q)/PARAMETER!$T$3,"")</f>
        <v>0</v>
      </c>
      <c r="S95" s="40">
        <f>IF(S$4&lt;=PARAMETER!$X$2,SUMIF('2026'!$F:$F,$B95,'2026'!R:R)/PARAMETER!$T$3,"")</f>
        <v>0</v>
      </c>
      <c r="T95" s="40">
        <f>IF(T$4&lt;=PARAMETER!$X$2,SUMIF('2026'!$F:$F,$B95,'2026'!S:S)/PARAMETER!$T$3,"")</f>
        <v>0</v>
      </c>
      <c r="U95" s="40" t="str">
        <f>IF(U$4&lt;=PARAMETER!$X$2,SUMIF('2026'!$F:$F,$B95,'2026'!T:T)/PARAMETER!$T$3,"")</f>
        <v/>
      </c>
      <c r="V95" s="40" t="str">
        <f>IF(V$4&lt;=PARAMETER!$X$2,SUMIF('2026'!$F:$F,$B95,'2026'!U:U)/PARAMETER!$T$3,"")</f>
        <v/>
      </c>
      <c r="W95" s="40" t="str">
        <f>IF(W$4&lt;=PARAMETER!$X$2,SUMIF('2026'!$F:$F,$B95,'2026'!V:V)/PARAMETER!$T$3,"")</f>
        <v/>
      </c>
      <c r="X95" s="40" t="str">
        <f>IF(X$4&lt;=PARAMETER!$X$2,SUMIF('2026'!$F:$F,$B95,'2026'!W:W)/PARAMETER!$T$3,"")</f>
        <v/>
      </c>
      <c r="Y95" s="40" t="str">
        <f>IF(Y$4&lt;=PARAMETER!$X$2,SUMIF('2026'!$F:$F,$B95,'2026'!X:X)/PARAMETER!$T$3,"")</f>
        <v/>
      </c>
      <c r="Z95" s="40" t="str">
        <f>IF(Z$4&lt;=PARAMETER!$X$2,SUMIF('2026'!$F:$F,$B95,'2026'!Y:Y)/PARAMETER!$T$3,"")</f>
        <v/>
      </c>
      <c r="AA95" s="40" t="str">
        <f>IF(AA$4&lt;=PARAMETER!$X$2,SUMIF('2026'!$F:$F,$B95,'2026'!Z:Z)/PARAMETER!$T$3,"")</f>
        <v/>
      </c>
      <c r="AB95" s="40" t="str">
        <f>IF(AB$4&lt;=PARAMETER!$X$2,SUMIF('2026'!$F:$F,$B95,'2026'!AA:AA)/PARAMETER!$T$3,"")</f>
        <v/>
      </c>
      <c r="AC95" s="40" t="str">
        <f>IF(AC$4&lt;=PARAMETER!$X$2,SUMIF('2026'!$F:$F,$B95,'2026'!AB:AB)/PARAMETER!$T$3,"")</f>
        <v/>
      </c>
      <c r="AD95" s="40" t="str">
        <f>IF(AD$4&lt;=PARAMETER!$X$2,SUMIF('2026'!$F:$F,$B95,'2026'!AC:AC)/PARAMETER!$T$3,"")</f>
        <v/>
      </c>
      <c r="AE95" s="40" t="str">
        <f>IF(AE$4&lt;=PARAMETER!$X$2,SUMIF('2026'!$F:$F,$B95,'2026'!AD:AD)/PARAMETER!$T$3,"")</f>
        <v/>
      </c>
      <c r="AF95" s="40" t="str">
        <f>IF(AF$4&lt;=PARAMETER!$X$2,SUMIF('2026'!$F:$F,$B95,'2026'!AE:AE)/PARAMETER!$T$3,"")</f>
        <v/>
      </c>
      <c r="AG95" s="40" t="str">
        <f>IF(AG$4&lt;=PARAMETER!$X$2,SUMIF('2026'!$F:$F,$B95,'2026'!AF:AF)/PARAMETER!$T$3,"")</f>
        <v/>
      </c>
      <c r="AH95" s="40" t="str">
        <f>IF(AH$4&lt;=PARAMETER!$X$2,SUMIF('2026'!$F:$F,$B95,'2026'!AG:AG)/PARAMETER!$T$3,"")</f>
        <v/>
      </c>
      <c r="AI95" s="40" t="str">
        <f>IF(AI$4&lt;=PARAMETER!$X$2,SUMIF('2026'!$F:$F,$B95,'2026'!AH:AH)/PARAMETER!$T$3,"")</f>
        <v/>
      </c>
      <c r="AJ95" s="40" t="str">
        <f>IF(AJ$4&lt;=PARAMETER!$X$2,SUMIF('2026'!$F:$F,$B95,'2026'!AI:AI)/PARAMETER!$T$3,"")</f>
        <v/>
      </c>
      <c r="AK95" s="40" t="str">
        <f>IF(AK$4&lt;=PARAMETER!$X$2,SUMIF('2026'!$F:$F,$B95,'2026'!AJ:AJ)/PARAMETER!$T$3,"")</f>
        <v/>
      </c>
      <c r="AL95" s="40" t="str">
        <f>IF(AL$4&lt;=PARAMETER!$X$2,SUMIF('2026'!$F:$F,$B95,'2026'!AK:AK)/PARAMETER!$T$3,"")</f>
        <v/>
      </c>
      <c r="AM95" s="40" t="str">
        <f>IF(AM$4&lt;=PARAMETER!$X$2,SUMIF('2026'!$F:$F,$B95,'2026'!AL:AL)/PARAMETER!$T$3,"")</f>
        <v/>
      </c>
      <c r="AN95" s="40" t="str">
        <f>IF(AN$4&lt;=PARAMETER!$X$2,SUMIF('2026'!$F:$F,$B95,'2026'!AM:AM)/PARAMETER!$T$3,"")</f>
        <v/>
      </c>
      <c r="AO95" s="40" t="str">
        <f>IF(AO$4&lt;=PARAMETER!$X$2,SUMIF('2026'!$F:$F,$B95,'2026'!AN:AN)/PARAMETER!$T$3,"")</f>
        <v/>
      </c>
      <c r="AP95" s="40" t="str">
        <f>IF(AP$4&lt;=PARAMETER!$X$2,SUMIF('2026'!$F:$F,$B95,'2026'!AO:AO)/PARAMETER!$T$3,"")</f>
        <v/>
      </c>
      <c r="AQ95" s="40" t="str">
        <f>IF(AQ$4&lt;=PARAMETER!$X$2,SUMIF('2026'!$F:$F,$B95,'2026'!AP:AP)/PARAMETER!$T$3,"")</f>
        <v/>
      </c>
      <c r="AR95" s="40" t="str">
        <f>IF(AR$4&lt;=PARAMETER!$X$2,SUMIF('2026'!$F:$F,$B95,'2026'!AQ:AQ)/PARAMETER!$T$3,"")</f>
        <v/>
      </c>
      <c r="AS95" s="40" t="str">
        <f>IF(AS$4&lt;=PARAMETER!$X$2,SUMIF('2026'!$F:$F,$B95,'2026'!AR:AR)/PARAMETER!$T$3,"")</f>
        <v/>
      </c>
      <c r="AT95" s="40" t="str">
        <f>IF(AT$4&lt;=PARAMETER!$X$2,SUMIF('2026'!$F:$F,$B95,'2026'!AS:AS)/PARAMETER!$T$3,"")</f>
        <v/>
      </c>
      <c r="AU95" s="40" t="str">
        <f>IF(AU$4&lt;=PARAMETER!$X$2,SUMIF('2026'!$F:$F,$B95,'2026'!AT:AT)/PARAMETER!$T$3,"")</f>
        <v/>
      </c>
      <c r="AV95" s="40" t="str">
        <f>IF(AV$4&lt;=PARAMETER!$X$2,SUMIF('2026'!$F:$F,$B95,'2026'!AU:AU)/PARAMETER!$T$3,"")</f>
        <v/>
      </c>
      <c r="AW95" s="40" t="str">
        <f>IF(AW$4&lt;=PARAMETER!$X$2,SUMIF('2026'!$F:$F,$B95,'2026'!AV:AV)/PARAMETER!$T$3,"")</f>
        <v/>
      </c>
      <c r="AX95" s="40" t="str">
        <f>IF(AX$4&lt;=PARAMETER!$X$2,SUMIF('2026'!$F:$F,$B95,'2026'!AW:AW)/PARAMETER!$T$3,"")</f>
        <v/>
      </c>
      <c r="AY95" s="40" t="str">
        <f>IF(AY$4&lt;=PARAMETER!$X$2,SUMIF('2026'!$F:$F,$B95,'2026'!AX:AX)/PARAMETER!$T$3,"")</f>
        <v/>
      </c>
      <c r="AZ95" s="40" t="str">
        <f>IF(AZ$4&lt;=PARAMETER!$X$2,SUMIF('2026'!$F:$F,$B95,'2026'!AY:AY)/PARAMETER!$T$3,"")</f>
        <v/>
      </c>
      <c r="BA95" s="40" t="str">
        <f>IF(BA$4&lt;=PARAMETER!$X$2,SUMIF('2026'!$F:$F,$B95,'2026'!AZ:AZ)/PARAMETER!$T$3,"")</f>
        <v/>
      </c>
      <c r="BB95" s="40" t="str">
        <f>IF(BB$4&lt;=PARAMETER!$X$2,SUMIF('2026'!$F:$F,$B95,'2026'!BA:BA)/PARAMETER!$T$3,"")</f>
        <v/>
      </c>
      <c r="BC95" s="40" t="str">
        <f>IF(BC$4&lt;=PARAMETER!$X$2,SUMIF('2026'!$F:$F,$B95,'2026'!BB:BB)/PARAMETER!$T$3,"")</f>
        <v/>
      </c>
      <c r="BD95" s="40" t="str">
        <f>IF(BD$4&lt;=PARAMETER!$X$2,SUMIF('2026'!$F:$F,$B95,'2026'!BC:BC)/PARAMETER!$T$3,"")</f>
        <v/>
      </c>
      <c r="BE95" s="40" t="str">
        <f>IF(BE$4&lt;=PARAMETER!$X$2,SUMIF('2026'!$F:$F,$B95,'2026'!BD:BD)/PARAMETER!$T$3,"")</f>
        <v/>
      </c>
      <c r="BF95" s="40" t="str">
        <f>IF(BF$4&lt;=PARAMETER!$X$2,SUMIF('2026'!$F:$F,$B95,'2026'!BE:BE)/PARAMETER!$T$3,"")</f>
        <v/>
      </c>
      <c r="BG95" s="40" t="str">
        <f>IF(BG$4&lt;=PARAMETER!$X$2,SUMIF('2026'!$F:$F,$B95,'2026'!BF:BF)/PARAMETER!$T$3,"")</f>
        <v/>
      </c>
      <c r="BH95" s="40" t="str">
        <f>IF(BH$4&lt;=PARAMETER!$X$2,SUMIF('2026'!$F:$F,$B95,'2026'!BG:BG)/PARAMETER!$T$3,"")</f>
        <v/>
      </c>
      <c r="BI95" s="40" t="str">
        <f>IF(BI$4&lt;=PARAMETER!$X$2,SUMIF('2026'!$F:$F,$B95,'2026'!BH:BH)/PARAMETER!$T$3,"")</f>
        <v/>
      </c>
      <c r="BJ95" s="40" t="str">
        <f>IF(BJ$4&lt;=PARAMETER!$X$2,SUMIF('2026'!$F:$F,$B95,'2026'!BI:BI)/PARAMETER!$T$3,"")</f>
        <v/>
      </c>
    </row>
    <row r="96" spans="1:62" x14ac:dyDescent="0.25">
      <c r="A96">
        <f t="shared" si="126"/>
        <v>21</v>
      </c>
      <c r="B96" s="78" t="str">
        <f>CONCATENATE(C96,PARAMETER!T$2)</f>
        <v>VOL</v>
      </c>
      <c r="C96" s="26" t="str">
        <f t="shared" si="127"/>
        <v/>
      </c>
      <c r="D96" s="27" t="s">
        <v>128</v>
      </c>
      <c r="E96" s="35" t="str">
        <f t="shared" si="128"/>
        <v/>
      </c>
      <c r="F96" s="28">
        <f t="shared" si="125"/>
        <v>3</v>
      </c>
      <c r="G96" s="39">
        <f t="shared" si="115"/>
        <v>2025</v>
      </c>
      <c r="H96" s="40">
        <f>IF(H$4&lt;=PARAMETER!$X$2,SUMIF('2025'!$F:$F,$B96,'2025'!G:G)/PARAMETER!$T$3,"")</f>
        <v>0</v>
      </c>
      <c r="I96" s="40">
        <f>IF(I$4&lt;=PARAMETER!$X$2,SUMIF('2025'!$F:$F,$B96,'2025'!H:H)/PARAMETER!$T$3,"")</f>
        <v>0</v>
      </c>
      <c r="J96" s="40">
        <f>IF(J$4&lt;=PARAMETER!$X$2,SUMIF('2025'!$F:$F,$B96,'2025'!I:I)/PARAMETER!$T$3,"")</f>
        <v>0</v>
      </c>
      <c r="K96" s="40">
        <f>IF(K$4&lt;=PARAMETER!$X$2,SUMIF('2025'!$F:$F,$B96,'2025'!J:J)/PARAMETER!$T$3,"")</f>
        <v>0</v>
      </c>
      <c r="L96" s="40">
        <f>IF(L$4&lt;=PARAMETER!$X$2,SUMIF('2025'!$F:$F,$B96,'2025'!K:K)/PARAMETER!$T$3,"")</f>
        <v>0</v>
      </c>
      <c r="M96" s="40">
        <f>IF(M$4&lt;=PARAMETER!$X$2,SUMIF('2025'!$F:$F,$B96,'2025'!L:L)/PARAMETER!$T$3,"")</f>
        <v>0</v>
      </c>
      <c r="N96" s="40">
        <f>IF(N$4&lt;=PARAMETER!$X$2,SUMIF('2025'!$F:$F,$B96,'2025'!M:M)/PARAMETER!$T$3,"")</f>
        <v>0</v>
      </c>
      <c r="O96" s="40">
        <f>IF(O$4&lt;=PARAMETER!$X$2,SUMIF('2025'!$F:$F,$B96,'2025'!N:N)/PARAMETER!$T$3,"")</f>
        <v>0</v>
      </c>
      <c r="P96" s="40">
        <f>IF(P$4&lt;=PARAMETER!$X$2,SUMIF('2025'!$F:$F,$B96,'2025'!O:O)/PARAMETER!$T$3,"")</f>
        <v>0</v>
      </c>
      <c r="Q96" s="40">
        <f>IF(Q$4&lt;=PARAMETER!$X$2,SUMIF('2025'!$F:$F,$B96,'2025'!P:P)/PARAMETER!$T$3,"")</f>
        <v>0</v>
      </c>
      <c r="R96" s="40">
        <f>IF(R$4&lt;=PARAMETER!$X$2,SUMIF('2025'!$F:$F,$B96,'2025'!Q:Q)/PARAMETER!$T$3,"")</f>
        <v>0</v>
      </c>
      <c r="S96" s="40">
        <f>IF(S$4&lt;=PARAMETER!$X$2,SUMIF('2025'!$F:$F,$B96,'2025'!R:R)/PARAMETER!$T$3,"")</f>
        <v>0</v>
      </c>
      <c r="T96" s="40">
        <f>IF(T$4&lt;=PARAMETER!$X$2,SUMIF('2025'!$F:$F,$B96,'2025'!S:S)/PARAMETER!$T$3,"")</f>
        <v>0</v>
      </c>
      <c r="U96" s="40" t="str">
        <f>IF(U$4&lt;=PARAMETER!$X$2,SUMIF('2025'!$F:$F,$B96,'2025'!T:T)/PARAMETER!$T$3,"")</f>
        <v/>
      </c>
      <c r="V96" s="40" t="str">
        <f>IF(V$4&lt;=PARAMETER!$X$2,SUMIF('2025'!$F:$F,$B96,'2025'!U:U)/PARAMETER!$T$3,"")</f>
        <v/>
      </c>
      <c r="W96" s="40" t="str">
        <f>IF(W$4&lt;=PARAMETER!$X$2,SUMIF('2025'!$F:$F,$B96,'2025'!V:V)/PARAMETER!$T$3,"")</f>
        <v/>
      </c>
      <c r="X96" s="40" t="str">
        <f>IF(X$4&lt;=PARAMETER!$X$2,SUMIF('2025'!$F:$F,$B96,'2025'!W:W)/PARAMETER!$T$3,"")</f>
        <v/>
      </c>
      <c r="Y96" s="40" t="str">
        <f>IF(Y$4&lt;=PARAMETER!$X$2,SUMIF('2025'!$F:$F,$B96,'2025'!X:X)/PARAMETER!$T$3,"")</f>
        <v/>
      </c>
      <c r="Z96" s="40" t="str">
        <f>IF(Z$4&lt;=PARAMETER!$X$2,SUMIF('2025'!$F:$F,$B96,'2025'!Y:Y)/PARAMETER!$T$3,"")</f>
        <v/>
      </c>
      <c r="AA96" s="40" t="str">
        <f>IF(AA$4&lt;=PARAMETER!$X$2,SUMIF('2025'!$F:$F,$B96,'2025'!Z:Z)/PARAMETER!$T$3,"")</f>
        <v/>
      </c>
      <c r="AB96" s="40" t="str">
        <f>IF(AB$4&lt;=PARAMETER!$X$2,SUMIF('2025'!$F:$F,$B96,'2025'!AA:AA)/PARAMETER!$T$3,"")</f>
        <v/>
      </c>
      <c r="AC96" s="40" t="str">
        <f>IF(AC$4&lt;=PARAMETER!$X$2,SUMIF('2025'!$F:$F,$B96,'2025'!AB:AB)/PARAMETER!$T$3,"")</f>
        <v/>
      </c>
      <c r="AD96" s="40" t="str">
        <f>IF(AD$4&lt;=PARAMETER!$X$2,SUMIF('2025'!$F:$F,$B96,'2025'!AC:AC)/PARAMETER!$T$3,"")</f>
        <v/>
      </c>
      <c r="AE96" s="40" t="str">
        <f>IF(AE$4&lt;=PARAMETER!$X$2,SUMIF('2025'!$F:$F,$B96,'2025'!AD:AD)/PARAMETER!$T$3,"")</f>
        <v/>
      </c>
      <c r="AF96" s="40" t="str">
        <f>IF(AF$4&lt;=PARAMETER!$X$2,SUMIF('2025'!$F:$F,$B96,'2025'!AE:AE)/PARAMETER!$T$3,"")</f>
        <v/>
      </c>
      <c r="AG96" s="40" t="str">
        <f>IF(AG$4&lt;=PARAMETER!$X$2,SUMIF('2025'!$F:$F,$B96,'2025'!AF:AF)/PARAMETER!$T$3,"")</f>
        <v/>
      </c>
      <c r="AH96" s="40" t="str">
        <f>IF(AH$4&lt;=PARAMETER!$X$2,SUMIF('2025'!$F:$F,$B96,'2025'!AG:AG)/PARAMETER!$T$3,"")</f>
        <v/>
      </c>
      <c r="AI96" s="40" t="str">
        <f>IF(AI$4&lt;=PARAMETER!$X$2,SUMIF('2025'!$F:$F,$B96,'2025'!AH:AH)/PARAMETER!$T$3,"")</f>
        <v/>
      </c>
      <c r="AJ96" s="40" t="str">
        <f>IF(AJ$4&lt;=PARAMETER!$X$2,SUMIF('2025'!$F:$F,$B96,'2025'!AI:AI)/PARAMETER!$T$3,"")</f>
        <v/>
      </c>
      <c r="AK96" s="40" t="str">
        <f>IF(AK$4&lt;=PARAMETER!$X$2,SUMIF('2025'!$F:$F,$B96,'2025'!AJ:AJ)/PARAMETER!$T$3,"")</f>
        <v/>
      </c>
      <c r="AL96" s="40" t="str">
        <f>IF(AL$4&lt;=PARAMETER!$X$2,SUMIF('2025'!$F:$F,$B96,'2025'!AK:AK)/PARAMETER!$T$3,"")</f>
        <v/>
      </c>
      <c r="AM96" s="40" t="str">
        <f>IF(AM$4&lt;=PARAMETER!$X$2,SUMIF('2025'!$F:$F,$B96,'2025'!AL:AL)/PARAMETER!$T$3,"")</f>
        <v/>
      </c>
      <c r="AN96" s="40" t="str">
        <f>IF(AN$4&lt;=PARAMETER!$X$2,SUMIF('2025'!$F:$F,$B96,'2025'!AM:AM)/PARAMETER!$T$3,"")</f>
        <v/>
      </c>
      <c r="AO96" s="40" t="str">
        <f>IF(AO$4&lt;=PARAMETER!$X$2,SUMIF('2025'!$F:$F,$B96,'2025'!AN:AN)/PARAMETER!$T$3,"")</f>
        <v/>
      </c>
      <c r="AP96" s="40" t="str">
        <f>IF(AP$4&lt;=PARAMETER!$X$2,SUMIF('2025'!$F:$F,$B96,'2025'!AO:AO)/PARAMETER!$T$3,"")</f>
        <v/>
      </c>
      <c r="AQ96" s="40" t="str">
        <f>IF(AQ$4&lt;=PARAMETER!$X$2,SUMIF('2025'!$F:$F,$B96,'2025'!AP:AP)/PARAMETER!$T$3,"")</f>
        <v/>
      </c>
      <c r="AR96" s="40" t="str">
        <f>IF(AR$4&lt;=PARAMETER!$X$2,SUMIF('2025'!$F:$F,$B96,'2025'!AQ:AQ)/PARAMETER!$T$3,"")</f>
        <v/>
      </c>
      <c r="AS96" s="40" t="str">
        <f>IF(AS$4&lt;=PARAMETER!$X$2,SUMIF('2025'!$F:$F,$B96,'2025'!AR:AR)/PARAMETER!$T$3,"")</f>
        <v/>
      </c>
      <c r="AT96" s="40" t="str">
        <f>IF(AT$4&lt;=PARAMETER!$X$2,SUMIF('2025'!$F:$F,$B96,'2025'!AS:AS)/PARAMETER!$T$3,"")</f>
        <v/>
      </c>
      <c r="AU96" s="40" t="str">
        <f>IF(AU$4&lt;=PARAMETER!$X$2,SUMIF('2025'!$F:$F,$B96,'2025'!AT:AT)/PARAMETER!$T$3,"")</f>
        <v/>
      </c>
      <c r="AV96" s="40" t="str">
        <f>IF(AV$4&lt;=PARAMETER!$X$2,SUMIF('2025'!$F:$F,$B96,'2025'!AU:AU)/PARAMETER!$T$3,"")</f>
        <v/>
      </c>
      <c r="AW96" s="40" t="str">
        <f>IF(AW$4&lt;=PARAMETER!$X$2,SUMIF('2025'!$F:$F,$B96,'2025'!AV:AV)/PARAMETER!$T$3,"")</f>
        <v/>
      </c>
      <c r="AX96" s="40" t="str">
        <f>IF(AX$4&lt;=PARAMETER!$X$2,SUMIF('2025'!$F:$F,$B96,'2025'!AW:AW)/PARAMETER!$T$3,"")</f>
        <v/>
      </c>
      <c r="AY96" s="40" t="str">
        <f>IF(AY$4&lt;=PARAMETER!$X$2,SUMIF('2025'!$F:$F,$B96,'2025'!AX:AX)/PARAMETER!$T$3,"")</f>
        <v/>
      </c>
      <c r="AZ96" s="40" t="str">
        <f>IF(AZ$4&lt;=PARAMETER!$X$2,SUMIF('2025'!$F:$F,$B96,'2025'!AY:AY)/PARAMETER!$T$3,"")</f>
        <v/>
      </c>
      <c r="BA96" s="40" t="str">
        <f>IF(BA$4&lt;=PARAMETER!$X$2,SUMIF('2025'!$F:$F,$B96,'2025'!AZ:AZ)/PARAMETER!$T$3,"")</f>
        <v/>
      </c>
      <c r="BB96" s="40" t="str">
        <f>IF(BB$4&lt;=PARAMETER!$X$2,SUMIF('2025'!$F:$F,$B96,'2025'!BA:BA)/PARAMETER!$T$3,"")</f>
        <v/>
      </c>
      <c r="BC96" s="40" t="str">
        <f>IF(BC$4&lt;=PARAMETER!$X$2,SUMIF('2025'!$F:$F,$B96,'2025'!BB:BB)/PARAMETER!$T$3,"")</f>
        <v/>
      </c>
      <c r="BD96" s="40" t="str">
        <f>IF(BD$4&lt;=PARAMETER!$X$2,SUMIF('2025'!$F:$F,$B96,'2025'!BC:BC)/PARAMETER!$T$3,"")</f>
        <v/>
      </c>
      <c r="BE96" s="40" t="str">
        <f>IF(BE$4&lt;=PARAMETER!$X$2,SUMIF('2025'!$F:$F,$B96,'2025'!BD:BD)/PARAMETER!$T$3,"")</f>
        <v/>
      </c>
      <c r="BF96" s="40" t="str">
        <f>IF(BF$4&lt;=PARAMETER!$X$2,SUMIF('2025'!$F:$F,$B96,'2025'!BE:BE)/PARAMETER!$T$3,"")</f>
        <v/>
      </c>
      <c r="BG96" s="40" t="str">
        <f>IF(BG$4&lt;=PARAMETER!$X$2,SUMIF('2025'!$F:$F,$B96,'2025'!BF:BF)/PARAMETER!$T$3,"")</f>
        <v/>
      </c>
      <c r="BH96" s="40" t="str">
        <f>IF(BH$4&lt;=PARAMETER!$X$2,SUMIF('2025'!$F:$F,$B96,'2025'!BG:BG)/PARAMETER!$T$3,"")</f>
        <v/>
      </c>
      <c r="BI96" s="40" t="str">
        <f>IF(BI$4&lt;=PARAMETER!$X$2,SUMIF('2025'!$F:$F,$B96,'2025'!BH:BH)/PARAMETER!$T$3,"")</f>
        <v/>
      </c>
      <c r="BJ96" s="40" t="str">
        <f>IF(BJ$4&lt;=PARAMETER!$X$2,SUMIF('2025'!$F:$F,$B96,'2025'!BI:BI)/PARAMETER!$T$3,"")</f>
        <v/>
      </c>
    </row>
    <row r="97" spans="1:62" x14ac:dyDescent="0.25">
      <c r="A97">
        <f t="shared" ref="A97:A101" si="129">A95</f>
        <v>21</v>
      </c>
      <c r="B97" s="78" t="str">
        <f>CONCATENATE(C97,PARAMETER!T$2)</f>
        <v>VOL</v>
      </c>
      <c r="C97" s="26" t="str">
        <f t="shared" si="127"/>
        <v/>
      </c>
      <c r="D97" s="67"/>
      <c r="E97" s="68"/>
      <c r="F97" s="69"/>
      <c r="G97" s="70">
        <f t="shared" si="115"/>
        <v>2024</v>
      </c>
      <c r="H97" s="71">
        <f>IF(H$4&lt;=PARAMETER!$X$2,SUMIF('2024'!$F:$F,$B97,'2024'!G:G)/PARAMETER!$T$3,"")</f>
        <v>0</v>
      </c>
      <c r="I97" s="71">
        <f>IF(I$4&lt;=PARAMETER!$X$2,SUMIF('2024'!$F:$F,$B97,'2024'!H:H)/PARAMETER!$T$3,"")</f>
        <v>0</v>
      </c>
      <c r="J97" s="71">
        <f>IF(J$4&lt;=PARAMETER!$X$2,SUMIF('2024'!$F:$F,$B97,'2024'!I:I)/PARAMETER!$T$3,"")</f>
        <v>0</v>
      </c>
      <c r="K97" s="71">
        <f>IF(K$4&lt;=PARAMETER!$X$2,SUMIF('2024'!$F:$F,$B97,'2024'!J:J)/PARAMETER!$T$3,"")</f>
        <v>0</v>
      </c>
      <c r="L97" s="71">
        <f>IF(L$4&lt;=PARAMETER!$X$2,SUMIF('2024'!$F:$F,$B97,'2024'!K:K)/PARAMETER!$T$3,"")</f>
        <v>0</v>
      </c>
      <c r="M97" s="71">
        <f>IF(M$4&lt;=PARAMETER!$X$2,SUMIF('2024'!$F:$F,$B97,'2024'!L:L)/PARAMETER!$T$3,"")</f>
        <v>0</v>
      </c>
      <c r="N97" s="71">
        <f>IF(N$4&lt;=PARAMETER!$X$2,SUMIF('2024'!$F:$F,$B97,'2024'!M:M)/PARAMETER!$T$3,"")</f>
        <v>0</v>
      </c>
      <c r="O97" s="71">
        <f>IF(O$4&lt;=PARAMETER!$X$2,SUMIF('2024'!$F:$F,$B97,'2024'!N:N)/PARAMETER!$T$3,"")</f>
        <v>0</v>
      </c>
      <c r="P97" s="71">
        <f>IF(P$4&lt;=PARAMETER!$X$2,SUMIF('2024'!$F:$F,$B97,'2024'!O:O)/PARAMETER!$T$3,"")</f>
        <v>0</v>
      </c>
      <c r="Q97" s="71">
        <f>IF(Q$4&lt;=PARAMETER!$X$2,SUMIF('2024'!$F:$F,$B97,'2024'!P:P)/PARAMETER!$T$3,"")</f>
        <v>0</v>
      </c>
      <c r="R97" s="71">
        <f>IF(R$4&lt;=PARAMETER!$X$2,SUMIF('2024'!$F:$F,$B97,'2024'!Q:Q)/PARAMETER!$T$3,"")</f>
        <v>0</v>
      </c>
      <c r="S97" s="71">
        <f>IF(S$4&lt;=PARAMETER!$X$2,SUMIF('2024'!$F:$F,$B97,'2024'!R:R)/PARAMETER!$T$3,"")</f>
        <v>0</v>
      </c>
      <c r="T97" s="71">
        <f>IF(T$4&lt;=PARAMETER!$X$2,SUMIF('2024'!$F:$F,$B97,'2024'!S:S)/PARAMETER!$T$3,"")</f>
        <v>0</v>
      </c>
      <c r="U97" s="71" t="str">
        <f>IF(U$4&lt;=PARAMETER!$X$2,SUMIF('2024'!$F:$F,$B97,'2024'!T:T)/PARAMETER!$T$3,"")</f>
        <v/>
      </c>
      <c r="V97" s="71" t="str">
        <f>IF(V$4&lt;=PARAMETER!$X$2,SUMIF('2024'!$F:$F,$B97,'2024'!U:U)/PARAMETER!$T$3,"")</f>
        <v/>
      </c>
      <c r="W97" s="71" t="str">
        <f>IF(W$4&lt;=PARAMETER!$X$2,SUMIF('2024'!$F:$F,$B97,'2024'!V:V)/PARAMETER!$T$3,"")</f>
        <v/>
      </c>
      <c r="X97" s="71" t="str">
        <f>IF(X$4&lt;=PARAMETER!$X$2,SUMIF('2024'!$F:$F,$B97,'2024'!W:W)/PARAMETER!$T$3,"")</f>
        <v/>
      </c>
      <c r="Y97" s="71" t="str">
        <f>IF(Y$4&lt;=PARAMETER!$X$2,SUMIF('2024'!$F:$F,$B97,'2024'!X:X)/PARAMETER!$T$3,"")</f>
        <v/>
      </c>
      <c r="Z97" s="71" t="str">
        <f>IF(Z$4&lt;=PARAMETER!$X$2,SUMIF('2024'!$F:$F,$B97,'2024'!Y:Y)/PARAMETER!$T$3,"")</f>
        <v/>
      </c>
      <c r="AA97" s="71" t="str">
        <f>IF(AA$4&lt;=PARAMETER!$X$2,SUMIF('2024'!$F:$F,$B97,'2024'!Z:Z)/PARAMETER!$T$3,"")</f>
        <v/>
      </c>
      <c r="AB97" s="71" t="str">
        <f>IF(AB$4&lt;=PARAMETER!$X$2,SUMIF('2024'!$F:$F,$B97,'2024'!AA:AA)/PARAMETER!$T$3,"")</f>
        <v/>
      </c>
      <c r="AC97" s="71" t="str">
        <f>IF(AC$4&lt;=PARAMETER!$X$2,SUMIF('2024'!$F:$F,$B97,'2024'!AB:AB)/PARAMETER!$T$3,"")</f>
        <v/>
      </c>
      <c r="AD97" s="71" t="str">
        <f>IF(AD$4&lt;=PARAMETER!$X$2,SUMIF('2024'!$F:$F,$B97,'2024'!AC:AC)/PARAMETER!$T$3,"")</f>
        <v/>
      </c>
      <c r="AE97" s="71" t="str">
        <f>IF(AE$4&lt;=PARAMETER!$X$2,SUMIF('2024'!$F:$F,$B97,'2024'!AD:AD)/PARAMETER!$T$3,"")</f>
        <v/>
      </c>
      <c r="AF97" s="71" t="str">
        <f>IF(AF$4&lt;=PARAMETER!$X$2,SUMIF('2024'!$F:$F,$B97,'2024'!AE:AE)/PARAMETER!$T$3,"")</f>
        <v/>
      </c>
      <c r="AG97" s="71" t="str">
        <f>IF(AG$4&lt;=PARAMETER!$X$2,SUMIF('2024'!$F:$F,$B97,'2024'!AF:AF)/PARAMETER!$T$3,"")</f>
        <v/>
      </c>
      <c r="AH97" s="71" t="str">
        <f>IF(AH$4&lt;=PARAMETER!$X$2,SUMIF('2024'!$F:$F,$B97,'2024'!AG:AG)/PARAMETER!$T$3,"")</f>
        <v/>
      </c>
      <c r="AI97" s="71" t="str">
        <f>IF(AI$4&lt;=PARAMETER!$X$2,SUMIF('2024'!$F:$F,$B97,'2024'!AH:AH)/PARAMETER!$T$3,"")</f>
        <v/>
      </c>
      <c r="AJ97" s="71" t="str">
        <f>IF(AJ$4&lt;=PARAMETER!$X$2,SUMIF('2024'!$F:$F,$B97,'2024'!AI:AI)/PARAMETER!$T$3,"")</f>
        <v/>
      </c>
      <c r="AK97" s="71" t="str">
        <f>IF(AK$4&lt;=PARAMETER!$X$2,SUMIF('2024'!$F:$F,$B97,'2024'!AJ:AJ)/PARAMETER!$T$3,"")</f>
        <v/>
      </c>
      <c r="AL97" s="71" t="str">
        <f>IF(AL$4&lt;=PARAMETER!$X$2,SUMIF('2024'!$F:$F,$B97,'2024'!AK:AK)/PARAMETER!$T$3,"")</f>
        <v/>
      </c>
      <c r="AM97" s="71" t="str">
        <f>IF(AM$4&lt;=PARAMETER!$X$2,SUMIF('2024'!$F:$F,$B97,'2024'!AL:AL)/PARAMETER!$T$3,"")</f>
        <v/>
      </c>
      <c r="AN97" s="71" t="str">
        <f>IF(AN$4&lt;=PARAMETER!$X$2,SUMIF('2024'!$F:$F,$B97,'2024'!AM:AM)/PARAMETER!$T$3,"")</f>
        <v/>
      </c>
      <c r="AO97" s="71" t="str">
        <f>IF(AO$4&lt;=PARAMETER!$X$2,SUMIF('2024'!$F:$F,$B97,'2024'!AN:AN)/PARAMETER!$T$3,"")</f>
        <v/>
      </c>
      <c r="AP97" s="71" t="str">
        <f>IF(AP$4&lt;=PARAMETER!$X$2,SUMIF('2024'!$F:$F,$B97,'2024'!AO:AO)/PARAMETER!$T$3,"")</f>
        <v/>
      </c>
      <c r="AQ97" s="71" t="str">
        <f>IF(AQ$4&lt;=PARAMETER!$X$2,SUMIF('2024'!$F:$F,$B97,'2024'!AP:AP)/PARAMETER!$T$3,"")</f>
        <v/>
      </c>
      <c r="AR97" s="71" t="str">
        <f>IF(AR$4&lt;=PARAMETER!$X$2,SUMIF('2024'!$F:$F,$B97,'2024'!AQ:AQ)/PARAMETER!$T$3,"")</f>
        <v/>
      </c>
      <c r="AS97" s="71" t="str">
        <f>IF(AS$4&lt;=PARAMETER!$X$2,SUMIF('2024'!$F:$F,$B97,'2024'!AR:AR)/PARAMETER!$T$3,"")</f>
        <v/>
      </c>
      <c r="AT97" s="71" t="str">
        <f>IF(AT$4&lt;=PARAMETER!$X$2,SUMIF('2024'!$F:$F,$B97,'2024'!AS:AS)/PARAMETER!$T$3,"")</f>
        <v/>
      </c>
      <c r="AU97" s="71" t="str">
        <f>IF(AU$4&lt;=PARAMETER!$X$2,SUMIF('2024'!$F:$F,$B97,'2024'!AT:AT)/PARAMETER!$T$3,"")</f>
        <v/>
      </c>
      <c r="AV97" s="71" t="str">
        <f>IF(AV$4&lt;=PARAMETER!$X$2,SUMIF('2024'!$F:$F,$B97,'2024'!AU:AU)/PARAMETER!$T$3,"")</f>
        <v/>
      </c>
      <c r="AW97" s="71" t="str">
        <f>IF(AW$4&lt;=PARAMETER!$X$2,SUMIF('2024'!$F:$F,$B97,'2024'!AV:AV)/PARAMETER!$T$3,"")</f>
        <v/>
      </c>
      <c r="AX97" s="71" t="str">
        <f>IF(AX$4&lt;=PARAMETER!$X$2,SUMIF('2024'!$F:$F,$B97,'2024'!AW:AW)/PARAMETER!$T$3,"")</f>
        <v/>
      </c>
      <c r="AY97" s="71" t="str">
        <f>IF(AY$4&lt;=PARAMETER!$X$2,SUMIF('2024'!$F:$F,$B97,'2024'!AX:AX)/PARAMETER!$T$3,"")</f>
        <v/>
      </c>
      <c r="AZ97" s="71" t="str">
        <f>IF(AZ$4&lt;=PARAMETER!$X$2,SUMIF('2024'!$F:$F,$B97,'2024'!AY:AY)/PARAMETER!$T$3,"")</f>
        <v/>
      </c>
      <c r="BA97" s="71" t="str">
        <f>IF(BA$4&lt;=PARAMETER!$X$2,SUMIF('2024'!$F:$F,$B97,'2024'!AZ:AZ)/PARAMETER!$T$3,"")</f>
        <v/>
      </c>
      <c r="BB97" s="71" t="str">
        <f>IF(BB$4&lt;=PARAMETER!$X$2,SUMIF('2024'!$F:$F,$B97,'2024'!BA:BA)/PARAMETER!$T$3,"")</f>
        <v/>
      </c>
      <c r="BC97" s="71" t="str">
        <f>IF(BC$4&lt;=PARAMETER!$X$2,SUMIF('2024'!$F:$F,$B97,'2024'!BB:BB)/PARAMETER!$T$3,"")</f>
        <v/>
      </c>
      <c r="BD97" s="71" t="str">
        <f>IF(BD$4&lt;=PARAMETER!$X$2,SUMIF('2024'!$F:$F,$B97,'2024'!BC:BC)/PARAMETER!$T$3,"")</f>
        <v/>
      </c>
      <c r="BE97" s="71" t="str">
        <f>IF(BE$4&lt;=PARAMETER!$X$2,SUMIF('2024'!$F:$F,$B97,'2024'!BD:BD)/PARAMETER!$T$3,"")</f>
        <v/>
      </c>
      <c r="BF97" s="71" t="str">
        <f>IF(BF$4&lt;=PARAMETER!$X$2,SUMIF('2024'!$F:$F,$B97,'2024'!BE:BE)/PARAMETER!$T$3,"")</f>
        <v/>
      </c>
      <c r="BG97" s="71" t="str">
        <f>IF(BG$4&lt;=PARAMETER!$X$2,SUMIF('2024'!$F:$F,$B97,'2024'!BF:BF)/PARAMETER!$T$3,"")</f>
        <v/>
      </c>
      <c r="BH97" s="71" t="str">
        <f>IF(BH$4&lt;=PARAMETER!$X$2,SUMIF('2024'!$F:$F,$B97,'2024'!BG:BG)/PARAMETER!$T$3,"")</f>
        <v/>
      </c>
      <c r="BI97" s="71" t="str">
        <f>IF(BI$4&lt;=PARAMETER!$X$2,SUMIF('2024'!$F:$F,$B97,'2024'!BH:BH)/PARAMETER!$T$3,"")</f>
        <v/>
      </c>
      <c r="BJ97" s="71" t="str">
        <f>IF(BJ$4&lt;=PARAMETER!$X$2,SUMIF('2024'!$F:$F,$B97,'2024'!BI:BI)/PARAMETER!$T$3,"")</f>
        <v/>
      </c>
    </row>
    <row r="98" spans="1:62" x14ac:dyDescent="0.25">
      <c r="A98">
        <v>22</v>
      </c>
      <c r="B98" s="78" t="str">
        <f>CONCATENATE(C98,PARAMETER!T$2)</f>
        <v>VOL</v>
      </c>
      <c r="C98" s="21" t="str">
        <f>IFERROR(VLOOKUP(A98,PARAMETER!K$2:M106,3,0),"")</f>
        <v/>
      </c>
      <c r="D98" s="22" t="s">
        <v>127</v>
      </c>
      <c r="E98" s="37" t="str">
        <f t="shared" ref="E98" si="130">IFERROR(I99/I98,"")</f>
        <v/>
      </c>
      <c r="F98" s="23">
        <f t="shared" ref="F98:F100" si="131">IFERROR(IF(E98&gt;300%,300%,E98),"")</f>
        <v>3</v>
      </c>
      <c r="G98" s="24" t="str">
        <f t="shared" si="115"/>
        <v>Target</v>
      </c>
      <c r="H98" s="25">
        <f>IF(H$4&lt;=PARAMETER!$X$2,SUMIF('2026 T'!$F:$F,$B98,'2026 T'!G:G)/PARAMETER!$T$3,"")</f>
        <v>0</v>
      </c>
      <c r="I98" s="25">
        <f>IF(I$4&lt;=PARAMETER!$X$2,SUMIF('2026 T'!$F:$F,$B98,'2026 T'!H:H)/PARAMETER!$T$3,"")</f>
        <v>0</v>
      </c>
      <c r="J98" s="25">
        <f>IF(J$4&lt;=PARAMETER!$X$2,SUMIF('2026 T'!$F:$F,$B98,'2026 T'!I:I)/PARAMETER!$T$3,"")</f>
        <v>0</v>
      </c>
      <c r="K98" s="25">
        <f>IF(K$4&lt;=PARAMETER!$X$2,SUMIF('2026 T'!$F:$F,$B98,'2026 T'!J:J)/PARAMETER!$T$3,"")</f>
        <v>0</v>
      </c>
      <c r="L98" s="25">
        <f>IF(L$4&lt;=PARAMETER!$X$2,SUMIF('2026 T'!$F:$F,$B98,'2026 T'!K:K)/PARAMETER!$T$3,"")</f>
        <v>0</v>
      </c>
      <c r="M98" s="25">
        <f>IF(M$4&lt;=PARAMETER!$X$2,SUMIF('2026 T'!$F:$F,$B98,'2026 T'!L:L)/PARAMETER!$T$3,"")</f>
        <v>0</v>
      </c>
      <c r="N98" s="25">
        <f>IF(N$4&lt;=PARAMETER!$X$2,SUMIF('2026 T'!$F:$F,$B98,'2026 T'!M:M)/PARAMETER!$T$3,"")</f>
        <v>0</v>
      </c>
      <c r="O98" s="25">
        <f>IF(O$4&lt;=PARAMETER!$X$2,SUMIF('2026 T'!$F:$F,$B98,'2026 T'!N:N)/PARAMETER!$T$3,"")</f>
        <v>0</v>
      </c>
      <c r="P98" s="25">
        <f>IF(P$4&lt;=PARAMETER!$X$2,SUMIF('2026 T'!$F:$F,$B98,'2026 T'!O:O)/PARAMETER!$T$3,"")</f>
        <v>0</v>
      </c>
      <c r="Q98" s="25">
        <f>IF(Q$4&lt;=PARAMETER!$X$2,SUMIF('2026 T'!$F:$F,$B98,'2026 T'!P:P)/PARAMETER!$T$3,"")</f>
        <v>0</v>
      </c>
      <c r="R98" s="25">
        <f>IF(R$4&lt;=PARAMETER!$X$2,SUMIF('2026 T'!$F:$F,$B98,'2026 T'!Q:Q)/PARAMETER!$T$3,"")</f>
        <v>0</v>
      </c>
      <c r="S98" s="25">
        <f>IF(S$4&lt;=PARAMETER!$X$2,SUMIF('2026 T'!$F:$F,$B98,'2026 T'!R:R)/PARAMETER!$T$3,"")</f>
        <v>0</v>
      </c>
      <c r="T98" s="25">
        <f>IF(T$4&lt;=PARAMETER!$X$2,SUMIF('2026 T'!$F:$F,$B98,'2026 T'!S:S)/PARAMETER!$T$3,"")</f>
        <v>0</v>
      </c>
      <c r="U98" s="25" t="str">
        <f>IF(U$4&lt;=PARAMETER!$X$2,SUMIF('2026 T'!$F:$F,$B98,'2026 T'!T:T)/PARAMETER!$T$3,"")</f>
        <v/>
      </c>
      <c r="V98" s="25" t="str">
        <f>IF(V$4&lt;=PARAMETER!$X$2,SUMIF('2026 T'!$F:$F,$B98,'2026 T'!U:U)/PARAMETER!$T$3,"")</f>
        <v/>
      </c>
      <c r="W98" s="25" t="str">
        <f>IF(W$4&lt;=PARAMETER!$X$2,SUMIF('2026 T'!$F:$F,$B98,'2026 T'!V:V)/PARAMETER!$T$3,"")</f>
        <v/>
      </c>
      <c r="X98" s="25" t="str">
        <f>IF(X$4&lt;=PARAMETER!$X$2,SUMIF('2026 T'!$F:$F,$B98,'2026 T'!W:W)/PARAMETER!$T$3,"")</f>
        <v/>
      </c>
      <c r="Y98" s="25" t="str">
        <f>IF(Y$4&lt;=PARAMETER!$X$2,SUMIF('2026 T'!$F:$F,$B98,'2026 T'!X:X)/PARAMETER!$T$3,"")</f>
        <v/>
      </c>
      <c r="Z98" s="25" t="str">
        <f>IF(Z$4&lt;=PARAMETER!$X$2,SUMIF('2026 T'!$F:$F,$B98,'2026 T'!Y:Y)/PARAMETER!$T$3,"")</f>
        <v/>
      </c>
      <c r="AA98" s="25" t="str">
        <f>IF(AA$4&lt;=PARAMETER!$X$2,SUMIF('2026 T'!$F:$F,$B98,'2026 T'!Z:Z)/PARAMETER!$T$3,"")</f>
        <v/>
      </c>
      <c r="AB98" s="25" t="str">
        <f>IF(AB$4&lt;=PARAMETER!$X$2,SUMIF('2026 T'!$F:$F,$B98,'2026 T'!AA:AA)/PARAMETER!$T$3,"")</f>
        <v/>
      </c>
      <c r="AC98" s="25" t="str">
        <f>IF(AC$4&lt;=PARAMETER!$X$2,SUMIF('2026 T'!$F:$F,$B98,'2026 T'!AB:AB)/PARAMETER!$T$3,"")</f>
        <v/>
      </c>
      <c r="AD98" s="25" t="str">
        <f>IF(AD$4&lt;=PARAMETER!$X$2,SUMIF('2026 T'!$F:$F,$B98,'2026 T'!AC:AC)/PARAMETER!$T$3,"")</f>
        <v/>
      </c>
      <c r="AE98" s="25" t="str">
        <f>IF(AE$4&lt;=PARAMETER!$X$2,SUMIF('2026 T'!$F:$F,$B98,'2026 T'!AD:AD)/PARAMETER!$T$3,"")</f>
        <v/>
      </c>
      <c r="AF98" s="25" t="str">
        <f>IF(AF$4&lt;=PARAMETER!$X$2,SUMIF('2026 T'!$F:$F,$B98,'2026 T'!AE:AE)/PARAMETER!$T$3,"")</f>
        <v/>
      </c>
      <c r="AG98" s="25" t="str">
        <f>IF(AG$4&lt;=PARAMETER!$X$2,SUMIF('2026 T'!$F:$F,$B98,'2026 T'!AF:AF)/PARAMETER!$T$3,"")</f>
        <v/>
      </c>
      <c r="AH98" s="25" t="str">
        <f>IF(AH$4&lt;=PARAMETER!$X$2,SUMIF('2026 T'!$F:$F,$B98,'2026 T'!AG:AG)/PARAMETER!$T$3,"")</f>
        <v/>
      </c>
      <c r="AI98" s="25" t="str">
        <f>IF(AI$4&lt;=PARAMETER!$X$2,SUMIF('2026 T'!$F:$F,$B98,'2026 T'!AH:AH)/PARAMETER!$T$3,"")</f>
        <v/>
      </c>
      <c r="AJ98" s="25" t="str">
        <f>IF(AJ$4&lt;=PARAMETER!$X$2,SUMIF('2026 T'!$F:$F,$B98,'2026 T'!AI:AI)/PARAMETER!$T$3,"")</f>
        <v/>
      </c>
      <c r="AK98" s="25" t="str">
        <f>IF(AK$4&lt;=PARAMETER!$X$2,SUMIF('2026 T'!$F:$F,$B98,'2026 T'!AJ:AJ)/PARAMETER!$T$3,"")</f>
        <v/>
      </c>
      <c r="AL98" s="25" t="str">
        <f>IF(AL$4&lt;=PARAMETER!$X$2,SUMIF('2026 T'!$F:$F,$B98,'2026 T'!AK:AK)/PARAMETER!$T$3,"")</f>
        <v/>
      </c>
      <c r="AM98" s="25" t="str">
        <f>IF(AM$4&lt;=PARAMETER!$X$2,SUMIF('2026 T'!$F:$F,$B98,'2026 T'!AL:AL)/PARAMETER!$T$3,"")</f>
        <v/>
      </c>
      <c r="AN98" s="25" t="str">
        <f>IF(AN$4&lt;=PARAMETER!$X$2,SUMIF('2026 T'!$F:$F,$B98,'2026 T'!AM:AM)/PARAMETER!$T$3,"")</f>
        <v/>
      </c>
      <c r="AO98" s="25" t="str">
        <f>IF(AO$4&lt;=PARAMETER!$X$2,SUMIF('2026 T'!$F:$F,$B98,'2026 T'!AN:AN)/PARAMETER!$T$3,"")</f>
        <v/>
      </c>
      <c r="AP98" s="25" t="str">
        <f>IF(AP$4&lt;=PARAMETER!$X$2,SUMIF('2026 T'!$F:$F,$B98,'2026 T'!AO:AO)/PARAMETER!$T$3,"")</f>
        <v/>
      </c>
      <c r="AQ98" s="25" t="str">
        <f>IF(AQ$4&lt;=PARAMETER!$X$2,SUMIF('2026 T'!$F:$F,$B98,'2026 T'!AP:AP)/PARAMETER!$T$3,"")</f>
        <v/>
      </c>
      <c r="AR98" s="25" t="str">
        <f>IF(AR$4&lt;=PARAMETER!$X$2,SUMIF('2026 T'!$F:$F,$B98,'2026 T'!AQ:AQ)/PARAMETER!$T$3,"")</f>
        <v/>
      </c>
      <c r="AS98" s="25" t="str">
        <f>IF(AS$4&lt;=PARAMETER!$X$2,SUMIF('2026 T'!$F:$F,$B98,'2026 T'!AR:AR)/PARAMETER!$T$3,"")</f>
        <v/>
      </c>
      <c r="AT98" s="25" t="str">
        <f>IF(AT$4&lt;=PARAMETER!$X$2,SUMIF('2026 T'!$F:$F,$B98,'2026 T'!AS:AS)/PARAMETER!$T$3,"")</f>
        <v/>
      </c>
      <c r="AU98" s="25" t="str">
        <f>IF(AU$4&lt;=PARAMETER!$X$2,SUMIF('2026 T'!$F:$F,$B98,'2026 T'!AT:AT)/PARAMETER!$T$3,"")</f>
        <v/>
      </c>
      <c r="AV98" s="25" t="str">
        <f>IF(AV$4&lt;=PARAMETER!$X$2,SUMIF('2026 T'!$F:$F,$B98,'2026 T'!AU:AU)/PARAMETER!$T$3,"")</f>
        <v/>
      </c>
      <c r="AW98" s="25" t="str">
        <f>IF(AW$4&lt;=PARAMETER!$X$2,SUMIF('2026 T'!$F:$F,$B98,'2026 T'!AV:AV)/PARAMETER!$T$3,"")</f>
        <v/>
      </c>
      <c r="AX98" s="25" t="str">
        <f>IF(AX$4&lt;=PARAMETER!$X$2,SUMIF('2026 T'!$F:$F,$B98,'2026 T'!AW:AW)/PARAMETER!$T$3,"")</f>
        <v/>
      </c>
      <c r="AY98" s="25" t="str">
        <f>IF(AY$4&lt;=PARAMETER!$X$2,SUMIF('2026 T'!$F:$F,$B98,'2026 T'!AX:AX)/PARAMETER!$T$3,"")</f>
        <v/>
      </c>
      <c r="AZ98" s="25" t="str">
        <f>IF(AZ$4&lt;=PARAMETER!$X$2,SUMIF('2026 T'!$F:$F,$B98,'2026 T'!AY:AY)/PARAMETER!$T$3,"")</f>
        <v/>
      </c>
      <c r="BA98" s="25" t="str">
        <f>IF(BA$4&lt;=PARAMETER!$X$2,SUMIF('2026 T'!$F:$F,$B98,'2026 T'!AZ:AZ)/PARAMETER!$T$3,"")</f>
        <v/>
      </c>
      <c r="BB98" s="25" t="str">
        <f>IF(BB$4&lt;=PARAMETER!$X$2,SUMIF('2026 T'!$F:$F,$B98,'2026 T'!BA:BA)/PARAMETER!$T$3,"")</f>
        <v/>
      </c>
      <c r="BC98" s="25" t="str">
        <f>IF(BC$4&lt;=PARAMETER!$X$2,SUMIF('2026 T'!$F:$F,$B98,'2026 T'!BB:BB)/PARAMETER!$T$3,"")</f>
        <v/>
      </c>
      <c r="BD98" s="25" t="str">
        <f>IF(BD$4&lt;=PARAMETER!$X$2,SUMIF('2026 T'!$F:$F,$B98,'2026 T'!BC:BC)/PARAMETER!$T$3,"")</f>
        <v/>
      </c>
      <c r="BE98" s="25" t="str">
        <f>IF(BE$4&lt;=PARAMETER!$X$2,SUMIF('2026 T'!$F:$F,$B98,'2026 T'!BD:BD)/PARAMETER!$T$3,"")</f>
        <v/>
      </c>
      <c r="BF98" s="25" t="str">
        <f>IF(BF$4&lt;=PARAMETER!$X$2,SUMIF('2026 T'!$F:$F,$B98,'2026 T'!BE:BE)/PARAMETER!$T$3,"")</f>
        <v/>
      </c>
      <c r="BG98" s="25" t="str">
        <f>IF(BG$4&lt;=PARAMETER!$X$2,SUMIF('2026 T'!$F:$F,$B98,'2026 T'!BF:BF)/PARAMETER!$T$3,"")</f>
        <v/>
      </c>
      <c r="BH98" s="25" t="str">
        <f>IF(BH$4&lt;=PARAMETER!$X$2,SUMIF('2026 T'!$F:$F,$B98,'2026 T'!BG:BG)/PARAMETER!$T$3,"")</f>
        <v/>
      </c>
      <c r="BI98" s="25" t="str">
        <f>IF(BI$4&lt;=PARAMETER!$X$2,SUMIF('2026 T'!$F:$F,$B98,'2026 T'!BH:BH)/PARAMETER!$T$3,"")</f>
        <v/>
      </c>
      <c r="BJ98" s="25" t="str">
        <f>IF(BJ$4&lt;=PARAMETER!$X$2,SUMIF('2026 T'!$F:$F,$B98,'2026 T'!BI:BI)/PARAMETER!$T$3,"")</f>
        <v/>
      </c>
    </row>
    <row r="99" spans="1:62" x14ac:dyDescent="0.25">
      <c r="A99">
        <f t="shared" ref="A99:A100" si="132">A98</f>
        <v>22</v>
      </c>
      <c r="B99" s="78" t="str">
        <f>CONCATENATE(C99,PARAMETER!T$2)</f>
        <v>VOL</v>
      </c>
      <c r="C99" s="26" t="str">
        <f t="shared" ref="C99:C101" si="133">C98</f>
        <v/>
      </c>
      <c r="D99" s="27" t="s">
        <v>128</v>
      </c>
      <c r="E99" s="35" t="str">
        <f t="shared" ref="E99:E100" si="134">IFERROR(I99/I100-1,"")</f>
        <v/>
      </c>
      <c r="F99" s="28">
        <f t="shared" si="131"/>
        <v>3</v>
      </c>
      <c r="G99" s="39">
        <f t="shared" si="115"/>
        <v>2026</v>
      </c>
      <c r="H99" s="40">
        <f>IF(H$4&lt;=PARAMETER!$X$2,SUMIF('2026'!$F:$F,$B99,'2026'!G:G)/PARAMETER!$T$3,"")</f>
        <v>0</v>
      </c>
      <c r="I99" s="40">
        <f>IF(I$4&lt;=PARAMETER!$X$2,SUMIF('2026'!$F:$F,$B99,'2026'!H:H)/PARAMETER!$T$3,"")</f>
        <v>0</v>
      </c>
      <c r="J99" s="40">
        <f>IF(J$4&lt;=PARAMETER!$X$2,SUMIF('2026'!$F:$F,$B99,'2026'!I:I)/PARAMETER!$T$3,"")</f>
        <v>0</v>
      </c>
      <c r="K99" s="40">
        <f>IF(K$4&lt;=PARAMETER!$X$2,SUMIF('2026'!$F:$F,$B99,'2026'!J:J)/PARAMETER!$T$3,"")</f>
        <v>0</v>
      </c>
      <c r="L99" s="40">
        <f>IF(L$4&lt;=PARAMETER!$X$2,SUMIF('2026'!$F:$F,$B99,'2026'!K:K)/PARAMETER!$T$3,"")</f>
        <v>0</v>
      </c>
      <c r="M99" s="40">
        <f>IF(M$4&lt;=PARAMETER!$X$2,SUMIF('2026'!$F:$F,$B99,'2026'!L:L)/PARAMETER!$T$3,"")</f>
        <v>0</v>
      </c>
      <c r="N99" s="40">
        <f>IF(N$4&lt;=PARAMETER!$X$2,SUMIF('2026'!$F:$F,$B99,'2026'!M:M)/PARAMETER!$T$3,"")</f>
        <v>0</v>
      </c>
      <c r="O99" s="40">
        <f>IF(O$4&lt;=PARAMETER!$X$2,SUMIF('2026'!$F:$F,$B99,'2026'!N:N)/PARAMETER!$T$3,"")</f>
        <v>0</v>
      </c>
      <c r="P99" s="40">
        <f>IF(P$4&lt;=PARAMETER!$X$2,SUMIF('2026'!$F:$F,$B99,'2026'!O:O)/PARAMETER!$T$3,"")</f>
        <v>0</v>
      </c>
      <c r="Q99" s="40">
        <f>IF(Q$4&lt;=PARAMETER!$X$2,SUMIF('2026'!$F:$F,$B99,'2026'!P:P)/PARAMETER!$T$3,"")</f>
        <v>0</v>
      </c>
      <c r="R99" s="40">
        <f>IF(R$4&lt;=PARAMETER!$X$2,SUMIF('2026'!$F:$F,$B99,'2026'!Q:Q)/PARAMETER!$T$3,"")</f>
        <v>0</v>
      </c>
      <c r="S99" s="40">
        <f>IF(S$4&lt;=PARAMETER!$X$2,SUMIF('2026'!$F:$F,$B99,'2026'!R:R)/PARAMETER!$T$3,"")</f>
        <v>0</v>
      </c>
      <c r="T99" s="40">
        <f>IF(T$4&lt;=PARAMETER!$X$2,SUMIF('2026'!$F:$F,$B99,'2026'!S:S)/PARAMETER!$T$3,"")</f>
        <v>0</v>
      </c>
      <c r="U99" s="40" t="str">
        <f>IF(U$4&lt;=PARAMETER!$X$2,SUMIF('2026'!$F:$F,$B99,'2026'!T:T)/PARAMETER!$T$3,"")</f>
        <v/>
      </c>
      <c r="V99" s="40" t="str">
        <f>IF(V$4&lt;=PARAMETER!$X$2,SUMIF('2026'!$F:$F,$B99,'2026'!U:U)/PARAMETER!$T$3,"")</f>
        <v/>
      </c>
      <c r="W99" s="40" t="str">
        <f>IF(W$4&lt;=PARAMETER!$X$2,SUMIF('2026'!$F:$F,$B99,'2026'!V:V)/PARAMETER!$T$3,"")</f>
        <v/>
      </c>
      <c r="X99" s="40" t="str">
        <f>IF(X$4&lt;=PARAMETER!$X$2,SUMIF('2026'!$F:$F,$B99,'2026'!W:W)/PARAMETER!$T$3,"")</f>
        <v/>
      </c>
      <c r="Y99" s="40" t="str">
        <f>IF(Y$4&lt;=PARAMETER!$X$2,SUMIF('2026'!$F:$F,$B99,'2026'!X:X)/PARAMETER!$T$3,"")</f>
        <v/>
      </c>
      <c r="Z99" s="40" t="str">
        <f>IF(Z$4&lt;=PARAMETER!$X$2,SUMIF('2026'!$F:$F,$B99,'2026'!Y:Y)/PARAMETER!$T$3,"")</f>
        <v/>
      </c>
      <c r="AA99" s="40" t="str">
        <f>IF(AA$4&lt;=PARAMETER!$X$2,SUMIF('2026'!$F:$F,$B99,'2026'!Z:Z)/PARAMETER!$T$3,"")</f>
        <v/>
      </c>
      <c r="AB99" s="40" t="str">
        <f>IF(AB$4&lt;=PARAMETER!$X$2,SUMIF('2026'!$F:$F,$B99,'2026'!AA:AA)/PARAMETER!$T$3,"")</f>
        <v/>
      </c>
      <c r="AC99" s="40" t="str">
        <f>IF(AC$4&lt;=PARAMETER!$X$2,SUMIF('2026'!$F:$F,$B99,'2026'!AB:AB)/PARAMETER!$T$3,"")</f>
        <v/>
      </c>
      <c r="AD99" s="40" t="str">
        <f>IF(AD$4&lt;=PARAMETER!$X$2,SUMIF('2026'!$F:$F,$B99,'2026'!AC:AC)/PARAMETER!$T$3,"")</f>
        <v/>
      </c>
      <c r="AE99" s="40" t="str">
        <f>IF(AE$4&lt;=PARAMETER!$X$2,SUMIF('2026'!$F:$F,$B99,'2026'!AD:AD)/PARAMETER!$T$3,"")</f>
        <v/>
      </c>
      <c r="AF99" s="40" t="str">
        <f>IF(AF$4&lt;=PARAMETER!$X$2,SUMIF('2026'!$F:$F,$B99,'2026'!AE:AE)/PARAMETER!$T$3,"")</f>
        <v/>
      </c>
      <c r="AG99" s="40" t="str">
        <f>IF(AG$4&lt;=PARAMETER!$X$2,SUMIF('2026'!$F:$F,$B99,'2026'!AF:AF)/PARAMETER!$T$3,"")</f>
        <v/>
      </c>
      <c r="AH99" s="40" t="str">
        <f>IF(AH$4&lt;=PARAMETER!$X$2,SUMIF('2026'!$F:$F,$B99,'2026'!AG:AG)/PARAMETER!$T$3,"")</f>
        <v/>
      </c>
      <c r="AI99" s="40" t="str">
        <f>IF(AI$4&lt;=PARAMETER!$X$2,SUMIF('2026'!$F:$F,$B99,'2026'!AH:AH)/PARAMETER!$T$3,"")</f>
        <v/>
      </c>
      <c r="AJ99" s="40" t="str">
        <f>IF(AJ$4&lt;=PARAMETER!$X$2,SUMIF('2026'!$F:$F,$B99,'2026'!AI:AI)/PARAMETER!$T$3,"")</f>
        <v/>
      </c>
      <c r="AK99" s="40" t="str">
        <f>IF(AK$4&lt;=PARAMETER!$X$2,SUMIF('2026'!$F:$F,$B99,'2026'!AJ:AJ)/PARAMETER!$T$3,"")</f>
        <v/>
      </c>
      <c r="AL99" s="40" t="str">
        <f>IF(AL$4&lt;=PARAMETER!$X$2,SUMIF('2026'!$F:$F,$B99,'2026'!AK:AK)/PARAMETER!$T$3,"")</f>
        <v/>
      </c>
      <c r="AM99" s="40" t="str">
        <f>IF(AM$4&lt;=PARAMETER!$X$2,SUMIF('2026'!$F:$F,$B99,'2026'!AL:AL)/PARAMETER!$T$3,"")</f>
        <v/>
      </c>
      <c r="AN99" s="40" t="str">
        <f>IF(AN$4&lt;=PARAMETER!$X$2,SUMIF('2026'!$F:$F,$B99,'2026'!AM:AM)/PARAMETER!$T$3,"")</f>
        <v/>
      </c>
      <c r="AO99" s="40" t="str">
        <f>IF(AO$4&lt;=PARAMETER!$X$2,SUMIF('2026'!$F:$F,$B99,'2026'!AN:AN)/PARAMETER!$T$3,"")</f>
        <v/>
      </c>
      <c r="AP99" s="40" t="str">
        <f>IF(AP$4&lt;=PARAMETER!$X$2,SUMIF('2026'!$F:$F,$B99,'2026'!AO:AO)/PARAMETER!$T$3,"")</f>
        <v/>
      </c>
      <c r="AQ99" s="40" t="str">
        <f>IF(AQ$4&lt;=PARAMETER!$X$2,SUMIF('2026'!$F:$F,$B99,'2026'!AP:AP)/PARAMETER!$T$3,"")</f>
        <v/>
      </c>
      <c r="AR99" s="40" t="str">
        <f>IF(AR$4&lt;=PARAMETER!$X$2,SUMIF('2026'!$F:$F,$B99,'2026'!AQ:AQ)/PARAMETER!$T$3,"")</f>
        <v/>
      </c>
      <c r="AS99" s="40" t="str">
        <f>IF(AS$4&lt;=PARAMETER!$X$2,SUMIF('2026'!$F:$F,$B99,'2026'!AR:AR)/PARAMETER!$T$3,"")</f>
        <v/>
      </c>
      <c r="AT99" s="40" t="str">
        <f>IF(AT$4&lt;=PARAMETER!$X$2,SUMIF('2026'!$F:$F,$B99,'2026'!AS:AS)/PARAMETER!$T$3,"")</f>
        <v/>
      </c>
      <c r="AU99" s="40" t="str">
        <f>IF(AU$4&lt;=PARAMETER!$X$2,SUMIF('2026'!$F:$F,$B99,'2026'!AT:AT)/PARAMETER!$T$3,"")</f>
        <v/>
      </c>
      <c r="AV99" s="40" t="str">
        <f>IF(AV$4&lt;=PARAMETER!$X$2,SUMIF('2026'!$F:$F,$B99,'2026'!AU:AU)/PARAMETER!$T$3,"")</f>
        <v/>
      </c>
      <c r="AW99" s="40" t="str">
        <f>IF(AW$4&lt;=PARAMETER!$X$2,SUMIF('2026'!$F:$F,$B99,'2026'!AV:AV)/PARAMETER!$T$3,"")</f>
        <v/>
      </c>
      <c r="AX99" s="40" t="str">
        <f>IF(AX$4&lt;=PARAMETER!$X$2,SUMIF('2026'!$F:$F,$B99,'2026'!AW:AW)/PARAMETER!$T$3,"")</f>
        <v/>
      </c>
      <c r="AY99" s="40" t="str">
        <f>IF(AY$4&lt;=PARAMETER!$X$2,SUMIF('2026'!$F:$F,$B99,'2026'!AX:AX)/PARAMETER!$T$3,"")</f>
        <v/>
      </c>
      <c r="AZ99" s="40" t="str">
        <f>IF(AZ$4&lt;=PARAMETER!$X$2,SUMIF('2026'!$F:$F,$B99,'2026'!AY:AY)/PARAMETER!$T$3,"")</f>
        <v/>
      </c>
      <c r="BA99" s="40" t="str">
        <f>IF(BA$4&lt;=PARAMETER!$X$2,SUMIF('2026'!$F:$F,$B99,'2026'!AZ:AZ)/PARAMETER!$T$3,"")</f>
        <v/>
      </c>
      <c r="BB99" s="40" t="str">
        <f>IF(BB$4&lt;=PARAMETER!$X$2,SUMIF('2026'!$F:$F,$B99,'2026'!BA:BA)/PARAMETER!$T$3,"")</f>
        <v/>
      </c>
      <c r="BC99" s="40" t="str">
        <f>IF(BC$4&lt;=PARAMETER!$X$2,SUMIF('2026'!$F:$F,$B99,'2026'!BB:BB)/PARAMETER!$T$3,"")</f>
        <v/>
      </c>
      <c r="BD99" s="40" t="str">
        <f>IF(BD$4&lt;=PARAMETER!$X$2,SUMIF('2026'!$F:$F,$B99,'2026'!BC:BC)/PARAMETER!$T$3,"")</f>
        <v/>
      </c>
      <c r="BE99" s="40" t="str">
        <f>IF(BE$4&lt;=PARAMETER!$X$2,SUMIF('2026'!$F:$F,$B99,'2026'!BD:BD)/PARAMETER!$T$3,"")</f>
        <v/>
      </c>
      <c r="BF99" s="40" t="str">
        <f>IF(BF$4&lt;=PARAMETER!$X$2,SUMIF('2026'!$F:$F,$B99,'2026'!BE:BE)/PARAMETER!$T$3,"")</f>
        <v/>
      </c>
      <c r="BG99" s="40" t="str">
        <f>IF(BG$4&lt;=PARAMETER!$X$2,SUMIF('2026'!$F:$F,$B99,'2026'!BF:BF)/PARAMETER!$T$3,"")</f>
        <v/>
      </c>
      <c r="BH99" s="40" t="str">
        <f>IF(BH$4&lt;=PARAMETER!$X$2,SUMIF('2026'!$F:$F,$B99,'2026'!BG:BG)/PARAMETER!$T$3,"")</f>
        <v/>
      </c>
      <c r="BI99" s="40" t="str">
        <f>IF(BI$4&lt;=PARAMETER!$X$2,SUMIF('2026'!$F:$F,$B99,'2026'!BH:BH)/PARAMETER!$T$3,"")</f>
        <v/>
      </c>
      <c r="BJ99" s="40" t="str">
        <f>IF(BJ$4&lt;=PARAMETER!$X$2,SUMIF('2026'!$F:$F,$B99,'2026'!BI:BI)/PARAMETER!$T$3,"")</f>
        <v/>
      </c>
    </row>
    <row r="100" spans="1:62" x14ac:dyDescent="0.25">
      <c r="A100">
        <f t="shared" si="132"/>
        <v>22</v>
      </c>
      <c r="B100" s="78" t="str">
        <f>CONCATENATE(C100,PARAMETER!T$2)</f>
        <v>VOL</v>
      </c>
      <c r="C100" s="26" t="str">
        <f t="shared" si="133"/>
        <v/>
      </c>
      <c r="D100" s="27" t="s">
        <v>128</v>
      </c>
      <c r="E100" s="35" t="str">
        <f t="shared" si="134"/>
        <v/>
      </c>
      <c r="F100" s="28">
        <f t="shared" si="131"/>
        <v>3</v>
      </c>
      <c r="G100" s="39">
        <f t="shared" si="115"/>
        <v>2025</v>
      </c>
      <c r="H100" s="40">
        <f>IF(H$4&lt;=PARAMETER!$X$2,SUMIF('2025'!$F:$F,$B100,'2025'!G:G)/PARAMETER!$T$3,"")</f>
        <v>0</v>
      </c>
      <c r="I100" s="40">
        <f>IF(I$4&lt;=PARAMETER!$X$2,SUMIF('2025'!$F:$F,$B100,'2025'!H:H)/PARAMETER!$T$3,"")</f>
        <v>0</v>
      </c>
      <c r="J100" s="40">
        <f>IF(J$4&lt;=PARAMETER!$X$2,SUMIF('2025'!$F:$F,$B100,'2025'!I:I)/PARAMETER!$T$3,"")</f>
        <v>0</v>
      </c>
      <c r="K100" s="40">
        <f>IF(K$4&lt;=PARAMETER!$X$2,SUMIF('2025'!$F:$F,$B100,'2025'!J:J)/PARAMETER!$T$3,"")</f>
        <v>0</v>
      </c>
      <c r="L100" s="40">
        <f>IF(L$4&lt;=PARAMETER!$X$2,SUMIF('2025'!$F:$F,$B100,'2025'!K:K)/PARAMETER!$T$3,"")</f>
        <v>0</v>
      </c>
      <c r="M100" s="40">
        <f>IF(M$4&lt;=PARAMETER!$X$2,SUMIF('2025'!$F:$F,$B100,'2025'!L:L)/PARAMETER!$T$3,"")</f>
        <v>0</v>
      </c>
      <c r="N100" s="40">
        <f>IF(N$4&lt;=PARAMETER!$X$2,SUMIF('2025'!$F:$F,$B100,'2025'!M:M)/PARAMETER!$T$3,"")</f>
        <v>0</v>
      </c>
      <c r="O100" s="40">
        <f>IF(O$4&lt;=PARAMETER!$X$2,SUMIF('2025'!$F:$F,$B100,'2025'!N:N)/PARAMETER!$T$3,"")</f>
        <v>0</v>
      </c>
      <c r="P100" s="40">
        <f>IF(P$4&lt;=PARAMETER!$X$2,SUMIF('2025'!$F:$F,$B100,'2025'!O:O)/PARAMETER!$T$3,"")</f>
        <v>0</v>
      </c>
      <c r="Q100" s="40">
        <f>IF(Q$4&lt;=PARAMETER!$X$2,SUMIF('2025'!$F:$F,$B100,'2025'!P:P)/PARAMETER!$T$3,"")</f>
        <v>0</v>
      </c>
      <c r="R100" s="40">
        <f>IF(R$4&lt;=PARAMETER!$X$2,SUMIF('2025'!$F:$F,$B100,'2025'!Q:Q)/PARAMETER!$T$3,"")</f>
        <v>0</v>
      </c>
      <c r="S100" s="40">
        <f>IF(S$4&lt;=PARAMETER!$X$2,SUMIF('2025'!$F:$F,$B100,'2025'!R:R)/PARAMETER!$T$3,"")</f>
        <v>0</v>
      </c>
      <c r="T100" s="40">
        <f>IF(T$4&lt;=PARAMETER!$X$2,SUMIF('2025'!$F:$F,$B100,'2025'!S:S)/PARAMETER!$T$3,"")</f>
        <v>0</v>
      </c>
      <c r="U100" s="40" t="str">
        <f>IF(U$4&lt;=PARAMETER!$X$2,SUMIF('2025'!$F:$F,$B100,'2025'!T:T)/PARAMETER!$T$3,"")</f>
        <v/>
      </c>
      <c r="V100" s="40" t="str">
        <f>IF(V$4&lt;=PARAMETER!$X$2,SUMIF('2025'!$F:$F,$B100,'2025'!U:U)/PARAMETER!$T$3,"")</f>
        <v/>
      </c>
      <c r="W100" s="40" t="str">
        <f>IF(W$4&lt;=PARAMETER!$X$2,SUMIF('2025'!$F:$F,$B100,'2025'!V:V)/PARAMETER!$T$3,"")</f>
        <v/>
      </c>
      <c r="X100" s="40" t="str">
        <f>IF(X$4&lt;=PARAMETER!$X$2,SUMIF('2025'!$F:$F,$B100,'2025'!W:W)/PARAMETER!$T$3,"")</f>
        <v/>
      </c>
      <c r="Y100" s="40" t="str">
        <f>IF(Y$4&lt;=PARAMETER!$X$2,SUMIF('2025'!$F:$F,$B100,'2025'!X:X)/PARAMETER!$T$3,"")</f>
        <v/>
      </c>
      <c r="Z100" s="40" t="str">
        <f>IF(Z$4&lt;=PARAMETER!$X$2,SUMIF('2025'!$F:$F,$B100,'2025'!Y:Y)/PARAMETER!$T$3,"")</f>
        <v/>
      </c>
      <c r="AA100" s="40" t="str">
        <f>IF(AA$4&lt;=PARAMETER!$X$2,SUMIF('2025'!$F:$F,$B100,'2025'!Z:Z)/PARAMETER!$T$3,"")</f>
        <v/>
      </c>
      <c r="AB100" s="40" t="str">
        <f>IF(AB$4&lt;=PARAMETER!$X$2,SUMIF('2025'!$F:$F,$B100,'2025'!AA:AA)/PARAMETER!$T$3,"")</f>
        <v/>
      </c>
      <c r="AC100" s="40" t="str">
        <f>IF(AC$4&lt;=PARAMETER!$X$2,SUMIF('2025'!$F:$F,$B100,'2025'!AB:AB)/PARAMETER!$T$3,"")</f>
        <v/>
      </c>
      <c r="AD100" s="40" t="str">
        <f>IF(AD$4&lt;=PARAMETER!$X$2,SUMIF('2025'!$F:$F,$B100,'2025'!AC:AC)/PARAMETER!$T$3,"")</f>
        <v/>
      </c>
      <c r="AE100" s="40" t="str">
        <f>IF(AE$4&lt;=PARAMETER!$X$2,SUMIF('2025'!$F:$F,$B100,'2025'!AD:AD)/PARAMETER!$T$3,"")</f>
        <v/>
      </c>
      <c r="AF100" s="40" t="str">
        <f>IF(AF$4&lt;=PARAMETER!$X$2,SUMIF('2025'!$F:$F,$B100,'2025'!AE:AE)/PARAMETER!$T$3,"")</f>
        <v/>
      </c>
      <c r="AG100" s="40" t="str">
        <f>IF(AG$4&lt;=PARAMETER!$X$2,SUMIF('2025'!$F:$F,$B100,'2025'!AF:AF)/PARAMETER!$T$3,"")</f>
        <v/>
      </c>
      <c r="AH100" s="40" t="str">
        <f>IF(AH$4&lt;=PARAMETER!$X$2,SUMIF('2025'!$F:$F,$B100,'2025'!AG:AG)/PARAMETER!$T$3,"")</f>
        <v/>
      </c>
      <c r="AI100" s="40" t="str">
        <f>IF(AI$4&lt;=PARAMETER!$X$2,SUMIF('2025'!$F:$F,$B100,'2025'!AH:AH)/PARAMETER!$T$3,"")</f>
        <v/>
      </c>
      <c r="AJ100" s="40" t="str">
        <f>IF(AJ$4&lt;=PARAMETER!$X$2,SUMIF('2025'!$F:$F,$B100,'2025'!AI:AI)/PARAMETER!$T$3,"")</f>
        <v/>
      </c>
      <c r="AK100" s="40" t="str">
        <f>IF(AK$4&lt;=PARAMETER!$X$2,SUMIF('2025'!$F:$F,$B100,'2025'!AJ:AJ)/PARAMETER!$T$3,"")</f>
        <v/>
      </c>
      <c r="AL100" s="40" t="str">
        <f>IF(AL$4&lt;=PARAMETER!$X$2,SUMIF('2025'!$F:$F,$B100,'2025'!AK:AK)/PARAMETER!$T$3,"")</f>
        <v/>
      </c>
      <c r="AM100" s="40" t="str">
        <f>IF(AM$4&lt;=PARAMETER!$X$2,SUMIF('2025'!$F:$F,$B100,'2025'!AL:AL)/PARAMETER!$T$3,"")</f>
        <v/>
      </c>
      <c r="AN100" s="40" t="str">
        <f>IF(AN$4&lt;=PARAMETER!$X$2,SUMIF('2025'!$F:$F,$B100,'2025'!AM:AM)/PARAMETER!$T$3,"")</f>
        <v/>
      </c>
      <c r="AO100" s="40" t="str">
        <f>IF(AO$4&lt;=PARAMETER!$X$2,SUMIF('2025'!$F:$F,$B100,'2025'!AN:AN)/PARAMETER!$T$3,"")</f>
        <v/>
      </c>
      <c r="AP100" s="40" t="str">
        <f>IF(AP$4&lt;=PARAMETER!$X$2,SUMIF('2025'!$F:$F,$B100,'2025'!AO:AO)/PARAMETER!$T$3,"")</f>
        <v/>
      </c>
      <c r="AQ100" s="40" t="str">
        <f>IF(AQ$4&lt;=PARAMETER!$X$2,SUMIF('2025'!$F:$F,$B100,'2025'!AP:AP)/PARAMETER!$T$3,"")</f>
        <v/>
      </c>
      <c r="AR100" s="40" t="str">
        <f>IF(AR$4&lt;=PARAMETER!$X$2,SUMIF('2025'!$F:$F,$B100,'2025'!AQ:AQ)/PARAMETER!$T$3,"")</f>
        <v/>
      </c>
      <c r="AS100" s="40" t="str">
        <f>IF(AS$4&lt;=PARAMETER!$X$2,SUMIF('2025'!$F:$F,$B100,'2025'!AR:AR)/PARAMETER!$T$3,"")</f>
        <v/>
      </c>
      <c r="AT100" s="40" t="str">
        <f>IF(AT$4&lt;=PARAMETER!$X$2,SUMIF('2025'!$F:$F,$B100,'2025'!AS:AS)/PARAMETER!$T$3,"")</f>
        <v/>
      </c>
      <c r="AU100" s="40" t="str">
        <f>IF(AU$4&lt;=PARAMETER!$X$2,SUMIF('2025'!$F:$F,$B100,'2025'!AT:AT)/PARAMETER!$T$3,"")</f>
        <v/>
      </c>
      <c r="AV100" s="40" t="str">
        <f>IF(AV$4&lt;=PARAMETER!$X$2,SUMIF('2025'!$F:$F,$B100,'2025'!AU:AU)/PARAMETER!$T$3,"")</f>
        <v/>
      </c>
      <c r="AW100" s="40" t="str">
        <f>IF(AW$4&lt;=PARAMETER!$X$2,SUMIF('2025'!$F:$F,$B100,'2025'!AV:AV)/PARAMETER!$T$3,"")</f>
        <v/>
      </c>
      <c r="AX100" s="40" t="str">
        <f>IF(AX$4&lt;=PARAMETER!$X$2,SUMIF('2025'!$F:$F,$B100,'2025'!AW:AW)/PARAMETER!$T$3,"")</f>
        <v/>
      </c>
      <c r="AY100" s="40" t="str">
        <f>IF(AY$4&lt;=PARAMETER!$X$2,SUMIF('2025'!$F:$F,$B100,'2025'!AX:AX)/PARAMETER!$T$3,"")</f>
        <v/>
      </c>
      <c r="AZ100" s="40" t="str">
        <f>IF(AZ$4&lt;=PARAMETER!$X$2,SUMIF('2025'!$F:$F,$B100,'2025'!AY:AY)/PARAMETER!$T$3,"")</f>
        <v/>
      </c>
      <c r="BA100" s="40" t="str">
        <f>IF(BA$4&lt;=PARAMETER!$X$2,SUMIF('2025'!$F:$F,$B100,'2025'!AZ:AZ)/PARAMETER!$T$3,"")</f>
        <v/>
      </c>
      <c r="BB100" s="40" t="str">
        <f>IF(BB$4&lt;=PARAMETER!$X$2,SUMIF('2025'!$F:$F,$B100,'2025'!BA:BA)/PARAMETER!$T$3,"")</f>
        <v/>
      </c>
      <c r="BC100" s="40" t="str">
        <f>IF(BC$4&lt;=PARAMETER!$X$2,SUMIF('2025'!$F:$F,$B100,'2025'!BB:BB)/PARAMETER!$T$3,"")</f>
        <v/>
      </c>
      <c r="BD100" s="40" t="str">
        <f>IF(BD$4&lt;=PARAMETER!$X$2,SUMIF('2025'!$F:$F,$B100,'2025'!BC:BC)/PARAMETER!$T$3,"")</f>
        <v/>
      </c>
      <c r="BE100" s="40" t="str">
        <f>IF(BE$4&lt;=PARAMETER!$X$2,SUMIF('2025'!$F:$F,$B100,'2025'!BD:BD)/PARAMETER!$T$3,"")</f>
        <v/>
      </c>
      <c r="BF100" s="40" t="str">
        <f>IF(BF$4&lt;=PARAMETER!$X$2,SUMIF('2025'!$F:$F,$B100,'2025'!BE:BE)/PARAMETER!$T$3,"")</f>
        <v/>
      </c>
      <c r="BG100" s="40" t="str">
        <f>IF(BG$4&lt;=PARAMETER!$X$2,SUMIF('2025'!$F:$F,$B100,'2025'!BF:BF)/PARAMETER!$T$3,"")</f>
        <v/>
      </c>
      <c r="BH100" s="40" t="str">
        <f>IF(BH$4&lt;=PARAMETER!$X$2,SUMIF('2025'!$F:$F,$B100,'2025'!BG:BG)/PARAMETER!$T$3,"")</f>
        <v/>
      </c>
      <c r="BI100" s="40" t="str">
        <f>IF(BI$4&lt;=PARAMETER!$X$2,SUMIF('2025'!$F:$F,$B100,'2025'!BH:BH)/PARAMETER!$T$3,"")</f>
        <v/>
      </c>
      <c r="BJ100" s="40" t="str">
        <f>IF(BJ$4&lt;=PARAMETER!$X$2,SUMIF('2025'!$F:$F,$B100,'2025'!BI:BI)/PARAMETER!$T$3,"")</f>
        <v/>
      </c>
    </row>
    <row r="101" spans="1:62" x14ac:dyDescent="0.25">
      <c r="A101">
        <f t="shared" si="129"/>
        <v>22</v>
      </c>
      <c r="B101" s="78" t="str">
        <f>CONCATENATE(C101,PARAMETER!T$2)</f>
        <v>VOL</v>
      </c>
      <c r="C101" s="26" t="str">
        <f t="shared" si="133"/>
        <v/>
      </c>
      <c r="D101" s="67"/>
      <c r="E101" s="68"/>
      <c r="F101" s="69"/>
      <c r="G101" s="70">
        <f t="shared" si="115"/>
        <v>2024</v>
      </c>
      <c r="H101" s="71">
        <f>IF(H$4&lt;=PARAMETER!$X$2,SUMIF('2024'!$F:$F,$B101,'2024'!G:G)/PARAMETER!$T$3,"")</f>
        <v>0</v>
      </c>
      <c r="I101" s="71">
        <f>IF(I$4&lt;=PARAMETER!$X$2,SUMIF('2024'!$F:$F,$B101,'2024'!H:H)/PARAMETER!$T$3,"")</f>
        <v>0</v>
      </c>
      <c r="J101" s="71">
        <f>IF(J$4&lt;=PARAMETER!$X$2,SUMIF('2024'!$F:$F,$B101,'2024'!I:I)/PARAMETER!$T$3,"")</f>
        <v>0</v>
      </c>
      <c r="K101" s="71">
        <f>IF(K$4&lt;=PARAMETER!$X$2,SUMIF('2024'!$F:$F,$B101,'2024'!J:J)/PARAMETER!$T$3,"")</f>
        <v>0</v>
      </c>
      <c r="L101" s="71">
        <f>IF(L$4&lt;=PARAMETER!$X$2,SUMIF('2024'!$F:$F,$B101,'2024'!K:K)/PARAMETER!$T$3,"")</f>
        <v>0</v>
      </c>
      <c r="M101" s="71">
        <f>IF(M$4&lt;=PARAMETER!$X$2,SUMIF('2024'!$F:$F,$B101,'2024'!L:L)/PARAMETER!$T$3,"")</f>
        <v>0</v>
      </c>
      <c r="N101" s="71">
        <f>IF(N$4&lt;=PARAMETER!$X$2,SUMIF('2024'!$F:$F,$B101,'2024'!M:M)/PARAMETER!$T$3,"")</f>
        <v>0</v>
      </c>
      <c r="O101" s="71">
        <f>IF(O$4&lt;=PARAMETER!$X$2,SUMIF('2024'!$F:$F,$B101,'2024'!N:N)/PARAMETER!$T$3,"")</f>
        <v>0</v>
      </c>
      <c r="P101" s="71">
        <f>IF(P$4&lt;=PARAMETER!$X$2,SUMIF('2024'!$F:$F,$B101,'2024'!O:O)/PARAMETER!$T$3,"")</f>
        <v>0</v>
      </c>
      <c r="Q101" s="71">
        <f>IF(Q$4&lt;=PARAMETER!$X$2,SUMIF('2024'!$F:$F,$B101,'2024'!P:P)/PARAMETER!$T$3,"")</f>
        <v>0</v>
      </c>
      <c r="R101" s="71">
        <f>IF(R$4&lt;=PARAMETER!$X$2,SUMIF('2024'!$F:$F,$B101,'2024'!Q:Q)/PARAMETER!$T$3,"")</f>
        <v>0</v>
      </c>
      <c r="S101" s="71">
        <f>IF(S$4&lt;=PARAMETER!$X$2,SUMIF('2024'!$F:$F,$B101,'2024'!R:R)/PARAMETER!$T$3,"")</f>
        <v>0</v>
      </c>
      <c r="T101" s="71">
        <f>IF(T$4&lt;=PARAMETER!$X$2,SUMIF('2024'!$F:$F,$B101,'2024'!S:S)/PARAMETER!$T$3,"")</f>
        <v>0</v>
      </c>
      <c r="U101" s="71" t="str">
        <f>IF(U$4&lt;=PARAMETER!$X$2,SUMIF('2024'!$F:$F,$B101,'2024'!T:T)/PARAMETER!$T$3,"")</f>
        <v/>
      </c>
      <c r="V101" s="71" t="str">
        <f>IF(V$4&lt;=PARAMETER!$X$2,SUMIF('2024'!$F:$F,$B101,'2024'!U:U)/PARAMETER!$T$3,"")</f>
        <v/>
      </c>
      <c r="W101" s="71" t="str">
        <f>IF(W$4&lt;=PARAMETER!$X$2,SUMIF('2024'!$F:$F,$B101,'2024'!V:V)/PARAMETER!$T$3,"")</f>
        <v/>
      </c>
      <c r="X101" s="71" t="str">
        <f>IF(X$4&lt;=PARAMETER!$X$2,SUMIF('2024'!$F:$F,$B101,'2024'!W:W)/PARAMETER!$T$3,"")</f>
        <v/>
      </c>
      <c r="Y101" s="71" t="str">
        <f>IF(Y$4&lt;=PARAMETER!$X$2,SUMIF('2024'!$F:$F,$B101,'2024'!X:X)/PARAMETER!$T$3,"")</f>
        <v/>
      </c>
      <c r="Z101" s="71" t="str">
        <f>IF(Z$4&lt;=PARAMETER!$X$2,SUMIF('2024'!$F:$F,$B101,'2024'!Y:Y)/PARAMETER!$T$3,"")</f>
        <v/>
      </c>
      <c r="AA101" s="71" t="str">
        <f>IF(AA$4&lt;=PARAMETER!$X$2,SUMIF('2024'!$F:$F,$B101,'2024'!Z:Z)/PARAMETER!$T$3,"")</f>
        <v/>
      </c>
      <c r="AB101" s="71" t="str">
        <f>IF(AB$4&lt;=PARAMETER!$X$2,SUMIF('2024'!$F:$F,$B101,'2024'!AA:AA)/PARAMETER!$T$3,"")</f>
        <v/>
      </c>
      <c r="AC101" s="71" t="str">
        <f>IF(AC$4&lt;=PARAMETER!$X$2,SUMIF('2024'!$F:$F,$B101,'2024'!AB:AB)/PARAMETER!$T$3,"")</f>
        <v/>
      </c>
      <c r="AD101" s="71" t="str">
        <f>IF(AD$4&lt;=PARAMETER!$X$2,SUMIF('2024'!$F:$F,$B101,'2024'!AC:AC)/PARAMETER!$T$3,"")</f>
        <v/>
      </c>
      <c r="AE101" s="71" t="str">
        <f>IF(AE$4&lt;=PARAMETER!$X$2,SUMIF('2024'!$F:$F,$B101,'2024'!AD:AD)/PARAMETER!$T$3,"")</f>
        <v/>
      </c>
      <c r="AF101" s="71" t="str">
        <f>IF(AF$4&lt;=PARAMETER!$X$2,SUMIF('2024'!$F:$F,$B101,'2024'!AE:AE)/PARAMETER!$T$3,"")</f>
        <v/>
      </c>
      <c r="AG101" s="71" t="str">
        <f>IF(AG$4&lt;=PARAMETER!$X$2,SUMIF('2024'!$F:$F,$B101,'2024'!AF:AF)/PARAMETER!$T$3,"")</f>
        <v/>
      </c>
      <c r="AH101" s="71" t="str">
        <f>IF(AH$4&lt;=PARAMETER!$X$2,SUMIF('2024'!$F:$F,$B101,'2024'!AG:AG)/PARAMETER!$T$3,"")</f>
        <v/>
      </c>
      <c r="AI101" s="71" t="str">
        <f>IF(AI$4&lt;=PARAMETER!$X$2,SUMIF('2024'!$F:$F,$B101,'2024'!AH:AH)/PARAMETER!$T$3,"")</f>
        <v/>
      </c>
      <c r="AJ101" s="71" t="str">
        <f>IF(AJ$4&lt;=PARAMETER!$X$2,SUMIF('2024'!$F:$F,$B101,'2024'!AI:AI)/PARAMETER!$T$3,"")</f>
        <v/>
      </c>
      <c r="AK101" s="71" t="str">
        <f>IF(AK$4&lt;=PARAMETER!$X$2,SUMIF('2024'!$F:$F,$B101,'2024'!AJ:AJ)/PARAMETER!$T$3,"")</f>
        <v/>
      </c>
      <c r="AL101" s="71" t="str">
        <f>IF(AL$4&lt;=PARAMETER!$X$2,SUMIF('2024'!$F:$F,$B101,'2024'!AK:AK)/PARAMETER!$T$3,"")</f>
        <v/>
      </c>
      <c r="AM101" s="71" t="str">
        <f>IF(AM$4&lt;=PARAMETER!$X$2,SUMIF('2024'!$F:$F,$B101,'2024'!AL:AL)/PARAMETER!$T$3,"")</f>
        <v/>
      </c>
      <c r="AN101" s="71" t="str">
        <f>IF(AN$4&lt;=PARAMETER!$X$2,SUMIF('2024'!$F:$F,$B101,'2024'!AM:AM)/PARAMETER!$T$3,"")</f>
        <v/>
      </c>
      <c r="AO101" s="71" t="str">
        <f>IF(AO$4&lt;=PARAMETER!$X$2,SUMIF('2024'!$F:$F,$B101,'2024'!AN:AN)/PARAMETER!$T$3,"")</f>
        <v/>
      </c>
      <c r="AP101" s="71" t="str">
        <f>IF(AP$4&lt;=PARAMETER!$X$2,SUMIF('2024'!$F:$F,$B101,'2024'!AO:AO)/PARAMETER!$T$3,"")</f>
        <v/>
      </c>
      <c r="AQ101" s="71" t="str">
        <f>IF(AQ$4&lt;=PARAMETER!$X$2,SUMIF('2024'!$F:$F,$B101,'2024'!AP:AP)/PARAMETER!$T$3,"")</f>
        <v/>
      </c>
      <c r="AR101" s="71" t="str">
        <f>IF(AR$4&lt;=PARAMETER!$X$2,SUMIF('2024'!$F:$F,$B101,'2024'!AQ:AQ)/PARAMETER!$T$3,"")</f>
        <v/>
      </c>
      <c r="AS101" s="71" t="str">
        <f>IF(AS$4&lt;=PARAMETER!$X$2,SUMIF('2024'!$F:$F,$B101,'2024'!AR:AR)/PARAMETER!$T$3,"")</f>
        <v/>
      </c>
      <c r="AT101" s="71" t="str">
        <f>IF(AT$4&lt;=PARAMETER!$X$2,SUMIF('2024'!$F:$F,$B101,'2024'!AS:AS)/PARAMETER!$T$3,"")</f>
        <v/>
      </c>
      <c r="AU101" s="71" t="str">
        <f>IF(AU$4&lt;=PARAMETER!$X$2,SUMIF('2024'!$F:$F,$B101,'2024'!AT:AT)/PARAMETER!$T$3,"")</f>
        <v/>
      </c>
      <c r="AV101" s="71" t="str">
        <f>IF(AV$4&lt;=PARAMETER!$X$2,SUMIF('2024'!$F:$F,$B101,'2024'!AU:AU)/PARAMETER!$T$3,"")</f>
        <v/>
      </c>
      <c r="AW101" s="71" t="str">
        <f>IF(AW$4&lt;=PARAMETER!$X$2,SUMIF('2024'!$F:$F,$B101,'2024'!AV:AV)/PARAMETER!$T$3,"")</f>
        <v/>
      </c>
      <c r="AX101" s="71" t="str">
        <f>IF(AX$4&lt;=PARAMETER!$X$2,SUMIF('2024'!$F:$F,$B101,'2024'!AW:AW)/PARAMETER!$T$3,"")</f>
        <v/>
      </c>
      <c r="AY101" s="71" t="str">
        <f>IF(AY$4&lt;=PARAMETER!$X$2,SUMIF('2024'!$F:$F,$B101,'2024'!AX:AX)/PARAMETER!$T$3,"")</f>
        <v/>
      </c>
      <c r="AZ101" s="71" t="str">
        <f>IF(AZ$4&lt;=PARAMETER!$X$2,SUMIF('2024'!$F:$F,$B101,'2024'!AY:AY)/PARAMETER!$T$3,"")</f>
        <v/>
      </c>
      <c r="BA101" s="71" t="str">
        <f>IF(BA$4&lt;=PARAMETER!$X$2,SUMIF('2024'!$F:$F,$B101,'2024'!AZ:AZ)/PARAMETER!$T$3,"")</f>
        <v/>
      </c>
      <c r="BB101" s="71" t="str">
        <f>IF(BB$4&lt;=PARAMETER!$X$2,SUMIF('2024'!$F:$F,$B101,'2024'!BA:BA)/PARAMETER!$T$3,"")</f>
        <v/>
      </c>
      <c r="BC101" s="71" t="str">
        <f>IF(BC$4&lt;=PARAMETER!$X$2,SUMIF('2024'!$F:$F,$B101,'2024'!BB:BB)/PARAMETER!$T$3,"")</f>
        <v/>
      </c>
      <c r="BD101" s="71" t="str">
        <f>IF(BD$4&lt;=PARAMETER!$X$2,SUMIF('2024'!$F:$F,$B101,'2024'!BC:BC)/PARAMETER!$T$3,"")</f>
        <v/>
      </c>
      <c r="BE101" s="71" t="str">
        <f>IF(BE$4&lt;=PARAMETER!$X$2,SUMIF('2024'!$F:$F,$B101,'2024'!BD:BD)/PARAMETER!$T$3,"")</f>
        <v/>
      </c>
      <c r="BF101" s="71" t="str">
        <f>IF(BF$4&lt;=PARAMETER!$X$2,SUMIF('2024'!$F:$F,$B101,'2024'!BE:BE)/PARAMETER!$T$3,"")</f>
        <v/>
      </c>
      <c r="BG101" s="71" t="str">
        <f>IF(BG$4&lt;=PARAMETER!$X$2,SUMIF('2024'!$F:$F,$B101,'2024'!BF:BF)/PARAMETER!$T$3,"")</f>
        <v/>
      </c>
      <c r="BH101" s="71" t="str">
        <f>IF(BH$4&lt;=PARAMETER!$X$2,SUMIF('2024'!$F:$F,$B101,'2024'!BG:BG)/PARAMETER!$T$3,"")</f>
        <v/>
      </c>
      <c r="BI101" s="71" t="str">
        <f>IF(BI$4&lt;=PARAMETER!$X$2,SUMIF('2024'!$F:$F,$B101,'2024'!BH:BH)/PARAMETER!$T$3,"")</f>
        <v/>
      </c>
      <c r="BJ101" s="71" t="str">
        <f>IF(BJ$4&lt;=PARAMETER!$X$2,SUMIF('2024'!$F:$F,$B101,'2024'!BI:BI)/PARAMETER!$T$3,"")</f>
        <v/>
      </c>
    </row>
  </sheetData>
  <mergeCells count="12">
    <mergeCell ref="I5:I6"/>
    <mergeCell ref="E12:E13"/>
    <mergeCell ref="I12:I13"/>
    <mergeCell ref="C12:C13"/>
    <mergeCell ref="D12:D13"/>
    <mergeCell ref="G12:G13"/>
    <mergeCell ref="H12:H13"/>
    <mergeCell ref="C5:C6"/>
    <mergeCell ref="D5:D6"/>
    <mergeCell ref="G5:G6"/>
    <mergeCell ref="H5:H6"/>
    <mergeCell ref="E5:E6"/>
  </mergeCells>
  <conditionalFormatting sqref="F7">
    <cfRule type="iconSet" priority="88">
      <iconSet showValue="0">
        <cfvo type="percent" val="0"/>
        <cfvo type="num" val="0.95"/>
        <cfvo type="num" val="1"/>
      </iconSet>
    </cfRule>
  </conditionalFormatting>
  <conditionalFormatting sqref="F8:F10">
    <cfRule type="iconSet" priority="89">
      <iconSet iconSet="3Arrows" showValue="0">
        <cfvo type="percent" val="0"/>
        <cfvo type="num" val="0"/>
        <cfvo type="num" val="0" gte="0"/>
      </iconSet>
    </cfRule>
  </conditionalFormatting>
  <conditionalFormatting sqref="F14 F18 F22 F26 F30 F34 F38 F42 F46 F50 F54 F58 F62 F66 F70 F74 F78 F82 F86 F90 F94 F98">
    <cfRule type="iconSet" priority="97">
      <iconSet showValue="0">
        <cfvo type="percent" val="0"/>
        <cfvo type="num" val="0.95"/>
        <cfvo type="num" val="1"/>
      </iconSet>
    </cfRule>
  </conditionalFormatting>
  <conditionalFormatting sqref="F15:F17 F19:F21 F23:F25 F27:F29 F31:F33 F35:F37 F39:F41 F43:F45 F47:F49 F51:F53 F55:F57 F59:F61 F63:F65 F67:F69 F71:F73 F75:F77 F79:F81 F83:F85 F87:F89 F91:F93 F95:F97 F99:F101">
    <cfRule type="iconSet" priority="119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ignoredErrors>
    <ignoredError sqref="B15 B17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816" r:id="rId3" name="Drop Down 480">
              <controlPr defaultSize="0" autoLine="0" autoPict="0">
                <anchor moveWithCells="1">
                  <from>
                    <xdr:col>7</xdr:col>
                    <xdr:colOff>47625</xdr:colOff>
                    <xdr:row>1</xdr:row>
                    <xdr:rowOff>47625</xdr:rowOff>
                  </from>
                  <to>
                    <xdr:col>9</xdr:col>
                    <xdr:colOff>695325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7" r:id="rId4" name="Drop Down 481">
              <controlPr defaultSize="0" autoLine="0" autoPict="0">
                <anchor moveWithCells="1">
                  <from>
                    <xdr:col>3</xdr:col>
                    <xdr:colOff>295275</xdr:colOff>
                    <xdr:row>1</xdr:row>
                    <xdr:rowOff>47625</xdr:rowOff>
                  </from>
                  <to>
                    <xdr:col>6</xdr:col>
                    <xdr:colOff>647700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9" r:id="rId5" name="Drop Down 483">
              <controlPr defaultSize="0" autoLine="0" autoPict="0">
                <anchor moveWithCells="1">
                  <from>
                    <xdr:col>10</xdr:col>
                    <xdr:colOff>247650</xdr:colOff>
                    <xdr:row>1</xdr:row>
                    <xdr:rowOff>38100</xdr:rowOff>
                  </from>
                  <to>
                    <xdr:col>13</xdr:col>
                    <xdr:colOff>66675</xdr:colOff>
                    <xdr:row>2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1D00-0564-8D42-823A-CFDA56521E1A}">
  <sheetPr codeName="Sheet3"/>
  <dimension ref="A1:BI106"/>
  <sheetViews>
    <sheetView topLeftCell="G1" zoomScale="84" workbookViewId="0">
      <selection activeCell="H18" sqref="H18"/>
    </sheetView>
  </sheetViews>
  <sheetFormatPr defaultColWidth="10.875" defaultRowHeight="13.5" x14ac:dyDescent="0.25"/>
  <cols>
    <col min="1" max="1" width="22.375" style="43" bestFit="1" customWidth="1"/>
    <col min="2" max="2" width="6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12" width="14" style="43" bestFit="1" customWidth="1"/>
    <col min="13" max="13" width="15" style="43" bestFit="1" customWidth="1"/>
    <col min="14" max="60" width="14" style="43" bestFit="1" customWidth="1"/>
    <col min="61" max="61" width="12.5" style="43" bestFit="1" customWidth="1"/>
    <col min="62" max="114" width="16.5" style="43" bestFit="1" customWidth="1"/>
    <col min="115" max="167" width="15.875" style="43" bestFit="1" customWidth="1"/>
    <col min="168" max="16384" width="10.875" style="43"/>
  </cols>
  <sheetData>
    <row r="1" spans="1:61" x14ac:dyDescent="0.25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6" t="s">
        <v>141</v>
      </c>
      <c r="C2" s="49" t="s">
        <v>40</v>
      </c>
      <c r="D2" s="49" t="str">
        <f>VLOOKUP(A2,PARAMETER!D:E,2,0)</f>
        <v>NINA</v>
      </c>
      <c r="E2" s="49" t="str">
        <f t="shared" ref="E2:E33" si="0">CONCATENATE(D2,C2)</f>
        <v>NINAFBI</v>
      </c>
      <c r="F2" s="49" t="str">
        <f t="shared" ref="F2:F33" si="1">CONCATENATE(A2,C2)</f>
        <v>ALFA GROUPFBI</v>
      </c>
      <c r="G2" s="81">
        <f>SUM(I2:BI2)</f>
        <v>1506693819</v>
      </c>
      <c r="H2" s="81">
        <f>SUMIF(I$1:BI$1,"&lt;="&amp;PARAMETER!X$2,I2:BI2)</f>
        <v>261402755</v>
      </c>
      <c r="I2" s="53">
        <v>19696686</v>
      </c>
      <c r="J2" s="53">
        <v>19545681</v>
      </c>
      <c r="K2" s="53">
        <v>20111605</v>
      </c>
      <c r="L2" s="53">
        <v>24135896</v>
      </c>
      <c r="M2" s="53">
        <v>24394637</v>
      </c>
      <c r="N2" s="53">
        <v>22794395</v>
      </c>
      <c r="O2" s="53">
        <v>22346958</v>
      </c>
      <c r="P2" s="53">
        <v>24124422</v>
      </c>
      <c r="Q2" s="53">
        <v>27729449</v>
      </c>
      <c r="R2" s="53">
        <v>28583024</v>
      </c>
      <c r="S2" s="53">
        <v>27940002</v>
      </c>
      <c r="T2" s="53">
        <v>26784323</v>
      </c>
      <c r="U2" s="53">
        <v>34090545</v>
      </c>
      <c r="V2" s="53">
        <v>35765051</v>
      </c>
      <c r="W2" s="53">
        <v>31742726</v>
      </c>
      <c r="X2" s="53">
        <v>26890875</v>
      </c>
      <c r="Y2" s="53">
        <v>27407976</v>
      </c>
      <c r="Z2" s="53">
        <v>29195522</v>
      </c>
      <c r="AA2" s="53">
        <v>26625176</v>
      </c>
      <c r="AB2" s="53">
        <v>22191371</v>
      </c>
      <c r="AC2" s="53">
        <v>27492047</v>
      </c>
      <c r="AD2" s="53">
        <v>28888080</v>
      </c>
      <c r="AE2" s="53">
        <v>27869438</v>
      </c>
      <c r="AF2" s="53">
        <v>25918588</v>
      </c>
      <c r="AG2" s="53">
        <v>26746620</v>
      </c>
      <c r="AH2" s="53">
        <v>30358852</v>
      </c>
      <c r="AI2" s="53">
        <v>28890500</v>
      </c>
      <c r="AJ2" s="53">
        <v>27916420</v>
      </c>
      <c r="AK2" s="53">
        <v>26664627</v>
      </c>
      <c r="AL2" s="53">
        <v>30810109</v>
      </c>
      <c r="AM2" s="53">
        <v>31018513</v>
      </c>
      <c r="AN2" s="53">
        <v>27861825</v>
      </c>
      <c r="AO2" s="53">
        <v>28195263</v>
      </c>
      <c r="AP2" s="53">
        <v>29260670</v>
      </c>
      <c r="AQ2" s="53">
        <v>31133071</v>
      </c>
      <c r="AR2" s="53">
        <v>31267152</v>
      </c>
      <c r="AS2" s="53">
        <v>28075533</v>
      </c>
      <c r="AT2" s="53">
        <v>32274050</v>
      </c>
      <c r="AU2" s="53">
        <v>35849652</v>
      </c>
      <c r="AV2" s="53">
        <v>35399024</v>
      </c>
      <c r="AW2" s="53">
        <v>32637038</v>
      </c>
      <c r="AX2" s="53">
        <v>28625514</v>
      </c>
      <c r="AY2" s="53">
        <v>28234575</v>
      </c>
      <c r="AZ2" s="53">
        <v>35890080</v>
      </c>
      <c r="BA2" s="53">
        <v>32793967</v>
      </c>
      <c r="BB2" s="53">
        <v>31831327</v>
      </c>
      <c r="BC2" s="53">
        <v>31630493</v>
      </c>
      <c r="BD2" s="53">
        <v>37383262</v>
      </c>
      <c r="BE2" s="53">
        <v>33923022</v>
      </c>
      <c r="BF2" s="53">
        <v>29000865</v>
      </c>
      <c r="BG2" s="53">
        <v>28528407</v>
      </c>
      <c r="BH2" s="53">
        <v>32394733</v>
      </c>
      <c r="BI2" s="53">
        <v>9834182</v>
      </c>
    </row>
    <row r="3" spans="1:61" ht="15.75" x14ac:dyDescent="0.25">
      <c r="A3" s="53" t="s">
        <v>1</v>
      </c>
      <c r="B3" s="56" t="s">
        <v>141</v>
      </c>
      <c r="C3" s="52" t="s">
        <v>42</v>
      </c>
      <c r="D3" s="49" t="str">
        <f>VLOOKUP(A3,PARAMETER!D:E,2,0)</f>
        <v>NINA</v>
      </c>
      <c r="E3" s="49" t="str">
        <f t="shared" si="0"/>
        <v>NINATRX</v>
      </c>
      <c r="F3" s="49" t="str">
        <f t="shared" si="1"/>
        <v>ALFA GROUPTRX</v>
      </c>
      <c r="G3" s="81">
        <f t="shared" ref="G3:G66" si="2">SUM(I3:BI3)</f>
        <v>1367517</v>
      </c>
      <c r="H3" s="81">
        <f>SUMIF(I$1:BI$1,"&lt;="&amp;PARAMETER!X$2,I3:BI3)</f>
        <v>249756</v>
      </c>
      <c r="I3" s="53">
        <v>18847</v>
      </c>
      <c r="J3" s="53">
        <v>18925</v>
      </c>
      <c r="K3" s="53">
        <v>19732</v>
      </c>
      <c r="L3" s="53">
        <v>22014</v>
      </c>
      <c r="M3" s="53">
        <v>22369</v>
      </c>
      <c r="N3" s="53">
        <v>22145</v>
      </c>
      <c r="O3" s="53">
        <v>22595</v>
      </c>
      <c r="P3" s="53">
        <v>24352</v>
      </c>
      <c r="Q3" s="53">
        <v>26370</v>
      </c>
      <c r="R3" s="53">
        <v>26735</v>
      </c>
      <c r="S3" s="53">
        <v>25672</v>
      </c>
      <c r="T3" s="53">
        <v>24865</v>
      </c>
      <c r="U3" s="53">
        <v>28880</v>
      </c>
      <c r="V3" s="53">
        <v>29621</v>
      </c>
      <c r="W3" s="53">
        <v>28932</v>
      </c>
      <c r="X3" s="53">
        <v>25893</v>
      </c>
      <c r="Y3" s="53">
        <v>25805</v>
      </c>
      <c r="Z3" s="53">
        <v>27571</v>
      </c>
      <c r="AA3" s="53">
        <v>26523</v>
      </c>
      <c r="AB3" s="53">
        <v>22012</v>
      </c>
      <c r="AC3" s="53">
        <v>25955</v>
      </c>
      <c r="AD3" s="53">
        <v>26706</v>
      </c>
      <c r="AE3" s="53">
        <v>26539</v>
      </c>
      <c r="AF3" s="53">
        <v>25378</v>
      </c>
      <c r="AG3" s="53">
        <v>25517</v>
      </c>
      <c r="AH3" s="53">
        <v>27492</v>
      </c>
      <c r="AI3" s="53">
        <v>26439</v>
      </c>
      <c r="AJ3" s="53">
        <v>26418</v>
      </c>
      <c r="AK3" s="53">
        <v>25216</v>
      </c>
      <c r="AL3" s="53">
        <v>28236</v>
      </c>
      <c r="AM3" s="53">
        <v>28105</v>
      </c>
      <c r="AN3" s="53">
        <v>26625</v>
      </c>
      <c r="AO3" s="53">
        <v>27636</v>
      </c>
      <c r="AP3" s="53">
        <v>27676</v>
      </c>
      <c r="AQ3" s="53">
        <v>28733</v>
      </c>
      <c r="AR3" s="53">
        <v>29708</v>
      </c>
      <c r="AS3" s="53">
        <v>27899</v>
      </c>
      <c r="AT3" s="53">
        <v>27701</v>
      </c>
      <c r="AU3" s="53">
        <v>28342</v>
      </c>
      <c r="AV3" s="53">
        <v>29371</v>
      </c>
      <c r="AW3" s="53">
        <v>28624</v>
      </c>
      <c r="AX3" s="53">
        <v>26694</v>
      </c>
      <c r="AY3" s="53">
        <v>24956</v>
      </c>
      <c r="AZ3" s="53">
        <v>28774</v>
      </c>
      <c r="BA3" s="53">
        <v>27505</v>
      </c>
      <c r="BB3" s="53">
        <v>27263</v>
      </c>
      <c r="BC3" s="53">
        <v>26444</v>
      </c>
      <c r="BD3" s="53">
        <v>29413</v>
      </c>
      <c r="BE3" s="53">
        <v>27464</v>
      </c>
      <c r="BF3" s="53">
        <v>25035</v>
      </c>
      <c r="BG3" s="53">
        <v>24856</v>
      </c>
      <c r="BH3" s="53">
        <v>26548</v>
      </c>
      <c r="BI3" s="53">
        <v>8391</v>
      </c>
    </row>
    <row r="4" spans="1:61" ht="15.75" x14ac:dyDescent="0.25">
      <c r="A4" s="53" t="s">
        <v>1</v>
      </c>
      <c r="B4" s="56" t="s">
        <v>141</v>
      </c>
      <c r="C4" s="52" t="s">
        <v>41</v>
      </c>
      <c r="D4" s="49" t="str">
        <f>VLOOKUP(A4,PARAMETER!D:E,2,0)</f>
        <v>NINA</v>
      </c>
      <c r="E4" s="49" t="str">
        <f t="shared" si="0"/>
        <v>NINAVOL</v>
      </c>
      <c r="F4" s="49" t="str">
        <f t="shared" si="1"/>
        <v>ALFA GROUPVOL</v>
      </c>
      <c r="G4" s="81">
        <f t="shared" si="2"/>
        <v>156011822983</v>
      </c>
      <c r="H4" s="81">
        <f>SUMIF(I$1:BI$1,"&lt;="&amp;PARAMETER!X$2,I4:BI4)</f>
        <v>28315446022</v>
      </c>
      <c r="I4" s="53">
        <v>2198827503</v>
      </c>
      <c r="J4" s="53">
        <v>2066677980</v>
      </c>
      <c r="K4" s="53">
        <v>2170921347</v>
      </c>
      <c r="L4" s="53">
        <v>2602439316</v>
      </c>
      <c r="M4" s="53">
        <v>2626055387</v>
      </c>
      <c r="N4" s="53">
        <v>2466664878</v>
      </c>
      <c r="O4" s="53">
        <v>2441296719</v>
      </c>
      <c r="P4" s="53">
        <v>2600817625</v>
      </c>
      <c r="Q4" s="53">
        <v>3031845135</v>
      </c>
      <c r="R4" s="53">
        <v>3088639210</v>
      </c>
      <c r="S4" s="53">
        <v>3021260922</v>
      </c>
      <c r="T4" s="53">
        <v>2926045356</v>
      </c>
      <c r="U4" s="53">
        <v>3748921650</v>
      </c>
      <c r="V4" s="53">
        <v>3947115614</v>
      </c>
      <c r="W4" s="53">
        <v>3530264063</v>
      </c>
      <c r="X4" s="53">
        <v>2920970538</v>
      </c>
      <c r="Y4" s="53">
        <v>2964740161</v>
      </c>
      <c r="Z4" s="53">
        <v>3224089306</v>
      </c>
      <c r="AA4" s="53">
        <v>2895390927</v>
      </c>
      <c r="AB4" s="53">
        <v>2407744942</v>
      </c>
      <c r="AC4" s="53">
        <v>2998951265</v>
      </c>
      <c r="AD4" s="53">
        <v>3135551784</v>
      </c>
      <c r="AE4" s="53">
        <v>3002086971</v>
      </c>
      <c r="AF4" s="53">
        <v>2843953834</v>
      </c>
      <c r="AG4" s="53">
        <v>2868203903</v>
      </c>
      <c r="AH4" s="53">
        <v>3298402284</v>
      </c>
      <c r="AI4" s="53">
        <v>3116189522</v>
      </c>
      <c r="AJ4" s="53">
        <v>2999417422</v>
      </c>
      <c r="AK4" s="53">
        <v>2831999339</v>
      </c>
      <c r="AL4" s="53">
        <v>3275149621</v>
      </c>
      <c r="AM4" s="53">
        <v>3312146609</v>
      </c>
      <c r="AN4" s="53">
        <v>2967455034</v>
      </c>
      <c r="AO4" s="53">
        <v>3008810745</v>
      </c>
      <c r="AP4" s="53">
        <v>3116874767</v>
      </c>
      <c r="AQ4" s="53">
        <v>3334442997</v>
      </c>
      <c r="AR4" s="53">
        <v>3365076812</v>
      </c>
      <c r="AS4" s="53">
        <v>3005111357</v>
      </c>
      <c r="AT4" s="53">
        <v>3019244942</v>
      </c>
      <c r="AU4" s="53">
        <v>3220975671</v>
      </c>
      <c r="AV4" s="53">
        <v>3365562700</v>
      </c>
      <c r="AW4" s="53">
        <v>3031365888</v>
      </c>
      <c r="AX4" s="53">
        <v>2763039571</v>
      </c>
      <c r="AY4" s="53">
        <v>2767746494</v>
      </c>
      <c r="AZ4" s="53">
        <v>3361389623</v>
      </c>
      <c r="BA4" s="53">
        <v>3054256537</v>
      </c>
      <c r="BB4" s="53">
        <v>2923535126</v>
      </c>
      <c r="BC4" s="53">
        <v>2872092789</v>
      </c>
      <c r="BD4" s="53">
        <v>3510942941</v>
      </c>
      <c r="BE4" s="53">
        <v>3169304366</v>
      </c>
      <c r="BF4" s="53">
        <v>2717849981</v>
      </c>
      <c r="BG4" s="53">
        <v>2767594647</v>
      </c>
      <c r="BH4" s="53">
        <v>3171332457</v>
      </c>
      <c r="BI4" s="53">
        <v>935036405</v>
      </c>
    </row>
    <row r="5" spans="1:61" ht="15.75" x14ac:dyDescent="0.25">
      <c r="A5" s="53" t="s">
        <v>2</v>
      </c>
      <c r="B5" s="56" t="s">
        <v>141</v>
      </c>
      <c r="C5" s="49" t="s">
        <v>40</v>
      </c>
      <c r="D5" s="49" t="str">
        <f>VLOOKUP(A5,PARAMETER!D:E,2,0)</f>
        <v>RIFALDI</v>
      </c>
      <c r="E5" s="49" t="str">
        <f t="shared" si="0"/>
        <v>RIFALDIFBI</v>
      </c>
      <c r="F5" s="49" t="str">
        <f t="shared" si="1"/>
        <v>ANCOLFBI</v>
      </c>
      <c r="G5" s="81">
        <f t="shared" si="2"/>
        <v>308679</v>
      </c>
      <c r="H5" s="81">
        <f>SUMIF(I$1:BI$1,"&lt;="&amp;PARAMETER!X$2,I5:BI5)</f>
        <v>31225</v>
      </c>
      <c r="I5" s="53">
        <v>18527</v>
      </c>
      <c r="J5" s="53">
        <v>641</v>
      </c>
      <c r="K5" s="53">
        <v>0</v>
      </c>
      <c r="L5" s="53">
        <v>2822</v>
      </c>
      <c r="M5" s="53">
        <v>5168</v>
      </c>
      <c r="N5" s="53">
        <v>882</v>
      </c>
      <c r="O5" s="53">
        <v>0</v>
      </c>
      <c r="P5" s="53">
        <v>0</v>
      </c>
      <c r="Q5" s="53">
        <v>3185</v>
      </c>
      <c r="R5" s="53">
        <v>0</v>
      </c>
      <c r="S5" s="53">
        <v>0</v>
      </c>
      <c r="T5" s="53">
        <v>1212</v>
      </c>
      <c r="U5" s="53">
        <v>2373</v>
      </c>
      <c r="V5" s="53">
        <v>15271</v>
      </c>
      <c r="W5" s="53">
        <v>0</v>
      </c>
      <c r="X5" s="53">
        <v>806</v>
      </c>
      <c r="Y5" s="53">
        <v>1197</v>
      </c>
      <c r="Z5" s="53">
        <v>38</v>
      </c>
      <c r="AA5" s="53">
        <v>0</v>
      </c>
      <c r="AB5" s="53">
        <v>0</v>
      </c>
      <c r="AC5" s="53">
        <v>0</v>
      </c>
      <c r="AD5" s="53">
        <v>47958</v>
      </c>
      <c r="AE5" s="53">
        <v>0</v>
      </c>
      <c r="AF5" s="53">
        <v>1565</v>
      </c>
      <c r="AG5" s="53">
        <v>1201</v>
      </c>
      <c r="AH5" s="53">
        <v>0</v>
      </c>
      <c r="AI5" s="53">
        <v>43340</v>
      </c>
      <c r="AJ5" s="53">
        <v>64</v>
      </c>
      <c r="AK5" s="53">
        <v>165</v>
      </c>
      <c r="AL5" s="53">
        <v>1525</v>
      </c>
      <c r="AM5" s="53">
        <v>13668</v>
      </c>
      <c r="AN5" s="53">
        <v>769</v>
      </c>
      <c r="AO5" s="53">
        <v>3903</v>
      </c>
      <c r="AP5" s="53">
        <v>396</v>
      </c>
      <c r="AQ5" s="53">
        <v>0</v>
      </c>
      <c r="AR5" s="53">
        <v>1716</v>
      </c>
      <c r="AS5" s="53">
        <v>0</v>
      </c>
      <c r="AT5" s="53">
        <v>5389</v>
      </c>
      <c r="AU5" s="53">
        <v>39</v>
      </c>
      <c r="AV5" s="53">
        <v>29475</v>
      </c>
      <c r="AW5" s="53">
        <v>8068</v>
      </c>
      <c r="AX5" s="53">
        <v>1262</v>
      </c>
      <c r="AY5" s="53">
        <v>4760</v>
      </c>
      <c r="AZ5" s="53">
        <v>26200</v>
      </c>
      <c r="BA5" s="53">
        <v>0</v>
      </c>
      <c r="BB5" s="53">
        <v>9190</v>
      </c>
      <c r="BC5" s="53">
        <v>7723</v>
      </c>
      <c r="BD5" s="53">
        <v>18070</v>
      </c>
      <c r="BE5" s="53">
        <v>24983</v>
      </c>
      <c r="BF5" s="53">
        <v>350</v>
      </c>
      <c r="BG5" s="53">
        <v>1653</v>
      </c>
      <c r="BH5" s="53">
        <v>3125</v>
      </c>
      <c r="BI5" s="53">
        <v>0</v>
      </c>
    </row>
    <row r="6" spans="1:61" ht="15.75" x14ac:dyDescent="0.25">
      <c r="A6" s="53" t="s">
        <v>2</v>
      </c>
      <c r="B6" s="56" t="s">
        <v>141</v>
      </c>
      <c r="C6" s="52" t="s">
        <v>42</v>
      </c>
      <c r="D6" s="49" t="str">
        <f>VLOOKUP(A6,PARAMETER!D:E,2,0)</f>
        <v>RIFALDI</v>
      </c>
      <c r="E6" s="49" t="str">
        <f t="shared" si="0"/>
        <v>RIFALDITRX</v>
      </c>
      <c r="F6" s="49" t="str">
        <f t="shared" si="1"/>
        <v>ANCOLTRX</v>
      </c>
      <c r="G6" s="81">
        <f t="shared" si="2"/>
        <v>100</v>
      </c>
      <c r="H6" s="81">
        <f>SUMIF(I$1:BI$1,"&lt;="&amp;PARAMETER!X$2,I6:BI6)</f>
        <v>27</v>
      </c>
      <c r="I6" s="53">
        <v>3</v>
      </c>
      <c r="J6" s="53">
        <v>1</v>
      </c>
      <c r="K6" s="53">
        <v>0</v>
      </c>
      <c r="L6" s="53">
        <v>2</v>
      </c>
      <c r="M6" s="53">
        <v>2</v>
      </c>
      <c r="N6" s="53">
        <v>17</v>
      </c>
      <c r="O6" s="53">
        <v>0</v>
      </c>
      <c r="P6" s="53">
        <v>0</v>
      </c>
      <c r="Q6" s="53">
        <v>2</v>
      </c>
      <c r="R6" s="53">
        <v>0</v>
      </c>
      <c r="S6" s="53">
        <v>0</v>
      </c>
      <c r="T6" s="53">
        <v>2</v>
      </c>
      <c r="U6" s="53">
        <v>4</v>
      </c>
      <c r="V6" s="53">
        <v>2</v>
      </c>
      <c r="W6" s="53">
        <v>0</v>
      </c>
      <c r="X6" s="53">
        <v>1</v>
      </c>
      <c r="Y6" s="53">
        <v>2</v>
      </c>
      <c r="Z6" s="53">
        <v>1</v>
      </c>
      <c r="AA6" s="53">
        <v>0</v>
      </c>
      <c r="AB6" s="53">
        <v>0</v>
      </c>
      <c r="AC6" s="53">
        <v>0</v>
      </c>
      <c r="AD6" s="53">
        <v>2</v>
      </c>
      <c r="AE6" s="53">
        <v>0</v>
      </c>
      <c r="AF6" s="53">
        <v>2</v>
      </c>
      <c r="AG6" s="53">
        <v>2</v>
      </c>
      <c r="AH6" s="53">
        <v>0</v>
      </c>
      <c r="AI6" s="53">
        <v>1</v>
      </c>
      <c r="AJ6" s="53">
        <v>1</v>
      </c>
      <c r="AK6" s="53">
        <v>1</v>
      </c>
      <c r="AL6" s="53">
        <v>2</v>
      </c>
      <c r="AM6" s="53">
        <v>3</v>
      </c>
      <c r="AN6" s="53">
        <v>3</v>
      </c>
      <c r="AO6" s="53">
        <v>1</v>
      </c>
      <c r="AP6" s="53">
        <v>3</v>
      </c>
      <c r="AQ6" s="53">
        <v>1</v>
      </c>
      <c r="AR6" s="53">
        <v>2</v>
      </c>
      <c r="AS6" s="53">
        <v>0</v>
      </c>
      <c r="AT6" s="53">
        <v>4</v>
      </c>
      <c r="AU6" s="53">
        <v>1</v>
      </c>
      <c r="AV6" s="53">
        <v>3</v>
      </c>
      <c r="AW6" s="53">
        <v>3</v>
      </c>
      <c r="AX6" s="53">
        <v>2</v>
      </c>
      <c r="AY6" s="53">
        <v>4</v>
      </c>
      <c r="AZ6" s="53">
        <v>6</v>
      </c>
      <c r="BA6" s="53">
        <v>0</v>
      </c>
      <c r="BB6" s="53">
        <v>1</v>
      </c>
      <c r="BC6" s="53">
        <v>3</v>
      </c>
      <c r="BD6" s="53">
        <v>2</v>
      </c>
      <c r="BE6" s="53">
        <v>2</v>
      </c>
      <c r="BF6" s="53">
        <v>1</v>
      </c>
      <c r="BG6" s="53">
        <v>2</v>
      </c>
      <c r="BH6" s="53">
        <v>3</v>
      </c>
      <c r="BI6" s="53">
        <v>0</v>
      </c>
    </row>
    <row r="7" spans="1:61" ht="15.75" x14ac:dyDescent="0.25">
      <c r="A7" s="53" t="s">
        <v>2</v>
      </c>
      <c r="B7" s="56" t="s">
        <v>141</v>
      </c>
      <c r="C7" s="52" t="s">
        <v>41</v>
      </c>
      <c r="D7" s="49" t="str">
        <f>VLOOKUP(A7,PARAMETER!D:E,2,0)</f>
        <v>RIFALDI</v>
      </c>
      <c r="E7" s="49" t="str">
        <f t="shared" si="0"/>
        <v>RIFALDIVOL</v>
      </c>
      <c r="F7" s="49" t="str">
        <f t="shared" si="1"/>
        <v>ANCOLVOL</v>
      </c>
      <c r="G7" s="81">
        <f t="shared" si="2"/>
        <v>34514800</v>
      </c>
      <c r="H7" s="81">
        <f>SUMIF(I$1:BI$1,"&lt;="&amp;PARAMETER!X$2,I7:BI7)</f>
        <v>5050400</v>
      </c>
      <c r="I7" s="53">
        <v>1852700</v>
      </c>
      <c r="J7" s="53">
        <v>64100</v>
      </c>
      <c r="K7" s="53">
        <v>0</v>
      </c>
      <c r="L7" s="53">
        <v>1881000</v>
      </c>
      <c r="M7" s="53">
        <v>516800</v>
      </c>
      <c r="N7" s="53">
        <v>400500</v>
      </c>
      <c r="O7" s="53">
        <v>0</v>
      </c>
      <c r="P7" s="53">
        <v>0</v>
      </c>
      <c r="Q7" s="53">
        <v>335300</v>
      </c>
      <c r="R7" s="53">
        <v>0</v>
      </c>
      <c r="S7" s="53">
        <v>0</v>
      </c>
      <c r="T7" s="53">
        <v>121200</v>
      </c>
      <c r="U7" s="53">
        <v>246300</v>
      </c>
      <c r="V7" s="53">
        <v>1653400</v>
      </c>
      <c r="W7" s="53">
        <v>0</v>
      </c>
      <c r="X7" s="53">
        <v>80600</v>
      </c>
      <c r="Y7" s="53">
        <v>119700</v>
      </c>
      <c r="Z7" s="53">
        <v>25300</v>
      </c>
      <c r="AA7" s="53">
        <v>0</v>
      </c>
      <c r="AB7" s="53">
        <v>0</v>
      </c>
      <c r="AC7" s="53">
        <v>0</v>
      </c>
      <c r="AD7" s="53">
        <v>5137300</v>
      </c>
      <c r="AE7" s="53">
        <v>0</v>
      </c>
      <c r="AF7" s="53">
        <v>117500</v>
      </c>
      <c r="AG7" s="53">
        <v>517500</v>
      </c>
      <c r="AH7" s="53">
        <v>0</v>
      </c>
      <c r="AI7" s="53">
        <v>4334000</v>
      </c>
      <c r="AJ7" s="53">
        <v>42500</v>
      </c>
      <c r="AK7" s="53">
        <v>109800</v>
      </c>
      <c r="AL7" s="53">
        <v>175800</v>
      </c>
      <c r="AM7" s="53">
        <v>862100</v>
      </c>
      <c r="AN7" s="53">
        <v>1299700</v>
      </c>
      <c r="AO7" s="53">
        <v>390300</v>
      </c>
      <c r="AP7" s="53">
        <v>523300</v>
      </c>
      <c r="AQ7" s="53">
        <v>300100</v>
      </c>
      <c r="AR7" s="53">
        <v>256500</v>
      </c>
      <c r="AS7" s="53">
        <v>0</v>
      </c>
      <c r="AT7" s="53">
        <v>512300</v>
      </c>
      <c r="AU7" s="53">
        <v>25900</v>
      </c>
      <c r="AV7" s="53">
        <v>2947490</v>
      </c>
      <c r="AW7" s="53">
        <v>549900</v>
      </c>
      <c r="AX7" s="53">
        <v>126210</v>
      </c>
      <c r="AY7" s="53">
        <v>805700</v>
      </c>
      <c r="AZ7" s="53">
        <v>2079500</v>
      </c>
      <c r="BA7" s="53">
        <v>0</v>
      </c>
      <c r="BB7" s="53">
        <v>557000</v>
      </c>
      <c r="BC7" s="53">
        <v>518000</v>
      </c>
      <c r="BD7" s="53">
        <v>1824000</v>
      </c>
      <c r="BE7" s="53">
        <v>2341000</v>
      </c>
      <c r="BF7" s="53">
        <v>35000</v>
      </c>
      <c r="BG7" s="53">
        <v>554700</v>
      </c>
      <c r="BH7" s="53">
        <v>274800</v>
      </c>
      <c r="BI7" s="53">
        <v>0</v>
      </c>
    </row>
    <row r="8" spans="1:61" ht="15.75" x14ac:dyDescent="0.25">
      <c r="A8" s="53" t="s">
        <v>3</v>
      </c>
      <c r="B8" s="56" t="s">
        <v>141</v>
      </c>
      <c r="C8" s="49" t="s">
        <v>40</v>
      </c>
      <c r="D8" s="49" t="str">
        <f>VLOOKUP(A8,PARAMETER!D:E,2,0)</f>
        <v>NINA</v>
      </c>
      <c r="E8" s="49" t="str">
        <f t="shared" si="0"/>
        <v>NINAFBI</v>
      </c>
      <c r="F8" s="49" t="str">
        <f t="shared" si="1"/>
        <v>BANBAN TEAFBI</v>
      </c>
      <c r="G8" s="81">
        <f t="shared" si="2"/>
        <v>516423</v>
      </c>
      <c r="H8" s="81">
        <f>SUMIF(I$1:BI$1,"&lt;="&amp;PARAMETER!X$2,I8:BI8)</f>
        <v>63985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  <c r="N8" s="53">
        <v>1677</v>
      </c>
      <c r="O8" s="53">
        <v>7624</v>
      </c>
      <c r="P8" s="53">
        <v>10139</v>
      </c>
      <c r="Q8" s="53">
        <v>24873</v>
      </c>
      <c r="R8" s="53">
        <v>9062</v>
      </c>
      <c r="S8" s="53">
        <v>10610</v>
      </c>
      <c r="T8" s="53">
        <v>7779</v>
      </c>
      <c r="U8" s="53">
        <v>10018</v>
      </c>
      <c r="V8" s="53">
        <v>9975</v>
      </c>
      <c r="W8" s="53">
        <v>13384</v>
      </c>
      <c r="X8" s="53">
        <v>7658</v>
      </c>
      <c r="Y8" s="53">
        <v>7058</v>
      </c>
      <c r="Z8" s="53">
        <v>8808</v>
      </c>
      <c r="AA8" s="53">
        <v>9298</v>
      </c>
      <c r="AB8" s="53">
        <v>8031</v>
      </c>
      <c r="AC8" s="53">
        <v>7205</v>
      </c>
      <c r="AD8" s="53">
        <v>11171</v>
      </c>
      <c r="AE8" s="53">
        <v>7920</v>
      </c>
      <c r="AF8" s="53">
        <v>9636</v>
      </c>
      <c r="AG8" s="53">
        <v>10207</v>
      </c>
      <c r="AH8" s="53">
        <v>10722</v>
      </c>
      <c r="AI8" s="53">
        <v>117</v>
      </c>
      <c r="AJ8" s="53">
        <v>489</v>
      </c>
      <c r="AK8" s="53">
        <v>14009</v>
      </c>
      <c r="AL8" s="53">
        <v>13725</v>
      </c>
      <c r="AM8" s="53">
        <v>14120</v>
      </c>
      <c r="AN8" s="53">
        <v>9683</v>
      </c>
      <c r="AO8" s="53">
        <v>9856</v>
      </c>
      <c r="AP8" s="53">
        <v>11543</v>
      </c>
      <c r="AQ8" s="53">
        <v>9770</v>
      </c>
      <c r="AR8" s="53">
        <v>13301</v>
      </c>
      <c r="AS8" s="53">
        <v>12083</v>
      </c>
      <c r="AT8" s="53">
        <v>19000</v>
      </c>
      <c r="AU8" s="53">
        <v>17867</v>
      </c>
      <c r="AV8" s="53">
        <v>12502</v>
      </c>
      <c r="AW8" s="53">
        <v>16298</v>
      </c>
      <c r="AX8" s="53">
        <v>11023</v>
      </c>
      <c r="AY8" s="53">
        <v>13099</v>
      </c>
      <c r="AZ8" s="53">
        <v>13129</v>
      </c>
      <c r="BA8" s="53">
        <v>9400</v>
      </c>
      <c r="BB8" s="53">
        <v>9526</v>
      </c>
      <c r="BC8" s="53">
        <v>7807</v>
      </c>
      <c r="BD8" s="53">
        <v>19765</v>
      </c>
      <c r="BE8" s="53">
        <v>14293</v>
      </c>
      <c r="BF8" s="53">
        <v>10669</v>
      </c>
      <c r="BG8" s="53">
        <v>6368</v>
      </c>
      <c r="BH8" s="53">
        <v>19368</v>
      </c>
      <c r="BI8" s="53">
        <v>4758</v>
      </c>
    </row>
    <row r="9" spans="1:61" ht="15.75" x14ac:dyDescent="0.25">
      <c r="A9" s="53" t="s">
        <v>3</v>
      </c>
      <c r="B9" s="56" t="s">
        <v>141</v>
      </c>
      <c r="C9" s="52" t="s">
        <v>42</v>
      </c>
      <c r="D9" s="49" t="str">
        <f>VLOOKUP(A9,PARAMETER!D:E,2,0)</f>
        <v>NINA</v>
      </c>
      <c r="E9" s="49" t="str">
        <f t="shared" si="0"/>
        <v>NINATRX</v>
      </c>
      <c r="F9" s="49" t="str">
        <f t="shared" si="1"/>
        <v>BANBAN TEATRX</v>
      </c>
      <c r="G9" s="81">
        <f t="shared" si="2"/>
        <v>3586</v>
      </c>
      <c r="H9" s="81">
        <f>SUMIF(I$1:BI$1,"&lt;="&amp;PARAMETER!X$2,I9:BI9)</f>
        <v>801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  <c r="N9" s="53">
        <v>19</v>
      </c>
      <c r="O9" s="53">
        <v>101</v>
      </c>
      <c r="P9" s="53">
        <v>131</v>
      </c>
      <c r="Q9" s="53">
        <v>324</v>
      </c>
      <c r="R9" s="53">
        <v>114</v>
      </c>
      <c r="S9" s="53">
        <v>112</v>
      </c>
      <c r="T9" s="53">
        <v>85</v>
      </c>
      <c r="U9" s="53">
        <v>123</v>
      </c>
      <c r="V9" s="53">
        <v>121</v>
      </c>
      <c r="W9" s="53">
        <v>145</v>
      </c>
      <c r="X9" s="53">
        <v>92</v>
      </c>
      <c r="Y9" s="53">
        <v>99</v>
      </c>
      <c r="Z9" s="53">
        <v>105</v>
      </c>
      <c r="AA9" s="53">
        <v>112</v>
      </c>
      <c r="AB9" s="53">
        <v>92</v>
      </c>
      <c r="AC9" s="53">
        <v>107</v>
      </c>
      <c r="AD9" s="53">
        <v>138</v>
      </c>
      <c r="AE9" s="53">
        <v>109</v>
      </c>
      <c r="AF9" s="53">
        <v>129</v>
      </c>
      <c r="AG9" s="53">
        <v>129</v>
      </c>
      <c r="AH9" s="53">
        <v>153</v>
      </c>
      <c r="AI9" s="53">
        <v>2</v>
      </c>
      <c r="AJ9" s="53">
        <v>2</v>
      </c>
      <c r="AK9" s="53">
        <v>68</v>
      </c>
      <c r="AL9" s="53">
        <v>63</v>
      </c>
      <c r="AM9" s="53">
        <v>59</v>
      </c>
      <c r="AN9" s="53">
        <v>46</v>
      </c>
      <c r="AO9" s="53">
        <v>28</v>
      </c>
      <c r="AP9" s="53">
        <v>50</v>
      </c>
      <c r="AQ9" s="53">
        <v>44</v>
      </c>
      <c r="AR9" s="53">
        <v>43</v>
      </c>
      <c r="AS9" s="53">
        <v>36</v>
      </c>
      <c r="AT9" s="53">
        <v>46</v>
      </c>
      <c r="AU9" s="53">
        <v>45</v>
      </c>
      <c r="AV9" s="53">
        <v>42</v>
      </c>
      <c r="AW9" s="53">
        <v>41</v>
      </c>
      <c r="AX9" s="53">
        <v>46</v>
      </c>
      <c r="AY9" s="53">
        <v>40</v>
      </c>
      <c r="AZ9" s="53">
        <v>42</v>
      </c>
      <c r="BA9" s="53">
        <v>35</v>
      </c>
      <c r="BB9" s="53">
        <v>34</v>
      </c>
      <c r="BC9" s="53">
        <v>24</v>
      </c>
      <c r="BD9" s="53">
        <v>60</v>
      </c>
      <c r="BE9" s="53">
        <v>33</v>
      </c>
      <c r="BF9" s="53">
        <v>28</v>
      </c>
      <c r="BG9" s="53">
        <v>22</v>
      </c>
      <c r="BH9" s="53">
        <v>54</v>
      </c>
      <c r="BI9" s="53">
        <v>13</v>
      </c>
    </row>
    <row r="10" spans="1:61" ht="15.75" x14ac:dyDescent="0.25">
      <c r="A10" s="53" t="s">
        <v>3</v>
      </c>
      <c r="B10" s="56" t="s">
        <v>141</v>
      </c>
      <c r="C10" s="52" t="s">
        <v>41</v>
      </c>
      <c r="D10" s="49" t="str">
        <f>VLOOKUP(A10,PARAMETER!D:E,2,0)</f>
        <v>NINA</v>
      </c>
      <c r="E10" s="49" t="str">
        <f t="shared" si="0"/>
        <v>NINAVOL</v>
      </c>
      <c r="F10" s="49" t="str">
        <f t="shared" si="1"/>
        <v>BANBAN TEAVOL</v>
      </c>
      <c r="G10" s="81">
        <f t="shared" si="2"/>
        <v>194407692</v>
      </c>
      <c r="H10" s="81">
        <f>SUMIF(I$1:BI$1,"&lt;="&amp;PARAMETER!X$2,I10:BI10)</f>
        <v>33113609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53">
        <v>1117928</v>
      </c>
      <c r="O10" s="53">
        <v>5083024</v>
      </c>
      <c r="P10" s="53">
        <v>6759290</v>
      </c>
      <c r="Q10" s="53">
        <v>7992208</v>
      </c>
      <c r="R10" s="53">
        <v>6041385</v>
      </c>
      <c r="S10" s="53">
        <v>6119774</v>
      </c>
      <c r="T10" s="53">
        <v>4855525</v>
      </c>
      <c r="U10" s="53">
        <v>6678975</v>
      </c>
      <c r="V10" s="53">
        <v>6650160</v>
      </c>
      <c r="W10" s="53">
        <v>8922822</v>
      </c>
      <c r="X10" s="53">
        <v>5105699</v>
      </c>
      <c r="Y10" s="53">
        <v>4705599</v>
      </c>
      <c r="Z10" s="53">
        <v>5872046</v>
      </c>
      <c r="AA10" s="53">
        <v>5913120</v>
      </c>
      <c r="AB10" s="53">
        <v>5354046</v>
      </c>
      <c r="AC10" s="53">
        <v>4803274</v>
      </c>
      <c r="AD10" s="53">
        <v>7447847</v>
      </c>
      <c r="AE10" s="53">
        <v>5279897</v>
      </c>
      <c r="AF10" s="53">
        <v>6424372</v>
      </c>
      <c r="AG10" s="53">
        <v>6166247</v>
      </c>
      <c r="AH10" s="53">
        <v>7148075</v>
      </c>
      <c r="AI10" s="53">
        <v>77825</v>
      </c>
      <c r="AJ10" s="53">
        <v>326300</v>
      </c>
      <c r="AK10" s="53">
        <v>3765870</v>
      </c>
      <c r="AL10" s="53">
        <v>3805100</v>
      </c>
      <c r="AM10" s="53">
        <v>3931894</v>
      </c>
      <c r="AN10" s="53">
        <v>2954115</v>
      </c>
      <c r="AO10" s="53">
        <v>2313023</v>
      </c>
      <c r="AP10" s="53">
        <v>3657590</v>
      </c>
      <c r="AQ10" s="53">
        <v>3221396</v>
      </c>
      <c r="AR10" s="53">
        <v>2978097</v>
      </c>
      <c r="AS10" s="53">
        <v>2470296</v>
      </c>
      <c r="AT10" s="53">
        <v>3424896</v>
      </c>
      <c r="AU10" s="53">
        <v>3357194</v>
      </c>
      <c r="AV10" s="53">
        <v>2766594</v>
      </c>
      <c r="AW10" s="53">
        <v>3073577</v>
      </c>
      <c r="AX10" s="53">
        <v>2817494</v>
      </c>
      <c r="AY10" s="53">
        <v>2623299</v>
      </c>
      <c r="AZ10" s="53">
        <v>2829495</v>
      </c>
      <c r="BA10" s="53">
        <v>2121999</v>
      </c>
      <c r="BB10" s="53">
        <v>2028643</v>
      </c>
      <c r="BC10" s="53">
        <v>1384297</v>
      </c>
      <c r="BD10" s="53">
        <v>3676497</v>
      </c>
      <c r="BE10" s="53">
        <v>2210998</v>
      </c>
      <c r="BF10" s="53">
        <v>1934297</v>
      </c>
      <c r="BG10" s="53">
        <v>1561698</v>
      </c>
      <c r="BH10" s="53">
        <v>3663895</v>
      </c>
      <c r="BI10" s="53">
        <v>990000</v>
      </c>
    </row>
    <row r="11" spans="1:61" ht="15.75" x14ac:dyDescent="0.25">
      <c r="A11" s="53" t="s">
        <v>4</v>
      </c>
      <c r="B11" s="56" t="s">
        <v>141</v>
      </c>
      <c r="C11" s="49" t="s">
        <v>40</v>
      </c>
      <c r="D11" s="49" t="str">
        <f>VLOOKUP(A11,PARAMETER!D:E,2,0)</f>
        <v>NINA</v>
      </c>
      <c r="E11" s="49" t="str">
        <f t="shared" si="0"/>
        <v>NINAFBI</v>
      </c>
      <c r="F11" s="49" t="str">
        <f t="shared" si="1"/>
        <v>BEARD PAPAFBI</v>
      </c>
      <c r="G11" s="81">
        <f t="shared" si="2"/>
        <v>1597</v>
      </c>
      <c r="H11" s="81">
        <f>SUMIF(I$1:BI$1,"&lt;="&amp;PARAMETER!X$2,I11:BI11)</f>
        <v>1359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39</v>
      </c>
      <c r="P11" s="53">
        <v>147</v>
      </c>
      <c r="Q11" s="53">
        <v>0</v>
      </c>
      <c r="R11" s="53">
        <v>990</v>
      </c>
      <c r="S11" s="53">
        <v>183</v>
      </c>
      <c r="T11" s="53">
        <v>0</v>
      </c>
      <c r="U11" s="53">
        <v>0</v>
      </c>
      <c r="V11" s="53">
        <v>0</v>
      </c>
      <c r="W11" s="53">
        <v>238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0</v>
      </c>
      <c r="AJ11" s="53">
        <v>0</v>
      </c>
      <c r="AK11" s="53">
        <v>0</v>
      </c>
      <c r="AL11" s="53">
        <v>0</v>
      </c>
      <c r="AM11" s="53">
        <v>0</v>
      </c>
      <c r="AN11" s="53">
        <v>0</v>
      </c>
      <c r="AO11" s="53">
        <v>0</v>
      </c>
      <c r="AP11" s="53">
        <v>0</v>
      </c>
      <c r="AQ11" s="53">
        <v>0</v>
      </c>
      <c r="AR11" s="53">
        <v>0</v>
      </c>
      <c r="AS11" s="53">
        <v>0</v>
      </c>
      <c r="AT11" s="53">
        <v>0</v>
      </c>
      <c r="AU11" s="53">
        <v>0</v>
      </c>
      <c r="AV11" s="53">
        <v>0</v>
      </c>
      <c r="AW11" s="53">
        <v>0</v>
      </c>
      <c r="AX11" s="53">
        <v>0</v>
      </c>
      <c r="AY11" s="53">
        <v>0</v>
      </c>
      <c r="AZ11" s="53">
        <v>0</v>
      </c>
      <c r="BA11" s="53">
        <v>0</v>
      </c>
      <c r="BB11" s="53">
        <v>0</v>
      </c>
      <c r="BC11" s="53">
        <v>0</v>
      </c>
      <c r="BD11" s="53">
        <v>0</v>
      </c>
      <c r="BE11" s="53">
        <v>0</v>
      </c>
      <c r="BF11" s="53">
        <v>0</v>
      </c>
      <c r="BG11" s="53">
        <v>0</v>
      </c>
      <c r="BH11" s="53">
        <v>0</v>
      </c>
      <c r="BI11" s="53">
        <v>0</v>
      </c>
    </row>
    <row r="12" spans="1:61" ht="15.75" x14ac:dyDescent="0.25">
      <c r="A12" s="53" t="s">
        <v>4</v>
      </c>
      <c r="B12" s="56" t="s">
        <v>141</v>
      </c>
      <c r="C12" s="52" t="s">
        <v>42</v>
      </c>
      <c r="D12" s="49" t="str">
        <f>VLOOKUP(A12,PARAMETER!D:E,2,0)</f>
        <v>NINA</v>
      </c>
      <c r="E12" s="49" t="str">
        <f t="shared" si="0"/>
        <v>NINATRX</v>
      </c>
      <c r="F12" s="49" t="str">
        <f t="shared" si="1"/>
        <v>BEARD PAPATRX</v>
      </c>
      <c r="G12" s="81">
        <f t="shared" si="2"/>
        <v>12</v>
      </c>
      <c r="H12" s="81">
        <f>SUMIF(I$1:BI$1,"&lt;="&amp;PARAMETER!X$2,I12:BI12)</f>
        <v>11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1</v>
      </c>
      <c r="P12" s="53">
        <v>2</v>
      </c>
      <c r="Q12" s="53">
        <v>0</v>
      </c>
      <c r="R12" s="53">
        <v>7</v>
      </c>
      <c r="S12" s="53">
        <v>1</v>
      </c>
      <c r="T12" s="53">
        <v>0</v>
      </c>
      <c r="U12" s="53">
        <v>0</v>
      </c>
      <c r="V12" s="53">
        <v>0</v>
      </c>
      <c r="W12" s="53">
        <v>1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0</v>
      </c>
      <c r="AP12" s="53">
        <v>0</v>
      </c>
      <c r="AQ12" s="53">
        <v>0</v>
      </c>
      <c r="AR12" s="53">
        <v>0</v>
      </c>
      <c r="AS12" s="53">
        <v>0</v>
      </c>
      <c r="AT12" s="53">
        <v>0</v>
      </c>
      <c r="AU12" s="53">
        <v>0</v>
      </c>
      <c r="AV12" s="53">
        <v>0</v>
      </c>
      <c r="AW12" s="53">
        <v>0</v>
      </c>
      <c r="AX12" s="53">
        <v>0</v>
      </c>
      <c r="AY12" s="53">
        <v>0</v>
      </c>
      <c r="AZ12" s="53">
        <v>0</v>
      </c>
      <c r="BA12" s="53">
        <v>0</v>
      </c>
      <c r="BB12" s="53">
        <v>0</v>
      </c>
      <c r="BC12" s="53">
        <v>0</v>
      </c>
      <c r="BD12" s="53">
        <v>0</v>
      </c>
      <c r="BE12" s="53">
        <v>0</v>
      </c>
      <c r="BF12" s="53">
        <v>0</v>
      </c>
      <c r="BG12" s="53">
        <v>0</v>
      </c>
      <c r="BH12" s="53">
        <v>0</v>
      </c>
      <c r="BI12" s="53">
        <v>0</v>
      </c>
    </row>
    <row r="13" spans="1:61" ht="15.75" x14ac:dyDescent="0.25">
      <c r="A13" s="53" t="s">
        <v>4</v>
      </c>
      <c r="B13" s="56" t="s">
        <v>141</v>
      </c>
      <c r="C13" s="52" t="s">
        <v>41</v>
      </c>
      <c r="D13" s="49" t="str">
        <f>VLOOKUP(A13,PARAMETER!D:E,2,0)</f>
        <v>NINA</v>
      </c>
      <c r="E13" s="49" t="str">
        <f t="shared" si="0"/>
        <v>NINAVOL</v>
      </c>
      <c r="F13" s="49" t="str">
        <f t="shared" si="1"/>
        <v>BEARD PAPAVOL</v>
      </c>
      <c r="G13" s="81">
        <f t="shared" si="2"/>
        <v>1065000</v>
      </c>
      <c r="H13" s="81">
        <f>SUMIF(I$1:BI$1,"&lt;="&amp;PARAMETER!X$2,I13:BI13)</f>
        <v>906000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26000</v>
      </c>
      <c r="P13" s="53">
        <v>98000</v>
      </c>
      <c r="Q13" s="53">
        <v>0</v>
      </c>
      <c r="R13" s="53">
        <v>660000</v>
      </c>
      <c r="S13" s="53">
        <v>122000</v>
      </c>
      <c r="T13" s="53">
        <v>0</v>
      </c>
      <c r="U13" s="53">
        <v>0</v>
      </c>
      <c r="V13" s="53">
        <v>0</v>
      </c>
      <c r="W13" s="53">
        <v>159000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0</v>
      </c>
      <c r="AJ13" s="53">
        <v>0</v>
      </c>
      <c r="AK13" s="53">
        <v>0</v>
      </c>
      <c r="AL13" s="53">
        <v>0</v>
      </c>
      <c r="AM13" s="53">
        <v>0</v>
      </c>
      <c r="AN13" s="53">
        <v>0</v>
      </c>
      <c r="AO13" s="53">
        <v>0</v>
      </c>
      <c r="AP13" s="53">
        <v>0</v>
      </c>
      <c r="AQ13" s="53">
        <v>0</v>
      </c>
      <c r="AR13" s="53">
        <v>0</v>
      </c>
      <c r="AS13" s="53">
        <v>0</v>
      </c>
      <c r="AT13" s="53">
        <v>0</v>
      </c>
      <c r="AU13" s="53">
        <v>0</v>
      </c>
      <c r="AV13" s="53">
        <v>0</v>
      </c>
      <c r="AW13" s="53">
        <v>0</v>
      </c>
      <c r="AX13" s="53">
        <v>0</v>
      </c>
      <c r="AY13" s="53">
        <v>0</v>
      </c>
      <c r="AZ13" s="53">
        <v>0</v>
      </c>
      <c r="BA13" s="53">
        <v>0</v>
      </c>
      <c r="BB13" s="53">
        <v>0</v>
      </c>
      <c r="BC13" s="53">
        <v>0</v>
      </c>
      <c r="BD13" s="53">
        <v>0</v>
      </c>
      <c r="BE13" s="53">
        <v>0</v>
      </c>
      <c r="BF13" s="53">
        <v>0</v>
      </c>
      <c r="BG13" s="53">
        <v>0</v>
      </c>
      <c r="BH13" s="53">
        <v>0</v>
      </c>
      <c r="BI13" s="53">
        <v>0</v>
      </c>
    </row>
    <row r="14" spans="1:61" ht="15.75" x14ac:dyDescent="0.25">
      <c r="A14" s="53" t="s">
        <v>6</v>
      </c>
      <c r="B14" s="56" t="s">
        <v>141</v>
      </c>
      <c r="C14" s="49" t="s">
        <v>40</v>
      </c>
      <c r="D14" s="49" t="str">
        <f>VLOOKUP(A14,PARAMETER!D:E,2,0)</f>
        <v>NINA</v>
      </c>
      <c r="E14" s="49" t="str">
        <f t="shared" si="0"/>
        <v>NINAFBI</v>
      </c>
      <c r="F14" s="49" t="str">
        <f t="shared" si="1"/>
        <v>CHAMP RESTOFBI</v>
      </c>
      <c r="G14" s="81">
        <f t="shared" si="2"/>
        <v>6454045</v>
      </c>
      <c r="H14" s="81">
        <f>SUMIF(I$1:BI$1,"&lt;="&amp;PARAMETER!X$2,I14:BI14)</f>
        <v>1659869</v>
      </c>
      <c r="I14" s="53">
        <v>172404</v>
      </c>
      <c r="J14" s="53">
        <v>167182</v>
      </c>
      <c r="K14" s="53">
        <v>98938</v>
      </c>
      <c r="L14" s="53">
        <v>122458</v>
      </c>
      <c r="M14" s="53">
        <v>87032</v>
      </c>
      <c r="N14" s="53">
        <v>296561</v>
      </c>
      <c r="O14" s="53">
        <v>105065</v>
      </c>
      <c r="P14" s="53">
        <v>147441</v>
      </c>
      <c r="Q14" s="53">
        <v>143710</v>
      </c>
      <c r="R14" s="53">
        <v>200625</v>
      </c>
      <c r="S14" s="53">
        <v>118453</v>
      </c>
      <c r="T14" s="53">
        <v>112623</v>
      </c>
      <c r="U14" s="53">
        <v>203462</v>
      </c>
      <c r="V14" s="53">
        <v>203191</v>
      </c>
      <c r="W14" s="53">
        <v>321640</v>
      </c>
      <c r="X14" s="53">
        <v>221849</v>
      </c>
      <c r="Y14" s="53">
        <v>183422</v>
      </c>
      <c r="Z14" s="53">
        <v>285101</v>
      </c>
      <c r="AA14" s="53">
        <v>246451</v>
      </c>
      <c r="AB14" s="53">
        <v>165709</v>
      </c>
      <c r="AC14" s="53">
        <v>277868</v>
      </c>
      <c r="AD14" s="53">
        <v>284503</v>
      </c>
      <c r="AE14" s="53">
        <v>265441</v>
      </c>
      <c r="AF14" s="53">
        <v>245148</v>
      </c>
      <c r="AG14" s="53">
        <v>266597</v>
      </c>
      <c r="AH14" s="53">
        <v>276395</v>
      </c>
      <c r="AI14" s="53">
        <v>109371</v>
      </c>
      <c r="AJ14" s="53">
        <v>118154</v>
      </c>
      <c r="AK14" s="53">
        <v>72070</v>
      </c>
      <c r="AL14" s="53">
        <v>34147</v>
      </c>
      <c r="AM14" s="53">
        <v>85315</v>
      </c>
      <c r="AN14" s="53">
        <v>58317</v>
      </c>
      <c r="AO14" s="53">
        <v>118310</v>
      </c>
      <c r="AP14" s="53">
        <v>76306</v>
      </c>
      <c r="AQ14" s="53">
        <v>42732</v>
      </c>
      <c r="AR14" s="53">
        <v>31892</v>
      </c>
      <c r="AS14" s="53">
        <v>25886</v>
      </c>
      <c r="AT14" s="53">
        <v>39430</v>
      </c>
      <c r="AU14" s="53">
        <v>83524</v>
      </c>
      <c r="AV14" s="53">
        <v>36948</v>
      </c>
      <c r="AW14" s="53">
        <v>11028</v>
      </c>
      <c r="AX14" s="53">
        <v>31702</v>
      </c>
      <c r="AY14" s="53">
        <v>50321</v>
      </c>
      <c r="AZ14" s="53">
        <v>25286</v>
      </c>
      <c r="BA14" s="53">
        <v>8969</v>
      </c>
      <c r="BB14" s="53">
        <v>8836</v>
      </c>
      <c r="BC14" s="53">
        <v>9606</v>
      </c>
      <c r="BD14" s="53">
        <v>26192</v>
      </c>
      <c r="BE14" s="53">
        <v>15532</v>
      </c>
      <c r="BF14" s="53">
        <v>3698</v>
      </c>
      <c r="BG14" s="53">
        <v>25235</v>
      </c>
      <c r="BH14" s="53">
        <v>28304</v>
      </c>
      <c r="BI14" s="53">
        <v>57665</v>
      </c>
    </row>
    <row r="15" spans="1:61" ht="15.75" x14ac:dyDescent="0.25">
      <c r="A15" s="53" t="s">
        <v>6</v>
      </c>
      <c r="B15" s="56" t="s">
        <v>141</v>
      </c>
      <c r="C15" s="52" t="s">
        <v>42</v>
      </c>
      <c r="D15" s="49" t="str">
        <f>VLOOKUP(A15,PARAMETER!D:E,2,0)</f>
        <v>NINA</v>
      </c>
      <c r="E15" s="49" t="str">
        <f t="shared" si="0"/>
        <v>NINATRX</v>
      </c>
      <c r="F15" s="49" t="str">
        <f t="shared" si="1"/>
        <v>CHAMP RESTOTRX</v>
      </c>
      <c r="G15" s="81">
        <f t="shared" si="2"/>
        <v>16164</v>
      </c>
      <c r="H15" s="81">
        <f>SUMIF(I$1:BI$1,"&lt;="&amp;PARAMETER!X$2,I15:BI15)</f>
        <v>7845</v>
      </c>
      <c r="I15" s="53">
        <v>94</v>
      </c>
      <c r="J15" s="53">
        <v>74</v>
      </c>
      <c r="K15" s="53">
        <v>53</v>
      </c>
      <c r="L15" s="53">
        <v>65</v>
      </c>
      <c r="M15" s="53">
        <v>53</v>
      </c>
      <c r="N15" s="53">
        <v>6879</v>
      </c>
      <c r="O15" s="53">
        <v>70</v>
      </c>
      <c r="P15" s="53">
        <v>79</v>
      </c>
      <c r="Q15" s="53">
        <v>133</v>
      </c>
      <c r="R15" s="53">
        <v>200</v>
      </c>
      <c r="S15" s="53">
        <v>145</v>
      </c>
      <c r="T15" s="53">
        <v>195</v>
      </c>
      <c r="U15" s="53">
        <v>288</v>
      </c>
      <c r="V15" s="53">
        <v>308</v>
      </c>
      <c r="W15" s="53">
        <v>565</v>
      </c>
      <c r="X15" s="53">
        <v>516</v>
      </c>
      <c r="Y15" s="53">
        <v>445</v>
      </c>
      <c r="Z15" s="53">
        <v>480</v>
      </c>
      <c r="AA15" s="53">
        <v>470</v>
      </c>
      <c r="AB15" s="53">
        <v>391</v>
      </c>
      <c r="AC15" s="53">
        <v>606</v>
      </c>
      <c r="AD15" s="53">
        <v>615</v>
      </c>
      <c r="AE15" s="53">
        <v>595</v>
      </c>
      <c r="AF15" s="53">
        <v>561</v>
      </c>
      <c r="AG15" s="53">
        <v>618</v>
      </c>
      <c r="AH15" s="53">
        <v>676</v>
      </c>
      <c r="AI15" s="53">
        <v>66</v>
      </c>
      <c r="AJ15" s="53">
        <v>54</v>
      </c>
      <c r="AK15" s="53">
        <v>32</v>
      </c>
      <c r="AL15" s="53">
        <v>30</v>
      </c>
      <c r="AM15" s="53">
        <v>42</v>
      </c>
      <c r="AN15" s="53">
        <v>33</v>
      </c>
      <c r="AO15" s="53">
        <v>37</v>
      </c>
      <c r="AP15" s="53">
        <v>29</v>
      </c>
      <c r="AQ15" s="53">
        <v>27</v>
      </c>
      <c r="AR15" s="53">
        <v>24</v>
      </c>
      <c r="AS15" s="53">
        <v>25</v>
      </c>
      <c r="AT15" s="53">
        <v>37</v>
      </c>
      <c r="AU15" s="53">
        <v>59</v>
      </c>
      <c r="AV15" s="53">
        <v>40</v>
      </c>
      <c r="AW15" s="53">
        <v>33</v>
      </c>
      <c r="AX15" s="53">
        <v>28</v>
      </c>
      <c r="AY15" s="53">
        <v>39</v>
      </c>
      <c r="AZ15" s="53">
        <v>36</v>
      </c>
      <c r="BA15" s="53">
        <v>32</v>
      </c>
      <c r="BB15" s="53">
        <v>24</v>
      </c>
      <c r="BC15" s="53">
        <v>19</v>
      </c>
      <c r="BD15" s="53">
        <v>34</v>
      </c>
      <c r="BE15" s="53">
        <v>42</v>
      </c>
      <c r="BF15" s="53">
        <v>53</v>
      </c>
      <c r="BG15" s="53">
        <v>39</v>
      </c>
      <c r="BH15" s="53">
        <v>50</v>
      </c>
      <c r="BI15" s="53">
        <v>26</v>
      </c>
    </row>
    <row r="16" spans="1:61" ht="15.75" x14ac:dyDescent="0.25">
      <c r="A16" s="53" t="s">
        <v>6</v>
      </c>
      <c r="B16" s="56" t="s">
        <v>141</v>
      </c>
      <c r="C16" s="52" t="s">
        <v>41</v>
      </c>
      <c r="D16" s="49" t="str">
        <f>VLOOKUP(A16,PARAMETER!D:E,2,0)</f>
        <v>NINA</v>
      </c>
      <c r="E16" s="49" t="str">
        <f t="shared" si="0"/>
        <v>NINAVOL</v>
      </c>
      <c r="F16" s="49" t="str">
        <f t="shared" si="1"/>
        <v>CHAMP RESTOVOL</v>
      </c>
      <c r="G16" s="81">
        <f t="shared" si="2"/>
        <v>2255581064</v>
      </c>
      <c r="H16" s="81">
        <f>SUMIF(I$1:BI$1,"&lt;="&amp;PARAMETER!X$2,I16:BI16)</f>
        <v>342685265</v>
      </c>
      <c r="I16" s="53">
        <v>19179327</v>
      </c>
      <c r="J16" s="53">
        <v>18433167</v>
      </c>
      <c r="K16" s="53">
        <v>10721032</v>
      </c>
      <c r="L16" s="53">
        <v>11796932</v>
      </c>
      <c r="M16" s="53">
        <v>10963056</v>
      </c>
      <c r="N16" s="53">
        <v>121261118</v>
      </c>
      <c r="O16" s="53">
        <v>12794927</v>
      </c>
      <c r="P16" s="53">
        <v>19574148</v>
      </c>
      <c r="Q16" s="53">
        <v>29621562</v>
      </c>
      <c r="R16" s="53">
        <v>52599622</v>
      </c>
      <c r="S16" s="53">
        <v>35740374</v>
      </c>
      <c r="T16" s="53">
        <v>45554683</v>
      </c>
      <c r="U16" s="53">
        <v>83708394</v>
      </c>
      <c r="V16" s="53">
        <v>84413819</v>
      </c>
      <c r="W16" s="53">
        <v>162945952</v>
      </c>
      <c r="X16" s="53">
        <v>112872384</v>
      </c>
      <c r="Y16" s="53">
        <v>99056780</v>
      </c>
      <c r="Z16" s="53">
        <v>116137175</v>
      </c>
      <c r="AA16" s="53">
        <v>106546463</v>
      </c>
      <c r="AB16" s="53">
        <v>90588933</v>
      </c>
      <c r="AC16" s="53">
        <v>134823807</v>
      </c>
      <c r="AD16" s="53">
        <v>141589471</v>
      </c>
      <c r="AE16" s="53">
        <v>133657509</v>
      </c>
      <c r="AF16" s="53">
        <v>133800920</v>
      </c>
      <c r="AG16" s="53">
        <v>143578438</v>
      </c>
      <c r="AH16" s="53">
        <v>146493149</v>
      </c>
      <c r="AI16" s="53">
        <v>17391944</v>
      </c>
      <c r="AJ16" s="53">
        <v>14277371</v>
      </c>
      <c r="AK16" s="53">
        <v>10170086</v>
      </c>
      <c r="AL16" s="53">
        <v>5509339</v>
      </c>
      <c r="AM16" s="53">
        <v>9569748</v>
      </c>
      <c r="AN16" s="53">
        <v>7248695</v>
      </c>
      <c r="AO16" s="53">
        <v>13573764</v>
      </c>
      <c r="AP16" s="53">
        <v>8097868</v>
      </c>
      <c r="AQ16" s="53">
        <v>6034372</v>
      </c>
      <c r="AR16" s="53">
        <v>3732529</v>
      </c>
      <c r="AS16" s="53">
        <v>3253057</v>
      </c>
      <c r="AT16" s="53">
        <v>4283037</v>
      </c>
      <c r="AU16" s="53">
        <v>9487640</v>
      </c>
      <c r="AV16" s="53">
        <v>7630114</v>
      </c>
      <c r="AW16" s="53">
        <v>2451497</v>
      </c>
      <c r="AX16" s="53">
        <v>4479497</v>
      </c>
      <c r="AY16" s="53">
        <v>14311136</v>
      </c>
      <c r="AZ16" s="53">
        <v>3692010</v>
      </c>
      <c r="BA16" s="53">
        <v>2023877</v>
      </c>
      <c r="BB16" s="53">
        <v>2173977</v>
      </c>
      <c r="BC16" s="53">
        <v>1533065</v>
      </c>
      <c r="BD16" s="53">
        <v>4192852</v>
      </c>
      <c r="BE16" s="53">
        <v>2671088</v>
      </c>
      <c r="BF16" s="53">
        <v>1860200</v>
      </c>
      <c r="BG16" s="53">
        <v>4839640</v>
      </c>
      <c r="BH16" s="53">
        <v>5405549</v>
      </c>
      <c r="BI16" s="53">
        <v>7233970</v>
      </c>
    </row>
    <row r="17" spans="1:61" ht="15.75" x14ac:dyDescent="0.25">
      <c r="A17" s="53" t="s">
        <v>7</v>
      </c>
      <c r="B17" s="56" t="s">
        <v>141</v>
      </c>
      <c r="C17" s="49" t="s">
        <v>40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DAMRIFBI</v>
      </c>
      <c r="G17" s="81">
        <f t="shared" si="2"/>
        <v>27520</v>
      </c>
      <c r="H17" s="81">
        <f>SUMIF(I$1:BI$1,"&lt;="&amp;PARAMETER!X$2,I17:BI17)</f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3">
        <v>0</v>
      </c>
      <c r="W17" s="53">
        <v>0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53">
        <v>0</v>
      </c>
      <c r="AH17" s="53">
        <v>0</v>
      </c>
      <c r="AI17" s="53">
        <v>0</v>
      </c>
      <c r="AJ17" s="53">
        <v>0</v>
      </c>
      <c r="AK17" s="53">
        <v>0</v>
      </c>
      <c r="AL17" s="53">
        <v>0</v>
      </c>
      <c r="AM17" s="53">
        <v>0</v>
      </c>
      <c r="AN17" s="53">
        <v>0</v>
      </c>
      <c r="AO17" s="53">
        <v>0</v>
      </c>
      <c r="AP17" s="53">
        <v>0</v>
      </c>
      <c r="AQ17" s="53">
        <v>0</v>
      </c>
      <c r="AR17" s="53">
        <v>0</v>
      </c>
      <c r="AS17" s="53">
        <v>0</v>
      </c>
      <c r="AT17" s="53">
        <v>0</v>
      </c>
      <c r="AU17" s="53">
        <v>0</v>
      </c>
      <c r="AV17" s="53">
        <v>0</v>
      </c>
      <c r="AW17" s="53">
        <v>0</v>
      </c>
      <c r="AX17" s="53">
        <v>0</v>
      </c>
      <c r="AY17" s="53">
        <v>0</v>
      </c>
      <c r="AZ17" s="53">
        <v>0</v>
      </c>
      <c r="BA17" s="53">
        <v>0</v>
      </c>
      <c r="BB17" s="53">
        <v>0</v>
      </c>
      <c r="BC17" s="53">
        <v>0</v>
      </c>
      <c r="BD17" s="53">
        <v>0</v>
      </c>
      <c r="BE17" s="53">
        <v>0</v>
      </c>
      <c r="BF17" s="53">
        <v>0</v>
      </c>
      <c r="BG17" s="53">
        <v>27120</v>
      </c>
      <c r="BH17" s="53">
        <v>400</v>
      </c>
      <c r="BI17" s="53">
        <v>0</v>
      </c>
    </row>
    <row r="18" spans="1:61" ht="15.75" x14ac:dyDescent="0.25">
      <c r="A18" s="53" t="s">
        <v>7</v>
      </c>
      <c r="B18" s="56" t="s">
        <v>141</v>
      </c>
      <c r="C18" s="52" t="s">
        <v>42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DAMRITRX</v>
      </c>
      <c r="G18" s="81">
        <f t="shared" si="2"/>
        <v>17</v>
      </c>
      <c r="H18" s="81">
        <f>SUMIF(I$1:BI$1,"&lt;="&amp;PARAMETER!X$2,I18:BI18)</f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0</v>
      </c>
      <c r="T18" s="53">
        <v>0</v>
      </c>
      <c r="U18" s="53">
        <v>0</v>
      </c>
      <c r="V18" s="53">
        <v>0</v>
      </c>
      <c r="W18" s="53">
        <v>0</v>
      </c>
      <c r="X18" s="53">
        <v>0</v>
      </c>
      <c r="Y18" s="53">
        <v>0</v>
      </c>
      <c r="Z18" s="53">
        <v>0</v>
      </c>
      <c r="AA18" s="53">
        <v>0</v>
      </c>
      <c r="AB18" s="53">
        <v>0</v>
      </c>
      <c r="AC18" s="53">
        <v>0</v>
      </c>
      <c r="AD18" s="53">
        <v>0</v>
      </c>
      <c r="AE18" s="53">
        <v>0</v>
      </c>
      <c r="AF18" s="53">
        <v>0</v>
      </c>
      <c r="AG18" s="53">
        <v>0</v>
      </c>
      <c r="AH18" s="53">
        <v>0</v>
      </c>
      <c r="AI18" s="53">
        <v>0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Q18" s="53">
        <v>0</v>
      </c>
      <c r="AR18" s="53">
        <v>0</v>
      </c>
      <c r="AS18" s="53">
        <v>0</v>
      </c>
      <c r="AT18" s="53">
        <v>0</v>
      </c>
      <c r="AU18" s="53">
        <v>0</v>
      </c>
      <c r="AV18" s="53">
        <v>0</v>
      </c>
      <c r="AW18" s="53">
        <v>0</v>
      </c>
      <c r="AX18" s="53">
        <v>0</v>
      </c>
      <c r="AY18" s="53">
        <v>0</v>
      </c>
      <c r="AZ18" s="53">
        <v>0</v>
      </c>
      <c r="BA18" s="53">
        <v>0</v>
      </c>
      <c r="BB18" s="53">
        <v>0</v>
      </c>
      <c r="BC18" s="53">
        <v>0</v>
      </c>
      <c r="BD18" s="53">
        <v>0</v>
      </c>
      <c r="BE18" s="53">
        <v>0</v>
      </c>
      <c r="BF18" s="53">
        <v>0</v>
      </c>
      <c r="BG18" s="53">
        <v>15</v>
      </c>
      <c r="BH18" s="53">
        <v>2</v>
      </c>
      <c r="BI18" s="53">
        <v>0</v>
      </c>
    </row>
    <row r="19" spans="1:61" ht="15.75" x14ac:dyDescent="0.25">
      <c r="A19" s="53" t="s">
        <v>7</v>
      </c>
      <c r="B19" s="56" t="s">
        <v>141</v>
      </c>
      <c r="C19" s="52" t="s">
        <v>41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DAMRIVOL</v>
      </c>
      <c r="G19" s="81">
        <f t="shared" si="2"/>
        <v>2750003</v>
      </c>
      <c r="H19" s="81">
        <f>SUMIF(I$1:BI$1,"&lt;="&amp;PARAMETER!X$2,I19:BI19)</f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>
        <v>0</v>
      </c>
      <c r="P19" s="53">
        <v>0</v>
      </c>
      <c r="Q19" s="53">
        <v>0</v>
      </c>
      <c r="R19" s="53">
        <v>0</v>
      </c>
      <c r="S19" s="53">
        <v>0</v>
      </c>
      <c r="T19" s="53">
        <v>0</v>
      </c>
      <c r="U19" s="53">
        <v>0</v>
      </c>
      <c r="V19" s="53">
        <v>0</v>
      </c>
      <c r="W19" s="53">
        <v>0</v>
      </c>
      <c r="X19" s="53">
        <v>0</v>
      </c>
      <c r="Y19" s="53">
        <v>0</v>
      </c>
      <c r="Z19" s="53">
        <v>0</v>
      </c>
      <c r="AA19" s="53">
        <v>0</v>
      </c>
      <c r="AB19" s="53">
        <v>0</v>
      </c>
      <c r="AC19" s="53">
        <v>0</v>
      </c>
      <c r="AD19" s="53">
        <v>0</v>
      </c>
      <c r="AE19" s="53">
        <v>0</v>
      </c>
      <c r="AF19" s="53">
        <v>0</v>
      </c>
      <c r="AG19" s="53">
        <v>0</v>
      </c>
      <c r="AH19" s="53">
        <v>0</v>
      </c>
      <c r="AI19" s="53">
        <v>0</v>
      </c>
      <c r="AJ19" s="53">
        <v>0</v>
      </c>
      <c r="AK19" s="53">
        <v>0</v>
      </c>
      <c r="AL19" s="53">
        <v>0</v>
      </c>
      <c r="AM19" s="53">
        <v>0</v>
      </c>
      <c r="AN19" s="53">
        <v>0</v>
      </c>
      <c r="AO19" s="53">
        <v>0</v>
      </c>
      <c r="AP19" s="53">
        <v>0</v>
      </c>
      <c r="AQ19" s="53">
        <v>0</v>
      </c>
      <c r="AR19" s="53">
        <v>0</v>
      </c>
      <c r="AS19" s="53">
        <v>0</v>
      </c>
      <c r="AT19" s="53">
        <v>0</v>
      </c>
      <c r="AU19" s="53">
        <v>0</v>
      </c>
      <c r="AV19" s="53">
        <v>0</v>
      </c>
      <c r="AW19" s="53">
        <v>0</v>
      </c>
      <c r="AX19" s="53">
        <v>0</v>
      </c>
      <c r="AY19" s="53">
        <v>0</v>
      </c>
      <c r="AZ19" s="53">
        <v>0</v>
      </c>
      <c r="BA19" s="53">
        <v>0</v>
      </c>
      <c r="BB19" s="53">
        <v>0</v>
      </c>
      <c r="BC19" s="53">
        <v>0</v>
      </c>
      <c r="BD19" s="53">
        <v>0</v>
      </c>
      <c r="BE19" s="53">
        <v>0</v>
      </c>
      <c r="BF19" s="53">
        <v>0</v>
      </c>
      <c r="BG19" s="53">
        <v>2730003</v>
      </c>
      <c r="BH19" s="53">
        <v>20000</v>
      </c>
      <c r="BI19" s="53">
        <v>0</v>
      </c>
    </row>
    <row r="20" spans="1:61" ht="15.75" x14ac:dyDescent="0.25">
      <c r="A20" s="53" t="s">
        <v>8</v>
      </c>
      <c r="B20" s="56" t="s">
        <v>141</v>
      </c>
      <c r="C20" s="49" t="s">
        <v>40</v>
      </c>
      <c r="D20" s="49" t="str">
        <f>VLOOKUP(A20,PARAMETER!D:E,2,0)</f>
        <v>RIFALDI</v>
      </c>
      <c r="E20" s="49" t="str">
        <f t="shared" si="0"/>
        <v>RIFALDIFBI</v>
      </c>
      <c r="F20" s="49" t="str">
        <f t="shared" si="1"/>
        <v>DWIDAYAFBI</v>
      </c>
      <c r="G20" s="81">
        <f t="shared" si="2"/>
        <v>613259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0</v>
      </c>
      <c r="AX20" s="53">
        <v>0</v>
      </c>
      <c r="AY20" s="53">
        <v>0</v>
      </c>
      <c r="AZ20" s="53">
        <v>100</v>
      </c>
      <c r="BA20" s="53">
        <v>0</v>
      </c>
      <c r="BB20" s="53">
        <v>0</v>
      </c>
      <c r="BC20" s="53">
        <v>0</v>
      </c>
      <c r="BD20" s="53">
        <v>188157</v>
      </c>
      <c r="BE20" s="53">
        <v>65340</v>
      </c>
      <c r="BF20" s="53">
        <v>193200</v>
      </c>
      <c r="BG20" s="53">
        <v>41160</v>
      </c>
      <c r="BH20" s="53">
        <v>69302</v>
      </c>
      <c r="BI20" s="53">
        <v>56000</v>
      </c>
    </row>
    <row r="21" spans="1:61" ht="15.75" x14ac:dyDescent="0.25">
      <c r="A21" s="53" t="s">
        <v>8</v>
      </c>
      <c r="B21" s="56" t="s">
        <v>141</v>
      </c>
      <c r="C21" s="52" t="s">
        <v>42</v>
      </c>
      <c r="D21" s="49" t="str">
        <f>VLOOKUP(A21,PARAMETER!D:E,2,0)</f>
        <v>RIFALDI</v>
      </c>
      <c r="E21" s="49" t="str">
        <f t="shared" si="0"/>
        <v>RIFALDITRX</v>
      </c>
      <c r="F21" s="49" t="str">
        <f t="shared" si="1"/>
        <v>DWIDAYATRX</v>
      </c>
      <c r="G21" s="81">
        <f t="shared" si="2"/>
        <v>35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0</v>
      </c>
      <c r="AX21" s="53">
        <v>0</v>
      </c>
      <c r="AY21" s="53">
        <v>0</v>
      </c>
      <c r="AZ21" s="53">
        <v>1</v>
      </c>
      <c r="BA21" s="53">
        <v>0</v>
      </c>
      <c r="BB21" s="53">
        <v>7</v>
      </c>
      <c r="BC21" s="53">
        <v>0</v>
      </c>
      <c r="BD21" s="53">
        <v>6</v>
      </c>
      <c r="BE21" s="53">
        <v>7</v>
      </c>
      <c r="BF21" s="53">
        <v>6</v>
      </c>
      <c r="BG21" s="53">
        <v>3</v>
      </c>
      <c r="BH21" s="53">
        <v>3</v>
      </c>
      <c r="BI21" s="53">
        <v>2</v>
      </c>
    </row>
    <row r="22" spans="1:61" ht="15.75" x14ac:dyDescent="0.25">
      <c r="A22" s="53" t="s">
        <v>8</v>
      </c>
      <c r="B22" s="56" t="s">
        <v>141</v>
      </c>
      <c r="C22" s="52" t="s">
        <v>41</v>
      </c>
      <c r="D22" s="49" t="str">
        <f>VLOOKUP(A22,PARAMETER!D:E,2,0)</f>
        <v>RIFALDI</v>
      </c>
      <c r="E22" s="49" t="str">
        <f t="shared" si="0"/>
        <v>RIFALDIVOL</v>
      </c>
      <c r="F22" s="49" t="str">
        <f t="shared" si="1"/>
        <v>DWIDAYAVOL</v>
      </c>
      <c r="G22" s="81">
        <f t="shared" si="2"/>
        <v>119988248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0</v>
      </c>
      <c r="AX22" s="53">
        <v>0</v>
      </c>
      <c r="AY22" s="53">
        <v>0</v>
      </c>
      <c r="AZ22" s="53">
        <v>10000</v>
      </c>
      <c r="BA22" s="53">
        <v>0</v>
      </c>
      <c r="BB22" s="53">
        <v>7</v>
      </c>
      <c r="BC22" s="53">
        <v>0</v>
      </c>
      <c r="BD22" s="53">
        <v>59263642</v>
      </c>
      <c r="BE22" s="53">
        <v>9334241</v>
      </c>
      <c r="BF22" s="53">
        <v>27600003</v>
      </c>
      <c r="BG22" s="53">
        <v>5880000</v>
      </c>
      <c r="BH22" s="53">
        <v>9900355</v>
      </c>
      <c r="BI22" s="53">
        <v>8000000</v>
      </c>
    </row>
    <row r="23" spans="1:61" ht="15.75" x14ac:dyDescent="0.25">
      <c r="A23" s="53" t="s">
        <v>9</v>
      </c>
      <c r="B23" s="56" t="s">
        <v>141</v>
      </c>
      <c r="C23" s="49" t="s">
        <v>40</v>
      </c>
      <c r="D23" s="49" t="e">
        <f>VLOOKUP(A23,PARAMETER!D:E,2,0)</f>
        <v>#N/A</v>
      </c>
      <c r="E23" s="49" t="e">
        <f t="shared" si="0"/>
        <v>#N/A</v>
      </c>
      <c r="F23" s="49" t="str">
        <f t="shared" si="1"/>
        <v>ES TELLER 77FBI</v>
      </c>
      <c r="G23" s="81">
        <f t="shared" si="2"/>
        <v>1335972</v>
      </c>
      <c r="H23" s="81">
        <f>SUMIF(I$1:BI$1,"&lt;="&amp;PARAMETER!X$2,I23:BI23)</f>
        <v>579805</v>
      </c>
      <c r="I23" s="53">
        <v>80796</v>
      </c>
      <c r="J23" s="53">
        <v>57372</v>
      </c>
      <c r="K23" s="53">
        <v>28965</v>
      </c>
      <c r="L23" s="53">
        <v>34776</v>
      </c>
      <c r="M23" s="53">
        <v>45279</v>
      </c>
      <c r="N23" s="53">
        <v>169588</v>
      </c>
      <c r="O23" s="53">
        <v>73675</v>
      </c>
      <c r="P23" s="53">
        <v>15047</v>
      </c>
      <c r="Q23" s="53">
        <v>34331</v>
      </c>
      <c r="R23" s="53">
        <v>20340</v>
      </c>
      <c r="S23" s="53">
        <v>19636</v>
      </c>
      <c r="T23" s="53">
        <v>15526</v>
      </c>
      <c r="U23" s="53">
        <v>47792</v>
      </c>
      <c r="V23" s="53">
        <v>39549</v>
      </c>
      <c r="W23" s="53">
        <v>58138</v>
      </c>
      <c r="X23" s="53">
        <v>30266</v>
      </c>
      <c r="Y23" s="53">
        <v>31130</v>
      </c>
      <c r="Z23" s="53">
        <v>35173</v>
      </c>
      <c r="AA23" s="53">
        <v>57527</v>
      </c>
      <c r="AB23" s="53">
        <v>52328</v>
      </c>
      <c r="AC23" s="53">
        <v>49740</v>
      </c>
      <c r="AD23" s="53">
        <v>82864</v>
      </c>
      <c r="AE23" s="53">
        <v>135018</v>
      </c>
      <c r="AF23" s="53">
        <v>38433</v>
      </c>
      <c r="AG23" s="53">
        <v>41045</v>
      </c>
      <c r="AH23" s="53">
        <v>0</v>
      </c>
      <c r="AI23" s="53">
        <v>0</v>
      </c>
      <c r="AJ23" s="53">
        <v>0</v>
      </c>
      <c r="AK23" s="53">
        <v>6084</v>
      </c>
      <c r="AL23" s="53">
        <v>3410</v>
      </c>
      <c r="AM23" s="53">
        <v>6802</v>
      </c>
      <c r="AN23" s="53">
        <v>252</v>
      </c>
      <c r="AO23" s="53">
        <v>900</v>
      </c>
      <c r="AP23" s="53">
        <v>154</v>
      </c>
      <c r="AQ23" s="53">
        <v>0</v>
      </c>
      <c r="AR23" s="53">
        <v>840</v>
      </c>
      <c r="AS23" s="53">
        <v>0</v>
      </c>
      <c r="AT23" s="53">
        <v>0</v>
      </c>
      <c r="AU23" s="53">
        <v>7004</v>
      </c>
      <c r="AV23" s="53">
        <v>3750</v>
      </c>
      <c r="AW23" s="53">
        <v>1621</v>
      </c>
      <c r="AX23" s="53">
        <v>1430</v>
      </c>
      <c r="AY23" s="53">
        <v>1804</v>
      </c>
      <c r="AZ23" s="53">
        <v>300</v>
      </c>
      <c r="BA23" s="53">
        <v>750</v>
      </c>
      <c r="BB23" s="53">
        <v>3555</v>
      </c>
      <c r="BC23" s="53">
        <v>2260</v>
      </c>
      <c r="BD23" s="53">
        <v>108</v>
      </c>
      <c r="BE23" s="53">
        <v>614</v>
      </c>
      <c r="BF23" s="53">
        <v>0</v>
      </c>
      <c r="BG23" s="53">
        <v>0</v>
      </c>
      <c r="BH23" s="53">
        <v>0</v>
      </c>
      <c r="BI23" s="53">
        <v>0</v>
      </c>
    </row>
    <row r="24" spans="1:61" ht="15.75" x14ac:dyDescent="0.25">
      <c r="A24" s="53" t="s">
        <v>9</v>
      </c>
      <c r="B24" s="56" t="s">
        <v>141</v>
      </c>
      <c r="C24" s="52" t="s">
        <v>42</v>
      </c>
      <c r="D24" s="49" t="e">
        <f>VLOOKUP(A24,PARAMETER!D:E,2,0)</f>
        <v>#N/A</v>
      </c>
      <c r="E24" s="49" t="e">
        <f t="shared" si="0"/>
        <v>#N/A</v>
      </c>
      <c r="F24" s="49" t="str">
        <f t="shared" si="1"/>
        <v>ES TELLER 77TRX</v>
      </c>
      <c r="G24" s="81">
        <f t="shared" si="2"/>
        <v>3235</v>
      </c>
      <c r="H24" s="81">
        <f>SUMIF(I$1:BI$1,"&lt;="&amp;PARAMETER!X$2,I24:BI24)</f>
        <v>2391</v>
      </c>
      <c r="I24" s="53">
        <v>74</v>
      </c>
      <c r="J24" s="53">
        <v>68</v>
      </c>
      <c r="K24" s="53">
        <v>36</v>
      </c>
      <c r="L24" s="53">
        <v>48</v>
      </c>
      <c r="M24" s="53">
        <v>51</v>
      </c>
      <c r="N24" s="53">
        <v>1798</v>
      </c>
      <c r="O24" s="53">
        <v>94</v>
      </c>
      <c r="P24" s="53">
        <v>26</v>
      </c>
      <c r="Q24" s="53">
        <v>132</v>
      </c>
      <c r="R24" s="53">
        <v>36</v>
      </c>
      <c r="S24" s="53">
        <v>28</v>
      </c>
      <c r="T24" s="53">
        <v>29</v>
      </c>
      <c r="U24" s="53">
        <v>46</v>
      </c>
      <c r="V24" s="53">
        <v>45</v>
      </c>
      <c r="W24" s="53">
        <v>47</v>
      </c>
      <c r="X24" s="53">
        <v>36</v>
      </c>
      <c r="Y24" s="53">
        <v>29</v>
      </c>
      <c r="Z24" s="53">
        <v>38</v>
      </c>
      <c r="AA24" s="53">
        <v>42</v>
      </c>
      <c r="AB24" s="53">
        <v>55</v>
      </c>
      <c r="AC24" s="53">
        <v>61</v>
      </c>
      <c r="AD24" s="53">
        <v>76</v>
      </c>
      <c r="AE24" s="53">
        <v>96</v>
      </c>
      <c r="AF24" s="53">
        <v>37</v>
      </c>
      <c r="AG24" s="53">
        <v>139</v>
      </c>
      <c r="AH24" s="53">
        <v>0</v>
      </c>
      <c r="AI24" s="53">
        <v>0</v>
      </c>
      <c r="AJ24" s="53">
        <v>0</v>
      </c>
      <c r="AK24" s="53">
        <v>6</v>
      </c>
      <c r="AL24" s="53">
        <v>2</v>
      </c>
      <c r="AM24" s="53">
        <v>10</v>
      </c>
      <c r="AN24" s="53">
        <v>2</v>
      </c>
      <c r="AO24" s="53">
        <v>6</v>
      </c>
      <c r="AP24" s="53">
        <v>1</v>
      </c>
      <c r="AQ24" s="53">
        <v>0</v>
      </c>
      <c r="AR24" s="53">
        <v>1</v>
      </c>
      <c r="AS24" s="53">
        <v>0</v>
      </c>
      <c r="AT24" s="53">
        <v>1</v>
      </c>
      <c r="AU24" s="53">
        <v>7</v>
      </c>
      <c r="AV24" s="53">
        <v>4</v>
      </c>
      <c r="AW24" s="53">
        <v>5</v>
      </c>
      <c r="AX24" s="53">
        <v>4</v>
      </c>
      <c r="AY24" s="53">
        <v>3</v>
      </c>
      <c r="AZ24" s="53">
        <v>1</v>
      </c>
      <c r="BA24" s="53">
        <v>4</v>
      </c>
      <c r="BB24" s="53">
        <v>5</v>
      </c>
      <c r="BC24" s="53">
        <v>3</v>
      </c>
      <c r="BD24" s="53">
        <v>1</v>
      </c>
      <c r="BE24" s="53">
        <v>2</v>
      </c>
      <c r="BF24" s="53">
        <v>0</v>
      </c>
      <c r="BG24" s="53">
        <v>0</v>
      </c>
      <c r="BH24" s="53">
        <v>0</v>
      </c>
      <c r="BI24" s="53">
        <v>0</v>
      </c>
    </row>
    <row r="25" spans="1:61" ht="15.75" x14ac:dyDescent="0.25">
      <c r="A25" s="53" t="s">
        <v>9</v>
      </c>
      <c r="B25" s="56" t="s">
        <v>141</v>
      </c>
      <c r="C25" s="52" t="s">
        <v>41</v>
      </c>
      <c r="D25" s="49" t="e">
        <f>VLOOKUP(A25,PARAMETER!D:E,2,0)</f>
        <v>#N/A</v>
      </c>
      <c r="E25" s="49" t="e">
        <f t="shared" si="0"/>
        <v>#N/A</v>
      </c>
      <c r="F25" s="49" t="str">
        <f t="shared" si="1"/>
        <v>ES TELLER 77VOL</v>
      </c>
      <c r="G25" s="81">
        <f t="shared" si="2"/>
        <v>190818980</v>
      </c>
      <c r="H25" s="81">
        <f>SUMIF(I$1:BI$1,"&lt;="&amp;PARAMETER!X$2,I25:BI25)</f>
        <v>90653026</v>
      </c>
      <c r="I25" s="53">
        <v>10759700</v>
      </c>
      <c r="J25" s="53">
        <v>8285000</v>
      </c>
      <c r="K25" s="53">
        <v>3780500</v>
      </c>
      <c r="L25" s="53">
        <v>6011000</v>
      </c>
      <c r="M25" s="53">
        <v>7397500</v>
      </c>
      <c r="N25" s="53">
        <v>26690126</v>
      </c>
      <c r="O25" s="53">
        <v>10963800</v>
      </c>
      <c r="P25" s="53">
        <v>2982000</v>
      </c>
      <c r="Q25" s="53">
        <v>6023800</v>
      </c>
      <c r="R25" s="53">
        <v>4467400</v>
      </c>
      <c r="S25" s="53">
        <v>3292200</v>
      </c>
      <c r="T25" s="53">
        <v>3289800</v>
      </c>
      <c r="U25" s="53">
        <v>6478000</v>
      </c>
      <c r="V25" s="53">
        <v>6728800</v>
      </c>
      <c r="W25" s="53">
        <v>7095600</v>
      </c>
      <c r="X25" s="53">
        <v>4925000</v>
      </c>
      <c r="Y25" s="53">
        <v>3662800</v>
      </c>
      <c r="Z25" s="53">
        <v>4977600</v>
      </c>
      <c r="AA25" s="53">
        <v>6764000</v>
      </c>
      <c r="AB25" s="53">
        <v>6408400</v>
      </c>
      <c r="AC25" s="53">
        <v>7348000</v>
      </c>
      <c r="AD25" s="53">
        <v>10064800</v>
      </c>
      <c r="AE25" s="53">
        <v>14354678</v>
      </c>
      <c r="AF25" s="53">
        <v>5788799</v>
      </c>
      <c r="AG25" s="53">
        <v>5805847</v>
      </c>
      <c r="AH25" s="53">
        <v>0</v>
      </c>
      <c r="AI25" s="53">
        <v>0</v>
      </c>
      <c r="AJ25" s="53">
        <v>0</v>
      </c>
      <c r="AK25" s="53">
        <v>815000</v>
      </c>
      <c r="AL25" s="53">
        <v>341000</v>
      </c>
      <c r="AM25" s="53">
        <v>908000</v>
      </c>
      <c r="AN25" s="53">
        <v>36015</v>
      </c>
      <c r="AO25" s="53">
        <v>215000</v>
      </c>
      <c r="AP25" s="53">
        <v>103000</v>
      </c>
      <c r="AQ25" s="53">
        <v>0</v>
      </c>
      <c r="AR25" s="53">
        <v>119999</v>
      </c>
      <c r="AS25" s="53">
        <v>0</v>
      </c>
      <c r="AT25" s="53">
        <v>15</v>
      </c>
      <c r="AU25" s="53">
        <v>822000</v>
      </c>
      <c r="AV25" s="53">
        <v>375000</v>
      </c>
      <c r="AW25" s="53">
        <v>331001</v>
      </c>
      <c r="AX25" s="53">
        <v>353000</v>
      </c>
      <c r="AY25" s="53">
        <v>245000</v>
      </c>
      <c r="AZ25" s="53">
        <v>30000</v>
      </c>
      <c r="BA25" s="53">
        <v>165000</v>
      </c>
      <c r="BB25" s="53">
        <v>675800</v>
      </c>
      <c r="BC25" s="53">
        <v>458000</v>
      </c>
      <c r="BD25" s="53">
        <v>72000</v>
      </c>
      <c r="BE25" s="53">
        <v>409000</v>
      </c>
      <c r="BF25" s="53">
        <v>0</v>
      </c>
      <c r="BG25" s="53">
        <v>0</v>
      </c>
      <c r="BH25" s="53">
        <v>0</v>
      </c>
      <c r="BI25" s="53">
        <v>0</v>
      </c>
    </row>
    <row r="26" spans="1:61" ht="15.75" x14ac:dyDescent="0.25">
      <c r="A26" s="53" t="s">
        <v>10</v>
      </c>
      <c r="B26" s="56" t="s">
        <v>141</v>
      </c>
      <c r="C26" s="49" t="s">
        <v>40</v>
      </c>
      <c r="D26" s="49" t="str">
        <f>VLOOKUP(A26,PARAMETER!D:E,2,0)</f>
        <v>RIFALDI</v>
      </c>
      <c r="E26" s="49" t="str">
        <f t="shared" si="0"/>
        <v>RIFALDIFBI</v>
      </c>
      <c r="F26" s="49" t="str">
        <f t="shared" si="1"/>
        <v>GRAMEDIAFBI</v>
      </c>
      <c r="G26" s="81">
        <f t="shared" si="2"/>
        <v>65967570</v>
      </c>
      <c r="H26" s="81">
        <f>SUMIF(I$1:BI$1,"&lt;="&amp;PARAMETER!X$2,I26:BI26)</f>
        <v>21052854</v>
      </c>
      <c r="I26" s="53">
        <v>3326</v>
      </c>
      <c r="J26" s="53">
        <v>1298</v>
      </c>
      <c r="K26" s="53">
        <v>162</v>
      </c>
      <c r="L26" s="53">
        <v>3509</v>
      </c>
      <c r="M26" s="53">
        <v>1180</v>
      </c>
      <c r="N26" s="53">
        <v>2452</v>
      </c>
      <c r="O26" s="53">
        <v>34209</v>
      </c>
      <c r="P26" s="53">
        <v>2917096</v>
      </c>
      <c r="Q26" s="53">
        <v>18085072</v>
      </c>
      <c r="R26" s="53">
        <v>2960</v>
      </c>
      <c r="S26" s="53">
        <v>1590</v>
      </c>
      <c r="T26" s="53">
        <v>254704</v>
      </c>
      <c r="U26" s="53">
        <v>982629</v>
      </c>
      <c r="V26" s="53">
        <v>1163632</v>
      </c>
      <c r="W26" s="53">
        <v>811129</v>
      </c>
      <c r="X26" s="53">
        <v>510202</v>
      </c>
      <c r="Y26" s="53">
        <v>484080</v>
      </c>
      <c r="Z26" s="53">
        <v>273389</v>
      </c>
      <c r="AA26" s="53">
        <v>114188</v>
      </c>
      <c r="AB26" s="53">
        <v>135095</v>
      </c>
      <c r="AC26" s="53">
        <v>72734</v>
      </c>
      <c r="AD26" s="53">
        <v>125711</v>
      </c>
      <c r="AE26" s="53">
        <v>11157</v>
      </c>
      <c r="AF26" s="53">
        <v>12499</v>
      </c>
      <c r="AG26" s="53">
        <v>59684</v>
      </c>
      <c r="AH26" s="53">
        <v>4143</v>
      </c>
      <c r="AI26" s="53">
        <v>137882</v>
      </c>
      <c r="AJ26" s="53">
        <v>312</v>
      </c>
      <c r="AK26" s="53">
        <v>13823049</v>
      </c>
      <c r="AL26" s="53">
        <v>708</v>
      </c>
      <c r="AM26" s="53">
        <v>10715</v>
      </c>
      <c r="AN26" s="53">
        <v>60708</v>
      </c>
      <c r="AO26" s="53">
        <v>9109</v>
      </c>
      <c r="AP26" s="53">
        <v>44400</v>
      </c>
      <c r="AQ26" s="53">
        <v>15323473</v>
      </c>
      <c r="AR26" s="53">
        <v>26307</v>
      </c>
      <c r="AS26" s="53">
        <v>14196</v>
      </c>
      <c r="AT26" s="53">
        <v>26695</v>
      </c>
      <c r="AU26" s="53">
        <v>4958695</v>
      </c>
      <c r="AV26" s="53">
        <v>4888855</v>
      </c>
      <c r="AW26" s="53">
        <v>172198</v>
      </c>
      <c r="AX26" s="53">
        <v>129908</v>
      </c>
      <c r="AY26" s="53">
        <v>1090</v>
      </c>
      <c r="AZ26" s="53">
        <v>6701</v>
      </c>
      <c r="BA26" s="53">
        <v>55333</v>
      </c>
      <c r="BB26" s="53">
        <v>22706</v>
      </c>
      <c r="BC26" s="53">
        <v>11515</v>
      </c>
      <c r="BD26" s="53">
        <v>7277</v>
      </c>
      <c r="BE26" s="53">
        <v>7593</v>
      </c>
      <c r="BF26" s="53">
        <v>50453</v>
      </c>
      <c r="BG26" s="53">
        <v>102458</v>
      </c>
      <c r="BH26" s="53">
        <v>7150</v>
      </c>
      <c r="BI26" s="53">
        <v>254</v>
      </c>
    </row>
    <row r="27" spans="1:61" ht="15.75" x14ac:dyDescent="0.25">
      <c r="A27" s="53" t="s">
        <v>10</v>
      </c>
      <c r="B27" s="56" t="s">
        <v>141</v>
      </c>
      <c r="C27" s="52" t="s">
        <v>42</v>
      </c>
      <c r="D27" s="49" t="str">
        <f>VLOOKUP(A27,PARAMETER!D:E,2,0)</f>
        <v>RIFALDI</v>
      </c>
      <c r="E27" s="49" t="str">
        <f t="shared" si="0"/>
        <v>RIFALDITRX</v>
      </c>
      <c r="F27" s="49" t="str">
        <f t="shared" si="1"/>
        <v>GRAMEDIATRX</v>
      </c>
      <c r="G27" s="81">
        <f t="shared" si="2"/>
        <v>37862</v>
      </c>
      <c r="H27" s="81">
        <f>SUMIF(I$1:BI$1,"&lt;="&amp;PARAMETER!X$2,I27:BI27)</f>
        <v>13240</v>
      </c>
      <c r="I27" s="53">
        <v>5</v>
      </c>
      <c r="J27" s="53">
        <v>4</v>
      </c>
      <c r="K27" s="53">
        <v>2</v>
      </c>
      <c r="L27" s="53">
        <v>8</v>
      </c>
      <c r="M27" s="53">
        <v>3</v>
      </c>
      <c r="N27" s="53">
        <v>7</v>
      </c>
      <c r="O27" s="53">
        <v>25</v>
      </c>
      <c r="P27" s="53">
        <v>1918</v>
      </c>
      <c r="Q27" s="53">
        <v>11256</v>
      </c>
      <c r="R27" s="53">
        <v>10</v>
      </c>
      <c r="S27" s="53">
        <v>2</v>
      </c>
      <c r="T27" s="53">
        <v>92</v>
      </c>
      <c r="U27" s="53">
        <v>263</v>
      </c>
      <c r="V27" s="53">
        <v>207</v>
      </c>
      <c r="W27" s="53">
        <v>193</v>
      </c>
      <c r="X27" s="53">
        <v>134</v>
      </c>
      <c r="Y27" s="53">
        <v>127</v>
      </c>
      <c r="Z27" s="53">
        <v>170</v>
      </c>
      <c r="AA27" s="53">
        <v>37</v>
      </c>
      <c r="AB27" s="53">
        <v>26</v>
      </c>
      <c r="AC27" s="53">
        <v>35</v>
      </c>
      <c r="AD27" s="53">
        <v>36</v>
      </c>
      <c r="AE27" s="53">
        <v>5</v>
      </c>
      <c r="AF27" s="53">
        <v>19</v>
      </c>
      <c r="AG27" s="53">
        <v>27</v>
      </c>
      <c r="AH27" s="53">
        <v>2</v>
      </c>
      <c r="AI27" s="53">
        <v>27</v>
      </c>
      <c r="AJ27" s="53">
        <v>1</v>
      </c>
      <c r="AK27" s="53">
        <v>7781</v>
      </c>
      <c r="AL27" s="53">
        <v>1</v>
      </c>
      <c r="AM27" s="53">
        <v>2</v>
      </c>
      <c r="AN27" s="53">
        <v>13</v>
      </c>
      <c r="AO27" s="53">
        <v>5</v>
      </c>
      <c r="AP27" s="53">
        <v>7</v>
      </c>
      <c r="AQ27" s="53">
        <v>9752</v>
      </c>
      <c r="AR27" s="53">
        <v>14</v>
      </c>
      <c r="AS27" s="53">
        <v>6</v>
      </c>
      <c r="AT27" s="53">
        <v>19</v>
      </c>
      <c r="AU27" s="53">
        <v>2724</v>
      </c>
      <c r="AV27" s="53">
        <v>2598</v>
      </c>
      <c r="AW27" s="53">
        <v>48</v>
      </c>
      <c r="AX27" s="53">
        <v>39</v>
      </c>
      <c r="AY27" s="53">
        <v>4</v>
      </c>
      <c r="AZ27" s="53">
        <v>8</v>
      </c>
      <c r="BA27" s="53">
        <v>18</v>
      </c>
      <c r="BB27" s="53">
        <v>15</v>
      </c>
      <c r="BC27" s="53">
        <v>19</v>
      </c>
      <c r="BD27" s="53">
        <v>6</v>
      </c>
      <c r="BE27" s="53">
        <v>7</v>
      </c>
      <c r="BF27" s="53">
        <v>30</v>
      </c>
      <c r="BG27" s="53">
        <v>96</v>
      </c>
      <c r="BH27" s="53">
        <v>8</v>
      </c>
      <c r="BI27" s="53">
        <v>1</v>
      </c>
    </row>
    <row r="28" spans="1:61" ht="15.75" x14ac:dyDescent="0.25">
      <c r="A28" s="53" t="s">
        <v>10</v>
      </c>
      <c r="B28" s="56" t="s">
        <v>141</v>
      </c>
      <c r="C28" s="52" t="s">
        <v>41</v>
      </c>
      <c r="D28" s="49" t="str">
        <f>VLOOKUP(A28,PARAMETER!D:E,2,0)</f>
        <v>RIFALDI</v>
      </c>
      <c r="E28" s="49" t="str">
        <f t="shared" si="0"/>
        <v>RIFALDIVOL</v>
      </c>
      <c r="F28" s="49" t="str">
        <f t="shared" si="1"/>
        <v>GRAMEDIAVOL</v>
      </c>
      <c r="G28" s="81">
        <f t="shared" si="2"/>
        <v>7791264833</v>
      </c>
      <c r="H28" s="81">
        <f>SUMIF(I$1:BI$1,"&lt;="&amp;PARAMETER!X$2,I28:BI28)</f>
        <v>2612598423</v>
      </c>
      <c r="I28" s="53">
        <v>2143900</v>
      </c>
      <c r="J28" s="53">
        <v>865500</v>
      </c>
      <c r="K28" s="53">
        <v>107800</v>
      </c>
      <c r="L28" s="53">
        <v>1672200</v>
      </c>
      <c r="M28" s="53">
        <v>786900</v>
      </c>
      <c r="N28" s="53">
        <v>1634875</v>
      </c>
      <c r="O28" s="53">
        <v>5419850</v>
      </c>
      <c r="P28" s="53">
        <v>395805156</v>
      </c>
      <c r="Q28" s="53">
        <v>2201832772</v>
      </c>
      <c r="R28" s="53">
        <v>1269620</v>
      </c>
      <c r="S28" s="53">
        <v>1059850</v>
      </c>
      <c r="T28" s="53">
        <v>23517950</v>
      </c>
      <c r="U28" s="53">
        <v>90648359</v>
      </c>
      <c r="V28" s="53">
        <v>98674520</v>
      </c>
      <c r="W28" s="53">
        <v>74328755</v>
      </c>
      <c r="X28" s="53">
        <v>45455233</v>
      </c>
      <c r="Y28" s="53">
        <v>44254160</v>
      </c>
      <c r="Z28" s="53">
        <v>28032000</v>
      </c>
      <c r="AA28" s="53">
        <v>9971730</v>
      </c>
      <c r="AB28" s="53">
        <v>10551340</v>
      </c>
      <c r="AC28" s="53">
        <v>8899850</v>
      </c>
      <c r="AD28" s="53">
        <v>11720550</v>
      </c>
      <c r="AE28" s="53">
        <v>1650300</v>
      </c>
      <c r="AF28" s="53">
        <v>1578000</v>
      </c>
      <c r="AG28" s="53">
        <v>6032750</v>
      </c>
      <c r="AH28" s="53">
        <v>661400</v>
      </c>
      <c r="AI28" s="53">
        <v>13071990</v>
      </c>
      <c r="AJ28" s="53">
        <v>207700</v>
      </c>
      <c r="AK28" s="53">
        <v>1615730725</v>
      </c>
      <c r="AL28" s="53">
        <v>471800</v>
      </c>
      <c r="AM28" s="53">
        <v>595300</v>
      </c>
      <c r="AN28" s="53">
        <v>3955100</v>
      </c>
      <c r="AO28" s="53">
        <v>1139440</v>
      </c>
      <c r="AP28" s="53">
        <v>3411940</v>
      </c>
      <c r="AQ28" s="53">
        <v>1944951017</v>
      </c>
      <c r="AR28" s="53">
        <v>5407921</v>
      </c>
      <c r="AS28" s="53">
        <v>2800860</v>
      </c>
      <c r="AT28" s="53">
        <v>4406890</v>
      </c>
      <c r="AU28" s="53">
        <v>535044885</v>
      </c>
      <c r="AV28" s="53">
        <v>513507786</v>
      </c>
      <c r="AW28" s="53">
        <v>16819000</v>
      </c>
      <c r="AX28" s="53">
        <v>12505260</v>
      </c>
      <c r="AY28" s="53">
        <v>726400</v>
      </c>
      <c r="AZ28" s="53">
        <v>3435150</v>
      </c>
      <c r="BA28" s="53">
        <v>6400200</v>
      </c>
      <c r="BB28" s="53">
        <v>5117070</v>
      </c>
      <c r="BC28" s="53">
        <v>3052505</v>
      </c>
      <c r="BD28" s="53">
        <v>1987000</v>
      </c>
      <c r="BE28" s="53">
        <v>3073000</v>
      </c>
      <c r="BF28" s="53">
        <v>5918911</v>
      </c>
      <c r="BG28" s="53">
        <v>15292533</v>
      </c>
      <c r="BH28" s="53">
        <v>3489630</v>
      </c>
      <c r="BI28" s="53">
        <v>169500</v>
      </c>
    </row>
    <row r="29" spans="1:61" ht="15.75" x14ac:dyDescent="0.25">
      <c r="A29" s="53" t="s">
        <v>11</v>
      </c>
      <c r="B29" s="56" t="s">
        <v>141</v>
      </c>
      <c r="C29" s="49" t="s">
        <v>40</v>
      </c>
      <c r="D29" s="49" t="str">
        <f>VLOOKUP(A29,PARAMETER!D:E,2,0)</f>
        <v>NINA</v>
      </c>
      <c r="E29" s="49" t="str">
        <f t="shared" si="0"/>
        <v>NINAFBI</v>
      </c>
      <c r="F29" s="49" t="str">
        <f t="shared" si="1"/>
        <v>HAUSFBI</v>
      </c>
      <c r="G29" s="81">
        <f t="shared" si="2"/>
        <v>25540063</v>
      </c>
      <c r="H29" s="81">
        <f>SUMIF(I$1:BI$1,"&lt;="&amp;PARAMETER!X$2,I29:BI29)</f>
        <v>33679</v>
      </c>
      <c r="I29" s="53">
        <v>4840</v>
      </c>
      <c r="J29" s="53">
        <v>2510</v>
      </c>
      <c r="K29" s="53">
        <v>4110</v>
      </c>
      <c r="L29" s="53">
        <v>2500</v>
      </c>
      <c r="M29" s="53">
        <v>360</v>
      </c>
      <c r="N29" s="53">
        <v>3740</v>
      </c>
      <c r="O29" s="53">
        <v>1420</v>
      </c>
      <c r="P29" s="53">
        <v>3934</v>
      </c>
      <c r="Q29" s="53">
        <v>9585</v>
      </c>
      <c r="R29" s="53">
        <v>0</v>
      </c>
      <c r="S29" s="53">
        <v>680</v>
      </c>
      <c r="T29" s="53">
        <v>1800</v>
      </c>
      <c r="U29" s="53">
        <v>0</v>
      </c>
      <c r="V29" s="53">
        <v>970</v>
      </c>
      <c r="W29" s="53">
        <v>1220</v>
      </c>
      <c r="X29" s="53">
        <v>864</v>
      </c>
      <c r="Y29" s="53">
        <v>1760</v>
      </c>
      <c r="Z29" s="53">
        <v>1540</v>
      </c>
      <c r="AA29" s="53">
        <v>762</v>
      </c>
      <c r="AB29" s="53">
        <v>1332</v>
      </c>
      <c r="AC29" s="53">
        <v>3964</v>
      </c>
      <c r="AD29" s="53">
        <v>3350</v>
      </c>
      <c r="AE29" s="53">
        <v>0</v>
      </c>
      <c r="AF29" s="53">
        <v>0</v>
      </c>
      <c r="AG29" s="53">
        <v>0</v>
      </c>
      <c r="AH29" s="53">
        <v>52</v>
      </c>
      <c r="AI29" s="53">
        <v>19376</v>
      </c>
      <c r="AJ29" s="53">
        <v>19725</v>
      </c>
      <c r="AK29" s="53">
        <v>16792</v>
      </c>
      <c r="AL29" s="53">
        <v>19593</v>
      </c>
      <c r="AM29" s="53">
        <v>18573</v>
      </c>
      <c r="AN29" s="53">
        <v>16659</v>
      </c>
      <c r="AO29" s="53">
        <v>11520</v>
      </c>
      <c r="AP29" s="53">
        <v>7055</v>
      </c>
      <c r="AQ29" s="53">
        <v>13181</v>
      </c>
      <c r="AR29" s="53">
        <v>12533</v>
      </c>
      <c r="AS29" s="53">
        <v>16682</v>
      </c>
      <c r="AT29" s="53">
        <v>14900</v>
      </c>
      <c r="AU29" s="53">
        <v>16161</v>
      </c>
      <c r="AV29" s="53">
        <v>6516</v>
      </c>
      <c r="AW29" s="53">
        <v>6813</v>
      </c>
      <c r="AX29" s="53">
        <v>7078</v>
      </c>
      <c r="AY29" s="53">
        <v>9098</v>
      </c>
      <c r="AZ29" s="53">
        <v>5862</v>
      </c>
      <c r="BA29" s="53">
        <v>9642</v>
      </c>
      <c r="BB29" s="53">
        <v>404427</v>
      </c>
      <c r="BC29" s="53">
        <v>3941547</v>
      </c>
      <c r="BD29" s="53">
        <v>3484146</v>
      </c>
      <c r="BE29" s="53">
        <v>2349707</v>
      </c>
      <c r="BF29" s="53">
        <v>4340274</v>
      </c>
      <c r="BG29" s="53">
        <v>4292827</v>
      </c>
      <c r="BH29" s="53">
        <v>4871726</v>
      </c>
      <c r="BI29" s="53">
        <v>1556357</v>
      </c>
    </row>
    <row r="30" spans="1:61" ht="15.75" x14ac:dyDescent="0.25">
      <c r="A30" s="53" t="s">
        <v>11</v>
      </c>
      <c r="B30" s="56" t="s">
        <v>141</v>
      </c>
      <c r="C30" s="52" t="s">
        <v>42</v>
      </c>
      <c r="D30" s="49" t="str">
        <f>VLOOKUP(A30,PARAMETER!D:E,2,0)</f>
        <v>NINA</v>
      </c>
      <c r="E30" s="49" t="str">
        <f t="shared" si="0"/>
        <v>NINATRX</v>
      </c>
      <c r="F30" s="49" t="str">
        <f t="shared" si="1"/>
        <v>HAUSTRX</v>
      </c>
      <c r="G30" s="81">
        <f t="shared" si="2"/>
        <v>92492</v>
      </c>
      <c r="H30" s="81">
        <f>SUMIF(I$1:BI$1,"&lt;="&amp;PARAMETER!X$2,I30:BI30)</f>
        <v>174</v>
      </c>
      <c r="I30" s="53">
        <v>12</v>
      </c>
      <c r="J30" s="53">
        <v>5</v>
      </c>
      <c r="K30" s="53">
        <v>10</v>
      </c>
      <c r="L30" s="53">
        <v>8</v>
      </c>
      <c r="M30" s="53">
        <v>2</v>
      </c>
      <c r="N30" s="53">
        <v>9</v>
      </c>
      <c r="O30" s="53">
        <v>4</v>
      </c>
      <c r="P30" s="53">
        <v>7</v>
      </c>
      <c r="Q30" s="53">
        <v>116</v>
      </c>
      <c r="R30" s="53">
        <v>0</v>
      </c>
      <c r="S30" s="53">
        <v>1</v>
      </c>
      <c r="T30" s="53">
        <v>4</v>
      </c>
      <c r="U30" s="53">
        <v>0</v>
      </c>
      <c r="V30" s="53">
        <v>3</v>
      </c>
      <c r="W30" s="53">
        <v>2</v>
      </c>
      <c r="X30" s="53">
        <v>1</v>
      </c>
      <c r="Y30" s="53">
        <v>5</v>
      </c>
      <c r="Z30" s="53">
        <v>4</v>
      </c>
      <c r="AA30" s="53">
        <v>2</v>
      </c>
      <c r="AB30" s="53">
        <v>1</v>
      </c>
      <c r="AC30" s="53">
        <v>8</v>
      </c>
      <c r="AD30" s="53">
        <v>8</v>
      </c>
      <c r="AE30" s="53">
        <v>0</v>
      </c>
      <c r="AF30" s="53">
        <v>0</v>
      </c>
      <c r="AG30" s="53">
        <v>0</v>
      </c>
      <c r="AH30" s="53">
        <v>1</v>
      </c>
      <c r="AI30" s="53">
        <v>91</v>
      </c>
      <c r="AJ30" s="53">
        <v>98</v>
      </c>
      <c r="AK30" s="53">
        <v>118</v>
      </c>
      <c r="AL30" s="53">
        <v>133</v>
      </c>
      <c r="AM30" s="53">
        <v>136</v>
      </c>
      <c r="AN30" s="53">
        <v>97</v>
      </c>
      <c r="AO30" s="53">
        <v>82</v>
      </c>
      <c r="AP30" s="53">
        <v>50</v>
      </c>
      <c r="AQ30" s="53">
        <v>92</v>
      </c>
      <c r="AR30" s="53">
        <v>72</v>
      </c>
      <c r="AS30" s="53">
        <v>100</v>
      </c>
      <c r="AT30" s="53">
        <v>101</v>
      </c>
      <c r="AU30" s="53">
        <v>101</v>
      </c>
      <c r="AV30" s="53">
        <v>136</v>
      </c>
      <c r="AW30" s="53">
        <v>156</v>
      </c>
      <c r="AX30" s="53">
        <v>136</v>
      </c>
      <c r="AY30" s="53">
        <v>148</v>
      </c>
      <c r="AZ30" s="53">
        <v>159</v>
      </c>
      <c r="BA30" s="53">
        <v>174</v>
      </c>
      <c r="BB30" s="53">
        <v>1606</v>
      </c>
      <c r="BC30" s="53">
        <v>14573</v>
      </c>
      <c r="BD30" s="53">
        <v>12541</v>
      </c>
      <c r="BE30" s="53">
        <v>8424</v>
      </c>
      <c r="BF30" s="53">
        <v>15853</v>
      </c>
      <c r="BG30" s="53">
        <v>15538</v>
      </c>
      <c r="BH30" s="53">
        <v>16406</v>
      </c>
      <c r="BI30" s="53">
        <v>5158</v>
      </c>
    </row>
    <row r="31" spans="1:61" ht="15.75" x14ac:dyDescent="0.25">
      <c r="A31" s="53" t="s">
        <v>11</v>
      </c>
      <c r="B31" s="56" t="s">
        <v>141</v>
      </c>
      <c r="C31" s="52" t="s">
        <v>41</v>
      </c>
      <c r="D31" s="49" t="str">
        <f>VLOOKUP(A31,PARAMETER!D:E,2,0)</f>
        <v>NINA</v>
      </c>
      <c r="E31" s="49" t="str">
        <f t="shared" si="0"/>
        <v>NINAVOL</v>
      </c>
      <c r="F31" s="49" t="str">
        <f t="shared" si="1"/>
        <v>HAUSVOL</v>
      </c>
      <c r="G31" s="81">
        <f t="shared" si="2"/>
        <v>3746975240</v>
      </c>
      <c r="H31" s="81">
        <f>SUMIF(I$1:BI$1,"&lt;="&amp;PARAMETER!X$2,I31:BI31)</f>
        <v>3610187</v>
      </c>
      <c r="I31" s="53">
        <v>483998</v>
      </c>
      <c r="J31" s="53">
        <v>250999</v>
      </c>
      <c r="K31" s="53">
        <v>410997</v>
      </c>
      <c r="L31" s="53">
        <v>249999</v>
      </c>
      <c r="M31" s="53">
        <v>36000</v>
      </c>
      <c r="N31" s="53">
        <v>373999</v>
      </c>
      <c r="O31" s="53">
        <v>142000</v>
      </c>
      <c r="P31" s="53">
        <v>354996</v>
      </c>
      <c r="Q31" s="53">
        <v>1239199</v>
      </c>
      <c r="R31" s="53">
        <v>0</v>
      </c>
      <c r="S31" s="53">
        <v>68000</v>
      </c>
      <c r="T31" s="53">
        <v>180000</v>
      </c>
      <c r="U31" s="53">
        <v>0</v>
      </c>
      <c r="V31" s="53">
        <v>96998</v>
      </c>
      <c r="W31" s="53">
        <v>121999</v>
      </c>
      <c r="X31" s="53">
        <v>48000</v>
      </c>
      <c r="Y31" s="53">
        <v>176000</v>
      </c>
      <c r="Z31" s="53">
        <v>154000</v>
      </c>
      <c r="AA31" s="53">
        <v>65000</v>
      </c>
      <c r="AB31" s="53">
        <v>74000</v>
      </c>
      <c r="AC31" s="53">
        <v>365999</v>
      </c>
      <c r="AD31" s="53">
        <v>334996</v>
      </c>
      <c r="AE31" s="53">
        <v>0</v>
      </c>
      <c r="AF31" s="53">
        <v>0</v>
      </c>
      <c r="AG31" s="53">
        <v>0</v>
      </c>
      <c r="AH31" s="53">
        <v>35000</v>
      </c>
      <c r="AI31" s="53">
        <v>6257500</v>
      </c>
      <c r="AJ31" s="53">
        <v>6574900</v>
      </c>
      <c r="AK31" s="53">
        <v>5501399</v>
      </c>
      <c r="AL31" s="53">
        <v>6530600</v>
      </c>
      <c r="AM31" s="53">
        <v>6190900</v>
      </c>
      <c r="AN31" s="53">
        <v>5534599</v>
      </c>
      <c r="AO31" s="53">
        <v>3840000</v>
      </c>
      <c r="AP31" s="53">
        <v>2351500</v>
      </c>
      <c r="AQ31" s="53">
        <v>4288500</v>
      </c>
      <c r="AR31" s="53">
        <v>3524397</v>
      </c>
      <c r="AS31" s="53">
        <v>4891301</v>
      </c>
      <c r="AT31" s="53">
        <v>4266700</v>
      </c>
      <c r="AU31" s="53">
        <v>4602399</v>
      </c>
      <c r="AV31" s="53">
        <v>4753388</v>
      </c>
      <c r="AW31" s="53">
        <v>5680300</v>
      </c>
      <c r="AX31" s="53">
        <v>4490200</v>
      </c>
      <c r="AY31" s="53">
        <v>5407500</v>
      </c>
      <c r="AZ31" s="53">
        <v>5432700</v>
      </c>
      <c r="BA31" s="53">
        <v>6265678</v>
      </c>
      <c r="BB31" s="53">
        <v>62289159</v>
      </c>
      <c r="BC31" s="53">
        <v>566510998</v>
      </c>
      <c r="BD31" s="53">
        <v>500702248</v>
      </c>
      <c r="BE31" s="53">
        <v>342381297</v>
      </c>
      <c r="BF31" s="53">
        <v>628023499</v>
      </c>
      <c r="BG31" s="53">
        <v>617760181</v>
      </c>
      <c r="BH31" s="53">
        <v>703141360</v>
      </c>
      <c r="BI31" s="53">
        <v>224519858</v>
      </c>
    </row>
    <row r="32" spans="1:61" ht="15.75" x14ac:dyDescent="0.25">
      <c r="A32" s="53" t="s">
        <v>12</v>
      </c>
      <c r="B32" s="56" t="s">
        <v>141</v>
      </c>
      <c r="C32" s="49" t="s">
        <v>40</v>
      </c>
      <c r="D32" s="49" t="e">
        <f>VLOOKUP(A32,PARAMETER!D:E,2,0)</f>
        <v>#N/A</v>
      </c>
      <c r="E32" s="49" t="e">
        <f t="shared" si="0"/>
        <v>#N/A</v>
      </c>
      <c r="F32" s="49" t="str">
        <f t="shared" si="1"/>
        <v>HEAVENLY WANGFBI</v>
      </c>
      <c r="G32" s="81">
        <f t="shared" si="2"/>
        <v>13658</v>
      </c>
      <c r="H32" s="81">
        <f>SUMIF(I$1:BI$1,"&lt;="&amp;PARAMETER!X$2,I32:BI32)</f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464</v>
      </c>
      <c r="V32" s="53">
        <v>223</v>
      </c>
      <c r="W32" s="53">
        <v>454</v>
      </c>
      <c r="X32" s="53">
        <v>464</v>
      </c>
      <c r="Y32" s="53">
        <v>586</v>
      </c>
      <c r="Z32" s="53">
        <v>0</v>
      </c>
      <c r="AA32" s="53">
        <v>0</v>
      </c>
      <c r="AB32" s="53">
        <v>0</v>
      </c>
      <c r="AC32" s="53">
        <v>0</v>
      </c>
      <c r="AD32" s="53">
        <v>0</v>
      </c>
      <c r="AE32" s="53">
        <v>0</v>
      </c>
      <c r="AF32" s="53">
        <v>0</v>
      </c>
      <c r="AG32" s="53">
        <v>553</v>
      </c>
      <c r="AH32" s="53">
        <v>0</v>
      </c>
      <c r="AI32" s="53">
        <v>0</v>
      </c>
      <c r="AJ32" s="53">
        <v>0</v>
      </c>
      <c r="AK32" s="53">
        <v>0</v>
      </c>
      <c r="AL32" s="53">
        <v>1640</v>
      </c>
      <c r="AM32" s="53">
        <v>0</v>
      </c>
      <c r="AN32" s="53">
        <v>0</v>
      </c>
      <c r="AO32" s="53">
        <v>518</v>
      </c>
      <c r="AP32" s="53">
        <v>0</v>
      </c>
      <c r="AQ32" s="53">
        <v>0</v>
      </c>
      <c r="AR32" s="53">
        <v>0</v>
      </c>
      <c r="AS32" s="53">
        <v>0</v>
      </c>
      <c r="AT32" s="53">
        <v>156</v>
      </c>
      <c r="AU32" s="53">
        <v>2218</v>
      </c>
      <c r="AV32" s="53">
        <v>170</v>
      </c>
      <c r="AW32" s="53">
        <v>2808</v>
      </c>
      <c r="AX32" s="53">
        <v>511</v>
      </c>
      <c r="AY32" s="53">
        <v>241</v>
      </c>
      <c r="AZ32" s="53">
        <v>229</v>
      </c>
      <c r="BA32" s="53">
        <v>0</v>
      </c>
      <c r="BB32" s="53">
        <v>163</v>
      </c>
      <c r="BC32" s="53">
        <v>85</v>
      </c>
      <c r="BD32" s="53">
        <v>194</v>
      </c>
      <c r="BE32" s="53">
        <v>0</v>
      </c>
      <c r="BF32" s="53">
        <v>1324</v>
      </c>
      <c r="BG32" s="53">
        <v>303</v>
      </c>
      <c r="BH32" s="53">
        <v>354</v>
      </c>
      <c r="BI32" s="53">
        <v>0</v>
      </c>
    </row>
    <row r="33" spans="1:61" ht="15.75" x14ac:dyDescent="0.25">
      <c r="A33" s="53" t="s">
        <v>12</v>
      </c>
      <c r="B33" s="56" t="s">
        <v>141</v>
      </c>
      <c r="C33" s="52" t="s">
        <v>42</v>
      </c>
      <c r="D33" s="49" t="e">
        <f>VLOOKUP(A33,PARAMETER!D:E,2,0)</f>
        <v>#N/A</v>
      </c>
      <c r="E33" s="49" t="e">
        <f t="shared" si="0"/>
        <v>#N/A</v>
      </c>
      <c r="F33" s="49" t="str">
        <f t="shared" si="1"/>
        <v>HEAVENLY WANGTRX</v>
      </c>
      <c r="G33" s="81">
        <f t="shared" si="2"/>
        <v>36</v>
      </c>
      <c r="H33" s="81">
        <f>SUMIF(I$1:BI$1,"&lt;="&amp;PARAMETER!X$2,I33:BI33)</f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2</v>
      </c>
      <c r="V33" s="53">
        <v>1</v>
      </c>
      <c r="W33" s="53">
        <v>2</v>
      </c>
      <c r="X33" s="53">
        <v>2</v>
      </c>
      <c r="Y33" s="53">
        <v>1</v>
      </c>
      <c r="Z33" s="53">
        <v>0</v>
      </c>
      <c r="AA33" s="53">
        <v>0</v>
      </c>
      <c r="AB33" s="53">
        <v>0</v>
      </c>
      <c r="AC33" s="53">
        <v>0</v>
      </c>
      <c r="AD33" s="53">
        <v>0</v>
      </c>
      <c r="AE33" s="53">
        <v>0</v>
      </c>
      <c r="AF33" s="53">
        <v>0</v>
      </c>
      <c r="AG33" s="53">
        <v>3</v>
      </c>
      <c r="AH33" s="53">
        <v>0</v>
      </c>
      <c r="AI33" s="53">
        <v>0</v>
      </c>
      <c r="AJ33" s="53">
        <v>0</v>
      </c>
      <c r="AK33" s="53">
        <v>0</v>
      </c>
      <c r="AL33" s="53">
        <v>1</v>
      </c>
      <c r="AM33" s="53">
        <v>0</v>
      </c>
      <c r="AN33" s="53">
        <v>0</v>
      </c>
      <c r="AO33" s="53">
        <v>2</v>
      </c>
      <c r="AP33" s="53">
        <v>0</v>
      </c>
      <c r="AQ33" s="53">
        <v>0</v>
      </c>
      <c r="AR33" s="53">
        <v>0</v>
      </c>
      <c r="AS33" s="53">
        <v>0</v>
      </c>
      <c r="AT33" s="53">
        <v>1</v>
      </c>
      <c r="AU33" s="53">
        <v>1</v>
      </c>
      <c r="AV33" s="53">
        <v>1</v>
      </c>
      <c r="AW33" s="53">
        <v>2</v>
      </c>
      <c r="AX33" s="53">
        <v>3</v>
      </c>
      <c r="AY33" s="53">
        <v>2</v>
      </c>
      <c r="AZ33" s="53">
        <v>1</v>
      </c>
      <c r="BA33" s="53">
        <v>0</v>
      </c>
      <c r="BB33" s="53">
        <v>1</v>
      </c>
      <c r="BC33" s="53">
        <v>1</v>
      </c>
      <c r="BD33" s="53">
        <v>1</v>
      </c>
      <c r="BE33" s="53">
        <v>0</v>
      </c>
      <c r="BF33" s="53">
        <v>5</v>
      </c>
      <c r="BG33" s="53">
        <v>1</v>
      </c>
      <c r="BH33" s="53">
        <v>2</v>
      </c>
      <c r="BI33" s="53">
        <v>0</v>
      </c>
    </row>
    <row r="34" spans="1:61" ht="15.75" x14ac:dyDescent="0.25">
      <c r="A34" s="53" t="s">
        <v>12</v>
      </c>
      <c r="B34" s="56" t="s">
        <v>141</v>
      </c>
      <c r="C34" s="52" t="s">
        <v>41</v>
      </c>
      <c r="D34" s="49" t="e">
        <f>VLOOKUP(A34,PARAMETER!D:E,2,0)</f>
        <v>#N/A</v>
      </c>
      <c r="E34" s="49" t="e">
        <f t="shared" ref="E34:E65" si="3">CONCATENATE(D34,C34)</f>
        <v>#N/A</v>
      </c>
      <c r="F34" s="49" t="str">
        <f t="shared" ref="F34:F65" si="4">CONCATENATE(A34,C34)</f>
        <v>HEAVENLY WANGVOL</v>
      </c>
      <c r="G34" s="81">
        <f t="shared" si="2"/>
        <v>5305758</v>
      </c>
      <c r="H34" s="81">
        <f>SUMIF(I$1:BI$1,"&lt;="&amp;PARAMETER!X$2,I34:BI34)</f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309540</v>
      </c>
      <c r="V34" s="53">
        <v>148995</v>
      </c>
      <c r="W34" s="53">
        <v>302610</v>
      </c>
      <c r="X34" s="53">
        <v>309540</v>
      </c>
      <c r="Y34" s="53">
        <v>390390</v>
      </c>
      <c r="Z34" s="53">
        <v>0</v>
      </c>
      <c r="AA34" s="53">
        <v>0</v>
      </c>
      <c r="AB34" s="53">
        <v>0</v>
      </c>
      <c r="AC34" s="53">
        <v>0</v>
      </c>
      <c r="AD34" s="53">
        <v>0</v>
      </c>
      <c r="AE34" s="53">
        <v>0</v>
      </c>
      <c r="AF34" s="53">
        <v>0</v>
      </c>
      <c r="AG34" s="53">
        <v>368445</v>
      </c>
      <c r="AH34" s="53">
        <v>0</v>
      </c>
      <c r="AI34" s="53">
        <v>0</v>
      </c>
      <c r="AJ34" s="53">
        <v>0</v>
      </c>
      <c r="AK34" s="53">
        <v>0</v>
      </c>
      <c r="AL34" s="53">
        <v>164010</v>
      </c>
      <c r="AM34" s="53">
        <v>0</v>
      </c>
      <c r="AN34" s="53">
        <v>0</v>
      </c>
      <c r="AO34" s="53">
        <v>345345</v>
      </c>
      <c r="AP34" s="53">
        <v>0</v>
      </c>
      <c r="AQ34" s="53">
        <v>0</v>
      </c>
      <c r="AR34" s="53">
        <v>0</v>
      </c>
      <c r="AS34" s="53">
        <v>0</v>
      </c>
      <c r="AT34" s="53">
        <v>104100</v>
      </c>
      <c r="AU34" s="53">
        <v>221760</v>
      </c>
      <c r="AV34" s="53">
        <v>113190</v>
      </c>
      <c r="AW34" s="53">
        <v>258720</v>
      </c>
      <c r="AX34" s="53">
        <v>340725</v>
      </c>
      <c r="AY34" s="53">
        <v>160545</v>
      </c>
      <c r="AZ34" s="53">
        <v>152460</v>
      </c>
      <c r="BA34" s="53">
        <v>0</v>
      </c>
      <c r="BB34" s="53">
        <v>108570</v>
      </c>
      <c r="BC34" s="53">
        <v>56595</v>
      </c>
      <c r="BD34" s="53">
        <v>129360</v>
      </c>
      <c r="BE34" s="53">
        <v>0</v>
      </c>
      <c r="BF34" s="53">
        <v>882651</v>
      </c>
      <c r="BG34" s="53">
        <v>202125</v>
      </c>
      <c r="BH34" s="53">
        <v>236082</v>
      </c>
      <c r="BI34" s="53">
        <v>0</v>
      </c>
    </row>
    <row r="35" spans="1:61" ht="15.75" x14ac:dyDescent="0.25">
      <c r="A35" s="53" t="s">
        <v>13</v>
      </c>
      <c r="B35" s="56" t="s">
        <v>141</v>
      </c>
      <c r="C35" s="49" t="s">
        <v>40</v>
      </c>
      <c r="D35" s="49" t="str">
        <f>VLOOKUP(A35,PARAMETER!D:E,2,0)</f>
        <v>ADISTI</v>
      </c>
      <c r="E35" s="49" t="str">
        <f t="shared" si="3"/>
        <v>ADISTIFBI</v>
      </c>
      <c r="F35" s="49" t="str">
        <f t="shared" si="4"/>
        <v>HERO GROUPFBI</v>
      </c>
      <c r="G35" s="81">
        <f t="shared" si="2"/>
        <v>2262956</v>
      </c>
      <c r="H35" s="81">
        <f>SUMIF(I$1:BI$1,"&lt;="&amp;PARAMETER!X$2,I35:BI35)</f>
        <v>1329053</v>
      </c>
      <c r="I35" s="53">
        <v>170356</v>
      </c>
      <c r="J35" s="53">
        <v>15559</v>
      </c>
      <c r="K35" s="53">
        <v>94960</v>
      </c>
      <c r="L35" s="53">
        <v>95463</v>
      </c>
      <c r="M35" s="53">
        <v>171581</v>
      </c>
      <c r="N35" s="53">
        <v>93087</v>
      </c>
      <c r="O35" s="53">
        <v>222029</v>
      </c>
      <c r="P35" s="53">
        <v>105231</v>
      </c>
      <c r="Q35" s="53">
        <v>130236</v>
      </c>
      <c r="R35" s="53">
        <v>169869</v>
      </c>
      <c r="S35" s="53">
        <v>60682</v>
      </c>
      <c r="T35" s="53">
        <v>5912</v>
      </c>
      <c r="U35" s="53">
        <v>16827</v>
      </c>
      <c r="V35" s="53">
        <v>63672</v>
      </c>
      <c r="W35" s="53">
        <v>25727</v>
      </c>
      <c r="X35" s="53">
        <v>20887</v>
      </c>
      <c r="Y35" s="53">
        <v>23004</v>
      </c>
      <c r="Z35" s="53">
        <v>24487</v>
      </c>
      <c r="AA35" s="53">
        <v>11830</v>
      </c>
      <c r="AB35" s="53">
        <v>12073</v>
      </c>
      <c r="AC35" s="53">
        <v>19035</v>
      </c>
      <c r="AD35" s="53">
        <v>12981</v>
      </c>
      <c r="AE35" s="53">
        <v>19148</v>
      </c>
      <c r="AF35" s="53">
        <v>5026</v>
      </c>
      <c r="AG35" s="53">
        <v>18243</v>
      </c>
      <c r="AH35" s="53">
        <v>7146</v>
      </c>
      <c r="AI35" s="53">
        <v>28383</v>
      </c>
      <c r="AJ35" s="53">
        <v>26634</v>
      </c>
      <c r="AK35" s="53">
        <v>14668</v>
      </c>
      <c r="AL35" s="53">
        <v>15510</v>
      </c>
      <c r="AM35" s="53">
        <v>65762</v>
      </c>
      <c r="AN35" s="53">
        <v>9221</v>
      </c>
      <c r="AO35" s="53">
        <v>10506</v>
      </c>
      <c r="AP35" s="53">
        <v>13550</v>
      </c>
      <c r="AQ35" s="53">
        <v>32264</v>
      </c>
      <c r="AR35" s="53">
        <v>30352</v>
      </c>
      <c r="AS35" s="53">
        <v>13099</v>
      </c>
      <c r="AT35" s="53">
        <v>50010</v>
      </c>
      <c r="AU35" s="53">
        <v>78760</v>
      </c>
      <c r="AV35" s="53">
        <v>18584</v>
      </c>
      <c r="AW35" s="53">
        <v>25624</v>
      </c>
      <c r="AX35" s="53">
        <v>3064</v>
      </c>
      <c r="AY35" s="53">
        <v>23322</v>
      </c>
      <c r="AZ35" s="53">
        <v>35580</v>
      </c>
      <c r="BA35" s="53">
        <v>27968</v>
      </c>
      <c r="BB35" s="53">
        <v>19245</v>
      </c>
      <c r="BC35" s="53">
        <v>20452</v>
      </c>
      <c r="BD35" s="53">
        <v>19423</v>
      </c>
      <c r="BE35" s="53">
        <v>23889</v>
      </c>
      <c r="BF35" s="53">
        <v>9351</v>
      </c>
      <c r="BG35" s="53">
        <v>13098</v>
      </c>
      <c r="BH35" s="53">
        <v>17598</v>
      </c>
      <c r="BI35" s="53">
        <v>1988</v>
      </c>
    </row>
    <row r="36" spans="1:61" ht="15.75" x14ac:dyDescent="0.25">
      <c r="A36" s="53" t="s">
        <v>13</v>
      </c>
      <c r="B36" s="56" t="s">
        <v>141</v>
      </c>
      <c r="C36" s="52" t="s">
        <v>42</v>
      </c>
      <c r="D36" s="49" t="str">
        <f>VLOOKUP(A36,PARAMETER!D:E,2,0)</f>
        <v>ADISTI</v>
      </c>
      <c r="E36" s="49" t="str">
        <f t="shared" si="3"/>
        <v>ADISTITRX</v>
      </c>
      <c r="F36" s="49" t="str">
        <f t="shared" si="4"/>
        <v>HERO GROUPTRX</v>
      </c>
      <c r="G36" s="81">
        <f t="shared" si="2"/>
        <v>1447</v>
      </c>
      <c r="H36" s="81">
        <f>SUMIF(I$1:BI$1,"&lt;="&amp;PARAMETER!X$2,I36:BI36)</f>
        <v>434</v>
      </c>
      <c r="I36" s="53">
        <v>28</v>
      </c>
      <c r="J36" s="53">
        <v>14</v>
      </c>
      <c r="K36" s="53">
        <v>31</v>
      </c>
      <c r="L36" s="53">
        <v>38</v>
      </c>
      <c r="M36" s="53">
        <v>44</v>
      </c>
      <c r="N36" s="53">
        <v>37</v>
      </c>
      <c r="O36" s="53">
        <v>52</v>
      </c>
      <c r="P36" s="53">
        <v>38</v>
      </c>
      <c r="Q36" s="53">
        <v>79</v>
      </c>
      <c r="R36" s="53">
        <v>41</v>
      </c>
      <c r="S36" s="53">
        <v>32</v>
      </c>
      <c r="T36" s="53">
        <v>9</v>
      </c>
      <c r="U36" s="53">
        <v>21</v>
      </c>
      <c r="V36" s="53">
        <v>17</v>
      </c>
      <c r="W36" s="53">
        <v>16</v>
      </c>
      <c r="X36" s="53">
        <v>14</v>
      </c>
      <c r="Y36" s="53">
        <v>16</v>
      </c>
      <c r="Z36" s="53">
        <v>25</v>
      </c>
      <c r="AA36" s="53">
        <v>15</v>
      </c>
      <c r="AB36" s="53">
        <v>9</v>
      </c>
      <c r="AC36" s="53">
        <v>17</v>
      </c>
      <c r="AD36" s="53">
        <v>15</v>
      </c>
      <c r="AE36" s="53">
        <v>19</v>
      </c>
      <c r="AF36" s="53">
        <v>9</v>
      </c>
      <c r="AG36" s="53">
        <v>10</v>
      </c>
      <c r="AH36" s="53">
        <v>11</v>
      </c>
      <c r="AI36" s="53">
        <v>54</v>
      </c>
      <c r="AJ36" s="53">
        <v>39</v>
      </c>
      <c r="AK36" s="53">
        <v>13</v>
      </c>
      <c r="AL36" s="53">
        <v>17</v>
      </c>
      <c r="AM36" s="53">
        <v>21</v>
      </c>
      <c r="AN36" s="53">
        <v>13</v>
      </c>
      <c r="AO36" s="53">
        <v>13</v>
      </c>
      <c r="AP36" s="53">
        <v>23</v>
      </c>
      <c r="AQ36" s="53">
        <v>30</v>
      </c>
      <c r="AR36" s="53">
        <v>48</v>
      </c>
      <c r="AS36" s="53">
        <v>33</v>
      </c>
      <c r="AT36" s="53">
        <v>103</v>
      </c>
      <c r="AU36" s="53">
        <v>18</v>
      </c>
      <c r="AV36" s="53">
        <v>34</v>
      </c>
      <c r="AW36" s="53">
        <v>46</v>
      </c>
      <c r="AX36" s="53">
        <v>17</v>
      </c>
      <c r="AY36" s="53">
        <v>21</v>
      </c>
      <c r="AZ36" s="53">
        <v>30</v>
      </c>
      <c r="BA36" s="53">
        <v>28</v>
      </c>
      <c r="BB36" s="53">
        <v>21</v>
      </c>
      <c r="BC36" s="53">
        <v>17</v>
      </c>
      <c r="BD36" s="53">
        <v>24</v>
      </c>
      <c r="BE36" s="53">
        <v>32</v>
      </c>
      <c r="BF36" s="53">
        <v>25</v>
      </c>
      <c r="BG36" s="53">
        <v>28</v>
      </c>
      <c r="BH36" s="53">
        <v>34</v>
      </c>
      <c r="BI36" s="53">
        <v>8</v>
      </c>
    </row>
    <row r="37" spans="1:61" ht="15.75" x14ac:dyDescent="0.25">
      <c r="A37" s="53" t="s">
        <v>13</v>
      </c>
      <c r="B37" s="56" t="s">
        <v>141</v>
      </c>
      <c r="C37" s="52" t="s">
        <v>41</v>
      </c>
      <c r="D37" s="49" t="str">
        <f>VLOOKUP(A37,PARAMETER!D:E,2,0)</f>
        <v>ADISTI</v>
      </c>
      <c r="E37" s="49" t="str">
        <f t="shared" si="3"/>
        <v>ADISTIVOL</v>
      </c>
      <c r="F37" s="49" t="str">
        <f t="shared" si="4"/>
        <v>HERO GROUPVOL</v>
      </c>
      <c r="G37" s="81">
        <f t="shared" si="2"/>
        <v>491396925</v>
      </c>
      <c r="H37" s="81">
        <f>SUMIF(I$1:BI$1,"&lt;="&amp;PARAMETER!X$2,I37:BI37)</f>
        <v>198477317</v>
      </c>
      <c r="I37" s="53">
        <v>25858874</v>
      </c>
      <c r="J37" s="53">
        <v>5014678</v>
      </c>
      <c r="K37" s="53">
        <v>10586743</v>
      </c>
      <c r="L37" s="53">
        <v>16048956</v>
      </c>
      <c r="M37" s="53">
        <v>22499463</v>
      </c>
      <c r="N37" s="53">
        <v>15228619</v>
      </c>
      <c r="O37" s="53">
        <v>27646487</v>
      </c>
      <c r="P37" s="53">
        <v>18775599</v>
      </c>
      <c r="Q37" s="53">
        <v>21167271</v>
      </c>
      <c r="R37" s="53">
        <v>21973584</v>
      </c>
      <c r="S37" s="53">
        <v>13677043</v>
      </c>
      <c r="T37" s="53">
        <v>3340351</v>
      </c>
      <c r="U37" s="53">
        <v>10524370</v>
      </c>
      <c r="V37" s="53">
        <v>12832492</v>
      </c>
      <c r="W37" s="53">
        <v>6393243</v>
      </c>
      <c r="X37" s="53">
        <v>5246074</v>
      </c>
      <c r="Y37" s="53">
        <v>5337421</v>
      </c>
      <c r="Z37" s="53">
        <v>9257886</v>
      </c>
      <c r="AA37" s="53">
        <v>4795781</v>
      </c>
      <c r="AB37" s="53">
        <v>4145306</v>
      </c>
      <c r="AC37" s="53">
        <v>7643833</v>
      </c>
      <c r="AD37" s="53">
        <v>7621998</v>
      </c>
      <c r="AE37" s="53">
        <v>6216281</v>
      </c>
      <c r="AF37" s="53">
        <v>3350923</v>
      </c>
      <c r="AG37" s="53">
        <v>4848274</v>
      </c>
      <c r="AH37" s="53">
        <v>4764036</v>
      </c>
      <c r="AI37" s="53">
        <v>9646867</v>
      </c>
      <c r="AJ37" s="53">
        <v>5841419</v>
      </c>
      <c r="AK37" s="53">
        <v>6344076</v>
      </c>
      <c r="AL37" s="53">
        <v>8336873</v>
      </c>
      <c r="AM37" s="53">
        <v>14576259</v>
      </c>
      <c r="AN37" s="53">
        <v>3848812</v>
      </c>
      <c r="AO37" s="53">
        <v>5084584</v>
      </c>
      <c r="AP37" s="53">
        <v>6031492</v>
      </c>
      <c r="AQ37" s="53">
        <v>11387783</v>
      </c>
      <c r="AR37" s="53">
        <v>12247172</v>
      </c>
      <c r="AS37" s="53">
        <v>3956420</v>
      </c>
      <c r="AT37" s="53">
        <v>6208709</v>
      </c>
      <c r="AU37" s="53">
        <v>6436361</v>
      </c>
      <c r="AV37" s="53">
        <v>7718544</v>
      </c>
      <c r="AW37" s="53">
        <v>7814565</v>
      </c>
      <c r="AX37" s="53">
        <v>1499250</v>
      </c>
      <c r="AY37" s="53">
        <v>6639000</v>
      </c>
      <c r="AZ37" s="53">
        <v>10700400</v>
      </c>
      <c r="BA37" s="53">
        <v>7703224</v>
      </c>
      <c r="BB37" s="53">
        <v>5991675</v>
      </c>
      <c r="BC37" s="53">
        <v>3931722</v>
      </c>
      <c r="BD37" s="53">
        <v>7483568</v>
      </c>
      <c r="BE37" s="53">
        <v>14936100</v>
      </c>
      <c r="BF37" s="53">
        <v>4670617</v>
      </c>
      <c r="BG37" s="53">
        <v>9375325</v>
      </c>
      <c r="BH37" s="53">
        <v>6740392</v>
      </c>
      <c r="BI37" s="53">
        <v>1450130</v>
      </c>
    </row>
    <row r="38" spans="1:61" ht="15.75" x14ac:dyDescent="0.25">
      <c r="A38" s="53" t="s">
        <v>14</v>
      </c>
      <c r="B38" s="56" t="s">
        <v>141</v>
      </c>
      <c r="C38" s="49" t="s">
        <v>40</v>
      </c>
      <c r="D38" s="49" t="str">
        <f>VLOOKUP(A38,PARAMETER!D:E,2,0)</f>
        <v>NINA</v>
      </c>
      <c r="E38" s="49" t="str">
        <f t="shared" si="3"/>
        <v>NINAFBI</v>
      </c>
      <c r="F38" s="49" t="str">
        <f t="shared" si="4"/>
        <v>HOKKAIDO BAKED CHEESEFBI</v>
      </c>
      <c r="G38" s="81">
        <f t="shared" si="2"/>
        <v>12322769</v>
      </c>
      <c r="H38" s="81">
        <f>SUMIF(I$1:BI$1,"&lt;="&amp;PARAMETER!X$2,I38:BI38)</f>
        <v>4083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2378</v>
      </c>
      <c r="S38" s="53">
        <v>1705</v>
      </c>
      <c r="T38" s="53">
        <v>2185</v>
      </c>
      <c r="U38" s="53">
        <v>1412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2642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36</v>
      </c>
      <c r="AK38" s="53">
        <v>226115</v>
      </c>
      <c r="AL38" s="53">
        <v>389054</v>
      </c>
      <c r="AM38" s="53">
        <v>678139</v>
      </c>
      <c r="AN38" s="53">
        <v>636489</v>
      </c>
      <c r="AO38" s="53">
        <v>479660</v>
      </c>
      <c r="AP38" s="53">
        <v>507922</v>
      </c>
      <c r="AQ38" s="53">
        <v>403697</v>
      </c>
      <c r="AR38" s="53">
        <v>411731</v>
      </c>
      <c r="AS38" s="53">
        <v>384155</v>
      </c>
      <c r="AT38" s="53">
        <v>465895</v>
      </c>
      <c r="AU38" s="53">
        <v>402119</v>
      </c>
      <c r="AV38" s="53">
        <v>637483</v>
      </c>
      <c r="AW38" s="53">
        <v>409712</v>
      </c>
      <c r="AX38" s="53">
        <v>327529</v>
      </c>
      <c r="AY38" s="53">
        <v>624414</v>
      </c>
      <c r="AZ38" s="53">
        <v>747667</v>
      </c>
      <c r="BA38" s="53">
        <v>1467640</v>
      </c>
      <c r="BB38" s="53">
        <v>778097</v>
      </c>
      <c r="BC38" s="53">
        <v>388826</v>
      </c>
      <c r="BD38" s="53">
        <v>208239</v>
      </c>
      <c r="BE38" s="53">
        <v>376206</v>
      </c>
      <c r="BF38" s="53">
        <v>406994</v>
      </c>
      <c r="BG38" s="53">
        <v>433799</v>
      </c>
      <c r="BH38" s="53">
        <v>443575</v>
      </c>
      <c r="BI38" s="53">
        <v>77254</v>
      </c>
    </row>
    <row r="39" spans="1:61" ht="15.75" x14ac:dyDescent="0.25">
      <c r="A39" s="53" t="s">
        <v>14</v>
      </c>
      <c r="B39" s="56" t="s">
        <v>141</v>
      </c>
      <c r="C39" s="52" t="s">
        <v>42</v>
      </c>
      <c r="D39" s="49" t="str">
        <f>VLOOKUP(A39,PARAMETER!D:E,2,0)</f>
        <v>NINA</v>
      </c>
      <c r="E39" s="49" t="str">
        <f t="shared" si="3"/>
        <v>NINATRX</v>
      </c>
      <c r="F39" s="49" t="str">
        <f t="shared" si="4"/>
        <v>HOKKAIDO BAKED CHEESETRX</v>
      </c>
      <c r="G39" s="81">
        <f t="shared" si="2"/>
        <v>21177</v>
      </c>
      <c r="H39" s="81">
        <f>SUMIF(I$1:BI$1,"&lt;="&amp;PARAMETER!X$2,I39:BI39)</f>
        <v>821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3">
        <v>0</v>
      </c>
      <c r="O39" s="53">
        <v>0</v>
      </c>
      <c r="P39" s="53">
        <v>0</v>
      </c>
      <c r="Q39" s="53">
        <v>0</v>
      </c>
      <c r="R39" s="53">
        <v>303</v>
      </c>
      <c r="S39" s="53">
        <v>518</v>
      </c>
      <c r="T39" s="53">
        <v>512</v>
      </c>
      <c r="U39" s="53">
        <v>448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51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14</v>
      </c>
      <c r="AK39" s="53">
        <v>310</v>
      </c>
      <c r="AL39" s="53">
        <v>492</v>
      </c>
      <c r="AM39" s="53">
        <v>905</v>
      </c>
      <c r="AN39" s="53">
        <v>900</v>
      </c>
      <c r="AO39" s="53">
        <v>722</v>
      </c>
      <c r="AP39" s="53">
        <v>737</v>
      </c>
      <c r="AQ39" s="53">
        <v>642</v>
      </c>
      <c r="AR39" s="53">
        <v>638</v>
      </c>
      <c r="AS39" s="53">
        <v>597</v>
      </c>
      <c r="AT39" s="53">
        <v>717</v>
      </c>
      <c r="AU39" s="53">
        <v>649</v>
      </c>
      <c r="AV39" s="53">
        <v>1035</v>
      </c>
      <c r="AW39" s="53">
        <v>723</v>
      </c>
      <c r="AX39" s="53">
        <v>591</v>
      </c>
      <c r="AY39" s="53">
        <v>1027</v>
      </c>
      <c r="AZ39" s="53">
        <v>1232</v>
      </c>
      <c r="BA39" s="53">
        <v>2325</v>
      </c>
      <c r="BB39" s="53">
        <v>1189</v>
      </c>
      <c r="BC39" s="53">
        <v>683</v>
      </c>
      <c r="BD39" s="53">
        <v>319</v>
      </c>
      <c r="BE39" s="53">
        <v>666</v>
      </c>
      <c r="BF39" s="53">
        <v>729</v>
      </c>
      <c r="BG39" s="53">
        <v>676</v>
      </c>
      <c r="BH39" s="53">
        <v>696</v>
      </c>
      <c r="BI39" s="53">
        <v>131</v>
      </c>
    </row>
    <row r="40" spans="1:61" ht="15.75" x14ac:dyDescent="0.25">
      <c r="A40" s="53" t="s">
        <v>14</v>
      </c>
      <c r="B40" s="56" t="s">
        <v>141</v>
      </c>
      <c r="C40" s="52" t="s">
        <v>41</v>
      </c>
      <c r="D40" s="49" t="str">
        <f>VLOOKUP(A40,PARAMETER!D:E,2,0)</f>
        <v>NINA</v>
      </c>
      <c r="E40" s="49" t="str">
        <f t="shared" si="3"/>
        <v>NINAVOL</v>
      </c>
      <c r="F40" s="49" t="str">
        <f t="shared" si="4"/>
        <v>HOKKAIDO BAKED CHEESEVOL</v>
      </c>
      <c r="G40" s="81">
        <f t="shared" si="2"/>
        <v>1679966981</v>
      </c>
      <c r="H40" s="81">
        <f>SUMIF(I$1:BI$1,"&lt;="&amp;PARAMETER!X$2,I40:BI40)</f>
        <v>584095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  <c r="N40" s="53">
        <v>0</v>
      </c>
      <c r="O40" s="53">
        <v>0</v>
      </c>
      <c r="P40" s="53">
        <v>0</v>
      </c>
      <c r="Q40" s="53">
        <v>0</v>
      </c>
      <c r="R40" s="53">
        <v>339982</v>
      </c>
      <c r="S40" s="53">
        <v>244113</v>
      </c>
      <c r="T40" s="53">
        <v>312744</v>
      </c>
      <c r="U40" s="53">
        <v>202158</v>
      </c>
      <c r="V40" s="53">
        <v>0</v>
      </c>
      <c r="W40" s="53">
        <v>0</v>
      </c>
      <c r="X40" s="53">
        <v>0</v>
      </c>
      <c r="Y40" s="53">
        <v>0</v>
      </c>
      <c r="Z40" s="53">
        <v>0</v>
      </c>
      <c r="AA40" s="53">
        <v>0</v>
      </c>
      <c r="AB40" s="53">
        <v>0</v>
      </c>
      <c r="AC40" s="53">
        <v>377500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23112</v>
      </c>
      <c r="AK40" s="53">
        <v>27578423</v>
      </c>
      <c r="AL40" s="53">
        <v>45188544</v>
      </c>
      <c r="AM40" s="53">
        <v>81998255</v>
      </c>
      <c r="AN40" s="53">
        <v>78497029</v>
      </c>
      <c r="AO40" s="53">
        <v>64245842</v>
      </c>
      <c r="AP40" s="53">
        <v>67036211</v>
      </c>
      <c r="AQ40" s="53">
        <v>54938822</v>
      </c>
      <c r="AR40" s="53">
        <v>55457605</v>
      </c>
      <c r="AS40" s="53">
        <v>52285199</v>
      </c>
      <c r="AT40" s="53">
        <v>62267221</v>
      </c>
      <c r="AU40" s="53">
        <v>55072210</v>
      </c>
      <c r="AV40" s="53">
        <v>88545265</v>
      </c>
      <c r="AW40" s="53">
        <v>56391406</v>
      </c>
      <c r="AX40" s="53">
        <v>46440400</v>
      </c>
      <c r="AY40" s="53">
        <v>90000200</v>
      </c>
      <c r="AZ40" s="53">
        <v>105700815</v>
      </c>
      <c r="BA40" s="53">
        <v>202585492</v>
      </c>
      <c r="BB40" s="53">
        <v>106490653</v>
      </c>
      <c r="BC40" s="53">
        <v>54889830</v>
      </c>
      <c r="BD40" s="53">
        <v>28948814</v>
      </c>
      <c r="BE40" s="53">
        <v>54808872</v>
      </c>
      <c r="BF40" s="53">
        <v>60594038</v>
      </c>
      <c r="BG40" s="53">
        <v>60797614</v>
      </c>
      <c r="BH40" s="53">
        <v>65334404</v>
      </c>
      <c r="BI40" s="53">
        <v>12374208</v>
      </c>
    </row>
    <row r="41" spans="1:61" ht="15.75" x14ac:dyDescent="0.25">
      <c r="A41" s="53" t="s">
        <v>15</v>
      </c>
      <c r="B41" s="56" t="s">
        <v>141</v>
      </c>
      <c r="C41" s="49" t="s">
        <v>40</v>
      </c>
      <c r="D41" s="49" t="str">
        <f>VLOOKUP(A41,PARAMETER!D:E,2,0)</f>
        <v>NINA</v>
      </c>
      <c r="E41" s="49" t="str">
        <f t="shared" si="3"/>
        <v>NINAFBI</v>
      </c>
      <c r="F41" s="49" t="str">
        <f t="shared" si="4"/>
        <v>HOP HOPFBI</v>
      </c>
      <c r="G41" s="81">
        <f t="shared" si="2"/>
        <v>4659855</v>
      </c>
      <c r="H41" s="81">
        <f>SUMIF(I$1:BI$1,"&lt;="&amp;PARAMETER!X$2,I41:BI41)</f>
        <v>1837736</v>
      </c>
      <c r="I41" s="53">
        <v>137379</v>
      </c>
      <c r="J41" s="53">
        <v>219262</v>
      </c>
      <c r="K41" s="53">
        <v>197529</v>
      </c>
      <c r="L41" s="53">
        <v>178286</v>
      </c>
      <c r="M41" s="53">
        <v>155002</v>
      </c>
      <c r="N41" s="53">
        <v>208299</v>
      </c>
      <c r="O41" s="53">
        <v>203563</v>
      </c>
      <c r="P41" s="53">
        <v>130242</v>
      </c>
      <c r="Q41" s="53">
        <v>176459</v>
      </c>
      <c r="R41" s="53">
        <v>146150</v>
      </c>
      <c r="S41" s="53">
        <v>85565</v>
      </c>
      <c r="T41" s="53">
        <v>117328</v>
      </c>
      <c r="U41" s="53">
        <v>202355</v>
      </c>
      <c r="V41" s="53">
        <v>130629</v>
      </c>
      <c r="W41" s="53">
        <v>120258</v>
      </c>
      <c r="X41" s="53">
        <v>150155</v>
      </c>
      <c r="Y41" s="53">
        <v>145247</v>
      </c>
      <c r="Z41" s="53">
        <v>132916</v>
      </c>
      <c r="AA41" s="53">
        <v>155880</v>
      </c>
      <c r="AB41" s="53">
        <v>148511</v>
      </c>
      <c r="AC41" s="53">
        <v>115117</v>
      </c>
      <c r="AD41" s="53">
        <v>115466</v>
      </c>
      <c r="AE41" s="53">
        <v>88914</v>
      </c>
      <c r="AF41" s="53">
        <v>159561</v>
      </c>
      <c r="AG41" s="53">
        <v>84040</v>
      </c>
      <c r="AH41" s="53">
        <v>43082</v>
      </c>
      <c r="AI41" s="53">
        <v>43441</v>
      </c>
      <c r="AJ41" s="53">
        <v>39189</v>
      </c>
      <c r="AK41" s="53">
        <v>35184</v>
      </c>
      <c r="AL41" s="53">
        <v>35051</v>
      </c>
      <c r="AM41" s="53">
        <v>81713</v>
      </c>
      <c r="AN41" s="53">
        <v>67854</v>
      </c>
      <c r="AO41" s="53">
        <v>83272</v>
      </c>
      <c r="AP41" s="53">
        <v>37383</v>
      </c>
      <c r="AQ41" s="53">
        <v>59769</v>
      </c>
      <c r="AR41" s="53">
        <v>53438</v>
      </c>
      <c r="AS41" s="53">
        <v>72249</v>
      </c>
      <c r="AT41" s="53">
        <v>70868</v>
      </c>
      <c r="AU41" s="53">
        <v>36060</v>
      </c>
      <c r="AV41" s="53">
        <v>57792</v>
      </c>
      <c r="AW41" s="53">
        <v>39438</v>
      </c>
      <c r="AX41" s="53">
        <v>28463</v>
      </c>
      <c r="AY41" s="53">
        <v>7992</v>
      </c>
      <c r="AZ41" s="53">
        <v>32423</v>
      </c>
      <c r="BA41" s="53">
        <v>20046</v>
      </c>
      <c r="BB41" s="53">
        <v>4031</v>
      </c>
      <c r="BC41" s="53">
        <v>2555</v>
      </c>
      <c r="BD41" s="53">
        <v>384</v>
      </c>
      <c r="BE41" s="53">
        <v>0</v>
      </c>
      <c r="BF41" s="53">
        <v>3330</v>
      </c>
      <c r="BG41" s="53">
        <v>336</v>
      </c>
      <c r="BH41" s="53">
        <v>399</v>
      </c>
      <c r="BI41" s="53">
        <v>0</v>
      </c>
    </row>
    <row r="42" spans="1:61" ht="15.75" x14ac:dyDescent="0.25">
      <c r="A42" s="53" t="s">
        <v>15</v>
      </c>
      <c r="B42" s="56" t="s">
        <v>141</v>
      </c>
      <c r="C42" s="52" t="s">
        <v>42</v>
      </c>
      <c r="D42" s="49" t="str">
        <f>VLOOKUP(A42,PARAMETER!D:E,2,0)</f>
        <v>NINA</v>
      </c>
      <c r="E42" s="49" t="str">
        <f t="shared" si="3"/>
        <v>NINATRX</v>
      </c>
      <c r="F42" s="49" t="str">
        <f t="shared" si="4"/>
        <v>HOP HOPTRX</v>
      </c>
      <c r="G42" s="81">
        <f t="shared" si="2"/>
        <v>20651</v>
      </c>
      <c r="H42" s="81">
        <f>SUMIF(I$1:BI$1,"&lt;="&amp;PARAMETER!X$2,I42:BI42)</f>
        <v>7923</v>
      </c>
      <c r="I42" s="53">
        <v>563</v>
      </c>
      <c r="J42" s="53">
        <v>956</v>
      </c>
      <c r="K42" s="53">
        <v>853</v>
      </c>
      <c r="L42" s="53">
        <v>736</v>
      </c>
      <c r="M42" s="53">
        <v>672</v>
      </c>
      <c r="N42" s="53">
        <v>826</v>
      </c>
      <c r="O42" s="53">
        <v>929</v>
      </c>
      <c r="P42" s="53">
        <v>541</v>
      </c>
      <c r="Q42" s="53">
        <v>897</v>
      </c>
      <c r="R42" s="53">
        <v>613</v>
      </c>
      <c r="S42" s="53">
        <v>337</v>
      </c>
      <c r="T42" s="53">
        <v>483</v>
      </c>
      <c r="U42" s="53">
        <v>755</v>
      </c>
      <c r="V42" s="53">
        <v>568</v>
      </c>
      <c r="W42" s="53">
        <v>498</v>
      </c>
      <c r="X42" s="53">
        <v>581</v>
      </c>
      <c r="Y42" s="53">
        <v>593</v>
      </c>
      <c r="Z42" s="53">
        <v>539</v>
      </c>
      <c r="AA42" s="53">
        <v>644</v>
      </c>
      <c r="AB42" s="53">
        <v>567</v>
      </c>
      <c r="AC42" s="53">
        <v>475</v>
      </c>
      <c r="AD42" s="53">
        <v>475</v>
      </c>
      <c r="AE42" s="53">
        <v>379</v>
      </c>
      <c r="AF42" s="53">
        <v>648</v>
      </c>
      <c r="AG42" s="53">
        <v>371</v>
      </c>
      <c r="AH42" s="53">
        <v>200</v>
      </c>
      <c r="AI42" s="53">
        <v>209</v>
      </c>
      <c r="AJ42" s="53">
        <v>194</v>
      </c>
      <c r="AK42" s="53">
        <v>159</v>
      </c>
      <c r="AL42" s="53">
        <v>174</v>
      </c>
      <c r="AM42" s="53">
        <v>249</v>
      </c>
      <c r="AN42" s="53">
        <v>209</v>
      </c>
      <c r="AO42" s="53">
        <v>281</v>
      </c>
      <c r="AP42" s="53">
        <v>142</v>
      </c>
      <c r="AQ42" s="53">
        <v>227</v>
      </c>
      <c r="AR42" s="53">
        <v>216</v>
      </c>
      <c r="AS42" s="53">
        <v>312</v>
      </c>
      <c r="AT42" s="53">
        <v>299</v>
      </c>
      <c r="AU42" s="53">
        <v>143</v>
      </c>
      <c r="AV42" s="53">
        <v>219</v>
      </c>
      <c r="AW42" s="53">
        <v>154</v>
      </c>
      <c r="AX42" s="53">
        <v>203</v>
      </c>
      <c r="AY42" s="53">
        <v>124</v>
      </c>
      <c r="AZ42" s="53">
        <v>328</v>
      </c>
      <c r="BA42" s="53">
        <v>181</v>
      </c>
      <c r="BB42" s="53">
        <v>103</v>
      </c>
      <c r="BC42" s="53">
        <v>64</v>
      </c>
      <c r="BD42" s="53">
        <v>75</v>
      </c>
      <c r="BE42" s="53">
        <v>42</v>
      </c>
      <c r="BF42" s="53">
        <v>207</v>
      </c>
      <c r="BG42" s="53">
        <v>289</v>
      </c>
      <c r="BH42" s="53">
        <v>113</v>
      </c>
      <c r="BI42" s="53">
        <v>36</v>
      </c>
    </row>
    <row r="43" spans="1:61" ht="15.75" x14ac:dyDescent="0.25">
      <c r="A43" s="53" t="s">
        <v>15</v>
      </c>
      <c r="B43" s="56" t="s">
        <v>141</v>
      </c>
      <c r="C43" s="52" t="s">
        <v>41</v>
      </c>
      <c r="D43" s="49" t="str">
        <f>VLOOKUP(A43,PARAMETER!D:E,2,0)</f>
        <v>NINA</v>
      </c>
      <c r="E43" s="49" t="str">
        <f t="shared" si="3"/>
        <v>NINAVOL</v>
      </c>
      <c r="F43" s="49" t="str">
        <f t="shared" si="4"/>
        <v>HOP HOPVOL</v>
      </c>
      <c r="G43" s="81">
        <f t="shared" si="2"/>
        <v>750197338</v>
      </c>
      <c r="H43" s="81">
        <f>SUMIF(I$1:BI$1,"&lt;="&amp;PARAMETER!X$2,I43:BI43)</f>
        <v>262950427</v>
      </c>
      <c r="I43" s="53">
        <v>19625505</v>
      </c>
      <c r="J43" s="53">
        <v>31323300</v>
      </c>
      <c r="K43" s="53">
        <v>28218500</v>
      </c>
      <c r="L43" s="53">
        <v>25469500</v>
      </c>
      <c r="M43" s="53">
        <v>22143200</v>
      </c>
      <c r="N43" s="53">
        <v>29757000</v>
      </c>
      <c r="O43" s="53">
        <v>29080500</v>
      </c>
      <c r="P43" s="53">
        <v>18606000</v>
      </c>
      <c r="Q43" s="53">
        <v>25624722</v>
      </c>
      <c r="R43" s="53">
        <v>20878600</v>
      </c>
      <c r="S43" s="53">
        <v>12223600</v>
      </c>
      <c r="T43" s="53">
        <v>17681200</v>
      </c>
      <c r="U43" s="53">
        <v>30201000</v>
      </c>
      <c r="V43" s="53">
        <v>20459000</v>
      </c>
      <c r="W43" s="53">
        <v>19122000</v>
      </c>
      <c r="X43" s="53">
        <v>22437000</v>
      </c>
      <c r="Y43" s="53">
        <v>21433001</v>
      </c>
      <c r="Z43" s="53">
        <v>20108000</v>
      </c>
      <c r="AA43" s="53">
        <v>23267500</v>
      </c>
      <c r="AB43" s="53">
        <v>21697000</v>
      </c>
      <c r="AC43" s="53">
        <v>17347000</v>
      </c>
      <c r="AD43" s="53">
        <v>17282000</v>
      </c>
      <c r="AE43" s="53">
        <v>13190001</v>
      </c>
      <c r="AF43" s="53">
        <v>23543001</v>
      </c>
      <c r="AG43" s="53">
        <v>13084000</v>
      </c>
      <c r="AH43" s="53">
        <v>7350000</v>
      </c>
      <c r="AI43" s="53">
        <v>7079001</v>
      </c>
      <c r="AJ43" s="53">
        <v>6775000</v>
      </c>
      <c r="AK43" s="53">
        <v>5724000</v>
      </c>
      <c r="AL43" s="53">
        <v>5873000</v>
      </c>
      <c r="AM43" s="53">
        <v>13767000</v>
      </c>
      <c r="AN43" s="53">
        <v>12214000</v>
      </c>
      <c r="AO43" s="53">
        <v>13108000</v>
      </c>
      <c r="AP43" s="53">
        <v>6113000</v>
      </c>
      <c r="AQ43" s="53">
        <v>9187000</v>
      </c>
      <c r="AR43" s="53">
        <v>8298000</v>
      </c>
      <c r="AS43" s="53">
        <v>11271000</v>
      </c>
      <c r="AT43" s="53">
        <v>10852000</v>
      </c>
      <c r="AU43" s="53">
        <v>5548002</v>
      </c>
      <c r="AV43" s="53">
        <v>8256001</v>
      </c>
      <c r="AW43" s="53">
        <v>5634000</v>
      </c>
      <c r="AX43" s="53">
        <v>7188002</v>
      </c>
      <c r="AY43" s="53">
        <v>4905000</v>
      </c>
      <c r="AZ43" s="53">
        <v>11676001</v>
      </c>
      <c r="BA43" s="53">
        <v>6844000</v>
      </c>
      <c r="BB43" s="53">
        <v>4180201</v>
      </c>
      <c r="BC43" s="53">
        <v>2431000</v>
      </c>
      <c r="BD43" s="53">
        <v>3063000</v>
      </c>
      <c r="BE43" s="53">
        <v>1836000</v>
      </c>
      <c r="BF43" s="53">
        <v>9149000</v>
      </c>
      <c r="BG43" s="53">
        <v>12099000</v>
      </c>
      <c r="BH43" s="53">
        <v>4725000</v>
      </c>
      <c r="BI43" s="53">
        <v>1250000</v>
      </c>
    </row>
    <row r="44" spans="1:61" ht="15.75" x14ac:dyDescent="0.25">
      <c r="A44" s="53" t="s">
        <v>16</v>
      </c>
      <c r="B44" s="56" t="s">
        <v>141</v>
      </c>
      <c r="C44" s="49" t="s">
        <v>40</v>
      </c>
      <c r="D44" s="49" t="str">
        <f>VLOOKUP(A44,PARAMETER!D:E,2,0)</f>
        <v>ADISTI</v>
      </c>
      <c r="E44" s="49" t="str">
        <f t="shared" si="3"/>
        <v>ADISTIFBI</v>
      </c>
      <c r="F44" s="49" t="str">
        <f t="shared" si="4"/>
        <v>IKEAFBI</v>
      </c>
      <c r="G44" s="81">
        <f t="shared" si="2"/>
        <v>291604</v>
      </c>
      <c r="H44" s="81">
        <f>SUMIF(I$1:BI$1,"&lt;="&amp;PARAMETER!X$2,I44:BI44)</f>
        <v>18894</v>
      </c>
      <c r="I44" s="53">
        <v>0</v>
      </c>
      <c r="J44" s="53">
        <v>0</v>
      </c>
      <c r="K44" s="53">
        <v>0</v>
      </c>
      <c r="L44" s="53">
        <v>3128</v>
      </c>
      <c r="M44" s="53">
        <v>3444</v>
      </c>
      <c r="N44" s="53">
        <v>5037</v>
      </c>
      <c r="O44" s="53">
        <v>352</v>
      </c>
      <c r="P44" s="53">
        <v>142</v>
      </c>
      <c r="Q44" s="53">
        <v>3476</v>
      </c>
      <c r="R44" s="53">
        <v>811</v>
      </c>
      <c r="S44" s="53">
        <v>2504</v>
      </c>
      <c r="T44" s="53">
        <v>793</v>
      </c>
      <c r="U44" s="53">
        <v>14735</v>
      </c>
      <c r="V44" s="53">
        <v>1201</v>
      </c>
      <c r="W44" s="53">
        <v>1041</v>
      </c>
      <c r="X44" s="53">
        <v>1964</v>
      </c>
      <c r="Y44" s="53">
        <v>225</v>
      </c>
      <c r="Z44" s="53">
        <v>404</v>
      </c>
      <c r="AA44" s="53">
        <v>165</v>
      </c>
      <c r="AB44" s="53">
        <v>0</v>
      </c>
      <c r="AC44" s="53">
        <v>863</v>
      </c>
      <c r="AD44" s="53">
        <v>1369</v>
      </c>
      <c r="AE44" s="53">
        <v>150</v>
      </c>
      <c r="AF44" s="53">
        <v>10525</v>
      </c>
      <c r="AG44" s="53">
        <v>182</v>
      </c>
      <c r="AH44" s="53">
        <v>3148</v>
      </c>
      <c r="AI44" s="53">
        <v>124</v>
      </c>
      <c r="AJ44" s="53">
        <v>2834</v>
      </c>
      <c r="AK44" s="53">
        <v>1091</v>
      </c>
      <c r="AL44" s="53">
        <v>1377</v>
      </c>
      <c r="AM44" s="53">
        <v>731</v>
      </c>
      <c r="AN44" s="53">
        <v>892</v>
      </c>
      <c r="AO44" s="53">
        <v>2556</v>
      </c>
      <c r="AP44" s="53">
        <v>7226</v>
      </c>
      <c r="AQ44" s="53">
        <v>1194</v>
      </c>
      <c r="AR44" s="53">
        <v>5663</v>
      </c>
      <c r="AS44" s="53">
        <v>18872</v>
      </c>
      <c r="AT44" s="53">
        <v>92809</v>
      </c>
      <c r="AU44" s="53">
        <v>10150</v>
      </c>
      <c r="AV44" s="53">
        <v>3879</v>
      </c>
      <c r="AW44" s="53">
        <v>9708</v>
      </c>
      <c r="AX44" s="53">
        <v>6102</v>
      </c>
      <c r="AY44" s="53">
        <v>15132</v>
      </c>
      <c r="AZ44" s="53">
        <v>6360</v>
      </c>
      <c r="BA44" s="53">
        <v>3956</v>
      </c>
      <c r="BB44" s="53">
        <v>965</v>
      </c>
      <c r="BC44" s="53">
        <v>4897</v>
      </c>
      <c r="BD44" s="53">
        <v>1389</v>
      </c>
      <c r="BE44" s="53">
        <v>3587</v>
      </c>
      <c r="BF44" s="53">
        <v>3224</v>
      </c>
      <c r="BG44" s="53">
        <v>6622</v>
      </c>
      <c r="BH44" s="53">
        <v>21643</v>
      </c>
      <c r="BI44" s="53">
        <v>2962</v>
      </c>
    </row>
    <row r="45" spans="1:61" ht="15.75" x14ac:dyDescent="0.25">
      <c r="A45" s="53" t="s">
        <v>16</v>
      </c>
      <c r="B45" s="56" t="s">
        <v>141</v>
      </c>
      <c r="C45" s="52" t="s">
        <v>42</v>
      </c>
      <c r="D45" s="49" t="str">
        <f>VLOOKUP(A45,PARAMETER!D:E,2,0)</f>
        <v>ADISTI</v>
      </c>
      <c r="E45" s="49" t="str">
        <f t="shared" si="3"/>
        <v>ADISTITRX</v>
      </c>
      <c r="F45" s="49" t="str">
        <f t="shared" si="4"/>
        <v>IKEATRX</v>
      </c>
      <c r="G45" s="81">
        <f t="shared" si="2"/>
        <v>198</v>
      </c>
      <c r="H45" s="81">
        <f>SUMIF(I$1:BI$1,"&lt;="&amp;PARAMETER!X$2,I45:BI45)</f>
        <v>34</v>
      </c>
      <c r="I45" s="53">
        <v>0</v>
      </c>
      <c r="J45" s="53">
        <v>0</v>
      </c>
      <c r="K45" s="53">
        <v>0</v>
      </c>
      <c r="L45" s="53">
        <v>4</v>
      </c>
      <c r="M45" s="53">
        <v>5</v>
      </c>
      <c r="N45" s="53">
        <v>10</v>
      </c>
      <c r="O45" s="53">
        <v>1</v>
      </c>
      <c r="P45" s="53">
        <v>2</v>
      </c>
      <c r="Q45" s="53">
        <v>4</v>
      </c>
      <c r="R45" s="53">
        <v>4</v>
      </c>
      <c r="S45" s="53">
        <v>4</v>
      </c>
      <c r="T45" s="53">
        <v>4</v>
      </c>
      <c r="U45" s="53">
        <v>4</v>
      </c>
      <c r="V45" s="53">
        <v>2</v>
      </c>
      <c r="W45" s="53">
        <v>2</v>
      </c>
      <c r="X45" s="53">
        <v>1</v>
      </c>
      <c r="Y45" s="53">
        <v>1</v>
      </c>
      <c r="Z45" s="53">
        <v>2</v>
      </c>
      <c r="AA45" s="53">
        <v>1</v>
      </c>
      <c r="AB45" s="53">
        <v>0</v>
      </c>
      <c r="AC45" s="53">
        <v>4</v>
      </c>
      <c r="AD45" s="53">
        <v>4</v>
      </c>
      <c r="AE45" s="53">
        <v>1</v>
      </c>
      <c r="AF45" s="53">
        <v>3</v>
      </c>
      <c r="AG45" s="53">
        <v>1</v>
      </c>
      <c r="AH45" s="53">
        <v>6</v>
      </c>
      <c r="AI45" s="53">
        <v>1</v>
      </c>
      <c r="AJ45" s="53">
        <v>6</v>
      </c>
      <c r="AK45" s="53">
        <v>2</v>
      </c>
      <c r="AL45" s="53">
        <v>3</v>
      </c>
      <c r="AM45" s="53">
        <v>2</v>
      </c>
      <c r="AN45" s="53">
        <v>2</v>
      </c>
      <c r="AO45" s="53">
        <v>4</v>
      </c>
      <c r="AP45" s="53">
        <v>6</v>
      </c>
      <c r="AQ45" s="53">
        <v>4</v>
      </c>
      <c r="AR45" s="53">
        <v>8</v>
      </c>
      <c r="AS45" s="53">
        <v>12</v>
      </c>
      <c r="AT45" s="53">
        <v>5</v>
      </c>
      <c r="AU45" s="53">
        <v>4</v>
      </c>
      <c r="AV45" s="53">
        <v>2</v>
      </c>
      <c r="AW45" s="53">
        <v>7</v>
      </c>
      <c r="AX45" s="53">
        <v>8</v>
      </c>
      <c r="AY45" s="53">
        <v>5</v>
      </c>
      <c r="AZ45" s="53">
        <v>4</v>
      </c>
      <c r="BA45" s="53">
        <v>4</v>
      </c>
      <c r="BB45" s="53">
        <v>3</v>
      </c>
      <c r="BC45" s="53">
        <v>6</v>
      </c>
      <c r="BD45" s="53">
        <v>4</v>
      </c>
      <c r="BE45" s="53">
        <v>5</v>
      </c>
      <c r="BF45" s="53">
        <v>4</v>
      </c>
      <c r="BG45" s="53">
        <v>6</v>
      </c>
      <c r="BH45" s="53">
        <v>9</v>
      </c>
      <c r="BI45" s="53">
        <v>2</v>
      </c>
    </row>
    <row r="46" spans="1:61" ht="15.75" x14ac:dyDescent="0.25">
      <c r="A46" s="53" t="s">
        <v>16</v>
      </c>
      <c r="B46" s="56" t="s">
        <v>141</v>
      </c>
      <c r="C46" s="52" t="s">
        <v>41</v>
      </c>
      <c r="D46" s="49" t="str">
        <f>VLOOKUP(A46,PARAMETER!D:E,2,0)</f>
        <v>ADISTI</v>
      </c>
      <c r="E46" s="49" t="str">
        <f t="shared" si="3"/>
        <v>ADISTIVOL</v>
      </c>
      <c r="F46" s="49" t="str">
        <f t="shared" si="4"/>
        <v>IKEAVOL</v>
      </c>
      <c r="G46" s="81">
        <f t="shared" si="2"/>
        <v>138979393</v>
      </c>
      <c r="H46" s="81">
        <f>SUMIF(I$1:BI$1,"&lt;="&amp;PARAMETER!X$2,I46:BI46)</f>
        <v>12596100</v>
      </c>
      <c r="I46" s="53">
        <v>0</v>
      </c>
      <c r="J46" s="53">
        <v>0</v>
      </c>
      <c r="K46" s="53">
        <v>0</v>
      </c>
      <c r="L46" s="53">
        <v>2085200</v>
      </c>
      <c r="M46" s="53">
        <v>2296100</v>
      </c>
      <c r="N46" s="53">
        <v>3358100</v>
      </c>
      <c r="O46" s="53">
        <v>235000</v>
      </c>
      <c r="P46" s="53">
        <v>94700</v>
      </c>
      <c r="Q46" s="53">
        <v>2317100</v>
      </c>
      <c r="R46" s="53">
        <v>540900</v>
      </c>
      <c r="S46" s="53">
        <v>1669000</v>
      </c>
      <c r="T46" s="53">
        <v>528500</v>
      </c>
      <c r="U46" s="53">
        <v>9823500</v>
      </c>
      <c r="V46" s="53">
        <v>800400</v>
      </c>
      <c r="W46" s="53">
        <v>693700</v>
      </c>
      <c r="X46" s="53">
        <v>1309300</v>
      </c>
      <c r="Y46" s="53">
        <v>150000</v>
      </c>
      <c r="Z46" s="53">
        <v>269000</v>
      </c>
      <c r="AA46" s="53">
        <v>109700</v>
      </c>
      <c r="AB46" s="53">
        <v>0</v>
      </c>
      <c r="AC46" s="53">
        <v>575300</v>
      </c>
      <c r="AD46" s="53">
        <v>912600</v>
      </c>
      <c r="AE46" s="53">
        <v>99800</v>
      </c>
      <c r="AF46" s="53">
        <v>7016500</v>
      </c>
      <c r="AG46" s="53">
        <v>121000</v>
      </c>
      <c r="AH46" s="53">
        <v>2098740</v>
      </c>
      <c r="AI46" s="53">
        <v>82600</v>
      </c>
      <c r="AJ46" s="53">
        <v>1889300</v>
      </c>
      <c r="AK46" s="53">
        <v>727200</v>
      </c>
      <c r="AL46" s="53">
        <v>917900</v>
      </c>
      <c r="AM46" s="53">
        <v>487200</v>
      </c>
      <c r="AN46" s="53">
        <v>594990</v>
      </c>
      <c r="AO46" s="53">
        <v>1703970</v>
      </c>
      <c r="AP46" s="53">
        <v>4817100</v>
      </c>
      <c r="AQ46" s="53">
        <v>795800</v>
      </c>
      <c r="AR46" s="53">
        <v>3775503</v>
      </c>
      <c r="AS46" s="53">
        <v>12581290</v>
      </c>
      <c r="AT46" s="53">
        <v>8166900</v>
      </c>
      <c r="AU46" s="53">
        <v>5051000</v>
      </c>
      <c r="AV46" s="53">
        <v>2586100</v>
      </c>
      <c r="AW46" s="53">
        <v>6471700</v>
      </c>
      <c r="AX46" s="53">
        <v>4067800</v>
      </c>
      <c r="AY46" s="53">
        <v>10088200</v>
      </c>
      <c r="AZ46" s="53">
        <v>4239900</v>
      </c>
      <c r="BA46" s="53">
        <v>2637400</v>
      </c>
      <c r="BB46" s="53">
        <v>643600</v>
      </c>
      <c r="BC46" s="53">
        <v>3264600</v>
      </c>
      <c r="BD46" s="53">
        <v>926300</v>
      </c>
      <c r="BE46" s="53">
        <v>2391500</v>
      </c>
      <c r="BF46" s="53">
        <v>2149600</v>
      </c>
      <c r="BG46" s="53">
        <v>4414500</v>
      </c>
      <c r="BH46" s="53">
        <v>14428400</v>
      </c>
      <c r="BI46" s="53">
        <v>1974900</v>
      </c>
    </row>
    <row r="47" spans="1:61" ht="15.75" x14ac:dyDescent="0.25">
      <c r="A47" s="53" t="s">
        <v>17</v>
      </c>
      <c r="B47" s="56" t="s">
        <v>141</v>
      </c>
      <c r="C47" s="49" t="s">
        <v>40</v>
      </c>
      <c r="D47" s="49" t="str">
        <f>VLOOKUP(A47,PARAMETER!D:E,2,0)</f>
        <v>ADISTI</v>
      </c>
      <c r="E47" s="49" t="str">
        <f t="shared" si="3"/>
        <v>ADISTIFBI</v>
      </c>
      <c r="F47" s="49" t="str">
        <f t="shared" si="4"/>
        <v>INDOMARETFBI</v>
      </c>
      <c r="G47" s="81">
        <f t="shared" si="2"/>
        <v>1155832091</v>
      </c>
      <c r="H47" s="81">
        <f>SUMIF(I$1:BI$1,"&lt;="&amp;PARAMETER!X$2,I47:BI47)</f>
        <v>206010749</v>
      </c>
      <c r="I47" s="53">
        <v>19504753</v>
      </c>
      <c r="J47" s="53">
        <v>17471236</v>
      </c>
      <c r="K47" s="53">
        <v>16658660</v>
      </c>
      <c r="L47" s="53">
        <v>18810923</v>
      </c>
      <c r="M47" s="53">
        <v>18519712</v>
      </c>
      <c r="N47" s="53">
        <v>21733096</v>
      </c>
      <c r="O47" s="53">
        <v>16968824</v>
      </c>
      <c r="P47" s="53">
        <v>17931470</v>
      </c>
      <c r="Q47" s="53">
        <v>20368242</v>
      </c>
      <c r="R47" s="53">
        <v>20369768</v>
      </c>
      <c r="S47" s="53">
        <v>17674065</v>
      </c>
      <c r="T47" s="53">
        <v>16830365</v>
      </c>
      <c r="U47" s="53">
        <v>21130999</v>
      </c>
      <c r="V47" s="53">
        <v>24115956</v>
      </c>
      <c r="W47" s="53">
        <v>23407849</v>
      </c>
      <c r="X47" s="53">
        <v>17124020</v>
      </c>
      <c r="Y47" s="53">
        <v>17851585</v>
      </c>
      <c r="Z47" s="53">
        <v>19099557</v>
      </c>
      <c r="AA47" s="53">
        <v>18308222</v>
      </c>
      <c r="AB47" s="53">
        <v>16613916</v>
      </c>
      <c r="AC47" s="53">
        <v>19163641</v>
      </c>
      <c r="AD47" s="53">
        <v>19267611</v>
      </c>
      <c r="AE47" s="53">
        <v>19550195</v>
      </c>
      <c r="AF47" s="53">
        <v>18979298</v>
      </c>
      <c r="AG47" s="53">
        <v>18851729</v>
      </c>
      <c r="AH47" s="53">
        <v>20358857</v>
      </c>
      <c r="AI47" s="53">
        <v>20775381</v>
      </c>
      <c r="AJ47" s="53">
        <v>21836323</v>
      </c>
      <c r="AK47" s="53">
        <v>22920615</v>
      </c>
      <c r="AL47" s="53">
        <v>24169821</v>
      </c>
      <c r="AM47" s="53">
        <v>25208188</v>
      </c>
      <c r="AN47" s="53">
        <v>23095125</v>
      </c>
      <c r="AO47" s="53">
        <v>22953443</v>
      </c>
      <c r="AP47" s="53">
        <v>24167890</v>
      </c>
      <c r="AQ47" s="53">
        <v>23920049</v>
      </c>
      <c r="AR47" s="53">
        <v>24662180</v>
      </c>
      <c r="AS47" s="53">
        <v>23323211</v>
      </c>
      <c r="AT47" s="53">
        <v>27103336</v>
      </c>
      <c r="AU47" s="53">
        <v>28384705</v>
      </c>
      <c r="AV47" s="53">
        <v>27966197</v>
      </c>
      <c r="AW47" s="53">
        <v>26084451</v>
      </c>
      <c r="AX47" s="53">
        <v>21994906</v>
      </c>
      <c r="AY47" s="53">
        <v>20752650</v>
      </c>
      <c r="AZ47" s="53">
        <v>27689515</v>
      </c>
      <c r="BA47" s="53">
        <v>26283162</v>
      </c>
      <c r="BB47" s="53">
        <v>25297804</v>
      </c>
      <c r="BC47" s="53">
        <v>25894888</v>
      </c>
      <c r="BD47" s="53">
        <v>26716158</v>
      </c>
      <c r="BE47" s="53">
        <v>27375501</v>
      </c>
      <c r="BF47" s="53">
        <v>25155688</v>
      </c>
      <c r="BG47" s="53">
        <v>26275796</v>
      </c>
      <c r="BH47" s="53">
        <v>30285193</v>
      </c>
      <c r="BI47" s="53">
        <v>8875366</v>
      </c>
    </row>
    <row r="48" spans="1:61" ht="15.75" x14ac:dyDescent="0.25">
      <c r="A48" s="53" t="s">
        <v>17</v>
      </c>
      <c r="B48" s="56" t="s">
        <v>141</v>
      </c>
      <c r="C48" s="52" t="s">
        <v>42</v>
      </c>
      <c r="D48" s="49" t="str">
        <f>VLOOKUP(A48,PARAMETER!D:E,2,0)</f>
        <v>ADISTI</v>
      </c>
      <c r="E48" s="49" t="str">
        <f t="shared" si="3"/>
        <v>ADISTITRX</v>
      </c>
      <c r="F48" s="49" t="str">
        <f t="shared" si="4"/>
        <v>INDOMARETTRX</v>
      </c>
      <c r="G48" s="81">
        <f t="shared" si="2"/>
        <v>1550688</v>
      </c>
      <c r="H48" s="81">
        <f>SUMIF(I$1:BI$1,"&lt;="&amp;PARAMETER!X$2,I48:BI48)</f>
        <v>405326</v>
      </c>
      <c r="I48" s="53">
        <v>26717</v>
      </c>
      <c r="J48" s="53">
        <v>25358</v>
      </c>
      <c r="K48" s="53">
        <v>24654</v>
      </c>
      <c r="L48" s="53">
        <v>26163</v>
      </c>
      <c r="M48" s="53">
        <v>26282</v>
      </c>
      <c r="N48" s="53">
        <v>141633</v>
      </c>
      <c r="O48" s="53">
        <v>26565</v>
      </c>
      <c r="P48" s="53">
        <v>27164</v>
      </c>
      <c r="Q48" s="53">
        <v>28791</v>
      </c>
      <c r="R48" s="53">
        <v>27919</v>
      </c>
      <c r="S48" s="53">
        <v>24080</v>
      </c>
      <c r="T48" s="53">
        <v>23481</v>
      </c>
      <c r="U48" s="53">
        <v>25551</v>
      </c>
      <c r="V48" s="53">
        <v>27547</v>
      </c>
      <c r="W48" s="53">
        <v>28478</v>
      </c>
      <c r="X48" s="53">
        <v>24654</v>
      </c>
      <c r="Y48" s="53">
        <v>25416</v>
      </c>
      <c r="Z48" s="53">
        <v>26314</v>
      </c>
      <c r="AA48" s="53">
        <v>26393</v>
      </c>
      <c r="AB48" s="53">
        <v>24577</v>
      </c>
      <c r="AC48" s="53">
        <v>27031</v>
      </c>
      <c r="AD48" s="53">
        <v>26661</v>
      </c>
      <c r="AE48" s="53">
        <v>26535</v>
      </c>
      <c r="AF48" s="53">
        <v>26304</v>
      </c>
      <c r="AG48" s="53">
        <v>25663</v>
      </c>
      <c r="AH48" s="53">
        <v>26924</v>
      </c>
      <c r="AI48" s="53">
        <v>27501</v>
      </c>
      <c r="AJ48" s="53">
        <v>28052</v>
      </c>
      <c r="AK48" s="53">
        <v>28573</v>
      </c>
      <c r="AL48" s="53">
        <v>29628</v>
      </c>
      <c r="AM48" s="53">
        <v>30237</v>
      </c>
      <c r="AN48" s="53">
        <v>28776</v>
      </c>
      <c r="AO48" s="53">
        <v>28522</v>
      </c>
      <c r="AP48" s="53">
        <v>29123</v>
      </c>
      <c r="AQ48" s="53">
        <v>29341</v>
      </c>
      <c r="AR48" s="53">
        <v>30300</v>
      </c>
      <c r="AS48" s="53">
        <v>29348</v>
      </c>
      <c r="AT48" s="53">
        <v>28451</v>
      </c>
      <c r="AU48" s="53">
        <v>28723</v>
      </c>
      <c r="AV48" s="53">
        <v>30248</v>
      </c>
      <c r="AW48" s="53">
        <v>29004</v>
      </c>
      <c r="AX48" s="53">
        <v>26881</v>
      </c>
      <c r="AY48" s="53">
        <v>26073</v>
      </c>
      <c r="AZ48" s="53">
        <v>29378</v>
      </c>
      <c r="BA48" s="53">
        <v>28368</v>
      </c>
      <c r="BB48" s="53">
        <v>27271</v>
      </c>
      <c r="BC48" s="53">
        <v>27420</v>
      </c>
      <c r="BD48" s="53">
        <v>28089</v>
      </c>
      <c r="BE48" s="53">
        <v>28570</v>
      </c>
      <c r="BF48" s="53">
        <v>27548</v>
      </c>
      <c r="BG48" s="53">
        <v>28435</v>
      </c>
      <c r="BH48" s="53">
        <v>30595</v>
      </c>
      <c r="BI48" s="53">
        <v>9378</v>
      </c>
    </row>
    <row r="49" spans="1:61" ht="15.75" x14ac:dyDescent="0.25">
      <c r="A49" s="53" t="s">
        <v>17</v>
      </c>
      <c r="B49" s="56" t="s">
        <v>141</v>
      </c>
      <c r="C49" s="52" t="s">
        <v>41</v>
      </c>
      <c r="D49" s="49" t="str">
        <f>VLOOKUP(A49,PARAMETER!D:E,2,0)</f>
        <v>ADISTI</v>
      </c>
      <c r="E49" s="49" t="str">
        <f t="shared" si="3"/>
        <v>ADISTIVOL</v>
      </c>
      <c r="F49" s="49" t="str">
        <f t="shared" si="4"/>
        <v>INDOMARETVOL</v>
      </c>
      <c r="G49" s="81">
        <f t="shared" si="2"/>
        <v>144537352352</v>
      </c>
      <c r="H49" s="81">
        <f>SUMIF(I$1:BI$1,"&lt;="&amp;PARAMETER!X$2,I49:BI49)</f>
        <v>29423152425</v>
      </c>
      <c r="I49" s="53">
        <v>2611730335</v>
      </c>
      <c r="J49" s="53">
        <v>2297164474</v>
      </c>
      <c r="K49" s="53">
        <v>2180890840</v>
      </c>
      <c r="L49" s="53">
        <v>2462562938</v>
      </c>
      <c r="M49" s="53">
        <v>2457635290</v>
      </c>
      <c r="N49" s="53">
        <v>4743636841</v>
      </c>
      <c r="O49" s="53">
        <v>2327786635</v>
      </c>
      <c r="P49" s="53">
        <v>2437230364</v>
      </c>
      <c r="Q49" s="53">
        <v>2773174189</v>
      </c>
      <c r="R49" s="53">
        <v>2736917725</v>
      </c>
      <c r="S49" s="53">
        <v>2394422794</v>
      </c>
      <c r="T49" s="53">
        <v>2378918611</v>
      </c>
      <c r="U49" s="53">
        <v>2873369355</v>
      </c>
      <c r="V49" s="53">
        <v>3297557477</v>
      </c>
      <c r="W49" s="53">
        <v>3104551904</v>
      </c>
      <c r="X49" s="53">
        <v>2322372750</v>
      </c>
      <c r="Y49" s="53">
        <v>2403416530</v>
      </c>
      <c r="Z49" s="53">
        <v>2607212258</v>
      </c>
      <c r="AA49" s="53">
        <v>2446369548</v>
      </c>
      <c r="AB49" s="53">
        <v>2228839205</v>
      </c>
      <c r="AC49" s="53">
        <v>2573753673</v>
      </c>
      <c r="AD49" s="53">
        <v>2565138881</v>
      </c>
      <c r="AE49" s="53">
        <v>2579328444</v>
      </c>
      <c r="AF49" s="53">
        <v>2495898497</v>
      </c>
      <c r="AG49" s="53">
        <v>2425364092</v>
      </c>
      <c r="AH49" s="53">
        <v>2688463016</v>
      </c>
      <c r="AI49" s="53">
        <v>2768269906</v>
      </c>
      <c r="AJ49" s="53">
        <v>2769349695</v>
      </c>
      <c r="AK49" s="53">
        <v>2877887917</v>
      </c>
      <c r="AL49" s="53">
        <v>3026660429</v>
      </c>
      <c r="AM49" s="53">
        <v>3207845719</v>
      </c>
      <c r="AN49" s="53">
        <v>2976278235</v>
      </c>
      <c r="AO49" s="53">
        <v>2848165564</v>
      </c>
      <c r="AP49" s="53">
        <v>3067896773</v>
      </c>
      <c r="AQ49" s="53">
        <v>3037962136</v>
      </c>
      <c r="AR49" s="53">
        <v>3087808510</v>
      </c>
      <c r="AS49" s="53">
        <v>2910812393</v>
      </c>
      <c r="AT49" s="53">
        <v>2838534098</v>
      </c>
      <c r="AU49" s="53">
        <v>2920841185</v>
      </c>
      <c r="AV49" s="53">
        <v>3143634725</v>
      </c>
      <c r="AW49" s="53">
        <v>2822070122</v>
      </c>
      <c r="AX49" s="53">
        <v>2506825887</v>
      </c>
      <c r="AY49" s="53">
        <v>2443821609</v>
      </c>
      <c r="AZ49" s="53">
        <v>3010202024</v>
      </c>
      <c r="BA49" s="53">
        <v>2847175487</v>
      </c>
      <c r="BB49" s="53">
        <v>2668513329</v>
      </c>
      <c r="BC49" s="53">
        <v>2713499857</v>
      </c>
      <c r="BD49" s="53">
        <v>2935338853</v>
      </c>
      <c r="BE49" s="53">
        <v>2961977265</v>
      </c>
      <c r="BF49" s="53">
        <v>2668970541</v>
      </c>
      <c r="BG49" s="53">
        <v>2842914848</v>
      </c>
      <c r="BH49" s="53">
        <v>3277124100</v>
      </c>
      <c r="BI49" s="53">
        <v>943264479</v>
      </c>
    </row>
    <row r="50" spans="1:61" ht="15.75" x14ac:dyDescent="0.25">
      <c r="A50" s="53" t="s">
        <v>18</v>
      </c>
      <c r="B50" s="56" t="s">
        <v>141</v>
      </c>
      <c r="C50" s="49" t="s">
        <v>40</v>
      </c>
      <c r="D50" s="49" t="str">
        <f>VLOOKUP(A50,PARAMETER!D:E,2,0)</f>
        <v>ADISTI</v>
      </c>
      <c r="E50" s="49" t="str">
        <f t="shared" si="3"/>
        <v>ADISTIFBI</v>
      </c>
      <c r="F50" s="49" t="str">
        <f t="shared" si="4"/>
        <v>KAWAN LAMAFBI</v>
      </c>
      <c r="G50" s="81">
        <f t="shared" si="2"/>
        <v>85143590</v>
      </c>
      <c r="H50" s="81">
        <f>SUMIF(I$1:BI$1,"&lt;="&amp;PARAMETER!X$2,I50:BI50)</f>
        <v>13458149</v>
      </c>
      <c r="I50" s="53">
        <v>1084127</v>
      </c>
      <c r="J50" s="53">
        <v>1283255</v>
      </c>
      <c r="K50" s="53">
        <v>929521</v>
      </c>
      <c r="L50" s="53">
        <v>1163375</v>
      </c>
      <c r="M50" s="53">
        <v>980416</v>
      </c>
      <c r="N50" s="53">
        <v>1576656</v>
      </c>
      <c r="O50" s="53">
        <v>1356054</v>
      </c>
      <c r="P50" s="53">
        <v>1139243</v>
      </c>
      <c r="Q50" s="53">
        <v>1150187</v>
      </c>
      <c r="R50" s="53">
        <v>1342724</v>
      </c>
      <c r="S50" s="53">
        <v>1452591</v>
      </c>
      <c r="T50" s="53">
        <v>1651682</v>
      </c>
      <c r="U50" s="53">
        <v>1968231</v>
      </c>
      <c r="V50" s="53">
        <v>1613498</v>
      </c>
      <c r="W50" s="53">
        <v>1157535</v>
      </c>
      <c r="X50" s="53">
        <v>1514656</v>
      </c>
      <c r="Y50" s="53">
        <v>1018225</v>
      </c>
      <c r="Z50" s="53">
        <v>1324906</v>
      </c>
      <c r="AA50" s="53">
        <v>1270487</v>
      </c>
      <c r="AB50" s="53">
        <v>1330549</v>
      </c>
      <c r="AC50" s="53">
        <v>1271058</v>
      </c>
      <c r="AD50" s="53">
        <v>1224744</v>
      </c>
      <c r="AE50" s="53">
        <v>1086535</v>
      </c>
      <c r="AF50" s="53">
        <v>1382522</v>
      </c>
      <c r="AG50" s="53">
        <v>1396909</v>
      </c>
      <c r="AH50" s="53">
        <v>894085</v>
      </c>
      <c r="AI50" s="53">
        <v>1097725</v>
      </c>
      <c r="AJ50" s="53">
        <v>967052</v>
      </c>
      <c r="AK50" s="53">
        <v>1266535</v>
      </c>
      <c r="AL50" s="53">
        <v>1612264</v>
      </c>
      <c r="AM50" s="53">
        <v>1631632</v>
      </c>
      <c r="AN50" s="53">
        <v>1720792</v>
      </c>
      <c r="AO50" s="53">
        <v>1762570</v>
      </c>
      <c r="AP50" s="53">
        <v>1604128</v>
      </c>
      <c r="AQ50" s="53">
        <v>1659248</v>
      </c>
      <c r="AR50" s="53">
        <v>2625307</v>
      </c>
      <c r="AS50" s="53">
        <v>1785936</v>
      </c>
      <c r="AT50" s="53">
        <v>6361540</v>
      </c>
      <c r="AU50" s="53">
        <v>5760861</v>
      </c>
      <c r="AV50" s="53">
        <v>1953376</v>
      </c>
      <c r="AW50" s="53">
        <v>2392813</v>
      </c>
      <c r="AX50" s="53">
        <v>1497877</v>
      </c>
      <c r="AY50" s="53">
        <v>1363215</v>
      </c>
      <c r="AZ50" s="53">
        <v>2116375</v>
      </c>
      <c r="BA50" s="53">
        <v>1145317</v>
      </c>
      <c r="BB50" s="53">
        <v>1433379</v>
      </c>
      <c r="BC50" s="53">
        <v>1411265</v>
      </c>
      <c r="BD50" s="53">
        <v>1480225</v>
      </c>
      <c r="BE50" s="53">
        <v>1429187</v>
      </c>
      <c r="BF50" s="53">
        <v>1541369</v>
      </c>
      <c r="BG50" s="53">
        <v>1402553</v>
      </c>
      <c r="BH50" s="53">
        <v>2076364</v>
      </c>
      <c r="BI50" s="53">
        <v>480914</v>
      </c>
    </row>
    <row r="51" spans="1:61" ht="15.75" x14ac:dyDescent="0.25">
      <c r="A51" s="53" t="s">
        <v>18</v>
      </c>
      <c r="B51" s="56" t="s">
        <v>141</v>
      </c>
      <c r="C51" s="52" t="s">
        <v>42</v>
      </c>
      <c r="D51" s="49" t="str">
        <f>VLOOKUP(A51,PARAMETER!D:E,2,0)</f>
        <v>ADISTI</v>
      </c>
      <c r="E51" s="49" t="str">
        <f t="shared" si="3"/>
        <v>ADISTITRX</v>
      </c>
      <c r="F51" s="49" t="str">
        <f t="shared" si="4"/>
        <v>KAWAN LAMATRX</v>
      </c>
      <c r="G51" s="81">
        <f t="shared" si="2"/>
        <v>36057</v>
      </c>
      <c r="H51" s="81">
        <f>SUMIF(I$1:BI$1,"&lt;="&amp;PARAMETER!X$2,I51:BI51)</f>
        <v>7070</v>
      </c>
      <c r="I51" s="53">
        <v>547</v>
      </c>
      <c r="J51" s="53">
        <v>488</v>
      </c>
      <c r="K51" s="53">
        <v>443</v>
      </c>
      <c r="L51" s="53">
        <v>508</v>
      </c>
      <c r="M51" s="53">
        <v>480</v>
      </c>
      <c r="N51" s="53">
        <v>1188</v>
      </c>
      <c r="O51" s="53">
        <v>595</v>
      </c>
      <c r="P51" s="53">
        <v>506</v>
      </c>
      <c r="Q51" s="53">
        <v>1100</v>
      </c>
      <c r="R51" s="53">
        <v>569</v>
      </c>
      <c r="S51" s="53">
        <v>646</v>
      </c>
      <c r="T51" s="53">
        <v>646</v>
      </c>
      <c r="U51" s="53">
        <v>782</v>
      </c>
      <c r="V51" s="53">
        <v>768</v>
      </c>
      <c r="W51" s="53">
        <v>678</v>
      </c>
      <c r="X51" s="53">
        <v>633</v>
      </c>
      <c r="Y51" s="53">
        <v>497</v>
      </c>
      <c r="Z51" s="53">
        <v>541</v>
      </c>
      <c r="AA51" s="53">
        <v>565</v>
      </c>
      <c r="AB51" s="53">
        <v>1054</v>
      </c>
      <c r="AC51" s="53">
        <v>1030</v>
      </c>
      <c r="AD51" s="53">
        <v>709</v>
      </c>
      <c r="AE51" s="53">
        <v>507</v>
      </c>
      <c r="AF51" s="53">
        <v>513</v>
      </c>
      <c r="AG51" s="53">
        <v>922</v>
      </c>
      <c r="AH51" s="53">
        <v>506</v>
      </c>
      <c r="AI51" s="53">
        <v>514</v>
      </c>
      <c r="AJ51" s="53">
        <v>516</v>
      </c>
      <c r="AK51" s="53">
        <v>616</v>
      </c>
      <c r="AL51" s="53">
        <v>769</v>
      </c>
      <c r="AM51" s="53">
        <v>989</v>
      </c>
      <c r="AN51" s="53">
        <v>767</v>
      </c>
      <c r="AO51" s="53">
        <v>873</v>
      </c>
      <c r="AP51" s="53">
        <v>675</v>
      </c>
      <c r="AQ51" s="53">
        <v>673</v>
      </c>
      <c r="AR51" s="53">
        <v>795</v>
      </c>
      <c r="AS51" s="53">
        <v>722</v>
      </c>
      <c r="AT51" s="53">
        <v>724</v>
      </c>
      <c r="AU51" s="53">
        <v>656</v>
      </c>
      <c r="AV51" s="53">
        <v>645</v>
      </c>
      <c r="AW51" s="53">
        <v>650</v>
      </c>
      <c r="AX51" s="53">
        <v>644</v>
      </c>
      <c r="AY51" s="53">
        <v>669</v>
      </c>
      <c r="AZ51" s="53">
        <v>677</v>
      </c>
      <c r="BA51" s="53">
        <v>547</v>
      </c>
      <c r="BB51" s="53">
        <v>559</v>
      </c>
      <c r="BC51" s="53">
        <v>585</v>
      </c>
      <c r="BD51" s="53">
        <v>650</v>
      </c>
      <c r="BE51" s="53">
        <v>704</v>
      </c>
      <c r="BF51" s="53">
        <v>825</v>
      </c>
      <c r="BG51" s="53">
        <v>790</v>
      </c>
      <c r="BH51" s="53">
        <v>1101</v>
      </c>
      <c r="BI51" s="53">
        <v>301</v>
      </c>
    </row>
    <row r="52" spans="1:61" ht="15.75" x14ac:dyDescent="0.25">
      <c r="A52" s="53" t="s">
        <v>18</v>
      </c>
      <c r="B52" s="56" t="s">
        <v>141</v>
      </c>
      <c r="C52" s="52" t="s">
        <v>41</v>
      </c>
      <c r="D52" s="49" t="str">
        <f>VLOOKUP(A52,PARAMETER!D:E,2,0)</f>
        <v>ADISTI</v>
      </c>
      <c r="E52" s="49" t="str">
        <f t="shared" si="3"/>
        <v>ADISTIVOL</v>
      </c>
      <c r="F52" s="49" t="str">
        <f t="shared" si="4"/>
        <v>KAWAN LAMAVOL</v>
      </c>
      <c r="G52" s="81">
        <f t="shared" si="2"/>
        <v>43707635052</v>
      </c>
      <c r="H52" s="81">
        <f>SUMIF(I$1:BI$1,"&lt;="&amp;PARAMETER!X$2,I52:BI52)</f>
        <v>8953145173</v>
      </c>
      <c r="I52" s="53">
        <v>722751772</v>
      </c>
      <c r="J52" s="53">
        <v>855503734</v>
      </c>
      <c r="K52" s="53">
        <v>619681217</v>
      </c>
      <c r="L52" s="53">
        <v>775583696</v>
      </c>
      <c r="M52" s="53">
        <v>653610997</v>
      </c>
      <c r="N52" s="53">
        <v>1051104964</v>
      </c>
      <c r="O52" s="53">
        <v>904036823</v>
      </c>
      <c r="P52" s="53">
        <v>759496208</v>
      </c>
      <c r="Q52" s="53">
        <v>747831254</v>
      </c>
      <c r="R52" s="53">
        <v>895150131</v>
      </c>
      <c r="S52" s="53">
        <v>968394377</v>
      </c>
      <c r="T52" s="53">
        <v>1089086932</v>
      </c>
      <c r="U52" s="53">
        <v>1310344112</v>
      </c>
      <c r="V52" s="53">
        <v>1072723795</v>
      </c>
      <c r="W52" s="53">
        <v>767598402</v>
      </c>
      <c r="X52" s="53">
        <v>1009770991</v>
      </c>
      <c r="Y52" s="53">
        <v>678817096</v>
      </c>
      <c r="Z52" s="53">
        <v>882761778</v>
      </c>
      <c r="AA52" s="53">
        <v>846991556</v>
      </c>
      <c r="AB52" s="53">
        <v>742589138</v>
      </c>
      <c r="AC52" s="53">
        <v>762558704</v>
      </c>
      <c r="AD52" s="53">
        <v>735760810</v>
      </c>
      <c r="AE52" s="53">
        <v>724357189</v>
      </c>
      <c r="AF52" s="53">
        <v>921682059</v>
      </c>
      <c r="AG52" s="53">
        <v>805956644</v>
      </c>
      <c r="AH52" s="53">
        <v>596057176</v>
      </c>
      <c r="AI52" s="53">
        <v>730954154</v>
      </c>
      <c r="AJ52" s="53">
        <v>644701569</v>
      </c>
      <c r="AK52" s="53">
        <v>833851892</v>
      </c>
      <c r="AL52" s="53">
        <v>911258590</v>
      </c>
      <c r="AM52" s="53">
        <v>808188681</v>
      </c>
      <c r="AN52" s="53">
        <v>824122851</v>
      </c>
      <c r="AO52" s="53">
        <v>823411469</v>
      </c>
      <c r="AP52" s="53">
        <v>807624408</v>
      </c>
      <c r="AQ52" s="53">
        <v>894514019</v>
      </c>
      <c r="AR52" s="53">
        <v>877459446</v>
      </c>
      <c r="AS52" s="53">
        <v>643089039</v>
      </c>
      <c r="AT52" s="53">
        <v>814148309</v>
      </c>
      <c r="AU52" s="53">
        <v>780883932</v>
      </c>
      <c r="AV52" s="53">
        <v>669172016</v>
      </c>
      <c r="AW52" s="53">
        <v>804553890</v>
      </c>
      <c r="AX52" s="53">
        <v>665815463</v>
      </c>
      <c r="AY52" s="53">
        <v>771098485</v>
      </c>
      <c r="AZ52" s="53">
        <v>878425290</v>
      </c>
      <c r="BA52" s="53">
        <v>629337808</v>
      </c>
      <c r="BB52" s="53">
        <v>762986157</v>
      </c>
      <c r="BC52" s="53">
        <v>886117598</v>
      </c>
      <c r="BD52" s="53">
        <v>871463234</v>
      </c>
      <c r="BE52" s="53">
        <v>920595037</v>
      </c>
      <c r="BF52" s="53">
        <v>973192414</v>
      </c>
      <c r="BG52" s="53">
        <v>922408237</v>
      </c>
      <c r="BH52" s="53">
        <v>1358557644</v>
      </c>
      <c r="BI52" s="53">
        <v>299501865</v>
      </c>
    </row>
    <row r="53" spans="1:61" ht="15.75" x14ac:dyDescent="0.25">
      <c r="A53" s="53" t="s">
        <v>19</v>
      </c>
      <c r="B53" s="56" t="s">
        <v>141</v>
      </c>
      <c r="C53" s="49" t="s">
        <v>40</v>
      </c>
      <c r="D53" s="49" t="str">
        <f>VLOOKUP(A53,PARAMETER!D:E,2,0)</f>
        <v>RIFALDI</v>
      </c>
      <c r="E53" s="49" t="str">
        <f t="shared" si="3"/>
        <v>RIFALDIFBI</v>
      </c>
      <c r="F53" s="49" t="str">
        <f t="shared" si="4"/>
        <v>KCICFBI</v>
      </c>
      <c r="G53" s="81">
        <f t="shared" si="2"/>
        <v>222297817</v>
      </c>
      <c r="H53" s="81">
        <f>SUMIF(I$1:BI$1,"&lt;="&amp;PARAMETER!X$2,I53:BI53)</f>
        <v>28552650</v>
      </c>
      <c r="I53" s="53">
        <v>1930325</v>
      </c>
      <c r="J53" s="53">
        <v>1882600</v>
      </c>
      <c r="K53" s="53">
        <v>1872325</v>
      </c>
      <c r="L53" s="53">
        <v>2067050</v>
      </c>
      <c r="M53" s="53">
        <v>4749575</v>
      </c>
      <c r="N53" s="53">
        <v>2318625</v>
      </c>
      <c r="O53" s="53">
        <v>2694550</v>
      </c>
      <c r="P53" s="53">
        <v>2880025</v>
      </c>
      <c r="Q53" s="53">
        <v>3621238</v>
      </c>
      <c r="R53" s="53">
        <v>2975962</v>
      </c>
      <c r="S53" s="53">
        <v>1560375</v>
      </c>
      <c r="T53" s="53">
        <v>1714838</v>
      </c>
      <c r="U53" s="53">
        <v>1806550</v>
      </c>
      <c r="V53" s="53">
        <v>1874762</v>
      </c>
      <c r="W53" s="53">
        <v>3221100</v>
      </c>
      <c r="X53" s="53">
        <v>3074425</v>
      </c>
      <c r="Y53" s="53">
        <v>3618900</v>
      </c>
      <c r="Z53" s="53">
        <v>3291100</v>
      </c>
      <c r="AA53" s="53">
        <v>3091200</v>
      </c>
      <c r="AB53" s="53">
        <v>3775425</v>
      </c>
      <c r="AC53" s="53">
        <v>3715812</v>
      </c>
      <c r="AD53" s="53">
        <v>3823350</v>
      </c>
      <c r="AE53" s="53">
        <v>4465238</v>
      </c>
      <c r="AF53" s="53">
        <v>3646688</v>
      </c>
      <c r="AG53" s="53">
        <v>3891265</v>
      </c>
      <c r="AH53" s="53">
        <v>5048012</v>
      </c>
      <c r="AI53" s="53">
        <v>5644575</v>
      </c>
      <c r="AJ53" s="53">
        <v>4938362</v>
      </c>
      <c r="AK53" s="53">
        <v>3751000</v>
      </c>
      <c r="AL53" s="53">
        <v>8859388</v>
      </c>
      <c r="AM53" s="53">
        <v>7242475</v>
      </c>
      <c r="AN53" s="53">
        <v>5772700</v>
      </c>
      <c r="AO53" s="53">
        <v>5608288</v>
      </c>
      <c r="AP53" s="53">
        <v>6048112</v>
      </c>
      <c r="AQ53" s="53">
        <v>5412688</v>
      </c>
      <c r="AR53" s="53">
        <v>5581638</v>
      </c>
      <c r="AS53" s="53">
        <v>5579950</v>
      </c>
      <c r="AT53" s="53">
        <v>5976288</v>
      </c>
      <c r="AU53" s="53">
        <v>5697688</v>
      </c>
      <c r="AV53" s="53">
        <v>5397962</v>
      </c>
      <c r="AW53" s="53">
        <v>4365438</v>
      </c>
      <c r="AX53" s="53">
        <v>4466588</v>
      </c>
      <c r="AY53" s="53">
        <v>3649225</v>
      </c>
      <c r="AZ53" s="53">
        <v>5746725</v>
      </c>
      <c r="BA53" s="53">
        <v>5152025</v>
      </c>
      <c r="BB53" s="53">
        <v>4634125</v>
      </c>
      <c r="BC53" s="53">
        <v>5479100</v>
      </c>
      <c r="BD53" s="53">
        <v>5562825</v>
      </c>
      <c r="BE53" s="53">
        <v>5644312</v>
      </c>
      <c r="BF53" s="53">
        <v>5984100</v>
      </c>
      <c r="BG53" s="53">
        <v>5302312</v>
      </c>
      <c r="BH53" s="53">
        <v>4795775</v>
      </c>
      <c r="BI53" s="53">
        <v>1392838</v>
      </c>
    </row>
    <row r="54" spans="1:61" ht="15.75" x14ac:dyDescent="0.25">
      <c r="A54" s="53" t="s">
        <v>19</v>
      </c>
      <c r="B54" s="56" t="s">
        <v>141</v>
      </c>
      <c r="C54" s="52" t="s">
        <v>42</v>
      </c>
      <c r="D54" s="49" t="str">
        <f>VLOOKUP(A54,PARAMETER!D:E,2,0)</f>
        <v>RIFALDI</v>
      </c>
      <c r="E54" s="49" t="str">
        <f t="shared" si="3"/>
        <v>RIFALDITRX</v>
      </c>
      <c r="F54" s="49" t="str">
        <f t="shared" si="4"/>
        <v>KCICTRX</v>
      </c>
      <c r="G54" s="81">
        <f t="shared" si="2"/>
        <v>30376</v>
      </c>
      <c r="H54" s="81">
        <f>SUMIF(I$1:BI$1,"&lt;="&amp;PARAMETER!X$2,I54:BI54)</f>
        <v>3922</v>
      </c>
      <c r="I54" s="53">
        <v>256</v>
      </c>
      <c r="J54" s="53">
        <v>264</v>
      </c>
      <c r="K54" s="53">
        <v>310</v>
      </c>
      <c r="L54" s="53">
        <v>308</v>
      </c>
      <c r="M54" s="53">
        <v>400</v>
      </c>
      <c r="N54" s="53">
        <v>320</v>
      </c>
      <c r="O54" s="53">
        <v>355</v>
      </c>
      <c r="P54" s="53">
        <v>432</v>
      </c>
      <c r="Q54" s="53">
        <v>482</v>
      </c>
      <c r="R54" s="53">
        <v>486</v>
      </c>
      <c r="S54" s="53">
        <v>309</v>
      </c>
      <c r="T54" s="53">
        <v>376</v>
      </c>
      <c r="U54" s="53">
        <v>398</v>
      </c>
      <c r="V54" s="53">
        <v>344</v>
      </c>
      <c r="W54" s="53">
        <v>315</v>
      </c>
      <c r="X54" s="53">
        <v>452</v>
      </c>
      <c r="Y54" s="53">
        <v>486</v>
      </c>
      <c r="Z54" s="53">
        <v>507</v>
      </c>
      <c r="AA54" s="53">
        <v>505</v>
      </c>
      <c r="AB54" s="53">
        <v>601</v>
      </c>
      <c r="AC54" s="53">
        <v>519</v>
      </c>
      <c r="AD54" s="53">
        <v>606</v>
      </c>
      <c r="AE54" s="53">
        <v>650</v>
      </c>
      <c r="AF54" s="53">
        <v>621</v>
      </c>
      <c r="AG54" s="53">
        <v>568</v>
      </c>
      <c r="AH54" s="53">
        <v>656</v>
      </c>
      <c r="AI54" s="53">
        <v>627</v>
      </c>
      <c r="AJ54" s="53">
        <v>680</v>
      </c>
      <c r="AK54" s="53">
        <v>654</v>
      </c>
      <c r="AL54" s="53">
        <v>1041</v>
      </c>
      <c r="AM54" s="53">
        <v>1042</v>
      </c>
      <c r="AN54" s="53">
        <v>911</v>
      </c>
      <c r="AO54" s="53">
        <v>888</v>
      </c>
      <c r="AP54" s="53">
        <v>948</v>
      </c>
      <c r="AQ54" s="53">
        <v>893</v>
      </c>
      <c r="AR54" s="53">
        <v>793</v>
      </c>
      <c r="AS54" s="53">
        <v>761</v>
      </c>
      <c r="AT54" s="53">
        <v>653</v>
      </c>
      <c r="AU54" s="53">
        <v>695</v>
      </c>
      <c r="AV54" s="53">
        <v>755</v>
      </c>
      <c r="AW54" s="53">
        <v>641</v>
      </c>
      <c r="AX54" s="53">
        <v>578</v>
      </c>
      <c r="AY54" s="53">
        <v>513</v>
      </c>
      <c r="AZ54" s="53">
        <v>652</v>
      </c>
      <c r="BA54" s="53">
        <v>605</v>
      </c>
      <c r="BB54" s="53">
        <v>639</v>
      </c>
      <c r="BC54" s="53">
        <v>653</v>
      </c>
      <c r="BD54" s="53">
        <v>630</v>
      </c>
      <c r="BE54" s="53">
        <v>686</v>
      </c>
      <c r="BF54" s="53">
        <v>680</v>
      </c>
      <c r="BG54" s="53">
        <v>624</v>
      </c>
      <c r="BH54" s="53">
        <v>462</v>
      </c>
      <c r="BI54" s="53">
        <v>146</v>
      </c>
    </row>
    <row r="55" spans="1:61" ht="15.75" x14ac:dyDescent="0.25">
      <c r="A55" s="53" t="s">
        <v>19</v>
      </c>
      <c r="B55" s="56" t="s">
        <v>141</v>
      </c>
      <c r="C55" s="52" t="s">
        <v>41</v>
      </c>
      <c r="D55" s="49" t="str">
        <f>VLOOKUP(A55,PARAMETER!D:E,2,0)</f>
        <v>RIFALDI</v>
      </c>
      <c r="E55" s="49" t="str">
        <f t="shared" si="3"/>
        <v>RIFALDIVOL</v>
      </c>
      <c r="F55" s="49" t="str">
        <f t="shared" si="4"/>
        <v>KCICVOL</v>
      </c>
      <c r="G55" s="81">
        <f t="shared" si="2"/>
        <v>18287320300</v>
      </c>
      <c r="H55" s="81">
        <f>SUMIF(I$1:BI$1,"&lt;="&amp;PARAMETER!X$2,I55:BI55)</f>
        <v>2482850000</v>
      </c>
      <c r="I55" s="53">
        <v>185600000</v>
      </c>
      <c r="J55" s="53">
        <v>173950000</v>
      </c>
      <c r="K55" s="53">
        <v>157700000</v>
      </c>
      <c r="L55" s="53">
        <v>188450000</v>
      </c>
      <c r="M55" s="53">
        <v>364625000</v>
      </c>
      <c r="N55" s="53">
        <v>204200000</v>
      </c>
      <c r="O55" s="53">
        <v>242300000</v>
      </c>
      <c r="P55" s="53">
        <v>242025000</v>
      </c>
      <c r="Q55" s="53">
        <v>311275000</v>
      </c>
      <c r="R55" s="53">
        <v>266675000</v>
      </c>
      <c r="S55" s="53">
        <v>146050000</v>
      </c>
      <c r="T55" s="53">
        <v>161925000</v>
      </c>
      <c r="U55" s="53">
        <v>173600000</v>
      </c>
      <c r="V55" s="53">
        <v>164325000</v>
      </c>
      <c r="W55" s="53">
        <v>296850000</v>
      </c>
      <c r="X55" s="53">
        <v>280375000</v>
      </c>
      <c r="Y55" s="53">
        <v>317625000</v>
      </c>
      <c r="Z55" s="53">
        <v>291175000</v>
      </c>
      <c r="AA55" s="53">
        <v>287800000</v>
      </c>
      <c r="AB55" s="53">
        <v>329450000</v>
      </c>
      <c r="AC55" s="53">
        <v>326700800</v>
      </c>
      <c r="AD55" s="53">
        <v>332100000</v>
      </c>
      <c r="AE55" s="53">
        <v>380475000</v>
      </c>
      <c r="AF55" s="53">
        <v>326300000</v>
      </c>
      <c r="AG55" s="53">
        <v>331820000</v>
      </c>
      <c r="AH55" s="53">
        <v>455500000</v>
      </c>
      <c r="AI55" s="53">
        <v>472225000</v>
      </c>
      <c r="AJ55" s="53">
        <v>448650000</v>
      </c>
      <c r="AK55" s="53">
        <v>334800000</v>
      </c>
      <c r="AL55" s="53">
        <v>673075000</v>
      </c>
      <c r="AM55" s="53">
        <v>570575000</v>
      </c>
      <c r="AN55" s="53">
        <v>484100000</v>
      </c>
      <c r="AO55" s="53">
        <v>467807000</v>
      </c>
      <c r="AP55" s="53">
        <v>501950000</v>
      </c>
      <c r="AQ55" s="53">
        <v>471075000</v>
      </c>
      <c r="AR55" s="53">
        <v>459750000</v>
      </c>
      <c r="AS55" s="53">
        <v>467200000</v>
      </c>
      <c r="AT55" s="53">
        <v>448225000</v>
      </c>
      <c r="AU55" s="53">
        <v>420425000</v>
      </c>
      <c r="AV55" s="53">
        <v>419975000</v>
      </c>
      <c r="AW55" s="53">
        <v>340700000</v>
      </c>
      <c r="AX55" s="53">
        <v>345815000</v>
      </c>
      <c r="AY55" s="53">
        <v>293850000</v>
      </c>
      <c r="AZ55" s="53">
        <v>407900000</v>
      </c>
      <c r="BA55" s="53">
        <v>389825000</v>
      </c>
      <c r="BB55" s="53">
        <v>353827500</v>
      </c>
      <c r="BC55" s="53">
        <v>403925000</v>
      </c>
      <c r="BD55" s="53">
        <v>414750000</v>
      </c>
      <c r="BE55" s="53">
        <v>437925000</v>
      </c>
      <c r="BF55" s="53">
        <v>438175000</v>
      </c>
      <c r="BG55" s="53">
        <v>402050000</v>
      </c>
      <c r="BH55" s="53">
        <v>367250000</v>
      </c>
      <c r="BI55" s="53">
        <v>112625000</v>
      </c>
    </row>
    <row r="56" spans="1:61" ht="15.75" x14ac:dyDescent="0.25">
      <c r="A56" s="53" t="s">
        <v>20</v>
      </c>
      <c r="B56" s="56" t="s">
        <v>141</v>
      </c>
      <c r="C56" s="49" t="s">
        <v>40</v>
      </c>
      <c r="D56" s="49" t="e">
        <f>VLOOKUP(A56,PARAMETER!D:E,2,0)</f>
        <v>#N/A</v>
      </c>
      <c r="E56" s="49" t="e">
        <f t="shared" si="3"/>
        <v>#N/A</v>
      </c>
      <c r="F56" s="49" t="str">
        <f t="shared" si="4"/>
        <v>KIMIA FARMAFBI</v>
      </c>
      <c r="G56" s="81">
        <f t="shared" si="2"/>
        <v>16628147</v>
      </c>
      <c r="H56" s="81">
        <f>SUMIF(I$1:BI$1,"&lt;="&amp;PARAMETER!X$2,I56:BI56)</f>
        <v>9722938</v>
      </c>
      <c r="I56" s="53">
        <v>887741</v>
      </c>
      <c r="J56" s="53">
        <v>818974</v>
      </c>
      <c r="K56" s="53">
        <v>653271</v>
      </c>
      <c r="L56" s="53">
        <v>833731</v>
      </c>
      <c r="M56" s="53">
        <v>873747</v>
      </c>
      <c r="N56" s="53">
        <v>931540</v>
      </c>
      <c r="O56" s="53">
        <v>871496</v>
      </c>
      <c r="P56" s="53">
        <v>916520</v>
      </c>
      <c r="Q56" s="53">
        <v>893194</v>
      </c>
      <c r="R56" s="53">
        <v>1086823</v>
      </c>
      <c r="S56" s="53">
        <v>955901</v>
      </c>
      <c r="T56" s="53">
        <v>834064</v>
      </c>
      <c r="U56" s="53">
        <v>940312</v>
      </c>
      <c r="V56" s="53">
        <v>865787</v>
      </c>
      <c r="W56" s="53">
        <v>875332</v>
      </c>
      <c r="X56" s="53">
        <v>688738</v>
      </c>
      <c r="Y56" s="53">
        <v>525471</v>
      </c>
      <c r="Z56" s="53">
        <v>261456</v>
      </c>
      <c r="AA56" s="53">
        <v>217033</v>
      </c>
      <c r="AB56" s="53">
        <v>446761</v>
      </c>
      <c r="AC56" s="53">
        <v>118579</v>
      </c>
      <c r="AD56" s="53">
        <v>103265</v>
      </c>
      <c r="AE56" s="53">
        <v>107581</v>
      </c>
      <c r="AF56" s="53">
        <v>29267</v>
      </c>
      <c r="AG56" s="53">
        <v>63721</v>
      </c>
      <c r="AH56" s="53">
        <v>86976</v>
      </c>
      <c r="AI56" s="53">
        <v>57259</v>
      </c>
      <c r="AJ56" s="53">
        <v>93331</v>
      </c>
      <c r="AK56" s="53">
        <v>44608</v>
      </c>
      <c r="AL56" s="53">
        <v>108966</v>
      </c>
      <c r="AM56" s="53">
        <v>61431</v>
      </c>
      <c r="AN56" s="53">
        <v>71741</v>
      </c>
      <c r="AO56" s="53">
        <v>196245</v>
      </c>
      <c r="AP56" s="53">
        <v>107285</v>
      </c>
      <c r="AQ56" s="53">
        <v>0</v>
      </c>
      <c r="AR56" s="53">
        <v>0</v>
      </c>
      <c r="AS56" s="53">
        <v>0</v>
      </c>
      <c r="AT56" s="53">
        <v>0</v>
      </c>
      <c r="AU56" s="53">
        <v>0</v>
      </c>
      <c r="AV56" s="53">
        <v>0</v>
      </c>
      <c r="AW56" s="53">
        <v>0</v>
      </c>
      <c r="AX56" s="53">
        <v>0</v>
      </c>
      <c r="AY56" s="53">
        <v>0</v>
      </c>
      <c r="AZ56" s="53">
        <v>0</v>
      </c>
      <c r="BA56" s="53">
        <v>0</v>
      </c>
      <c r="BB56" s="53">
        <v>0</v>
      </c>
      <c r="BC56" s="53">
        <v>0</v>
      </c>
      <c r="BD56" s="53">
        <v>0</v>
      </c>
      <c r="BE56" s="53">
        <v>0</v>
      </c>
      <c r="BF56" s="53">
        <v>0</v>
      </c>
      <c r="BG56" s="53">
        <v>0</v>
      </c>
      <c r="BH56" s="53">
        <v>0</v>
      </c>
      <c r="BI56" s="53">
        <v>0</v>
      </c>
    </row>
    <row r="57" spans="1:61" ht="15.75" x14ac:dyDescent="0.25">
      <c r="A57" s="53" t="s">
        <v>20</v>
      </c>
      <c r="B57" s="56" t="s">
        <v>141</v>
      </c>
      <c r="C57" s="52" t="s">
        <v>42</v>
      </c>
      <c r="D57" s="49" t="e">
        <f>VLOOKUP(A57,PARAMETER!D:E,2,0)</f>
        <v>#N/A</v>
      </c>
      <c r="E57" s="49" t="e">
        <f t="shared" si="3"/>
        <v>#N/A</v>
      </c>
      <c r="F57" s="49" t="str">
        <f t="shared" si="4"/>
        <v>KIMIA FARMATRX</v>
      </c>
      <c r="G57" s="81">
        <f t="shared" si="2"/>
        <v>5801</v>
      </c>
      <c r="H57" s="81">
        <f>SUMIF(I$1:BI$1,"&lt;="&amp;PARAMETER!X$2,I57:BI57)</f>
        <v>3574</v>
      </c>
      <c r="I57" s="53">
        <v>325</v>
      </c>
      <c r="J57" s="53">
        <v>286</v>
      </c>
      <c r="K57" s="53">
        <v>279</v>
      </c>
      <c r="L57" s="53">
        <v>315</v>
      </c>
      <c r="M57" s="53">
        <v>326</v>
      </c>
      <c r="N57" s="53">
        <v>342</v>
      </c>
      <c r="O57" s="53">
        <v>305</v>
      </c>
      <c r="P57" s="53">
        <v>340</v>
      </c>
      <c r="Q57" s="53">
        <v>334</v>
      </c>
      <c r="R57" s="53">
        <v>363</v>
      </c>
      <c r="S57" s="53">
        <v>359</v>
      </c>
      <c r="T57" s="53">
        <v>313</v>
      </c>
      <c r="U57" s="53">
        <v>340</v>
      </c>
      <c r="V57" s="53">
        <v>319</v>
      </c>
      <c r="W57" s="53">
        <v>333</v>
      </c>
      <c r="X57" s="53">
        <v>216</v>
      </c>
      <c r="Y57" s="53">
        <v>176</v>
      </c>
      <c r="Z57" s="53">
        <v>93</v>
      </c>
      <c r="AA57" s="53">
        <v>61</v>
      </c>
      <c r="AB57" s="53">
        <v>52</v>
      </c>
      <c r="AC57" s="53">
        <v>38</v>
      </c>
      <c r="AD57" s="53">
        <v>32</v>
      </c>
      <c r="AE57" s="53">
        <v>31</v>
      </c>
      <c r="AF57" s="53">
        <v>14</v>
      </c>
      <c r="AG57" s="53">
        <v>24</v>
      </c>
      <c r="AH57" s="53">
        <v>20</v>
      </c>
      <c r="AI57" s="53">
        <v>18</v>
      </c>
      <c r="AJ57" s="53">
        <v>20</v>
      </c>
      <c r="AK57" s="53">
        <v>21</v>
      </c>
      <c r="AL57" s="53">
        <v>14</v>
      </c>
      <c r="AM57" s="53">
        <v>23</v>
      </c>
      <c r="AN57" s="53">
        <v>24</v>
      </c>
      <c r="AO57" s="53">
        <v>26</v>
      </c>
      <c r="AP57" s="53">
        <v>15</v>
      </c>
      <c r="AQ57" s="53">
        <v>0</v>
      </c>
      <c r="AR57" s="53">
        <v>0</v>
      </c>
      <c r="AS57" s="53">
        <v>0</v>
      </c>
      <c r="AT57" s="53">
        <v>0</v>
      </c>
      <c r="AU57" s="53">
        <v>0</v>
      </c>
      <c r="AV57" s="53">
        <v>0</v>
      </c>
      <c r="AW57" s="53">
        <v>0</v>
      </c>
      <c r="AX57" s="53">
        <v>0</v>
      </c>
      <c r="AY57" s="53">
        <v>0</v>
      </c>
      <c r="AZ57" s="53">
        <v>0</v>
      </c>
      <c r="BA57" s="53">
        <v>0</v>
      </c>
      <c r="BB57" s="53">
        <v>0</v>
      </c>
      <c r="BC57" s="53">
        <v>0</v>
      </c>
      <c r="BD57" s="53">
        <v>0</v>
      </c>
      <c r="BE57" s="53">
        <v>0</v>
      </c>
      <c r="BF57" s="53">
        <v>4</v>
      </c>
      <c r="BG57" s="53">
        <v>0</v>
      </c>
      <c r="BH57" s="53">
        <v>0</v>
      </c>
      <c r="BI57" s="53">
        <v>0</v>
      </c>
    </row>
    <row r="58" spans="1:61" ht="15.75" x14ac:dyDescent="0.25">
      <c r="A58" s="53" t="s">
        <v>20</v>
      </c>
      <c r="B58" s="56" t="s">
        <v>141</v>
      </c>
      <c r="C58" s="52" t="s">
        <v>41</v>
      </c>
      <c r="D58" s="49" t="e">
        <f>VLOOKUP(A58,PARAMETER!D:E,2,0)</f>
        <v>#N/A</v>
      </c>
      <c r="E58" s="49" t="e">
        <f t="shared" si="3"/>
        <v>#N/A</v>
      </c>
      <c r="F58" s="49" t="str">
        <f t="shared" si="4"/>
        <v>KIMIA FARMAVOL</v>
      </c>
      <c r="G58" s="81">
        <f t="shared" si="2"/>
        <v>1679145208</v>
      </c>
      <c r="H58" s="81">
        <f>SUMIF(I$1:BI$1,"&lt;="&amp;PARAMETER!X$2,I58:BI58)</f>
        <v>1001759925</v>
      </c>
      <c r="I58" s="53">
        <v>90314874</v>
      </c>
      <c r="J58" s="53">
        <v>82507238</v>
      </c>
      <c r="K58" s="53">
        <v>68294625</v>
      </c>
      <c r="L58" s="53">
        <v>88397350</v>
      </c>
      <c r="M58" s="53">
        <v>93714107</v>
      </c>
      <c r="N58" s="53">
        <v>96752091</v>
      </c>
      <c r="O58" s="53">
        <v>86446926</v>
      </c>
      <c r="P58" s="53">
        <v>94202607</v>
      </c>
      <c r="Q58" s="53">
        <v>93414736</v>
      </c>
      <c r="R58" s="53">
        <v>108826594</v>
      </c>
      <c r="S58" s="53">
        <v>98888777</v>
      </c>
      <c r="T58" s="53">
        <v>88783942</v>
      </c>
      <c r="U58" s="53">
        <v>94223821</v>
      </c>
      <c r="V58" s="53">
        <v>91200308</v>
      </c>
      <c r="W58" s="53">
        <v>86000697</v>
      </c>
      <c r="X58" s="53">
        <v>66494830</v>
      </c>
      <c r="Y58" s="53">
        <v>51493975</v>
      </c>
      <c r="Z58" s="53">
        <v>26520228</v>
      </c>
      <c r="AA58" s="53">
        <v>20662749</v>
      </c>
      <c r="AB58" s="53">
        <v>43816722</v>
      </c>
      <c r="AC58" s="53">
        <v>11215116</v>
      </c>
      <c r="AD58" s="53">
        <v>9761154</v>
      </c>
      <c r="AE58" s="53">
        <v>10216888</v>
      </c>
      <c r="AF58" s="53">
        <v>2683027</v>
      </c>
      <c r="AG58" s="53">
        <v>6465863</v>
      </c>
      <c r="AH58" s="53">
        <v>7235287</v>
      </c>
      <c r="AI58" s="53">
        <v>5222708</v>
      </c>
      <c r="AJ58" s="53">
        <v>7579062</v>
      </c>
      <c r="AK58" s="53">
        <v>4893699</v>
      </c>
      <c r="AL58" s="53">
        <v>7584627</v>
      </c>
      <c r="AM58" s="53">
        <v>6277618</v>
      </c>
      <c r="AN58" s="53">
        <v>5579595</v>
      </c>
      <c r="AO58" s="53">
        <v>15334960</v>
      </c>
      <c r="AP58" s="53">
        <v>7510816</v>
      </c>
      <c r="AQ58" s="53">
        <v>0</v>
      </c>
      <c r="AR58" s="53">
        <v>0</v>
      </c>
      <c r="AS58" s="53">
        <v>0</v>
      </c>
      <c r="AT58" s="53">
        <v>0</v>
      </c>
      <c r="AU58" s="53">
        <v>0</v>
      </c>
      <c r="AV58" s="53">
        <v>0</v>
      </c>
      <c r="AW58" s="53">
        <v>0</v>
      </c>
      <c r="AX58" s="53">
        <v>0</v>
      </c>
      <c r="AY58" s="53">
        <v>0</v>
      </c>
      <c r="AZ58" s="53">
        <v>0</v>
      </c>
      <c r="BA58" s="53">
        <v>0</v>
      </c>
      <c r="BB58" s="53">
        <v>0</v>
      </c>
      <c r="BC58" s="53">
        <v>0</v>
      </c>
      <c r="BD58" s="53">
        <v>0</v>
      </c>
      <c r="BE58" s="53">
        <v>0</v>
      </c>
      <c r="BF58" s="53">
        <v>627591</v>
      </c>
      <c r="BG58" s="53">
        <v>0</v>
      </c>
      <c r="BH58" s="53">
        <v>0</v>
      </c>
      <c r="BI58" s="53">
        <v>0</v>
      </c>
    </row>
    <row r="59" spans="1:61" ht="15.75" x14ac:dyDescent="0.25">
      <c r="A59" s="53" t="s">
        <v>47</v>
      </c>
      <c r="B59" s="56" t="s">
        <v>141</v>
      </c>
      <c r="C59" s="49" t="s">
        <v>40</v>
      </c>
      <c r="D59" s="49" t="str">
        <f>VLOOKUP(A59,PARAMETER!D:E,2,0)</f>
        <v>ADISTI</v>
      </c>
      <c r="E59" s="49" t="str">
        <f t="shared" si="3"/>
        <v>ADISTIFBI</v>
      </c>
      <c r="F59" s="49" t="str">
        <f t="shared" si="4"/>
        <v>LOTTE GROUPFBI</v>
      </c>
      <c r="G59" s="81">
        <f t="shared" si="2"/>
        <v>11740</v>
      </c>
      <c r="H59" s="81">
        <f>SUMIF(I$1:BI$1,"&lt;="&amp;PARAMETER!X$2,I59:BI59)</f>
        <v>9850</v>
      </c>
      <c r="I59" s="53">
        <v>0</v>
      </c>
      <c r="J59" s="53">
        <v>0</v>
      </c>
      <c r="K59" s="53">
        <v>9850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1890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53">
        <v>0</v>
      </c>
      <c r="AF59" s="53">
        <v>0</v>
      </c>
      <c r="AG59" s="53">
        <v>0</v>
      </c>
      <c r="AH59" s="53">
        <v>0</v>
      </c>
      <c r="AI59" s="53">
        <v>0</v>
      </c>
      <c r="AJ59" s="53">
        <v>0</v>
      </c>
      <c r="AK59" s="53">
        <v>0</v>
      </c>
      <c r="AL59" s="53">
        <v>0</v>
      </c>
      <c r="AM59" s="53">
        <v>0</v>
      </c>
      <c r="AN59" s="53">
        <v>0</v>
      </c>
      <c r="AO59" s="53">
        <v>0</v>
      </c>
      <c r="AP59" s="53">
        <v>0</v>
      </c>
      <c r="AQ59" s="53">
        <v>0</v>
      </c>
      <c r="AR59" s="53">
        <v>0</v>
      </c>
      <c r="AS59" s="53">
        <v>0</v>
      </c>
      <c r="AT59" s="53">
        <v>0</v>
      </c>
      <c r="AU59" s="53">
        <v>0</v>
      </c>
      <c r="AV59" s="53">
        <v>0</v>
      </c>
      <c r="AW59" s="53">
        <v>0</v>
      </c>
      <c r="AX59" s="53">
        <v>0</v>
      </c>
      <c r="AY59" s="53">
        <v>0</v>
      </c>
      <c r="AZ59" s="53">
        <v>0</v>
      </c>
      <c r="BA59" s="53">
        <v>0</v>
      </c>
      <c r="BB59" s="53">
        <v>0</v>
      </c>
      <c r="BC59" s="53">
        <v>0</v>
      </c>
      <c r="BD59" s="53">
        <v>0</v>
      </c>
      <c r="BE59" s="53">
        <v>0</v>
      </c>
      <c r="BF59" s="53">
        <v>0</v>
      </c>
      <c r="BG59" s="53">
        <v>0</v>
      </c>
      <c r="BH59" s="53">
        <v>0</v>
      </c>
      <c r="BI59" s="53">
        <v>0</v>
      </c>
    </row>
    <row r="60" spans="1:61" ht="15.75" x14ac:dyDescent="0.25">
      <c r="A60" s="53" t="s">
        <v>47</v>
      </c>
      <c r="B60" s="56" t="s">
        <v>141</v>
      </c>
      <c r="C60" s="52" t="s">
        <v>42</v>
      </c>
      <c r="D60" s="49" t="str">
        <f>VLOOKUP(A60,PARAMETER!D:E,2,0)</f>
        <v>ADISTI</v>
      </c>
      <c r="E60" s="49" t="str">
        <f t="shared" si="3"/>
        <v>ADISTITRX</v>
      </c>
      <c r="F60" s="49" t="str">
        <f t="shared" si="4"/>
        <v>LOTTE GROUPTRX</v>
      </c>
      <c r="G60" s="81">
        <f t="shared" si="2"/>
        <v>2</v>
      </c>
      <c r="H60" s="81">
        <f>SUMIF(I$1:BI$1,"&lt;="&amp;PARAMETER!X$2,I60:BI60)</f>
        <v>1</v>
      </c>
      <c r="I60" s="53">
        <v>0</v>
      </c>
      <c r="J60" s="53">
        <v>0</v>
      </c>
      <c r="K60" s="53">
        <v>1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1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53">
        <v>0</v>
      </c>
      <c r="AH60" s="53">
        <v>0</v>
      </c>
      <c r="AI60" s="53">
        <v>0</v>
      </c>
      <c r="AJ60" s="53">
        <v>0</v>
      </c>
      <c r="AK60" s="53">
        <v>0</v>
      </c>
      <c r="AL60" s="53">
        <v>0</v>
      </c>
      <c r="AM60" s="53">
        <v>0</v>
      </c>
      <c r="AN60" s="53">
        <v>0</v>
      </c>
      <c r="AO60" s="53">
        <v>0</v>
      </c>
      <c r="AP60" s="53">
        <v>0</v>
      </c>
      <c r="AQ60" s="53">
        <v>0</v>
      </c>
      <c r="AR60" s="53">
        <v>0</v>
      </c>
      <c r="AS60" s="53">
        <v>0</v>
      </c>
      <c r="AT60" s="53">
        <v>0</v>
      </c>
      <c r="AU60" s="53">
        <v>0</v>
      </c>
      <c r="AV60" s="53">
        <v>0</v>
      </c>
      <c r="AW60" s="53">
        <v>0</v>
      </c>
      <c r="AX60" s="53">
        <v>0</v>
      </c>
      <c r="AY60" s="53">
        <v>0</v>
      </c>
      <c r="AZ60" s="53">
        <v>0</v>
      </c>
      <c r="BA60" s="53">
        <v>0</v>
      </c>
      <c r="BB60" s="53">
        <v>0</v>
      </c>
      <c r="BC60" s="53">
        <v>0</v>
      </c>
      <c r="BD60" s="53">
        <v>0</v>
      </c>
      <c r="BE60" s="53">
        <v>0</v>
      </c>
      <c r="BF60" s="53">
        <v>0</v>
      </c>
      <c r="BG60" s="53">
        <v>0</v>
      </c>
      <c r="BH60" s="53">
        <v>0</v>
      </c>
      <c r="BI60" s="53">
        <v>0</v>
      </c>
    </row>
    <row r="61" spans="1:61" ht="15.75" x14ac:dyDescent="0.25">
      <c r="A61" s="53" t="s">
        <v>47</v>
      </c>
      <c r="B61" s="56" t="s">
        <v>141</v>
      </c>
      <c r="C61" s="52" t="s">
        <v>41</v>
      </c>
      <c r="D61" s="49" t="str">
        <f>VLOOKUP(A61,PARAMETER!D:E,2,0)</f>
        <v>ADISTI</v>
      </c>
      <c r="E61" s="49" t="str">
        <f t="shared" si="3"/>
        <v>ADISTIVOL</v>
      </c>
      <c r="F61" s="49" t="str">
        <f t="shared" si="4"/>
        <v>LOTTE GROUPVOL</v>
      </c>
      <c r="G61" s="81">
        <f t="shared" si="2"/>
        <v>1174000</v>
      </c>
      <c r="H61" s="81">
        <f>SUMIF(I$1:BI$1,"&lt;="&amp;PARAMETER!X$2,I61:BI61)</f>
        <v>985000</v>
      </c>
      <c r="I61" s="53">
        <v>0</v>
      </c>
      <c r="J61" s="53">
        <v>0</v>
      </c>
      <c r="K61" s="53">
        <v>985000</v>
      </c>
      <c r="L61" s="53">
        <v>0</v>
      </c>
      <c r="M61" s="53">
        <v>0</v>
      </c>
      <c r="N61" s="53">
        <v>0</v>
      </c>
      <c r="O61" s="53">
        <v>0</v>
      </c>
      <c r="P61" s="53">
        <v>0</v>
      </c>
      <c r="Q61" s="53">
        <v>0</v>
      </c>
      <c r="R61" s="53">
        <v>0</v>
      </c>
      <c r="S61" s="53">
        <v>0</v>
      </c>
      <c r="T61" s="53">
        <v>0</v>
      </c>
      <c r="U61" s="53">
        <v>0</v>
      </c>
      <c r="V61" s="53">
        <v>0</v>
      </c>
      <c r="W61" s="53">
        <v>189000</v>
      </c>
      <c r="X61" s="53">
        <v>0</v>
      </c>
      <c r="Y61" s="53">
        <v>0</v>
      </c>
      <c r="Z61" s="53">
        <v>0</v>
      </c>
      <c r="AA61" s="53">
        <v>0</v>
      </c>
      <c r="AB61" s="53">
        <v>0</v>
      </c>
      <c r="AC61" s="53">
        <v>0</v>
      </c>
      <c r="AD61" s="53">
        <v>0</v>
      </c>
      <c r="AE61" s="53">
        <v>0</v>
      </c>
      <c r="AF61" s="53">
        <v>0</v>
      </c>
      <c r="AG61" s="53">
        <v>0</v>
      </c>
      <c r="AH61" s="53">
        <v>0</v>
      </c>
      <c r="AI61" s="53">
        <v>0</v>
      </c>
      <c r="AJ61" s="53">
        <v>0</v>
      </c>
      <c r="AK61" s="53">
        <v>0</v>
      </c>
      <c r="AL61" s="53">
        <v>0</v>
      </c>
      <c r="AM61" s="53">
        <v>0</v>
      </c>
      <c r="AN61" s="53">
        <v>0</v>
      </c>
      <c r="AO61" s="53">
        <v>0</v>
      </c>
      <c r="AP61" s="53">
        <v>0</v>
      </c>
      <c r="AQ61" s="53">
        <v>0</v>
      </c>
      <c r="AR61" s="53">
        <v>0</v>
      </c>
      <c r="AS61" s="53">
        <v>0</v>
      </c>
      <c r="AT61" s="53">
        <v>0</v>
      </c>
      <c r="AU61" s="53">
        <v>0</v>
      </c>
      <c r="AV61" s="53">
        <v>0</v>
      </c>
      <c r="AW61" s="53">
        <v>0</v>
      </c>
      <c r="AX61" s="53">
        <v>0</v>
      </c>
      <c r="AY61" s="53">
        <v>0</v>
      </c>
      <c r="AZ61" s="53">
        <v>0</v>
      </c>
      <c r="BA61" s="53">
        <v>0</v>
      </c>
      <c r="BB61" s="53">
        <v>0</v>
      </c>
      <c r="BC61" s="53">
        <v>0</v>
      </c>
      <c r="BD61" s="53">
        <v>0</v>
      </c>
      <c r="BE61" s="53">
        <v>0</v>
      </c>
      <c r="BF61" s="53">
        <v>0</v>
      </c>
      <c r="BG61" s="53">
        <v>0</v>
      </c>
      <c r="BH61" s="53">
        <v>0</v>
      </c>
      <c r="BI61" s="53">
        <v>0</v>
      </c>
    </row>
    <row r="62" spans="1:61" ht="15.75" x14ac:dyDescent="0.25">
      <c r="A62" s="53" t="s">
        <v>21</v>
      </c>
      <c r="B62" s="56" t="s">
        <v>141</v>
      </c>
      <c r="C62" s="49" t="s">
        <v>40</v>
      </c>
      <c r="D62" s="49" t="str">
        <f>VLOOKUP(A62,PARAMETER!D:E,2,0)</f>
        <v>ADISTI</v>
      </c>
      <c r="E62" s="49" t="str">
        <f t="shared" si="3"/>
        <v>ADISTIFBI</v>
      </c>
      <c r="F62" s="49" t="str">
        <f t="shared" si="4"/>
        <v>MAP GROUPFBI</v>
      </c>
      <c r="G62" s="81">
        <f t="shared" si="2"/>
        <v>4790073</v>
      </c>
      <c r="H62" s="81">
        <f>SUMIF(I$1:BI$1,"&lt;="&amp;PARAMETER!X$2,I62:BI62)</f>
        <v>181874</v>
      </c>
      <c r="I62" s="53">
        <v>2161</v>
      </c>
      <c r="J62" s="53">
        <v>0</v>
      </c>
      <c r="K62" s="53">
        <v>4116</v>
      </c>
      <c r="L62" s="53">
        <v>5965</v>
      </c>
      <c r="M62" s="53">
        <v>455</v>
      </c>
      <c r="N62" s="53">
        <v>8401</v>
      </c>
      <c r="O62" s="53">
        <v>0</v>
      </c>
      <c r="P62" s="53">
        <v>3203</v>
      </c>
      <c r="Q62" s="53">
        <v>66000</v>
      </c>
      <c r="R62" s="53">
        <v>49703</v>
      </c>
      <c r="S62" s="53">
        <v>41870</v>
      </c>
      <c r="T62" s="53">
        <v>51281</v>
      </c>
      <c r="U62" s="53">
        <v>63971</v>
      </c>
      <c r="V62" s="53">
        <v>77192</v>
      </c>
      <c r="W62" s="53">
        <v>43419</v>
      </c>
      <c r="X62" s="53">
        <v>69124</v>
      </c>
      <c r="Y62" s="53">
        <v>80991</v>
      </c>
      <c r="Z62" s="53">
        <v>80065</v>
      </c>
      <c r="AA62" s="53">
        <v>72447</v>
      </c>
      <c r="AB62" s="53">
        <v>132462</v>
      </c>
      <c r="AC62" s="53">
        <v>71619</v>
      </c>
      <c r="AD62" s="53">
        <v>108572</v>
      </c>
      <c r="AE62" s="53">
        <v>69210</v>
      </c>
      <c r="AF62" s="53">
        <v>97528</v>
      </c>
      <c r="AG62" s="53">
        <v>55489</v>
      </c>
      <c r="AH62" s="53">
        <v>111087</v>
      </c>
      <c r="AI62" s="53">
        <v>127558</v>
      </c>
      <c r="AJ62" s="53">
        <v>113785</v>
      </c>
      <c r="AK62" s="53">
        <v>76040</v>
      </c>
      <c r="AL62" s="53">
        <v>80448</v>
      </c>
      <c r="AM62" s="53">
        <v>121457</v>
      </c>
      <c r="AN62" s="53">
        <v>59472</v>
      </c>
      <c r="AO62" s="53">
        <v>76654</v>
      </c>
      <c r="AP62" s="53">
        <v>91765</v>
      </c>
      <c r="AQ62" s="53">
        <v>88676</v>
      </c>
      <c r="AR62" s="53">
        <v>122560</v>
      </c>
      <c r="AS62" s="53">
        <v>172797</v>
      </c>
      <c r="AT62" s="53">
        <v>93051</v>
      </c>
      <c r="AU62" s="53">
        <v>167109</v>
      </c>
      <c r="AV62" s="53">
        <v>180907</v>
      </c>
      <c r="AW62" s="53">
        <v>158906</v>
      </c>
      <c r="AX62" s="53">
        <v>85960</v>
      </c>
      <c r="AY62" s="53">
        <v>117509</v>
      </c>
      <c r="AZ62" s="53">
        <v>198502</v>
      </c>
      <c r="BA62" s="53">
        <v>142443</v>
      </c>
      <c r="BB62" s="53">
        <v>150282</v>
      </c>
      <c r="BC62" s="53">
        <v>136127</v>
      </c>
      <c r="BD62" s="53">
        <v>165177</v>
      </c>
      <c r="BE62" s="53">
        <v>149306</v>
      </c>
      <c r="BF62" s="53">
        <v>155638</v>
      </c>
      <c r="BG62" s="53">
        <v>148356</v>
      </c>
      <c r="BH62" s="53">
        <v>180916</v>
      </c>
      <c r="BI62" s="53">
        <v>62341</v>
      </c>
    </row>
    <row r="63" spans="1:61" ht="15.75" x14ac:dyDescent="0.25">
      <c r="A63" s="53" t="s">
        <v>21</v>
      </c>
      <c r="B63" s="56" t="s">
        <v>141</v>
      </c>
      <c r="C63" s="52" t="s">
        <v>42</v>
      </c>
      <c r="D63" s="49" t="str">
        <f>VLOOKUP(A63,PARAMETER!D:E,2,0)</f>
        <v>ADISTI</v>
      </c>
      <c r="E63" s="49" t="str">
        <f t="shared" si="3"/>
        <v>ADISTITRX</v>
      </c>
      <c r="F63" s="49" t="str">
        <f t="shared" si="4"/>
        <v>MAP GROUPTRX</v>
      </c>
      <c r="G63" s="81">
        <f t="shared" si="2"/>
        <v>4479</v>
      </c>
      <c r="H63" s="81">
        <f>SUMIF(I$1:BI$1,"&lt;="&amp;PARAMETER!X$2,I63:BI63)</f>
        <v>153</v>
      </c>
      <c r="I63" s="53">
        <v>1</v>
      </c>
      <c r="J63" s="53">
        <v>0</v>
      </c>
      <c r="K63" s="53">
        <v>1</v>
      </c>
      <c r="L63" s="53">
        <v>2</v>
      </c>
      <c r="M63" s="53">
        <v>1</v>
      </c>
      <c r="N63" s="53">
        <v>5</v>
      </c>
      <c r="O63" s="53">
        <v>0</v>
      </c>
      <c r="P63" s="53">
        <v>3</v>
      </c>
      <c r="Q63" s="53">
        <v>52</v>
      </c>
      <c r="R63" s="53">
        <v>38</v>
      </c>
      <c r="S63" s="53">
        <v>50</v>
      </c>
      <c r="T63" s="53">
        <v>54</v>
      </c>
      <c r="U63" s="53">
        <v>58</v>
      </c>
      <c r="V63" s="53">
        <v>60</v>
      </c>
      <c r="W63" s="53">
        <v>31</v>
      </c>
      <c r="X63" s="53">
        <v>59</v>
      </c>
      <c r="Y63" s="53">
        <v>68</v>
      </c>
      <c r="Z63" s="53">
        <v>73</v>
      </c>
      <c r="AA63" s="53">
        <v>74</v>
      </c>
      <c r="AB63" s="53">
        <v>68</v>
      </c>
      <c r="AC63" s="53">
        <v>62</v>
      </c>
      <c r="AD63" s="53">
        <v>87</v>
      </c>
      <c r="AE63" s="53">
        <v>55</v>
      </c>
      <c r="AF63" s="53">
        <v>62</v>
      </c>
      <c r="AG63" s="53">
        <v>57</v>
      </c>
      <c r="AH63" s="53">
        <v>84</v>
      </c>
      <c r="AI63" s="53">
        <v>89</v>
      </c>
      <c r="AJ63" s="53">
        <v>82</v>
      </c>
      <c r="AK63" s="53">
        <v>79</v>
      </c>
      <c r="AL63" s="53">
        <v>73</v>
      </c>
      <c r="AM63" s="53">
        <v>88</v>
      </c>
      <c r="AN63" s="53">
        <v>69</v>
      </c>
      <c r="AO63" s="53">
        <v>71</v>
      </c>
      <c r="AP63" s="53">
        <v>80</v>
      </c>
      <c r="AQ63" s="53">
        <v>89</v>
      </c>
      <c r="AR63" s="53">
        <v>95</v>
      </c>
      <c r="AS63" s="53">
        <v>101</v>
      </c>
      <c r="AT63" s="53">
        <v>84</v>
      </c>
      <c r="AU63" s="53">
        <v>124</v>
      </c>
      <c r="AV63" s="53">
        <v>188</v>
      </c>
      <c r="AW63" s="53">
        <v>183</v>
      </c>
      <c r="AX63" s="53">
        <v>132</v>
      </c>
      <c r="AY63" s="53">
        <v>190</v>
      </c>
      <c r="AZ63" s="53">
        <v>177</v>
      </c>
      <c r="BA63" s="53">
        <v>131</v>
      </c>
      <c r="BB63" s="53">
        <v>193</v>
      </c>
      <c r="BC63" s="53">
        <v>125</v>
      </c>
      <c r="BD63" s="53">
        <v>133</v>
      </c>
      <c r="BE63" s="53">
        <v>190</v>
      </c>
      <c r="BF63" s="53">
        <v>179</v>
      </c>
      <c r="BG63" s="53">
        <v>205</v>
      </c>
      <c r="BH63" s="53">
        <v>167</v>
      </c>
      <c r="BI63" s="53">
        <v>57</v>
      </c>
    </row>
    <row r="64" spans="1:61" ht="15.75" x14ac:dyDescent="0.25">
      <c r="A64" s="53" t="s">
        <v>21</v>
      </c>
      <c r="B64" s="56" t="s">
        <v>141</v>
      </c>
      <c r="C64" s="52" t="s">
        <v>41</v>
      </c>
      <c r="D64" s="49" t="str">
        <f>VLOOKUP(A64,PARAMETER!D:E,2,0)</f>
        <v>ADISTI</v>
      </c>
      <c r="E64" s="49" t="str">
        <f t="shared" si="3"/>
        <v>ADISTIVOL</v>
      </c>
      <c r="F64" s="49" t="str">
        <f t="shared" si="4"/>
        <v>MAP GROUPVOL</v>
      </c>
      <c r="G64" s="81">
        <f t="shared" si="2"/>
        <v>632613117</v>
      </c>
      <c r="H64" s="81">
        <f>SUMIF(I$1:BI$1,"&lt;="&amp;PARAMETER!X$2,I64:BI64)</f>
        <v>23839077</v>
      </c>
      <c r="I64" s="53">
        <v>216140</v>
      </c>
      <c r="J64" s="53">
        <v>0</v>
      </c>
      <c r="K64" s="53">
        <v>411600</v>
      </c>
      <c r="L64" s="53">
        <v>596500</v>
      </c>
      <c r="M64" s="53">
        <v>45500</v>
      </c>
      <c r="N64" s="53">
        <v>840100</v>
      </c>
      <c r="O64" s="53">
        <v>0</v>
      </c>
      <c r="P64" s="53">
        <v>320300</v>
      </c>
      <c r="Q64" s="53">
        <v>8311937</v>
      </c>
      <c r="R64" s="53">
        <v>6695200</v>
      </c>
      <c r="S64" s="53">
        <v>6401800</v>
      </c>
      <c r="T64" s="53">
        <v>7018000</v>
      </c>
      <c r="U64" s="53">
        <v>9619180</v>
      </c>
      <c r="V64" s="53">
        <v>11240100</v>
      </c>
      <c r="W64" s="53">
        <v>6196400</v>
      </c>
      <c r="X64" s="53">
        <v>8769000</v>
      </c>
      <c r="Y64" s="53">
        <v>10111400</v>
      </c>
      <c r="Z64" s="53">
        <v>10553700</v>
      </c>
      <c r="AA64" s="53">
        <v>9999600</v>
      </c>
      <c r="AB64" s="53">
        <v>15837400</v>
      </c>
      <c r="AC64" s="53">
        <v>8819900</v>
      </c>
      <c r="AD64" s="53">
        <v>14055950</v>
      </c>
      <c r="AE64" s="53">
        <v>9130300</v>
      </c>
      <c r="AF64" s="53">
        <v>11477700</v>
      </c>
      <c r="AG64" s="53">
        <v>7446113</v>
      </c>
      <c r="AH64" s="53">
        <v>14774100</v>
      </c>
      <c r="AI64" s="53">
        <v>16809400</v>
      </c>
      <c r="AJ64" s="53">
        <v>14144000</v>
      </c>
      <c r="AK64" s="53">
        <v>10238160</v>
      </c>
      <c r="AL64" s="53">
        <v>10872800</v>
      </c>
      <c r="AM64" s="53">
        <v>15723200</v>
      </c>
      <c r="AN64" s="53">
        <v>8299400</v>
      </c>
      <c r="AO64" s="53">
        <v>9785300</v>
      </c>
      <c r="AP64" s="53">
        <v>12267600</v>
      </c>
      <c r="AQ64" s="53">
        <v>12360100</v>
      </c>
      <c r="AR64" s="53">
        <v>16743915</v>
      </c>
      <c r="AS64" s="53">
        <v>21099600</v>
      </c>
      <c r="AT64" s="53">
        <v>12357900</v>
      </c>
      <c r="AU64" s="53">
        <v>21348300</v>
      </c>
      <c r="AV64" s="53">
        <v>22868011</v>
      </c>
      <c r="AW64" s="53">
        <v>19902500</v>
      </c>
      <c r="AX64" s="53">
        <v>12349600</v>
      </c>
      <c r="AY64" s="53">
        <v>16100900</v>
      </c>
      <c r="AZ64" s="53">
        <v>26109800</v>
      </c>
      <c r="BA64" s="53">
        <v>18598900</v>
      </c>
      <c r="BB64" s="53">
        <v>20894500</v>
      </c>
      <c r="BC64" s="53">
        <v>17449600</v>
      </c>
      <c r="BD64" s="53">
        <v>20777900</v>
      </c>
      <c r="BE64" s="53">
        <v>21085111</v>
      </c>
      <c r="BF64" s="53">
        <v>20648300</v>
      </c>
      <c r="BG64" s="53">
        <v>21054000</v>
      </c>
      <c r="BH64" s="53">
        <v>25354900</v>
      </c>
      <c r="BI64" s="53">
        <v>8481500</v>
      </c>
    </row>
    <row r="65" spans="1:61" ht="15.75" x14ac:dyDescent="0.25">
      <c r="A65" s="53" t="s">
        <v>23</v>
      </c>
      <c r="B65" s="56" t="s">
        <v>141</v>
      </c>
      <c r="C65" s="49" t="s">
        <v>40</v>
      </c>
      <c r="D65" s="49" t="str">
        <f>VLOOKUP(A65,PARAMETER!D:E,2,0)</f>
        <v>ADISTI</v>
      </c>
      <c r="E65" s="49" t="str">
        <f t="shared" si="3"/>
        <v>ADISTIFBI</v>
      </c>
      <c r="F65" s="49" t="str">
        <f t="shared" si="4"/>
        <v>MITRA10FBI</v>
      </c>
      <c r="G65" s="81">
        <f t="shared" si="2"/>
        <v>37444668</v>
      </c>
      <c r="H65" s="81">
        <f>SUMIF(I$1:BI$1,"&lt;="&amp;PARAMETER!X$2,I65:BI65)</f>
        <v>6589058</v>
      </c>
      <c r="I65" s="53">
        <v>383627</v>
      </c>
      <c r="J65" s="53">
        <v>581757</v>
      </c>
      <c r="K65" s="53">
        <v>474633</v>
      </c>
      <c r="L65" s="53">
        <v>460052</v>
      </c>
      <c r="M65" s="53">
        <v>594319</v>
      </c>
      <c r="N65" s="53">
        <v>580494</v>
      </c>
      <c r="O65" s="53">
        <v>615310</v>
      </c>
      <c r="P65" s="53">
        <v>633051</v>
      </c>
      <c r="Q65" s="53">
        <v>786180</v>
      </c>
      <c r="R65" s="53">
        <v>747272</v>
      </c>
      <c r="S65" s="53">
        <v>732363</v>
      </c>
      <c r="T65" s="53">
        <v>668131</v>
      </c>
      <c r="U65" s="53">
        <v>591880</v>
      </c>
      <c r="V65" s="53">
        <v>327648</v>
      </c>
      <c r="W65" s="53">
        <v>206936</v>
      </c>
      <c r="X65" s="53">
        <v>504809</v>
      </c>
      <c r="Y65" s="53">
        <v>612927</v>
      </c>
      <c r="Z65" s="53">
        <v>645178</v>
      </c>
      <c r="AA65" s="53">
        <v>851358</v>
      </c>
      <c r="AB65" s="53">
        <v>951914</v>
      </c>
      <c r="AC65" s="53">
        <v>835934</v>
      </c>
      <c r="AD65" s="53">
        <v>549140</v>
      </c>
      <c r="AE65" s="53">
        <v>638773</v>
      </c>
      <c r="AF65" s="53">
        <v>715096</v>
      </c>
      <c r="AG65" s="53">
        <v>620859</v>
      </c>
      <c r="AH65" s="53">
        <v>1083081</v>
      </c>
      <c r="AI65" s="53">
        <v>667963</v>
      </c>
      <c r="AJ65" s="53">
        <v>677415</v>
      </c>
      <c r="AK65" s="53">
        <v>620598</v>
      </c>
      <c r="AL65" s="53">
        <v>745470</v>
      </c>
      <c r="AM65" s="53">
        <v>626152</v>
      </c>
      <c r="AN65" s="53">
        <v>921638</v>
      </c>
      <c r="AO65" s="53">
        <v>733935</v>
      </c>
      <c r="AP65" s="53">
        <v>856852</v>
      </c>
      <c r="AQ65" s="53">
        <v>757260</v>
      </c>
      <c r="AR65" s="53">
        <v>758520</v>
      </c>
      <c r="AS65" s="53">
        <v>807784</v>
      </c>
      <c r="AT65" s="53">
        <v>3682397</v>
      </c>
      <c r="AU65" s="53">
        <v>3393501</v>
      </c>
      <c r="AV65" s="53">
        <v>401451</v>
      </c>
      <c r="AW65" s="53">
        <v>582771</v>
      </c>
      <c r="AX65" s="53">
        <v>468645</v>
      </c>
      <c r="AY65" s="53">
        <v>494733</v>
      </c>
      <c r="AZ65" s="53">
        <v>371510</v>
      </c>
      <c r="BA65" s="53">
        <v>350813</v>
      </c>
      <c r="BB65" s="53">
        <v>430558</v>
      </c>
      <c r="BC65" s="53">
        <v>370775</v>
      </c>
      <c r="BD65" s="53">
        <v>361111</v>
      </c>
      <c r="BE65" s="53">
        <v>443060</v>
      </c>
      <c r="BF65" s="53">
        <v>478627</v>
      </c>
      <c r="BG65" s="53">
        <v>405314</v>
      </c>
      <c r="BH65" s="53">
        <v>478839</v>
      </c>
      <c r="BI65" s="53">
        <v>164254</v>
      </c>
    </row>
    <row r="66" spans="1:61" ht="15.75" x14ac:dyDescent="0.25">
      <c r="A66" s="53" t="s">
        <v>23</v>
      </c>
      <c r="B66" s="56" t="s">
        <v>141</v>
      </c>
      <c r="C66" s="52" t="s">
        <v>42</v>
      </c>
      <c r="D66" s="49" t="str">
        <f>VLOOKUP(A66,PARAMETER!D:E,2,0)</f>
        <v>ADISTI</v>
      </c>
      <c r="E66" s="49" t="str">
        <f t="shared" ref="E66:E97" si="5">CONCATENATE(D66,C66)</f>
        <v>ADISTITRX</v>
      </c>
      <c r="F66" s="49" t="str">
        <f t="shared" ref="F66:F97" si="6">CONCATENATE(A66,C66)</f>
        <v>MITRA10TRX</v>
      </c>
      <c r="G66" s="81">
        <f t="shared" si="2"/>
        <v>9195</v>
      </c>
      <c r="H66" s="81">
        <f>SUMIF(I$1:BI$1,"&lt;="&amp;PARAMETER!X$2,I66:BI66)</f>
        <v>1985</v>
      </c>
      <c r="I66" s="53">
        <v>127</v>
      </c>
      <c r="J66" s="53">
        <v>169</v>
      </c>
      <c r="K66" s="53">
        <v>161</v>
      </c>
      <c r="L66" s="53">
        <v>169</v>
      </c>
      <c r="M66" s="53">
        <v>179</v>
      </c>
      <c r="N66" s="53">
        <v>189</v>
      </c>
      <c r="O66" s="53">
        <v>200</v>
      </c>
      <c r="P66" s="53">
        <v>192</v>
      </c>
      <c r="Q66" s="53">
        <v>212</v>
      </c>
      <c r="R66" s="53">
        <v>182</v>
      </c>
      <c r="S66" s="53">
        <v>205</v>
      </c>
      <c r="T66" s="53">
        <v>217</v>
      </c>
      <c r="U66" s="53">
        <v>198</v>
      </c>
      <c r="V66" s="53">
        <v>143</v>
      </c>
      <c r="W66" s="53">
        <v>90</v>
      </c>
      <c r="X66" s="53">
        <v>156</v>
      </c>
      <c r="Y66" s="53">
        <v>128</v>
      </c>
      <c r="Z66" s="53">
        <v>187</v>
      </c>
      <c r="AA66" s="53">
        <v>211</v>
      </c>
      <c r="AB66" s="53">
        <v>210</v>
      </c>
      <c r="AC66" s="53">
        <v>235</v>
      </c>
      <c r="AD66" s="53">
        <v>182</v>
      </c>
      <c r="AE66" s="53">
        <v>190</v>
      </c>
      <c r="AF66" s="53">
        <v>190</v>
      </c>
      <c r="AG66" s="53">
        <v>195</v>
      </c>
      <c r="AH66" s="53">
        <v>254</v>
      </c>
      <c r="AI66" s="53">
        <v>192</v>
      </c>
      <c r="AJ66" s="53">
        <v>198</v>
      </c>
      <c r="AK66" s="53">
        <v>191</v>
      </c>
      <c r="AL66" s="53">
        <v>204</v>
      </c>
      <c r="AM66" s="53">
        <v>191</v>
      </c>
      <c r="AN66" s="53">
        <v>224</v>
      </c>
      <c r="AO66" s="53">
        <v>216</v>
      </c>
      <c r="AP66" s="53">
        <v>216</v>
      </c>
      <c r="AQ66" s="53">
        <v>191</v>
      </c>
      <c r="AR66" s="53">
        <v>218</v>
      </c>
      <c r="AS66" s="53">
        <v>213</v>
      </c>
      <c r="AT66" s="53">
        <v>209</v>
      </c>
      <c r="AU66" s="53">
        <v>196</v>
      </c>
      <c r="AV66" s="53">
        <v>151</v>
      </c>
      <c r="AW66" s="53">
        <v>144</v>
      </c>
      <c r="AX66" s="53">
        <v>122</v>
      </c>
      <c r="AY66" s="53">
        <v>125</v>
      </c>
      <c r="AZ66" s="53">
        <v>119</v>
      </c>
      <c r="BA66" s="53">
        <v>113</v>
      </c>
      <c r="BB66" s="53">
        <v>135</v>
      </c>
      <c r="BC66" s="53">
        <v>125</v>
      </c>
      <c r="BD66" s="53">
        <v>111</v>
      </c>
      <c r="BE66" s="53">
        <v>140</v>
      </c>
      <c r="BF66" s="53">
        <v>149</v>
      </c>
      <c r="BG66" s="53">
        <v>125</v>
      </c>
      <c r="BH66" s="53">
        <v>165</v>
      </c>
      <c r="BI66" s="53">
        <v>41</v>
      </c>
    </row>
    <row r="67" spans="1:61" ht="15.75" x14ac:dyDescent="0.25">
      <c r="A67" s="53" t="s">
        <v>23</v>
      </c>
      <c r="B67" s="56" t="s">
        <v>141</v>
      </c>
      <c r="C67" s="52" t="s">
        <v>41</v>
      </c>
      <c r="D67" s="49" t="str">
        <f>VLOOKUP(A67,PARAMETER!D:E,2,0)</f>
        <v>ADISTI</v>
      </c>
      <c r="E67" s="49" t="str">
        <f t="shared" si="5"/>
        <v>ADISTIVOL</v>
      </c>
      <c r="F67" s="49" t="str">
        <f t="shared" si="6"/>
        <v>MITRA10VOL</v>
      </c>
      <c r="G67" s="81">
        <f t="shared" ref="G67:G106" si="7">SUM(I67:BI67)</f>
        <v>20823185360</v>
      </c>
      <c r="H67" s="81">
        <f>SUMIF(I$1:BI$1,"&lt;="&amp;PARAMETER!X$2,I67:BI67)</f>
        <v>4267457594</v>
      </c>
      <c r="I67" s="53">
        <v>243374609</v>
      </c>
      <c r="J67" s="53">
        <v>372925062</v>
      </c>
      <c r="K67" s="53">
        <v>313759126</v>
      </c>
      <c r="L67" s="53">
        <v>306701500</v>
      </c>
      <c r="M67" s="53">
        <v>396212929</v>
      </c>
      <c r="N67" s="53">
        <v>386996294</v>
      </c>
      <c r="O67" s="53">
        <v>393312207</v>
      </c>
      <c r="P67" s="53">
        <v>421373018</v>
      </c>
      <c r="Q67" s="53">
        <v>488161337</v>
      </c>
      <c r="R67" s="53">
        <v>460819363</v>
      </c>
      <c r="S67" s="53">
        <v>483822149</v>
      </c>
      <c r="T67" s="53">
        <v>442753245</v>
      </c>
      <c r="U67" s="53">
        <v>364375375</v>
      </c>
      <c r="V67" s="53">
        <v>218432368</v>
      </c>
      <c r="W67" s="53">
        <v>137957377</v>
      </c>
      <c r="X67" s="53">
        <v>336539349</v>
      </c>
      <c r="Y67" s="53">
        <v>335255694</v>
      </c>
      <c r="Z67" s="53">
        <v>423129667</v>
      </c>
      <c r="AA67" s="53">
        <v>567572590</v>
      </c>
      <c r="AB67" s="53">
        <v>634609915</v>
      </c>
      <c r="AC67" s="53">
        <v>553950818</v>
      </c>
      <c r="AD67" s="53">
        <v>362466732</v>
      </c>
      <c r="AE67" s="53">
        <v>396953983</v>
      </c>
      <c r="AF67" s="53">
        <v>470219012</v>
      </c>
      <c r="AG67" s="53">
        <v>408749821</v>
      </c>
      <c r="AH67" s="53">
        <v>700614133</v>
      </c>
      <c r="AI67" s="53">
        <v>444176008</v>
      </c>
      <c r="AJ67" s="53">
        <v>451610413</v>
      </c>
      <c r="AK67" s="53">
        <v>413732602</v>
      </c>
      <c r="AL67" s="53">
        <v>496980708</v>
      </c>
      <c r="AM67" s="53">
        <v>415541745</v>
      </c>
      <c r="AN67" s="53">
        <v>608643975</v>
      </c>
      <c r="AO67" s="53">
        <v>451708489</v>
      </c>
      <c r="AP67" s="53">
        <v>571005567</v>
      </c>
      <c r="AQ67" s="53">
        <v>491610091</v>
      </c>
      <c r="AR67" s="53">
        <v>489159582</v>
      </c>
      <c r="AS67" s="53">
        <v>530140155</v>
      </c>
      <c r="AT67" s="53">
        <v>518691316</v>
      </c>
      <c r="AU67" s="53">
        <v>518606106</v>
      </c>
      <c r="AV67" s="53">
        <v>267634359</v>
      </c>
      <c r="AW67" s="53">
        <v>383513861</v>
      </c>
      <c r="AX67" s="53">
        <v>302879079</v>
      </c>
      <c r="AY67" s="53">
        <v>329822059</v>
      </c>
      <c r="AZ67" s="53">
        <v>247673404</v>
      </c>
      <c r="BA67" s="53">
        <v>231253891</v>
      </c>
      <c r="BB67" s="53">
        <v>287038681</v>
      </c>
      <c r="BC67" s="53">
        <v>247183404</v>
      </c>
      <c r="BD67" s="53">
        <v>220024861</v>
      </c>
      <c r="BE67" s="53">
        <v>295373670</v>
      </c>
      <c r="BF67" s="53">
        <v>315940972</v>
      </c>
      <c r="BG67" s="53">
        <v>270209931</v>
      </c>
      <c r="BH67" s="53">
        <v>292490295</v>
      </c>
      <c r="BI67" s="53">
        <v>109502463</v>
      </c>
    </row>
    <row r="68" spans="1:61" ht="15.75" x14ac:dyDescent="0.25">
      <c r="A68" s="53" t="s">
        <v>25</v>
      </c>
      <c r="B68" s="56" t="s">
        <v>141</v>
      </c>
      <c r="C68" s="49" t="s">
        <v>40</v>
      </c>
      <c r="D68" s="49" t="str">
        <f>VLOOKUP(A68,PARAMETER!D:E,2,0)</f>
        <v>RIFALDI</v>
      </c>
      <c r="E68" s="49" t="str">
        <f t="shared" si="5"/>
        <v>RIFALDIFBI</v>
      </c>
      <c r="F68" s="49" t="str">
        <f t="shared" si="6"/>
        <v>OPTIK MELAWAIFBI</v>
      </c>
      <c r="G68" s="81">
        <f t="shared" si="7"/>
        <v>124362277</v>
      </c>
      <c r="H68" s="81">
        <f>SUMIF(I$1:BI$1,"&lt;="&amp;PARAMETER!X$2,I68:BI68)</f>
        <v>12707236</v>
      </c>
      <c r="I68" s="53">
        <v>2800</v>
      </c>
      <c r="J68" s="53">
        <v>201900</v>
      </c>
      <c r="K68" s="53">
        <v>696920</v>
      </c>
      <c r="L68" s="53">
        <v>1480128</v>
      </c>
      <c r="M68" s="53">
        <v>738100</v>
      </c>
      <c r="N68" s="53">
        <v>1195842</v>
      </c>
      <c r="O68" s="53">
        <v>1413972</v>
      </c>
      <c r="P68" s="53">
        <v>1505311</v>
      </c>
      <c r="Q68" s="53">
        <v>1319640</v>
      </c>
      <c r="R68" s="53">
        <v>1956473</v>
      </c>
      <c r="S68" s="53">
        <v>2196150</v>
      </c>
      <c r="T68" s="53">
        <v>1853108</v>
      </c>
      <c r="U68" s="53">
        <v>1687180</v>
      </c>
      <c r="V68" s="53">
        <v>1898195</v>
      </c>
      <c r="W68" s="53">
        <v>1135196</v>
      </c>
      <c r="X68" s="53">
        <v>2433585</v>
      </c>
      <c r="Y68" s="53">
        <v>1632866</v>
      </c>
      <c r="Z68" s="53">
        <v>1775378</v>
      </c>
      <c r="AA68" s="53">
        <v>3280792</v>
      </c>
      <c r="AB68" s="53">
        <v>2620919</v>
      </c>
      <c r="AC68" s="53">
        <v>3433939</v>
      </c>
      <c r="AD68" s="53">
        <v>2741428</v>
      </c>
      <c r="AE68" s="53">
        <v>3382931</v>
      </c>
      <c r="AF68" s="53">
        <v>2612976</v>
      </c>
      <c r="AG68" s="53">
        <v>2953260</v>
      </c>
      <c r="AH68" s="53">
        <v>2849899</v>
      </c>
      <c r="AI68" s="53">
        <v>3253436</v>
      </c>
      <c r="AJ68" s="53">
        <v>2948764</v>
      </c>
      <c r="AK68" s="53">
        <v>2875235</v>
      </c>
      <c r="AL68" s="53">
        <v>2180282</v>
      </c>
      <c r="AM68" s="53">
        <v>1236624</v>
      </c>
      <c r="AN68" s="53">
        <v>921213</v>
      </c>
      <c r="AO68" s="53">
        <v>1087828</v>
      </c>
      <c r="AP68" s="53">
        <v>775704</v>
      </c>
      <c r="AQ68" s="53">
        <v>1088633</v>
      </c>
      <c r="AR68" s="53">
        <v>2495274</v>
      </c>
      <c r="AS68" s="53">
        <v>3377683</v>
      </c>
      <c r="AT68" s="53">
        <v>3142708</v>
      </c>
      <c r="AU68" s="53">
        <v>3901636</v>
      </c>
      <c r="AV68" s="53">
        <v>2282634</v>
      </c>
      <c r="AW68" s="53">
        <v>2905325</v>
      </c>
      <c r="AX68" s="53">
        <v>2215199</v>
      </c>
      <c r="AY68" s="53">
        <v>2816734</v>
      </c>
      <c r="AZ68" s="53">
        <v>2608474</v>
      </c>
      <c r="BA68" s="53">
        <v>3247509</v>
      </c>
      <c r="BB68" s="53">
        <v>3592860</v>
      </c>
      <c r="BC68" s="53">
        <v>2389088</v>
      </c>
      <c r="BD68" s="53">
        <v>1699234</v>
      </c>
      <c r="BE68" s="53">
        <v>2013442</v>
      </c>
      <c r="BF68" s="53">
        <v>1803744</v>
      </c>
      <c r="BG68" s="53">
        <v>5449608</v>
      </c>
      <c r="BH68" s="53">
        <v>10366346</v>
      </c>
      <c r="BI68" s="53">
        <v>2688172</v>
      </c>
    </row>
    <row r="69" spans="1:61" ht="15.75" x14ac:dyDescent="0.25">
      <c r="A69" s="53" t="s">
        <v>25</v>
      </c>
      <c r="B69" s="56" t="s">
        <v>141</v>
      </c>
      <c r="C69" s="52" t="s">
        <v>42</v>
      </c>
      <c r="D69" s="49" t="str">
        <f>VLOOKUP(A69,PARAMETER!D:E,2,0)</f>
        <v>RIFALDI</v>
      </c>
      <c r="E69" s="49" t="str">
        <f t="shared" si="5"/>
        <v>RIFALDITRX</v>
      </c>
      <c r="F69" s="49" t="str">
        <f t="shared" si="6"/>
        <v>OPTIK MELAWAITRX</v>
      </c>
      <c r="G69" s="81">
        <f t="shared" si="7"/>
        <v>10659</v>
      </c>
      <c r="H69" s="81">
        <f>SUMIF(I$1:BI$1,"&lt;="&amp;PARAMETER!X$2,I69:BI69)</f>
        <v>997</v>
      </c>
      <c r="I69" s="53">
        <v>1</v>
      </c>
      <c r="J69" s="53">
        <v>21</v>
      </c>
      <c r="K69" s="53">
        <v>55</v>
      </c>
      <c r="L69" s="53">
        <v>92</v>
      </c>
      <c r="M69" s="53">
        <v>70</v>
      </c>
      <c r="N69" s="53">
        <v>80</v>
      </c>
      <c r="O69" s="53">
        <v>107</v>
      </c>
      <c r="P69" s="53">
        <v>110</v>
      </c>
      <c r="Q69" s="53">
        <v>134</v>
      </c>
      <c r="R69" s="53">
        <v>157</v>
      </c>
      <c r="S69" s="53">
        <v>170</v>
      </c>
      <c r="T69" s="53">
        <v>154</v>
      </c>
      <c r="U69" s="53">
        <v>179</v>
      </c>
      <c r="V69" s="53">
        <v>166</v>
      </c>
      <c r="W69" s="53">
        <v>153</v>
      </c>
      <c r="X69" s="53">
        <v>170</v>
      </c>
      <c r="Y69" s="53">
        <v>163</v>
      </c>
      <c r="Z69" s="53">
        <v>162</v>
      </c>
      <c r="AA69" s="53">
        <v>240</v>
      </c>
      <c r="AB69" s="53">
        <v>173</v>
      </c>
      <c r="AC69" s="53">
        <v>246</v>
      </c>
      <c r="AD69" s="53">
        <v>207</v>
      </c>
      <c r="AE69" s="53">
        <v>235</v>
      </c>
      <c r="AF69" s="53">
        <v>203</v>
      </c>
      <c r="AG69" s="53">
        <v>196</v>
      </c>
      <c r="AH69" s="53">
        <v>209</v>
      </c>
      <c r="AI69" s="53">
        <v>206</v>
      </c>
      <c r="AJ69" s="53">
        <v>214</v>
      </c>
      <c r="AK69" s="53">
        <v>228</v>
      </c>
      <c r="AL69" s="53">
        <v>191</v>
      </c>
      <c r="AM69" s="53">
        <v>98</v>
      </c>
      <c r="AN69" s="53">
        <v>74</v>
      </c>
      <c r="AO69" s="53">
        <v>86</v>
      </c>
      <c r="AP69" s="53">
        <v>82</v>
      </c>
      <c r="AQ69" s="53">
        <v>96</v>
      </c>
      <c r="AR69" s="53">
        <v>177</v>
      </c>
      <c r="AS69" s="53">
        <v>200</v>
      </c>
      <c r="AT69" s="53">
        <v>185</v>
      </c>
      <c r="AU69" s="53">
        <v>217</v>
      </c>
      <c r="AV69" s="53">
        <v>180</v>
      </c>
      <c r="AW69" s="53">
        <v>215</v>
      </c>
      <c r="AX69" s="53">
        <v>168</v>
      </c>
      <c r="AY69" s="53">
        <v>192</v>
      </c>
      <c r="AZ69" s="53">
        <v>176</v>
      </c>
      <c r="BA69" s="53">
        <v>198</v>
      </c>
      <c r="BB69" s="53">
        <v>215</v>
      </c>
      <c r="BC69" s="53">
        <v>169</v>
      </c>
      <c r="BD69" s="53">
        <v>138</v>
      </c>
      <c r="BE69" s="53">
        <v>168</v>
      </c>
      <c r="BF69" s="53">
        <v>162</v>
      </c>
      <c r="BG69" s="53">
        <v>797</v>
      </c>
      <c r="BH69" s="53">
        <v>1567</v>
      </c>
      <c r="BI69" s="53">
        <v>407</v>
      </c>
    </row>
    <row r="70" spans="1:61" ht="15.75" x14ac:dyDescent="0.25">
      <c r="A70" s="53" t="s">
        <v>25</v>
      </c>
      <c r="B70" s="56" t="s">
        <v>141</v>
      </c>
      <c r="C70" s="52" t="s">
        <v>41</v>
      </c>
      <c r="D70" s="49" t="str">
        <f>VLOOKUP(A70,PARAMETER!D:E,2,0)</f>
        <v>RIFALDI</v>
      </c>
      <c r="E70" s="49" t="str">
        <f t="shared" si="5"/>
        <v>RIFALDIVOL</v>
      </c>
      <c r="F70" s="49" t="str">
        <f t="shared" si="6"/>
        <v>OPTIK MELAWAIVOL</v>
      </c>
      <c r="G70" s="81">
        <f t="shared" si="7"/>
        <v>14034752356</v>
      </c>
      <c r="H70" s="81">
        <f>SUMIF(I$1:BI$1,"&lt;="&amp;PARAMETER!X$2,I70:BI70)</f>
        <v>1477936000</v>
      </c>
      <c r="I70" s="53">
        <v>280000</v>
      </c>
      <c r="J70" s="53">
        <v>21659500</v>
      </c>
      <c r="K70" s="53">
        <v>83730000</v>
      </c>
      <c r="L70" s="53">
        <v>164544500</v>
      </c>
      <c r="M70" s="53">
        <v>85180000</v>
      </c>
      <c r="N70" s="53">
        <v>142718000</v>
      </c>
      <c r="O70" s="53">
        <v>160626500</v>
      </c>
      <c r="P70" s="53">
        <v>165799500</v>
      </c>
      <c r="Q70" s="53">
        <v>166745500</v>
      </c>
      <c r="R70" s="53">
        <v>215468000</v>
      </c>
      <c r="S70" s="53">
        <v>271184500</v>
      </c>
      <c r="T70" s="53">
        <v>200315500</v>
      </c>
      <c r="U70" s="53">
        <v>200233500</v>
      </c>
      <c r="V70" s="53">
        <v>210176500</v>
      </c>
      <c r="W70" s="53">
        <v>133621000</v>
      </c>
      <c r="X70" s="53">
        <v>255722000</v>
      </c>
      <c r="Y70" s="53">
        <v>179976700</v>
      </c>
      <c r="Z70" s="53">
        <v>191373000</v>
      </c>
      <c r="AA70" s="53">
        <v>356883500</v>
      </c>
      <c r="AB70" s="53">
        <v>283747500</v>
      </c>
      <c r="AC70" s="53">
        <v>378311100</v>
      </c>
      <c r="AD70" s="53">
        <v>288217000</v>
      </c>
      <c r="AE70" s="53">
        <v>353930000</v>
      </c>
      <c r="AF70" s="53">
        <v>273833000</v>
      </c>
      <c r="AG70" s="53">
        <v>308743000</v>
      </c>
      <c r="AH70" s="53">
        <v>333003500</v>
      </c>
      <c r="AI70" s="53">
        <v>348504000</v>
      </c>
      <c r="AJ70" s="53">
        <v>328967500</v>
      </c>
      <c r="AK70" s="53">
        <v>338707150</v>
      </c>
      <c r="AL70" s="53">
        <v>252866000</v>
      </c>
      <c r="AM70" s="53">
        <v>132571900</v>
      </c>
      <c r="AN70" s="53">
        <v>99039000</v>
      </c>
      <c r="AO70" s="53">
        <v>127107500</v>
      </c>
      <c r="AP70" s="53">
        <v>95589000</v>
      </c>
      <c r="AQ70" s="53">
        <v>120873500</v>
      </c>
      <c r="AR70" s="53">
        <v>269434000</v>
      </c>
      <c r="AS70" s="53">
        <v>385713500</v>
      </c>
      <c r="AT70" s="53">
        <v>321386000</v>
      </c>
      <c r="AU70" s="53">
        <v>396779500</v>
      </c>
      <c r="AV70" s="53">
        <v>269016000</v>
      </c>
      <c r="AW70" s="53">
        <v>309931000</v>
      </c>
      <c r="AX70" s="53">
        <v>230982000</v>
      </c>
      <c r="AY70" s="53">
        <v>288897500</v>
      </c>
      <c r="AZ70" s="53">
        <v>284973500</v>
      </c>
      <c r="BA70" s="53">
        <v>345653500</v>
      </c>
      <c r="BB70" s="53">
        <v>368084700</v>
      </c>
      <c r="BC70" s="53">
        <v>249634000</v>
      </c>
      <c r="BD70" s="53">
        <v>179571500</v>
      </c>
      <c r="BE70" s="53">
        <v>245860500</v>
      </c>
      <c r="BF70" s="53">
        <v>210877000</v>
      </c>
      <c r="BG70" s="53">
        <v>715979250</v>
      </c>
      <c r="BH70" s="53">
        <v>1327003210</v>
      </c>
      <c r="BI70" s="53">
        <v>364727346</v>
      </c>
    </row>
    <row r="71" spans="1:61" ht="15.75" x14ac:dyDescent="0.25">
      <c r="A71" s="53" t="s">
        <v>26</v>
      </c>
      <c r="B71" s="56" t="s">
        <v>141</v>
      </c>
      <c r="C71" s="49" t="s">
        <v>40</v>
      </c>
      <c r="D71" s="49" t="str">
        <f>VLOOKUP(A71,PARAMETER!D:E,2,0)</f>
        <v>RIFALDI</v>
      </c>
      <c r="E71" s="49" t="str">
        <f t="shared" si="5"/>
        <v>RIFALDIFBI</v>
      </c>
      <c r="F71" s="49" t="str">
        <f t="shared" si="6"/>
        <v>PATRA JASAFBI</v>
      </c>
      <c r="G71" s="81">
        <f t="shared" si="7"/>
        <v>73300</v>
      </c>
      <c r="H71" s="81">
        <f>SUMIF(I$1:BI$1,"&lt;="&amp;PARAMETER!X$2,I71:BI71)</f>
        <v>17000</v>
      </c>
      <c r="I71" s="53">
        <v>10500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6500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1575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10500</v>
      </c>
      <c r="AE71" s="53">
        <v>0</v>
      </c>
      <c r="AF71" s="53">
        <v>0</v>
      </c>
      <c r="AG71" s="53">
        <v>0</v>
      </c>
      <c r="AH71" s="53">
        <v>0</v>
      </c>
      <c r="AI71" s="53">
        <v>9000</v>
      </c>
      <c r="AJ71" s="53">
        <v>0</v>
      </c>
      <c r="AK71" s="53">
        <v>1275</v>
      </c>
      <c r="AL71" s="53">
        <v>0</v>
      </c>
      <c r="AM71" s="53">
        <v>0</v>
      </c>
      <c r="AN71" s="53">
        <v>0</v>
      </c>
      <c r="AO71" s="53">
        <v>0</v>
      </c>
      <c r="AP71" s="53">
        <v>0</v>
      </c>
      <c r="AQ71" s="53">
        <v>0</v>
      </c>
      <c r="AR71" s="53">
        <v>0</v>
      </c>
      <c r="AS71" s="53">
        <v>0</v>
      </c>
      <c r="AT71" s="53">
        <v>450</v>
      </c>
      <c r="AU71" s="53">
        <v>0</v>
      </c>
      <c r="AV71" s="53">
        <v>25000</v>
      </c>
      <c r="AW71" s="53">
        <v>0</v>
      </c>
      <c r="AX71" s="53">
        <v>0</v>
      </c>
      <c r="AY71" s="53">
        <v>0</v>
      </c>
      <c r="AZ71" s="53">
        <v>0</v>
      </c>
      <c r="BA71" s="53">
        <v>8500</v>
      </c>
      <c r="BB71" s="53">
        <v>0</v>
      </c>
      <c r="BC71" s="53">
        <v>0</v>
      </c>
      <c r="BD71" s="53">
        <v>0</v>
      </c>
      <c r="BE71" s="53">
        <v>0</v>
      </c>
      <c r="BF71" s="53">
        <v>0</v>
      </c>
      <c r="BG71" s="53">
        <v>0</v>
      </c>
      <c r="BH71" s="53">
        <v>0</v>
      </c>
      <c r="BI71" s="53">
        <v>0</v>
      </c>
    </row>
    <row r="72" spans="1:61" ht="15.75" x14ac:dyDescent="0.25">
      <c r="A72" s="53" t="s">
        <v>26</v>
      </c>
      <c r="B72" s="56" t="s">
        <v>141</v>
      </c>
      <c r="C72" s="52" t="s">
        <v>42</v>
      </c>
      <c r="D72" s="49" t="str">
        <f>VLOOKUP(A72,PARAMETER!D:E,2,0)</f>
        <v>RIFALDI</v>
      </c>
      <c r="E72" s="49" t="str">
        <f t="shared" si="5"/>
        <v>RIFALDITRX</v>
      </c>
      <c r="F72" s="49" t="str">
        <f t="shared" si="6"/>
        <v>PATRA JASATRX</v>
      </c>
      <c r="G72" s="81">
        <f t="shared" si="7"/>
        <v>9</v>
      </c>
      <c r="H72" s="81">
        <f>SUMIF(I$1:BI$1,"&lt;="&amp;PARAMETER!X$2,I72:BI72)</f>
        <v>2</v>
      </c>
      <c r="I72" s="53">
        <v>1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1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1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1</v>
      </c>
      <c r="AE72" s="53">
        <v>0</v>
      </c>
      <c r="AF72" s="53">
        <v>0</v>
      </c>
      <c r="AG72" s="53">
        <v>0</v>
      </c>
      <c r="AH72" s="53">
        <v>0</v>
      </c>
      <c r="AI72" s="53">
        <v>1</v>
      </c>
      <c r="AJ72" s="53">
        <v>0</v>
      </c>
      <c r="AK72" s="53">
        <v>1</v>
      </c>
      <c r="AL72" s="53">
        <v>0</v>
      </c>
      <c r="AM72" s="53">
        <v>0</v>
      </c>
      <c r="AN72" s="53">
        <v>0</v>
      </c>
      <c r="AO72" s="53">
        <v>0</v>
      </c>
      <c r="AP72" s="53">
        <v>0</v>
      </c>
      <c r="AQ72" s="53">
        <v>0</v>
      </c>
      <c r="AR72" s="53">
        <v>0</v>
      </c>
      <c r="AS72" s="53">
        <v>0</v>
      </c>
      <c r="AT72" s="53">
        <v>1</v>
      </c>
      <c r="AU72" s="53">
        <v>0</v>
      </c>
      <c r="AV72" s="53">
        <v>1</v>
      </c>
      <c r="AW72" s="53">
        <v>0</v>
      </c>
      <c r="AX72" s="53">
        <v>0</v>
      </c>
      <c r="AY72" s="53">
        <v>0</v>
      </c>
      <c r="AZ72" s="53">
        <v>0</v>
      </c>
      <c r="BA72" s="53">
        <v>1</v>
      </c>
      <c r="BB72" s="53">
        <v>0</v>
      </c>
      <c r="BC72" s="53">
        <v>0</v>
      </c>
      <c r="BD72" s="53">
        <v>0</v>
      </c>
      <c r="BE72" s="53">
        <v>0</v>
      </c>
      <c r="BF72" s="53">
        <v>0</v>
      </c>
      <c r="BG72" s="53">
        <v>0</v>
      </c>
      <c r="BH72" s="53">
        <v>0</v>
      </c>
      <c r="BI72" s="53">
        <v>0</v>
      </c>
    </row>
    <row r="73" spans="1:61" ht="15.75" x14ac:dyDescent="0.25">
      <c r="A73" s="53" t="s">
        <v>26</v>
      </c>
      <c r="B73" s="56" t="s">
        <v>141</v>
      </c>
      <c r="C73" s="52" t="s">
        <v>41</v>
      </c>
      <c r="D73" s="49" t="str">
        <f>VLOOKUP(A73,PARAMETER!D:E,2,0)</f>
        <v>RIFALDI</v>
      </c>
      <c r="E73" s="49" t="str">
        <f t="shared" si="5"/>
        <v>RIFALDIVOL</v>
      </c>
      <c r="F73" s="49" t="str">
        <f t="shared" si="6"/>
        <v>PATRA JASAVOL</v>
      </c>
      <c r="G73" s="81">
        <f t="shared" si="7"/>
        <v>9200000</v>
      </c>
      <c r="H73" s="81">
        <f>SUMIF(I$1:BI$1,"&lt;="&amp;PARAMETER!X$2,I73:BI73)</f>
        <v>1700000</v>
      </c>
      <c r="I73" s="53">
        <v>1050000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650000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1050000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1050000</v>
      </c>
      <c r="AE73" s="53">
        <v>0</v>
      </c>
      <c r="AF73" s="53">
        <v>0</v>
      </c>
      <c r="AG73" s="53">
        <v>0</v>
      </c>
      <c r="AH73" s="53">
        <v>0</v>
      </c>
      <c r="AI73" s="53">
        <v>900000</v>
      </c>
      <c r="AJ73" s="53">
        <v>0</v>
      </c>
      <c r="AK73" s="53">
        <v>850000</v>
      </c>
      <c r="AL73" s="53">
        <v>0</v>
      </c>
      <c r="AM73" s="53">
        <v>0</v>
      </c>
      <c r="AN73" s="53">
        <v>0</v>
      </c>
      <c r="AO73" s="53">
        <v>0</v>
      </c>
      <c r="AP73" s="53">
        <v>0</v>
      </c>
      <c r="AQ73" s="53">
        <v>0</v>
      </c>
      <c r="AR73" s="53">
        <v>0</v>
      </c>
      <c r="AS73" s="53">
        <v>0</v>
      </c>
      <c r="AT73" s="53">
        <v>300000</v>
      </c>
      <c r="AU73" s="53">
        <v>0</v>
      </c>
      <c r="AV73" s="53">
        <v>2500000</v>
      </c>
      <c r="AW73" s="53">
        <v>0</v>
      </c>
      <c r="AX73" s="53">
        <v>0</v>
      </c>
      <c r="AY73" s="53">
        <v>0</v>
      </c>
      <c r="AZ73" s="53">
        <v>0</v>
      </c>
      <c r="BA73" s="53">
        <v>850000</v>
      </c>
      <c r="BB73" s="53">
        <v>0</v>
      </c>
      <c r="BC73" s="53">
        <v>0</v>
      </c>
      <c r="BD73" s="53">
        <v>0</v>
      </c>
      <c r="BE73" s="53">
        <v>0</v>
      </c>
      <c r="BF73" s="53">
        <v>0</v>
      </c>
      <c r="BG73" s="53">
        <v>0</v>
      </c>
      <c r="BH73" s="53">
        <v>0</v>
      </c>
      <c r="BI73" s="53">
        <v>0</v>
      </c>
    </row>
    <row r="74" spans="1:61" ht="15.75" x14ac:dyDescent="0.25">
      <c r="A74" s="53" t="s">
        <v>27</v>
      </c>
      <c r="B74" s="56" t="s">
        <v>141</v>
      </c>
      <c r="C74" s="49" t="s">
        <v>40</v>
      </c>
      <c r="D74" s="49" t="str">
        <f>VLOOKUP(A74,PARAMETER!D:E,2,0)</f>
        <v>RIFALDI</v>
      </c>
      <c r="E74" s="49" t="str">
        <f t="shared" si="5"/>
        <v>RIFALDIFBI</v>
      </c>
      <c r="F74" s="49" t="str">
        <f t="shared" si="6"/>
        <v>PERTAMINA RETAILFBI</v>
      </c>
      <c r="G74" s="81">
        <f t="shared" si="7"/>
        <v>1576730945</v>
      </c>
      <c r="H74" s="81">
        <f>SUMIF(I$1:BI$1,"&lt;="&amp;PARAMETER!X$2,I74:BI74)</f>
        <v>473625363</v>
      </c>
      <c r="I74" s="53">
        <v>49988576</v>
      </c>
      <c r="J74" s="53">
        <v>48529629</v>
      </c>
      <c r="K74" s="53">
        <v>48196392</v>
      </c>
      <c r="L74" s="53">
        <v>49350005</v>
      </c>
      <c r="M74" s="53">
        <v>52917894</v>
      </c>
      <c r="N74" s="53">
        <v>48095810</v>
      </c>
      <c r="O74" s="53">
        <v>35597851</v>
      </c>
      <c r="P74" s="53">
        <v>35856511</v>
      </c>
      <c r="Q74" s="53">
        <v>38069366</v>
      </c>
      <c r="R74" s="53">
        <v>37516475</v>
      </c>
      <c r="S74" s="53">
        <v>29506854</v>
      </c>
      <c r="T74" s="53">
        <v>34956243</v>
      </c>
      <c r="U74" s="53">
        <v>39852320</v>
      </c>
      <c r="V74" s="53">
        <v>42476676</v>
      </c>
      <c r="W74" s="53">
        <v>36712093</v>
      </c>
      <c r="X74" s="53">
        <v>35741877</v>
      </c>
      <c r="Y74" s="53">
        <v>31773546</v>
      </c>
      <c r="Z74" s="53">
        <v>30212477</v>
      </c>
      <c r="AA74" s="53">
        <v>31928449</v>
      </c>
      <c r="AB74" s="53">
        <v>29126844</v>
      </c>
      <c r="AC74" s="53">
        <v>28804876</v>
      </c>
      <c r="AD74" s="53">
        <v>31745780</v>
      </c>
      <c r="AE74" s="53">
        <v>30517491</v>
      </c>
      <c r="AF74" s="53">
        <v>30164840</v>
      </c>
      <c r="AG74" s="53">
        <v>28942961</v>
      </c>
      <c r="AH74" s="53">
        <v>35392250</v>
      </c>
      <c r="AI74" s="53">
        <v>34356288</v>
      </c>
      <c r="AJ74" s="53">
        <v>30089239</v>
      </c>
      <c r="AK74" s="53">
        <v>28195084</v>
      </c>
      <c r="AL74" s="53">
        <v>27407638</v>
      </c>
      <c r="AM74" s="53">
        <v>27042739</v>
      </c>
      <c r="AN74" s="53">
        <v>23270990</v>
      </c>
      <c r="AO74" s="53">
        <v>25134592</v>
      </c>
      <c r="AP74" s="53">
        <v>24376898</v>
      </c>
      <c r="AQ74" s="53">
        <v>23705397</v>
      </c>
      <c r="AR74" s="53">
        <v>23050938</v>
      </c>
      <c r="AS74" s="53">
        <v>25148768</v>
      </c>
      <c r="AT74" s="53">
        <v>22884989</v>
      </c>
      <c r="AU74" s="53">
        <v>23949221</v>
      </c>
      <c r="AV74" s="53">
        <v>27134627</v>
      </c>
      <c r="AW74" s="53">
        <v>28318664</v>
      </c>
      <c r="AX74" s="53">
        <v>23036144</v>
      </c>
      <c r="AY74" s="53">
        <v>17304245</v>
      </c>
      <c r="AZ74" s="53">
        <v>21691307</v>
      </c>
      <c r="BA74" s="53">
        <v>19040940</v>
      </c>
      <c r="BB74" s="53">
        <v>19622609</v>
      </c>
      <c r="BC74" s="53">
        <v>19874256</v>
      </c>
      <c r="BD74" s="53">
        <v>18200282</v>
      </c>
      <c r="BE74" s="53">
        <v>17782267</v>
      </c>
      <c r="BF74" s="53">
        <v>16955074</v>
      </c>
      <c r="BG74" s="53">
        <v>16023002</v>
      </c>
      <c r="BH74" s="53">
        <v>17939030</v>
      </c>
      <c r="BI74" s="53">
        <v>3221631</v>
      </c>
    </row>
    <row r="75" spans="1:61" ht="15.75" x14ac:dyDescent="0.25">
      <c r="A75" s="53" t="s">
        <v>27</v>
      </c>
      <c r="B75" s="56" t="s">
        <v>141</v>
      </c>
      <c r="C75" s="52" t="s">
        <v>42</v>
      </c>
      <c r="D75" s="49" t="str">
        <f>VLOOKUP(A75,PARAMETER!D:E,2,0)</f>
        <v>RIFALDI</v>
      </c>
      <c r="E75" s="49" t="str">
        <f t="shared" si="5"/>
        <v>RIFALDITRX</v>
      </c>
      <c r="F75" s="49" t="str">
        <f t="shared" si="6"/>
        <v>PERTAMINA RETAILTRX</v>
      </c>
      <c r="G75" s="81">
        <f t="shared" si="7"/>
        <v>1352152</v>
      </c>
      <c r="H75" s="81">
        <f>SUMIF(I$1:BI$1,"&lt;="&amp;PARAMETER!X$2,I75:BI75)</f>
        <v>427684</v>
      </c>
      <c r="I75" s="53">
        <v>44798</v>
      </c>
      <c r="J75" s="53">
        <v>44845</v>
      </c>
      <c r="K75" s="53">
        <v>45533</v>
      </c>
      <c r="L75" s="53">
        <v>45997</v>
      </c>
      <c r="M75" s="53">
        <v>48063</v>
      </c>
      <c r="N75" s="53">
        <v>42298</v>
      </c>
      <c r="O75" s="53">
        <v>31659</v>
      </c>
      <c r="P75" s="53">
        <v>31967</v>
      </c>
      <c r="Q75" s="53">
        <v>32679</v>
      </c>
      <c r="R75" s="53">
        <v>32287</v>
      </c>
      <c r="S75" s="53">
        <v>27558</v>
      </c>
      <c r="T75" s="53">
        <v>32235</v>
      </c>
      <c r="U75" s="53">
        <v>33502</v>
      </c>
      <c r="V75" s="53">
        <v>34517</v>
      </c>
      <c r="W75" s="53">
        <v>29884</v>
      </c>
      <c r="X75" s="53">
        <v>29265</v>
      </c>
      <c r="Y75" s="53">
        <v>25776</v>
      </c>
      <c r="Z75" s="53">
        <v>26310</v>
      </c>
      <c r="AA75" s="53">
        <v>27019</v>
      </c>
      <c r="AB75" s="53">
        <v>25362</v>
      </c>
      <c r="AC75" s="53">
        <v>25584</v>
      </c>
      <c r="AD75" s="53">
        <v>26277</v>
      </c>
      <c r="AE75" s="53">
        <v>24973</v>
      </c>
      <c r="AF75" s="53">
        <v>25561</v>
      </c>
      <c r="AG75" s="53">
        <v>24754</v>
      </c>
      <c r="AH75" s="53">
        <v>27666</v>
      </c>
      <c r="AI75" s="53">
        <v>28123</v>
      </c>
      <c r="AJ75" s="53">
        <v>25562</v>
      </c>
      <c r="AK75" s="53">
        <v>24031</v>
      </c>
      <c r="AL75" s="53">
        <v>23474</v>
      </c>
      <c r="AM75" s="53">
        <v>23180</v>
      </c>
      <c r="AN75" s="53">
        <v>20169</v>
      </c>
      <c r="AO75" s="53">
        <v>21694</v>
      </c>
      <c r="AP75" s="53">
        <v>20587</v>
      </c>
      <c r="AQ75" s="53">
        <v>19490</v>
      </c>
      <c r="AR75" s="53">
        <v>19898</v>
      </c>
      <c r="AS75" s="53">
        <v>21536</v>
      </c>
      <c r="AT75" s="53">
        <v>19992</v>
      </c>
      <c r="AU75" s="53">
        <v>20077</v>
      </c>
      <c r="AV75" s="53">
        <v>21401</v>
      </c>
      <c r="AW75" s="53">
        <v>22104</v>
      </c>
      <c r="AX75" s="53">
        <v>19032</v>
      </c>
      <c r="AY75" s="53">
        <v>15074</v>
      </c>
      <c r="AZ75" s="53">
        <v>17385</v>
      </c>
      <c r="BA75" s="53">
        <v>15050</v>
      </c>
      <c r="BB75" s="53">
        <v>16039</v>
      </c>
      <c r="BC75" s="53">
        <v>16732</v>
      </c>
      <c r="BD75" s="53">
        <v>15058</v>
      </c>
      <c r="BE75" s="53">
        <v>14755</v>
      </c>
      <c r="BF75" s="53">
        <v>14364</v>
      </c>
      <c r="BG75" s="53">
        <v>13723</v>
      </c>
      <c r="BH75" s="53">
        <v>14502</v>
      </c>
      <c r="BI75" s="53">
        <v>2751</v>
      </c>
    </row>
    <row r="76" spans="1:61" ht="15.75" x14ac:dyDescent="0.25">
      <c r="A76" s="53" t="s">
        <v>27</v>
      </c>
      <c r="B76" s="56" t="s">
        <v>141</v>
      </c>
      <c r="C76" s="52" t="s">
        <v>41</v>
      </c>
      <c r="D76" s="49" t="str">
        <f>VLOOKUP(A76,PARAMETER!D:E,2,0)</f>
        <v>RIFALDI</v>
      </c>
      <c r="E76" s="49" t="str">
        <f t="shared" si="5"/>
        <v>RIFALDIVOL</v>
      </c>
      <c r="F76" s="49" t="str">
        <f t="shared" si="6"/>
        <v>PERTAMINA RETAILVOL</v>
      </c>
      <c r="G76" s="81">
        <f t="shared" si="7"/>
        <v>306534410417</v>
      </c>
      <c r="H76" s="81">
        <f>SUMIF(I$1:BI$1,"&lt;="&amp;PARAMETER!X$2,I76:BI76)</f>
        <v>95606440988</v>
      </c>
      <c r="I76" s="53">
        <v>10233947325</v>
      </c>
      <c r="J76" s="53">
        <v>9819769166</v>
      </c>
      <c r="K76" s="53">
        <v>9769044182</v>
      </c>
      <c r="L76" s="53">
        <v>9851616653</v>
      </c>
      <c r="M76" s="53">
        <v>10624797455</v>
      </c>
      <c r="N76" s="53">
        <v>9819447596</v>
      </c>
      <c r="O76" s="53">
        <v>7234152854</v>
      </c>
      <c r="P76" s="53">
        <v>7259043411</v>
      </c>
      <c r="Q76" s="53">
        <v>7551549002</v>
      </c>
      <c r="R76" s="53">
        <v>7475516935</v>
      </c>
      <c r="S76" s="53">
        <v>5967556409</v>
      </c>
      <c r="T76" s="53">
        <v>6973498799</v>
      </c>
      <c r="U76" s="53">
        <v>7887089372</v>
      </c>
      <c r="V76" s="53">
        <v>8465714613</v>
      </c>
      <c r="W76" s="53">
        <v>7503872516</v>
      </c>
      <c r="X76" s="53">
        <v>7221521861</v>
      </c>
      <c r="Y76" s="53">
        <v>6350285206</v>
      </c>
      <c r="Z76" s="53">
        <v>6039586785</v>
      </c>
      <c r="AA76" s="53">
        <v>6414207572</v>
      </c>
      <c r="AB76" s="53">
        <v>5744560837</v>
      </c>
      <c r="AC76" s="53">
        <v>5747149222</v>
      </c>
      <c r="AD76" s="53">
        <v>6013798261</v>
      </c>
      <c r="AE76" s="53">
        <v>5796717974</v>
      </c>
      <c r="AF76" s="53">
        <v>6005742667</v>
      </c>
      <c r="AG76" s="53">
        <v>5744931782</v>
      </c>
      <c r="AH76" s="53">
        <v>6732414433</v>
      </c>
      <c r="AI76" s="53">
        <v>6754862816</v>
      </c>
      <c r="AJ76" s="53">
        <v>5983862966</v>
      </c>
      <c r="AK76" s="53">
        <v>5529704699</v>
      </c>
      <c r="AL76" s="53">
        <v>5332883947</v>
      </c>
      <c r="AM76" s="53">
        <v>5231505573</v>
      </c>
      <c r="AN76" s="53">
        <v>4454581456</v>
      </c>
      <c r="AO76" s="53">
        <v>4775019119</v>
      </c>
      <c r="AP76" s="53">
        <v>4578234577</v>
      </c>
      <c r="AQ76" s="53">
        <v>4380207406</v>
      </c>
      <c r="AR76" s="53">
        <v>4363348177</v>
      </c>
      <c r="AS76" s="53">
        <v>4701715496</v>
      </c>
      <c r="AT76" s="53">
        <v>4245890801</v>
      </c>
      <c r="AU76" s="53">
        <v>4308721769</v>
      </c>
      <c r="AV76" s="53">
        <v>4784069107</v>
      </c>
      <c r="AW76" s="53">
        <v>4911536376</v>
      </c>
      <c r="AX76" s="53">
        <v>4164888229</v>
      </c>
      <c r="AY76" s="53">
        <v>3124836961</v>
      </c>
      <c r="AZ76" s="53">
        <v>3905127250</v>
      </c>
      <c r="BA76" s="53">
        <v>3377078961</v>
      </c>
      <c r="BB76" s="53">
        <v>3560077853</v>
      </c>
      <c r="BC76" s="53">
        <v>3610367569</v>
      </c>
      <c r="BD76" s="53">
        <v>3194324214</v>
      </c>
      <c r="BE76" s="53">
        <v>3155700382</v>
      </c>
      <c r="BF76" s="53">
        <v>3059156011</v>
      </c>
      <c r="BG76" s="53">
        <v>2922087827</v>
      </c>
      <c r="BH76" s="53">
        <v>3270686121</v>
      </c>
      <c r="BI76" s="53">
        <v>606401866</v>
      </c>
    </row>
    <row r="77" spans="1:61" ht="15.75" x14ac:dyDescent="0.25">
      <c r="A77" s="53" t="s">
        <v>28</v>
      </c>
      <c r="B77" s="56" t="s">
        <v>141</v>
      </c>
      <c r="C77" s="49" t="s">
        <v>40</v>
      </c>
      <c r="D77" s="49" t="str">
        <f>VLOOKUP(A77,PARAMETER!D:E,2,0)</f>
        <v>NINA</v>
      </c>
      <c r="E77" s="49" t="str">
        <f t="shared" si="5"/>
        <v>NINAFBI</v>
      </c>
      <c r="F77" s="49" t="str">
        <f t="shared" si="6"/>
        <v>PIZZA HUTFBI</v>
      </c>
      <c r="G77" s="81">
        <f t="shared" si="7"/>
        <v>1813484</v>
      </c>
      <c r="H77" s="81">
        <f>SUMIF(I$1:BI$1,"&lt;="&amp;PARAMETER!X$2,I77:BI77)</f>
        <v>463897</v>
      </c>
      <c r="I77" s="53">
        <v>91798</v>
      </c>
      <c r="J77" s="53">
        <v>47922</v>
      </c>
      <c r="K77" s="53">
        <v>54644</v>
      </c>
      <c r="L77" s="53">
        <v>53973</v>
      </c>
      <c r="M77" s="53">
        <v>32066</v>
      </c>
      <c r="N77" s="53">
        <v>27354</v>
      </c>
      <c r="O77" s="53">
        <v>31890</v>
      </c>
      <c r="P77" s="53">
        <v>29704</v>
      </c>
      <c r="Q77" s="53">
        <v>42498</v>
      </c>
      <c r="R77" s="53">
        <v>25168</v>
      </c>
      <c r="S77" s="53">
        <v>26880</v>
      </c>
      <c r="T77" s="53">
        <v>29148</v>
      </c>
      <c r="U77" s="53">
        <v>26506</v>
      </c>
      <c r="V77" s="53">
        <v>40979</v>
      </c>
      <c r="W77" s="53">
        <v>43666</v>
      </c>
      <c r="X77" s="53">
        <v>33886</v>
      </c>
      <c r="Y77" s="53">
        <v>24159</v>
      </c>
      <c r="Z77" s="53">
        <v>23511</v>
      </c>
      <c r="AA77" s="53">
        <v>26715</v>
      </c>
      <c r="AB77" s="53">
        <v>20891</v>
      </c>
      <c r="AC77" s="53">
        <v>26473</v>
      </c>
      <c r="AD77" s="53">
        <v>24039</v>
      </c>
      <c r="AE77" s="53">
        <v>20341</v>
      </c>
      <c r="AF77" s="53">
        <v>28121</v>
      </c>
      <c r="AG77" s="53">
        <v>19262</v>
      </c>
      <c r="AH77" s="53">
        <v>27736</v>
      </c>
      <c r="AI77" s="53">
        <v>17863</v>
      </c>
      <c r="AJ77" s="53">
        <v>19942</v>
      </c>
      <c r="AK77" s="53">
        <v>20959</v>
      </c>
      <c r="AL77" s="53">
        <v>20656</v>
      </c>
      <c r="AM77" s="53">
        <v>16311</v>
      </c>
      <c r="AN77" s="53">
        <v>26581</v>
      </c>
      <c r="AO77" s="53">
        <v>31656</v>
      </c>
      <c r="AP77" s="53">
        <v>26569</v>
      </c>
      <c r="AQ77" s="53">
        <v>27904</v>
      </c>
      <c r="AR77" s="53">
        <v>28007</v>
      </c>
      <c r="AS77" s="53">
        <v>30796</v>
      </c>
      <c r="AT77" s="53">
        <v>139706</v>
      </c>
      <c r="AU77" s="53">
        <v>75386</v>
      </c>
      <c r="AV77" s="53">
        <v>27180</v>
      </c>
      <c r="AW77" s="53">
        <v>27797</v>
      </c>
      <c r="AX77" s="53">
        <v>30220</v>
      </c>
      <c r="AY77" s="53">
        <v>38773</v>
      </c>
      <c r="AZ77" s="53">
        <v>36041</v>
      </c>
      <c r="BA77" s="53">
        <v>36215</v>
      </c>
      <c r="BB77" s="53">
        <v>21993</v>
      </c>
      <c r="BC77" s="53">
        <v>21837</v>
      </c>
      <c r="BD77" s="53">
        <v>37606</v>
      </c>
      <c r="BE77" s="53">
        <v>32659</v>
      </c>
      <c r="BF77" s="53">
        <v>37839</v>
      </c>
      <c r="BG77" s="53">
        <v>38874</v>
      </c>
      <c r="BH77" s="53">
        <v>52174</v>
      </c>
      <c r="BI77" s="53">
        <v>12610</v>
      </c>
    </row>
    <row r="78" spans="1:61" ht="15.75" x14ac:dyDescent="0.25">
      <c r="A78" s="53" t="s">
        <v>28</v>
      </c>
      <c r="B78" s="56" t="s">
        <v>141</v>
      </c>
      <c r="C78" s="52" t="s">
        <v>42</v>
      </c>
      <c r="D78" s="49" t="str">
        <f>VLOOKUP(A78,PARAMETER!D:E,2,0)</f>
        <v>NINA</v>
      </c>
      <c r="E78" s="49" t="str">
        <f t="shared" si="5"/>
        <v>NINATRX</v>
      </c>
      <c r="F78" s="49" t="str">
        <f t="shared" si="6"/>
        <v>PIZZA HUTTRX</v>
      </c>
      <c r="G78" s="81">
        <f t="shared" si="7"/>
        <v>4386</v>
      </c>
      <c r="H78" s="81">
        <f>SUMIF(I$1:BI$1,"&lt;="&amp;PARAMETER!X$2,I78:BI78)</f>
        <v>1410</v>
      </c>
      <c r="I78" s="53">
        <v>184</v>
      </c>
      <c r="J78" s="53">
        <v>116</v>
      </c>
      <c r="K78" s="53">
        <v>121</v>
      </c>
      <c r="L78" s="53">
        <v>129</v>
      </c>
      <c r="M78" s="53">
        <v>75</v>
      </c>
      <c r="N78" s="53">
        <v>75</v>
      </c>
      <c r="O78" s="53">
        <v>95</v>
      </c>
      <c r="P78" s="53">
        <v>73</v>
      </c>
      <c r="Q78" s="53">
        <v>406</v>
      </c>
      <c r="R78" s="53">
        <v>69</v>
      </c>
      <c r="S78" s="53">
        <v>67</v>
      </c>
      <c r="T78" s="53">
        <v>71</v>
      </c>
      <c r="U78" s="53">
        <v>61</v>
      </c>
      <c r="V78" s="53">
        <v>83</v>
      </c>
      <c r="W78" s="53">
        <v>96</v>
      </c>
      <c r="X78" s="53">
        <v>73</v>
      </c>
      <c r="Y78" s="53">
        <v>63</v>
      </c>
      <c r="Z78" s="53">
        <v>64</v>
      </c>
      <c r="AA78" s="53">
        <v>64</v>
      </c>
      <c r="AB78" s="53">
        <v>57</v>
      </c>
      <c r="AC78" s="53">
        <v>62</v>
      </c>
      <c r="AD78" s="53">
        <v>66</v>
      </c>
      <c r="AE78" s="53">
        <v>55</v>
      </c>
      <c r="AF78" s="53">
        <v>68</v>
      </c>
      <c r="AG78" s="53">
        <v>51</v>
      </c>
      <c r="AH78" s="53">
        <v>67</v>
      </c>
      <c r="AI78" s="53">
        <v>49</v>
      </c>
      <c r="AJ78" s="53">
        <v>47</v>
      </c>
      <c r="AK78" s="53">
        <v>62</v>
      </c>
      <c r="AL78" s="53">
        <v>55</v>
      </c>
      <c r="AM78" s="53">
        <v>49</v>
      </c>
      <c r="AN78" s="53">
        <v>69</v>
      </c>
      <c r="AO78" s="53">
        <v>92</v>
      </c>
      <c r="AP78" s="53">
        <v>64</v>
      </c>
      <c r="AQ78" s="53">
        <v>69</v>
      </c>
      <c r="AR78" s="53">
        <v>75</v>
      </c>
      <c r="AS78" s="53">
        <v>78</v>
      </c>
      <c r="AT78" s="53">
        <v>73</v>
      </c>
      <c r="AU78" s="53">
        <v>68</v>
      </c>
      <c r="AV78" s="53">
        <v>66</v>
      </c>
      <c r="AW78" s="53">
        <v>73</v>
      </c>
      <c r="AX78" s="53">
        <v>74</v>
      </c>
      <c r="AY78" s="53">
        <v>103</v>
      </c>
      <c r="AZ78" s="53">
        <v>90</v>
      </c>
      <c r="BA78" s="53">
        <v>80</v>
      </c>
      <c r="BB78" s="53">
        <v>59</v>
      </c>
      <c r="BC78" s="53">
        <v>61</v>
      </c>
      <c r="BD78" s="53">
        <v>93</v>
      </c>
      <c r="BE78" s="53">
        <v>78</v>
      </c>
      <c r="BF78" s="53">
        <v>93</v>
      </c>
      <c r="BG78" s="53">
        <v>99</v>
      </c>
      <c r="BH78" s="53">
        <v>121</v>
      </c>
      <c r="BI78" s="53">
        <v>35</v>
      </c>
    </row>
    <row r="79" spans="1:61" ht="15.75" x14ac:dyDescent="0.25">
      <c r="A79" s="53" t="s">
        <v>28</v>
      </c>
      <c r="B79" s="56" t="s">
        <v>141</v>
      </c>
      <c r="C79" s="52" t="s">
        <v>41</v>
      </c>
      <c r="D79" s="49" t="str">
        <f>VLOOKUP(A79,PARAMETER!D:E,2,0)</f>
        <v>NINA</v>
      </c>
      <c r="E79" s="49" t="str">
        <f t="shared" si="5"/>
        <v>NINAVOL</v>
      </c>
      <c r="F79" s="49" t="str">
        <f t="shared" si="6"/>
        <v>PIZZA HUTVOL</v>
      </c>
      <c r="G79" s="81">
        <f t="shared" si="7"/>
        <v>1088624925</v>
      </c>
      <c r="H79" s="81">
        <f>SUMIF(I$1:BI$1,"&lt;="&amp;PARAMETER!X$2,I79:BI79)</f>
        <v>299606256</v>
      </c>
      <c r="I79" s="53">
        <v>61199348</v>
      </c>
      <c r="J79" s="53">
        <v>31947977</v>
      </c>
      <c r="K79" s="53">
        <v>36016111</v>
      </c>
      <c r="L79" s="53">
        <v>35981969</v>
      </c>
      <c r="M79" s="53">
        <v>21377562</v>
      </c>
      <c r="N79" s="53">
        <v>18235900</v>
      </c>
      <c r="O79" s="53">
        <v>21260355</v>
      </c>
      <c r="P79" s="53">
        <v>19802456</v>
      </c>
      <c r="Q79" s="53">
        <v>19085495</v>
      </c>
      <c r="R79" s="53">
        <v>16779042</v>
      </c>
      <c r="S79" s="53">
        <v>17920041</v>
      </c>
      <c r="T79" s="53">
        <v>19432025</v>
      </c>
      <c r="U79" s="53">
        <v>17670578</v>
      </c>
      <c r="V79" s="53">
        <v>27319550</v>
      </c>
      <c r="W79" s="53">
        <v>29110960</v>
      </c>
      <c r="X79" s="53">
        <v>22590539</v>
      </c>
      <c r="Y79" s="53">
        <v>16105770</v>
      </c>
      <c r="Z79" s="53">
        <v>15674314</v>
      </c>
      <c r="AA79" s="53">
        <v>17809808</v>
      </c>
      <c r="AB79" s="53">
        <v>13927504</v>
      </c>
      <c r="AC79" s="53">
        <v>17648561</v>
      </c>
      <c r="AD79" s="53">
        <v>16026025</v>
      </c>
      <c r="AE79" s="53">
        <v>13560538</v>
      </c>
      <c r="AF79" s="53">
        <v>18747537</v>
      </c>
      <c r="AG79" s="53">
        <v>12841280</v>
      </c>
      <c r="AH79" s="53">
        <v>18490815</v>
      </c>
      <c r="AI79" s="53">
        <v>11908830</v>
      </c>
      <c r="AJ79" s="53">
        <v>13295034</v>
      </c>
      <c r="AK79" s="53">
        <v>13972529</v>
      </c>
      <c r="AL79" s="53">
        <v>13770543</v>
      </c>
      <c r="AM79" s="53">
        <v>10874331</v>
      </c>
      <c r="AN79" s="53">
        <v>17720534</v>
      </c>
      <c r="AO79" s="53">
        <v>21104046</v>
      </c>
      <c r="AP79" s="53">
        <v>17712447</v>
      </c>
      <c r="AQ79" s="53">
        <v>18602845</v>
      </c>
      <c r="AR79" s="53">
        <v>17952046</v>
      </c>
      <c r="AS79" s="53">
        <v>20531058</v>
      </c>
      <c r="AT79" s="53">
        <v>18907049</v>
      </c>
      <c r="AU79" s="53">
        <v>18861867</v>
      </c>
      <c r="AV79" s="53">
        <v>16964046</v>
      </c>
      <c r="AW79" s="53">
        <v>18531442</v>
      </c>
      <c r="AX79" s="53">
        <v>20146526</v>
      </c>
      <c r="AY79" s="53">
        <v>25848945</v>
      </c>
      <c r="AZ79" s="53">
        <v>24027524</v>
      </c>
      <c r="BA79" s="53">
        <v>22432009</v>
      </c>
      <c r="BB79" s="53">
        <v>14662009</v>
      </c>
      <c r="BC79" s="53">
        <v>14558000</v>
      </c>
      <c r="BD79" s="53">
        <v>25070509</v>
      </c>
      <c r="BE79" s="53">
        <v>21772501</v>
      </c>
      <c r="BF79" s="53">
        <v>23729985</v>
      </c>
      <c r="BG79" s="53">
        <v>25916249</v>
      </c>
      <c r="BH79" s="53">
        <v>34782970</v>
      </c>
      <c r="BI79" s="53">
        <v>8406991</v>
      </c>
    </row>
    <row r="80" spans="1:61" ht="15.75" x14ac:dyDescent="0.25">
      <c r="A80" s="53" t="s">
        <v>29</v>
      </c>
      <c r="B80" s="56" t="s">
        <v>141</v>
      </c>
      <c r="C80" s="49" t="s">
        <v>40</v>
      </c>
      <c r="D80" s="49" t="str">
        <f>VLOOKUP(A80,PARAMETER!D:E,2,0)</f>
        <v>RIFALDI</v>
      </c>
      <c r="E80" s="49" t="str">
        <f t="shared" si="5"/>
        <v>RIFALDIFBI</v>
      </c>
      <c r="F80" s="49" t="str">
        <f t="shared" si="6"/>
        <v>PLATINUM CINEPLEXFBI</v>
      </c>
      <c r="G80" s="81">
        <f t="shared" si="7"/>
        <v>7894364</v>
      </c>
      <c r="H80" s="81">
        <f>SUMIF(I$1:BI$1,"&lt;="&amp;PARAMETER!X$2,I80:BI80)</f>
        <v>85631</v>
      </c>
      <c r="I80" s="53">
        <v>2000</v>
      </c>
      <c r="J80" s="53">
        <v>0</v>
      </c>
      <c r="K80" s="53">
        <v>0</v>
      </c>
      <c r="L80" s="53">
        <v>0</v>
      </c>
      <c r="M80" s="53">
        <v>700</v>
      </c>
      <c r="N80" s="53">
        <v>14659</v>
      </c>
      <c r="O80" s="53">
        <v>1620</v>
      </c>
      <c r="P80" s="53">
        <v>36802</v>
      </c>
      <c r="Q80" s="53">
        <v>23958</v>
      </c>
      <c r="R80" s="53">
        <v>3164</v>
      </c>
      <c r="S80" s="53">
        <v>2728</v>
      </c>
      <c r="T80" s="53">
        <v>1920</v>
      </c>
      <c r="U80" s="53">
        <v>10698</v>
      </c>
      <c r="V80" s="53">
        <v>11240</v>
      </c>
      <c r="W80" s="53">
        <v>12800</v>
      </c>
      <c r="X80" s="53">
        <v>4322</v>
      </c>
      <c r="Y80" s="53">
        <v>5758</v>
      </c>
      <c r="Z80" s="53">
        <v>3900</v>
      </c>
      <c r="AA80" s="53">
        <v>2250</v>
      </c>
      <c r="AB80" s="53">
        <v>54142</v>
      </c>
      <c r="AC80" s="53">
        <v>27659</v>
      </c>
      <c r="AD80" s="53">
        <v>16820</v>
      </c>
      <c r="AE80" s="53">
        <v>5055</v>
      </c>
      <c r="AF80" s="53">
        <v>4890</v>
      </c>
      <c r="AG80" s="53">
        <v>14292</v>
      </c>
      <c r="AH80" s="53">
        <v>20837</v>
      </c>
      <c r="AI80" s="53">
        <v>17218</v>
      </c>
      <c r="AJ80" s="53">
        <v>40695</v>
      </c>
      <c r="AK80" s="53">
        <v>86161</v>
      </c>
      <c r="AL80" s="53">
        <v>50786</v>
      </c>
      <c r="AM80" s="53">
        <v>41344</v>
      </c>
      <c r="AN80" s="53">
        <v>40282</v>
      </c>
      <c r="AO80" s="53">
        <v>96720</v>
      </c>
      <c r="AP80" s="53">
        <v>138326</v>
      </c>
      <c r="AQ80" s="53">
        <v>66523</v>
      </c>
      <c r="AR80" s="53">
        <v>70352</v>
      </c>
      <c r="AS80" s="53">
        <v>78384</v>
      </c>
      <c r="AT80" s="53">
        <v>95324</v>
      </c>
      <c r="AU80" s="53">
        <v>45903</v>
      </c>
      <c r="AV80" s="53">
        <v>72380</v>
      </c>
      <c r="AW80" s="53">
        <v>21720</v>
      </c>
      <c r="AX80" s="53">
        <v>27294</v>
      </c>
      <c r="AY80" s="53">
        <v>38568</v>
      </c>
      <c r="AZ80" s="53">
        <v>28577</v>
      </c>
      <c r="BA80" s="53">
        <v>43605</v>
      </c>
      <c r="BB80" s="53">
        <v>803216</v>
      </c>
      <c r="BC80" s="53">
        <v>1039747</v>
      </c>
      <c r="BD80" s="53">
        <v>1176194</v>
      </c>
      <c r="BE80" s="53">
        <v>969534</v>
      </c>
      <c r="BF80" s="53">
        <v>625385</v>
      </c>
      <c r="BG80" s="53">
        <v>696194</v>
      </c>
      <c r="BH80" s="53">
        <v>1033968</v>
      </c>
      <c r="BI80" s="53">
        <v>167750</v>
      </c>
    </row>
    <row r="81" spans="1:61" ht="15.75" x14ac:dyDescent="0.25">
      <c r="A81" s="53" t="s">
        <v>29</v>
      </c>
      <c r="B81" s="56" t="s">
        <v>141</v>
      </c>
      <c r="C81" s="52" t="s">
        <v>42</v>
      </c>
      <c r="D81" s="49" t="str">
        <f>VLOOKUP(A81,PARAMETER!D:E,2,0)</f>
        <v>RIFALDI</v>
      </c>
      <c r="E81" s="49" t="str">
        <f t="shared" si="5"/>
        <v>RIFALDITRX</v>
      </c>
      <c r="F81" s="49" t="str">
        <f t="shared" si="6"/>
        <v>PLATINUM CINEPLEXTRX</v>
      </c>
      <c r="G81" s="81">
        <f t="shared" si="7"/>
        <v>10059</v>
      </c>
      <c r="H81" s="81">
        <f>SUMIF(I$1:BI$1,"&lt;="&amp;PARAMETER!X$2,I81:BI81)</f>
        <v>519</v>
      </c>
      <c r="I81" s="53">
        <v>1</v>
      </c>
      <c r="J81" s="53">
        <v>0</v>
      </c>
      <c r="K81" s="53">
        <v>0</v>
      </c>
      <c r="L81" s="53">
        <v>0</v>
      </c>
      <c r="M81" s="53">
        <v>1</v>
      </c>
      <c r="N81" s="53">
        <v>369</v>
      </c>
      <c r="O81" s="53">
        <v>12</v>
      </c>
      <c r="P81" s="53">
        <v>47</v>
      </c>
      <c r="Q81" s="53">
        <v>46</v>
      </c>
      <c r="R81" s="53">
        <v>24</v>
      </c>
      <c r="S81" s="53">
        <v>19</v>
      </c>
      <c r="T81" s="53">
        <v>24</v>
      </c>
      <c r="U81" s="53">
        <v>28</v>
      </c>
      <c r="V81" s="53">
        <v>31</v>
      </c>
      <c r="W81" s="53">
        <v>74</v>
      </c>
      <c r="X81" s="53">
        <v>39</v>
      </c>
      <c r="Y81" s="53">
        <v>24</v>
      </c>
      <c r="Z81" s="53">
        <v>19</v>
      </c>
      <c r="AA81" s="53">
        <v>32</v>
      </c>
      <c r="AB81" s="53">
        <v>81</v>
      </c>
      <c r="AC81" s="53">
        <v>56</v>
      </c>
      <c r="AD81" s="53">
        <v>37</v>
      </c>
      <c r="AE81" s="53">
        <v>19</v>
      </c>
      <c r="AF81" s="53">
        <v>19</v>
      </c>
      <c r="AG81" s="53">
        <v>37</v>
      </c>
      <c r="AH81" s="53">
        <v>48</v>
      </c>
      <c r="AI81" s="53">
        <v>18</v>
      </c>
      <c r="AJ81" s="53">
        <v>31</v>
      </c>
      <c r="AK81" s="53">
        <v>89</v>
      </c>
      <c r="AL81" s="53">
        <v>92</v>
      </c>
      <c r="AM81" s="53">
        <v>72</v>
      </c>
      <c r="AN81" s="53">
        <v>75</v>
      </c>
      <c r="AO81" s="53">
        <v>155</v>
      </c>
      <c r="AP81" s="53">
        <v>118</v>
      </c>
      <c r="AQ81" s="53">
        <v>101</v>
      </c>
      <c r="AR81" s="53">
        <v>98</v>
      </c>
      <c r="AS81" s="53">
        <v>116</v>
      </c>
      <c r="AT81" s="53">
        <v>113</v>
      </c>
      <c r="AU81" s="53">
        <v>70</v>
      </c>
      <c r="AV81" s="53">
        <v>118</v>
      </c>
      <c r="AW81" s="53">
        <v>50</v>
      </c>
      <c r="AX81" s="53">
        <v>61</v>
      </c>
      <c r="AY81" s="53">
        <v>59</v>
      </c>
      <c r="AZ81" s="53">
        <v>48</v>
      </c>
      <c r="BA81" s="53">
        <v>68</v>
      </c>
      <c r="BB81" s="53">
        <v>935</v>
      </c>
      <c r="BC81" s="53">
        <v>1209</v>
      </c>
      <c r="BD81" s="53">
        <v>1395</v>
      </c>
      <c r="BE81" s="53">
        <v>1090</v>
      </c>
      <c r="BF81" s="53">
        <v>779</v>
      </c>
      <c r="BG81" s="53">
        <v>795</v>
      </c>
      <c r="BH81" s="53">
        <v>1028</v>
      </c>
      <c r="BI81" s="53">
        <v>189</v>
      </c>
    </row>
    <row r="82" spans="1:61" ht="15.75" x14ac:dyDescent="0.25">
      <c r="A82" s="53" t="s">
        <v>29</v>
      </c>
      <c r="B82" s="56" t="s">
        <v>141</v>
      </c>
      <c r="C82" s="52" t="s">
        <v>41</v>
      </c>
      <c r="D82" s="49" t="str">
        <f>VLOOKUP(A82,PARAMETER!D:E,2,0)</f>
        <v>RIFALDI</v>
      </c>
      <c r="E82" s="49" t="str">
        <f t="shared" si="5"/>
        <v>RIFALDIVOL</v>
      </c>
      <c r="F82" s="49" t="str">
        <f t="shared" si="6"/>
        <v>PLATINUM CINEPLEXVOL</v>
      </c>
      <c r="G82" s="81">
        <f t="shared" si="7"/>
        <v>1024812813</v>
      </c>
      <c r="H82" s="81">
        <f>SUMIF(I$1:BI$1,"&lt;="&amp;PARAMETER!X$2,I82:BI82)</f>
        <v>19465800</v>
      </c>
      <c r="I82" s="53">
        <v>200000</v>
      </c>
      <c r="J82" s="53">
        <v>0</v>
      </c>
      <c r="K82" s="53">
        <v>0</v>
      </c>
      <c r="L82" s="53">
        <v>0</v>
      </c>
      <c r="M82" s="53">
        <v>70000</v>
      </c>
      <c r="N82" s="53">
        <v>7103800</v>
      </c>
      <c r="O82" s="53">
        <v>938000</v>
      </c>
      <c r="P82" s="53">
        <v>4605000</v>
      </c>
      <c r="Q82" s="53">
        <v>4095000</v>
      </c>
      <c r="R82" s="53">
        <v>1259000</v>
      </c>
      <c r="S82" s="53">
        <v>1195000</v>
      </c>
      <c r="T82" s="53">
        <v>1280000</v>
      </c>
      <c r="U82" s="53">
        <v>2145000</v>
      </c>
      <c r="V82" s="53">
        <v>2246000</v>
      </c>
      <c r="W82" s="53">
        <v>5258000</v>
      </c>
      <c r="X82" s="53">
        <v>2201000</v>
      </c>
      <c r="Y82" s="53">
        <v>1481000</v>
      </c>
      <c r="Z82" s="53">
        <v>1155000</v>
      </c>
      <c r="AA82" s="53">
        <v>1500000</v>
      </c>
      <c r="AB82" s="53">
        <v>7433000</v>
      </c>
      <c r="AC82" s="53">
        <v>4676000</v>
      </c>
      <c r="AD82" s="53">
        <v>2935000</v>
      </c>
      <c r="AE82" s="53">
        <v>1109000</v>
      </c>
      <c r="AF82" s="53">
        <v>980000</v>
      </c>
      <c r="AG82" s="53">
        <v>2496000</v>
      </c>
      <c r="AH82" s="53">
        <v>3493000</v>
      </c>
      <c r="AI82" s="53">
        <v>2287000</v>
      </c>
      <c r="AJ82" s="53">
        <v>4192000</v>
      </c>
      <c r="AK82" s="53">
        <v>8630000</v>
      </c>
      <c r="AL82" s="53">
        <v>6319000</v>
      </c>
      <c r="AM82" s="53">
        <v>5266000</v>
      </c>
      <c r="AN82" s="53">
        <v>5428000</v>
      </c>
      <c r="AO82" s="53">
        <v>13034000</v>
      </c>
      <c r="AP82" s="53">
        <v>14851000</v>
      </c>
      <c r="AQ82" s="53">
        <v>9172000</v>
      </c>
      <c r="AR82" s="53">
        <v>9948000</v>
      </c>
      <c r="AS82" s="53">
        <v>10443000</v>
      </c>
      <c r="AT82" s="53">
        <v>11254000</v>
      </c>
      <c r="AU82" s="53">
        <v>5946000</v>
      </c>
      <c r="AV82" s="53">
        <v>9407000</v>
      </c>
      <c r="AW82" s="53">
        <v>3143000</v>
      </c>
      <c r="AX82" s="53">
        <v>3806000</v>
      </c>
      <c r="AY82" s="53">
        <v>4405000</v>
      </c>
      <c r="AZ82" s="53">
        <v>3927000</v>
      </c>
      <c r="BA82" s="53">
        <v>5061000</v>
      </c>
      <c r="BB82" s="53">
        <v>103828000</v>
      </c>
      <c r="BC82" s="53">
        <v>133954013</v>
      </c>
      <c r="BD82" s="53">
        <v>150348000</v>
      </c>
      <c r="BE82" s="53">
        <v>124289000</v>
      </c>
      <c r="BF82" s="53">
        <v>79913000</v>
      </c>
      <c r="BG82" s="53">
        <v>84242000</v>
      </c>
      <c r="BH82" s="53">
        <v>130389000</v>
      </c>
      <c r="BI82" s="53">
        <v>21477000</v>
      </c>
    </row>
    <row r="83" spans="1:61" ht="15.75" x14ac:dyDescent="0.25">
      <c r="A83" s="53" t="s">
        <v>31</v>
      </c>
      <c r="B83" s="56" t="s">
        <v>141</v>
      </c>
      <c r="C83" s="49" t="s">
        <v>40</v>
      </c>
      <c r="D83" s="49" t="str">
        <f>VLOOKUP(A83,PARAMETER!D:E,2,0)</f>
        <v>ADISTI</v>
      </c>
      <c r="E83" s="49" t="str">
        <f t="shared" si="5"/>
        <v>ADISTIFBI</v>
      </c>
      <c r="F83" s="49" t="str">
        <f t="shared" si="6"/>
        <v>SARINAHFBI</v>
      </c>
      <c r="G83" s="81">
        <f t="shared" si="7"/>
        <v>138973513</v>
      </c>
      <c r="H83" s="81">
        <f>SUMIF(I$1:BI$1,"&lt;="&amp;PARAMETER!X$2,I83:BI83)</f>
        <v>27249536</v>
      </c>
      <c r="I83" s="53">
        <v>2183786</v>
      </c>
      <c r="J83" s="53">
        <v>1801211</v>
      </c>
      <c r="K83" s="53">
        <v>2370900</v>
      </c>
      <c r="L83" s="53">
        <v>2384739</v>
      </c>
      <c r="M83" s="53">
        <v>3077663</v>
      </c>
      <c r="N83" s="53">
        <v>1967693</v>
      </c>
      <c r="O83" s="53">
        <v>2314371</v>
      </c>
      <c r="P83" s="53">
        <v>3698649</v>
      </c>
      <c r="Q83" s="53">
        <v>1986381</v>
      </c>
      <c r="R83" s="53">
        <v>3253654</v>
      </c>
      <c r="S83" s="53">
        <v>2210489</v>
      </c>
      <c r="T83" s="53">
        <v>3603762</v>
      </c>
      <c r="U83" s="53">
        <v>2435985</v>
      </c>
      <c r="V83" s="53">
        <v>2695871</v>
      </c>
      <c r="W83" s="53">
        <v>2735201</v>
      </c>
      <c r="X83" s="53">
        <v>2607036</v>
      </c>
      <c r="Y83" s="53">
        <v>1272103</v>
      </c>
      <c r="Z83" s="53">
        <v>2819240</v>
      </c>
      <c r="AA83" s="53">
        <v>2360804</v>
      </c>
      <c r="AB83" s="53">
        <v>2452656</v>
      </c>
      <c r="AC83" s="53">
        <v>2848862</v>
      </c>
      <c r="AD83" s="53">
        <v>3187796</v>
      </c>
      <c r="AE83" s="53">
        <v>3146534</v>
      </c>
      <c r="AF83" s="53">
        <v>2478611</v>
      </c>
      <c r="AG83" s="53">
        <v>2293247</v>
      </c>
      <c r="AH83" s="53">
        <v>2480601</v>
      </c>
      <c r="AI83" s="53">
        <v>2620502</v>
      </c>
      <c r="AJ83" s="53">
        <v>2445464</v>
      </c>
      <c r="AK83" s="53">
        <v>2746576</v>
      </c>
      <c r="AL83" s="53">
        <v>2152228</v>
      </c>
      <c r="AM83" s="53">
        <v>2777769</v>
      </c>
      <c r="AN83" s="53">
        <v>2856669</v>
      </c>
      <c r="AO83" s="53">
        <v>3081086</v>
      </c>
      <c r="AP83" s="53">
        <v>2932201</v>
      </c>
      <c r="AQ83" s="53">
        <v>2262069</v>
      </c>
      <c r="AR83" s="53">
        <v>2124744</v>
      </c>
      <c r="AS83" s="53">
        <v>5082164</v>
      </c>
      <c r="AT83" s="53">
        <v>2580897</v>
      </c>
      <c r="AU83" s="53">
        <v>2824435</v>
      </c>
      <c r="AV83" s="53">
        <v>2385863</v>
      </c>
      <c r="AW83" s="53">
        <v>2819610</v>
      </c>
      <c r="AX83" s="53">
        <v>1797780</v>
      </c>
      <c r="AY83" s="53">
        <v>2205890</v>
      </c>
      <c r="AZ83" s="53">
        <v>2548205</v>
      </c>
      <c r="BA83" s="53">
        <v>2773876</v>
      </c>
      <c r="BB83" s="53">
        <v>2669006</v>
      </c>
      <c r="BC83" s="53">
        <v>2888349</v>
      </c>
      <c r="BD83" s="53">
        <v>3658428</v>
      </c>
      <c r="BE83" s="53">
        <v>3464018</v>
      </c>
      <c r="BF83" s="53">
        <v>3278885</v>
      </c>
      <c r="BG83" s="53">
        <v>2379230</v>
      </c>
      <c r="BH83" s="53">
        <v>1757847</v>
      </c>
      <c r="BI83" s="53">
        <v>1191877</v>
      </c>
    </row>
    <row r="84" spans="1:61" ht="15.75" x14ac:dyDescent="0.25">
      <c r="A84" s="53" t="s">
        <v>31</v>
      </c>
      <c r="B84" s="56" t="s">
        <v>141</v>
      </c>
      <c r="C84" s="52" t="s">
        <v>42</v>
      </c>
      <c r="D84" s="49" t="str">
        <f>VLOOKUP(A84,PARAMETER!D:E,2,0)</f>
        <v>ADISTI</v>
      </c>
      <c r="E84" s="49" t="str">
        <f t="shared" si="5"/>
        <v>ADISTITRX</v>
      </c>
      <c r="F84" s="49" t="str">
        <f t="shared" si="6"/>
        <v>SARINAHTRX</v>
      </c>
      <c r="G84" s="81">
        <f t="shared" si="7"/>
        <v>11808</v>
      </c>
      <c r="H84" s="81">
        <f>SUMIF(I$1:BI$1,"&lt;="&amp;PARAMETER!X$2,I84:BI84)</f>
        <v>2019</v>
      </c>
      <c r="I84" s="53">
        <v>178</v>
      </c>
      <c r="J84" s="53">
        <v>164</v>
      </c>
      <c r="K84" s="53">
        <v>168</v>
      </c>
      <c r="L84" s="53">
        <v>191</v>
      </c>
      <c r="M84" s="53">
        <v>211</v>
      </c>
      <c r="N84" s="53">
        <v>182</v>
      </c>
      <c r="O84" s="53">
        <v>156</v>
      </c>
      <c r="P84" s="53">
        <v>182</v>
      </c>
      <c r="Q84" s="53">
        <v>196</v>
      </c>
      <c r="R84" s="53">
        <v>231</v>
      </c>
      <c r="S84" s="53">
        <v>160</v>
      </c>
      <c r="T84" s="53">
        <v>197</v>
      </c>
      <c r="U84" s="53">
        <v>328</v>
      </c>
      <c r="V84" s="53">
        <v>229</v>
      </c>
      <c r="W84" s="53">
        <v>258</v>
      </c>
      <c r="X84" s="53">
        <v>195</v>
      </c>
      <c r="Y84" s="53">
        <v>157</v>
      </c>
      <c r="Z84" s="53">
        <v>214</v>
      </c>
      <c r="AA84" s="53">
        <v>187</v>
      </c>
      <c r="AB84" s="53">
        <v>189</v>
      </c>
      <c r="AC84" s="53">
        <v>240</v>
      </c>
      <c r="AD84" s="53">
        <v>266</v>
      </c>
      <c r="AE84" s="53">
        <v>226</v>
      </c>
      <c r="AF84" s="53">
        <v>200</v>
      </c>
      <c r="AG84" s="53">
        <v>221</v>
      </c>
      <c r="AH84" s="53">
        <v>218</v>
      </c>
      <c r="AI84" s="53">
        <v>212</v>
      </c>
      <c r="AJ84" s="53">
        <v>173</v>
      </c>
      <c r="AK84" s="53">
        <v>192</v>
      </c>
      <c r="AL84" s="53">
        <v>200</v>
      </c>
      <c r="AM84" s="53">
        <v>211</v>
      </c>
      <c r="AN84" s="53">
        <v>244</v>
      </c>
      <c r="AO84" s="53">
        <v>229</v>
      </c>
      <c r="AP84" s="53">
        <v>221</v>
      </c>
      <c r="AQ84" s="53">
        <v>220</v>
      </c>
      <c r="AR84" s="53">
        <v>207</v>
      </c>
      <c r="AS84" s="53">
        <v>244</v>
      </c>
      <c r="AT84" s="53">
        <v>206</v>
      </c>
      <c r="AU84" s="53">
        <v>184</v>
      </c>
      <c r="AV84" s="53">
        <v>158</v>
      </c>
      <c r="AW84" s="53">
        <v>175</v>
      </c>
      <c r="AX84" s="53">
        <v>155</v>
      </c>
      <c r="AY84" s="53">
        <v>126</v>
      </c>
      <c r="AZ84" s="53">
        <v>175</v>
      </c>
      <c r="BA84" s="53">
        <v>144</v>
      </c>
      <c r="BB84" s="53">
        <v>162</v>
      </c>
      <c r="BC84" s="53">
        <v>399</v>
      </c>
      <c r="BD84" s="53">
        <v>440</v>
      </c>
      <c r="BE84" s="53">
        <v>355</v>
      </c>
      <c r="BF84" s="53">
        <v>456</v>
      </c>
      <c r="BG84" s="53">
        <v>469</v>
      </c>
      <c r="BH84" s="53">
        <v>384</v>
      </c>
      <c r="BI84" s="53">
        <v>123</v>
      </c>
    </row>
    <row r="85" spans="1:61" ht="15.75" x14ac:dyDescent="0.25">
      <c r="A85" s="53" t="s">
        <v>31</v>
      </c>
      <c r="B85" s="56" t="s">
        <v>141</v>
      </c>
      <c r="C85" s="52" t="s">
        <v>41</v>
      </c>
      <c r="D85" s="49" t="str">
        <f>VLOOKUP(A85,PARAMETER!D:E,2,0)</f>
        <v>ADISTI</v>
      </c>
      <c r="E85" s="49" t="str">
        <f t="shared" si="5"/>
        <v>ADISTIVOL</v>
      </c>
      <c r="F85" s="49" t="str">
        <f t="shared" si="6"/>
        <v>SARINAHVOL</v>
      </c>
      <c r="G85" s="81">
        <f t="shared" si="7"/>
        <v>10459843451</v>
      </c>
      <c r="H85" s="81">
        <f>SUMIF(I$1:BI$1,"&lt;="&amp;PARAMETER!X$2,I85:BI85)</f>
        <v>2044887924</v>
      </c>
      <c r="I85" s="53">
        <v>170614127</v>
      </c>
      <c r="J85" s="53">
        <v>164861957</v>
      </c>
      <c r="K85" s="53">
        <v>167636544</v>
      </c>
      <c r="L85" s="53">
        <v>167390049</v>
      </c>
      <c r="M85" s="53">
        <v>217753142</v>
      </c>
      <c r="N85" s="53">
        <v>141285282</v>
      </c>
      <c r="O85" s="53">
        <v>165935979</v>
      </c>
      <c r="P85" s="53">
        <v>255849530</v>
      </c>
      <c r="Q85" s="53">
        <v>163339114</v>
      </c>
      <c r="R85" s="53">
        <v>235668302</v>
      </c>
      <c r="S85" s="53">
        <v>194553898</v>
      </c>
      <c r="T85" s="53">
        <v>287487714</v>
      </c>
      <c r="U85" s="53">
        <v>236120618</v>
      </c>
      <c r="V85" s="53">
        <v>228010312</v>
      </c>
      <c r="W85" s="53">
        <v>241792542</v>
      </c>
      <c r="X85" s="53">
        <v>191535162</v>
      </c>
      <c r="Y85" s="53">
        <v>133794788</v>
      </c>
      <c r="Z85" s="53">
        <v>240365759</v>
      </c>
      <c r="AA85" s="53">
        <v>181501251</v>
      </c>
      <c r="AB85" s="53">
        <v>186629891</v>
      </c>
      <c r="AC85" s="53">
        <v>242472257</v>
      </c>
      <c r="AD85" s="53">
        <v>248179116</v>
      </c>
      <c r="AE85" s="53">
        <v>245665114</v>
      </c>
      <c r="AF85" s="53">
        <v>185694969</v>
      </c>
      <c r="AG85" s="53">
        <v>175530330</v>
      </c>
      <c r="AH85" s="53">
        <v>194391854</v>
      </c>
      <c r="AI85" s="53">
        <v>195550142</v>
      </c>
      <c r="AJ85" s="53">
        <v>177628388</v>
      </c>
      <c r="AK85" s="53">
        <v>246950221</v>
      </c>
      <c r="AL85" s="53">
        <v>167686841</v>
      </c>
      <c r="AM85" s="53">
        <v>225135758</v>
      </c>
      <c r="AN85" s="53">
        <v>234688635</v>
      </c>
      <c r="AO85" s="53">
        <v>247787656</v>
      </c>
      <c r="AP85" s="53">
        <v>198908860</v>
      </c>
      <c r="AQ85" s="53">
        <v>173331754</v>
      </c>
      <c r="AR85" s="53">
        <v>174425395</v>
      </c>
      <c r="AS85" s="53">
        <v>337675350</v>
      </c>
      <c r="AT85" s="53">
        <v>198606866</v>
      </c>
      <c r="AU85" s="53">
        <v>191556273</v>
      </c>
      <c r="AV85" s="53">
        <v>164534730</v>
      </c>
      <c r="AW85" s="53">
        <v>181984214</v>
      </c>
      <c r="AX85" s="53">
        <v>142326360</v>
      </c>
      <c r="AY85" s="53">
        <v>153659881</v>
      </c>
      <c r="AZ85" s="53">
        <v>167171374</v>
      </c>
      <c r="BA85" s="53">
        <v>178855432</v>
      </c>
      <c r="BB85" s="53">
        <v>170652260</v>
      </c>
      <c r="BC85" s="53">
        <v>185527535</v>
      </c>
      <c r="BD85" s="53">
        <v>237829562</v>
      </c>
      <c r="BE85" s="53">
        <v>235657962</v>
      </c>
      <c r="BF85" s="53">
        <v>221048207</v>
      </c>
      <c r="BG85" s="53">
        <v>178427979</v>
      </c>
      <c r="BH85" s="53">
        <v>132200651</v>
      </c>
      <c r="BI85" s="53">
        <v>75975564</v>
      </c>
    </row>
    <row r="86" spans="1:61" ht="15.75" x14ac:dyDescent="0.25">
      <c r="A86" s="53" t="s">
        <v>32</v>
      </c>
      <c r="B86" s="56" t="s">
        <v>141</v>
      </c>
      <c r="C86" s="49" t="s">
        <v>40</v>
      </c>
      <c r="D86" s="49" t="str">
        <f>VLOOKUP(A86,PARAMETER!D:E,2,0)</f>
        <v>NINA</v>
      </c>
      <c r="E86" s="49" t="str">
        <f t="shared" si="5"/>
        <v>NINAFBI</v>
      </c>
      <c r="F86" s="49" t="str">
        <f t="shared" si="6"/>
        <v>SHIHLINFBI</v>
      </c>
      <c r="G86" s="81">
        <f t="shared" si="7"/>
        <v>2994609</v>
      </c>
      <c r="H86" s="81">
        <f>SUMIF(I$1:BI$1,"&lt;="&amp;PARAMETER!X$2,I86:BI86)</f>
        <v>465612</v>
      </c>
      <c r="I86" s="53">
        <v>23954</v>
      </c>
      <c r="J86" s="53">
        <v>16529</v>
      </c>
      <c r="K86" s="53">
        <v>15670</v>
      </c>
      <c r="L86" s="53">
        <v>15413</v>
      </c>
      <c r="M86" s="53">
        <v>6115</v>
      </c>
      <c r="N86" s="53">
        <v>333348</v>
      </c>
      <c r="O86" s="53">
        <v>7689</v>
      </c>
      <c r="P86" s="53">
        <v>2602</v>
      </c>
      <c r="Q86" s="53">
        <v>31552</v>
      </c>
      <c r="R86" s="53">
        <v>5126</v>
      </c>
      <c r="S86" s="53">
        <v>7614</v>
      </c>
      <c r="T86" s="53">
        <v>2391</v>
      </c>
      <c r="U86" s="53">
        <v>3540</v>
      </c>
      <c r="V86" s="53">
        <v>16460</v>
      </c>
      <c r="W86" s="53">
        <v>34549</v>
      </c>
      <c r="X86" s="53">
        <v>42745</v>
      </c>
      <c r="Y86" s="53">
        <v>26948</v>
      </c>
      <c r="Z86" s="53">
        <v>37402</v>
      </c>
      <c r="AA86" s="53">
        <v>46527</v>
      </c>
      <c r="AB86" s="53">
        <v>24208</v>
      </c>
      <c r="AC86" s="53">
        <v>35798</v>
      </c>
      <c r="AD86" s="53">
        <v>22921</v>
      </c>
      <c r="AE86" s="53">
        <v>23628</v>
      </c>
      <c r="AF86" s="53">
        <v>28073</v>
      </c>
      <c r="AG86" s="53">
        <v>96317</v>
      </c>
      <c r="AH86" s="53">
        <v>44666</v>
      </c>
      <c r="AI86" s="53">
        <v>32556</v>
      </c>
      <c r="AJ86" s="53">
        <v>39714</v>
      </c>
      <c r="AK86" s="53">
        <v>28121</v>
      </c>
      <c r="AL86" s="53">
        <v>33518</v>
      </c>
      <c r="AM86" s="53">
        <v>34370</v>
      </c>
      <c r="AN86" s="53">
        <v>33367</v>
      </c>
      <c r="AO86" s="53">
        <v>44534</v>
      </c>
      <c r="AP86" s="53">
        <v>42444</v>
      </c>
      <c r="AQ86" s="53">
        <v>49126</v>
      </c>
      <c r="AR86" s="53">
        <v>49380</v>
      </c>
      <c r="AS86" s="53">
        <v>53071</v>
      </c>
      <c r="AT86" s="53">
        <v>103834</v>
      </c>
      <c r="AU86" s="53">
        <v>105297</v>
      </c>
      <c r="AV86" s="53">
        <v>59413</v>
      </c>
      <c r="AW86" s="53">
        <v>58056</v>
      </c>
      <c r="AX86" s="53">
        <v>51595</v>
      </c>
      <c r="AY86" s="53">
        <v>79395</v>
      </c>
      <c r="AZ86" s="53">
        <v>119246</v>
      </c>
      <c r="BA86" s="53">
        <v>99396</v>
      </c>
      <c r="BB86" s="53">
        <v>105056</v>
      </c>
      <c r="BC86" s="53">
        <v>93974</v>
      </c>
      <c r="BD86" s="53">
        <v>129479</v>
      </c>
      <c r="BE86" s="53">
        <v>98040</v>
      </c>
      <c r="BF86" s="53">
        <v>177680</v>
      </c>
      <c r="BG86" s="53">
        <v>115928</v>
      </c>
      <c r="BH86" s="53">
        <v>169450</v>
      </c>
      <c r="BI86" s="53">
        <v>36784</v>
      </c>
    </row>
    <row r="87" spans="1:61" ht="15.75" x14ac:dyDescent="0.25">
      <c r="A87" s="53" t="s">
        <v>32</v>
      </c>
      <c r="B87" s="56" t="s">
        <v>141</v>
      </c>
      <c r="C87" s="52" t="s">
        <v>42</v>
      </c>
      <c r="D87" s="49" t="str">
        <f>VLOOKUP(A87,PARAMETER!D:E,2,0)</f>
        <v>NINA</v>
      </c>
      <c r="E87" s="49" t="str">
        <f t="shared" si="5"/>
        <v>NINATRX</v>
      </c>
      <c r="F87" s="49" t="str">
        <f t="shared" si="6"/>
        <v>SHIHLINTRX</v>
      </c>
      <c r="G87" s="81">
        <f t="shared" si="7"/>
        <v>18634</v>
      </c>
      <c r="H87" s="81">
        <f>SUMIF(I$1:BI$1,"&lt;="&amp;PARAMETER!X$2,I87:BI87)</f>
        <v>6970</v>
      </c>
      <c r="I87" s="53">
        <v>151</v>
      </c>
      <c r="J87" s="53">
        <v>114</v>
      </c>
      <c r="K87" s="53">
        <v>103</v>
      </c>
      <c r="L87" s="53">
        <v>113</v>
      </c>
      <c r="M87" s="53">
        <v>38</v>
      </c>
      <c r="N87" s="53">
        <v>5552</v>
      </c>
      <c r="O87" s="53">
        <v>38</v>
      </c>
      <c r="P87" s="53">
        <v>36</v>
      </c>
      <c r="Q87" s="53">
        <v>407</v>
      </c>
      <c r="R87" s="53">
        <v>18</v>
      </c>
      <c r="S87" s="53">
        <v>400</v>
      </c>
      <c r="T87" s="53">
        <v>542</v>
      </c>
      <c r="U87" s="53">
        <v>455</v>
      </c>
      <c r="V87" s="53">
        <v>137</v>
      </c>
      <c r="W87" s="53">
        <v>268</v>
      </c>
      <c r="X87" s="53">
        <v>227</v>
      </c>
      <c r="Y87" s="53">
        <v>157</v>
      </c>
      <c r="Z87" s="53">
        <v>244</v>
      </c>
      <c r="AA87" s="53">
        <v>199</v>
      </c>
      <c r="AB87" s="53">
        <v>153</v>
      </c>
      <c r="AC87" s="53">
        <v>294</v>
      </c>
      <c r="AD87" s="53">
        <v>190</v>
      </c>
      <c r="AE87" s="53">
        <v>203</v>
      </c>
      <c r="AF87" s="53">
        <v>220</v>
      </c>
      <c r="AG87" s="53">
        <v>474</v>
      </c>
      <c r="AH87" s="53">
        <v>326</v>
      </c>
      <c r="AI87" s="53">
        <v>267</v>
      </c>
      <c r="AJ87" s="53">
        <v>317</v>
      </c>
      <c r="AK87" s="53">
        <v>232</v>
      </c>
      <c r="AL87" s="53">
        <v>282</v>
      </c>
      <c r="AM87" s="53">
        <v>265</v>
      </c>
      <c r="AN87" s="53">
        <v>245</v>
      </c>
      <c r="AO87" s="53">
        <v>300</v>
      </c>
      <c r="AP87" s="53">
        <v>264</v>
      </c>
      <c r="AQ87" s="53">
        <v>255</v>
      </c>
      <c r="AR87" s="53">
        <v>184</v>
      </c>
      <c r="AS87" s="53">
        <v>209</v>
      </c>
      <c r="AT87" s="53">
        <v>194</v>
      </c>
      <c r="AU87" s="53">
        <v>229</v>
      </c>
      <c r="AV87" s="53">
        <v>202</v>
      </c>
      <c r="AW87" s="53">
        <v>186</v>
      </c>
      <c r="AX87" s="53">
        <v>182</v>
      </c>
      <c r="AY87" s="53">
        <v>241</v>
      </c>
      <c r="AZ87" s="53">
        <v>349</v>
      </c>
      <c r="BA87" s="53">
        <v>317</v>
      </c>
      <c r="BB87" s="53">
        <v>310</v>
      </c>
      <c r="BC87" s="53">
        <v>258</v>
      </c>
      <c r="BD87" s="53">
        <v>422</v>
      </c>
      <c r="BE87" s="53">
        <v>316</v>
      </c>
      <c r="BF87" s="53">
        <v>561</v>
      </c>
      <c r="BG87" s="53">
        <v>351</v>
      </c>
      <c r="BH87" s="53">
        <v>526</v>
      </c>
      <c r="BI87" s="53">
        <v>111</v>
      </c>
    </row>
    <row r="88" spans="1:61" ht="15.75" x14ac:dyDescent="0.25">
      <c r="A88" s="53" t="s">
        <v>32</v>
      </c>
      <c r="B88" s="56" t="s">
        <v>141</v>
      </c>
      <c r="C88" s="52" t="s">
        <v>41</v>
      </c>
      <c r="D88" s="49" t="str">
        <f>VLOOKUP(A88,PARAMETER!D:E,2,0)</f>
        <v>NINA</v>
      </c>
      <c r="E88" s="49" t="str">
        <f t="shared" si="5"/>
        <v>NINAVOL</v>
      </c>
      <c r="F88" s="49" t="str">
        <f t="shared" si="6"/>
        <v>SHIHLINVOL</v>
      </c>
      <c r="G88" s="81">
        <f t="shared" si="7"/>
        <v>876168049</v>
      </c>
      <c r="H88" s="81">
        <f>SUMIF(I$1:BI$1,"&lt;="&amp;PARAMETER!X$2,I88:BI88)</f>
        <v>107455942</v>
      </c>
      <c r="I88" s="53">
        <v>12857000</v>
      </c>
      <c r="J88" s="53">
        <v>9707000</v>
      </c>
      <c r="K88" s="53">
        <v>9574400</v>
      </c>
      <c r="L88" s="53">
        <v>9839000</v>
      </c>
      <c r="M88" s="53">
        <v>3279000</v>
      </c>
      <c r="N88" s="53">
        <v>50959553</v>
      </c>
      <c r="O88" s="53">
        <v>1542008</v>
      </c>
      <c r="P88" s="53">
        <v>1559016</v>
      </c>
      <c r="Q88" s="53">
        <v>5627644</v>
      </c>
      <c r="R88" s="53">
        <v>1039000</v>
      </c>
      <c r="S88" s="53">
        <v>1472321</v>
      </c>
      <c r="T88" s="53">
        <v>625417</v>
      </c>
      <c r="U88" s="53">
        <v>1322381</v>
      </c>
      <c r="V88" s="53">
        <v>10191001</v>
      </c>
      <c r="W88" s="53">
        <v>21171000</v>
      </c>
      <c r="X88" s="53">
        <v>18781000</v>
      </c>
      <c r="Y88" s="53">
        <v>12673000</v>
      </c>
      <c r="Z88" s="53">
        <v>14860802</v>
      </c>
      <c r="AA88" s="53">
        <v>16889600</v>
      </c>
      <c r="AB88" s="53">
        <v>12376201</v>
      </c>
      <c r="AC88" s="53">
        <v>22874000</v>
      </c>
      <c r="AD88" s="53">
        <v>14221000</v>
      </c>
      <c r="AE88" s="53">
        <v>15491600</v>
      </c>
      <c r="AF88" s="53">
        <v>17097000</v>
      </c>
      <c r="AG88" s="53">
        <v>31603352</v>
      </c>
      <c r="AH88" s="53">
        <v>25159000</v>
      </c>
      <c r="AI88" s="53">
        <v>20744800</v>
      </c>
      <c r="AJ88" s="53">
        <v>25575200</v>
      </c>
      <c r="AK88" s="53">
        <v>18016500</v>
      </c>
      <c r="AL88" s="53">
        <v>21579000</v>
      </c>
      <c r="AM88" s="53">
        <v>20999000</v>
      </c>
      <c r="AN88" s="53">
        <v>18585001</v>
      </c>
      <c r="AO88" s="53">
        <v>22594045</v>
      </c>
      <c r="AP88" s="53">
        <v>20046001</v>
      </c>
      <c r="AQ88" s="53">
        <v>19781000</v>
      </c>
      <c r="AR88" s="53">
        <v>14605815</v>
      </c>
      <c r="AS88" s="53">
        <v>14615160</v>
      </c>
      <c r="AT88" s="53">
        <v>14446600</v>
      </c>
      <c r="AU88" s="53">
        <v>17149500</v>
      </c>
      <c r="AV88" s="53">
        <v>14780915</v>
      </c>
      <c r="AW88" s="53">
        <v>12612615</v>
      </c>
      <c r="AX88" s="53">
        <v>12098200</v>
      </c>
      <c r="AY88" s="53">
        <v>16083900</v>
      </c>
      <c r="AZ88" s="53">
        <v>23875501</v>
      </c>
      <c r="BA88" s="53">
        <v>20517000</v>
      </c>
      <c r="BB88" s="53">
        <v>20382000</v>
      </c>
      <c r="BC88" s="53">
        <v>18034000</v>
      </c>
      <c r="BD88" s="53">
        <v>28196000</v>
      </c>
      <c r="BE88" s="53">
        <v>20213000</v>
      </c>
      <c r="BF88" s="53">
        <v>33227000</v>
      </c>
      <c r="BG88" s="53">
        <v>22839000</v>
      </c>
      <c r="BH88" s="53">
        <v>34124000</v>
      </c>
      <c r="BI88" s="53">
        <v>7655000</v>
      </c>
    </row>
    <row r="89" spans="1:61" ht="15.75" x14ac:dyDescent="0.25">
      <c r="A89" s="53" t="s">
        <v>33</v>
      </c>
      <c r="B89" s="56" t="s">
        <v>141</v>
      </c>
      <c r="C89" s="49" t="s">
        <v>40</v>
      </c>
      <c r="D89" s="49" t="str">
        <f>VLOOKUP(A89,PARAMETER!D:E,2,0)</f>
        <v>NINA</v>
      </c>
      <c r="E89" s="49" t="str">
        <f t="shared" si="5"/>
        <v>NINAFBI</v>
      </c>
      <c r="F89" s="49" t="str">
        <f t="shared" si="6"/>
        <v>SOLARIAFBI</v>
      </c>
      <c r="G89" s="81">
        <f t="shared" si="7"/>
        <v>6521520</v>
      </c>
      <c r="H89" s="81">
        <f>SUMIF(I$1:BI$1,"&lt;="&amp;PARAMETER!X$2,I89:BI89)</f>
        <v>1781243</v>
      </c>
      <c r="I89" s="53">
        <v>155320</v>
      </c>
      <c r="J89" s="53">
        <v>137343</v>
      </c>
      <c r="K89" s="53">
        <v>144146</v>
      </c>
      <c r="L89" s="53">
        <v>146394</v>
      </c>
      <c r="M89" s="53">
        <v>132038</v>
      </c>
      <c r="N89" s="53">
        <v>189244</v>
      </c>
      <c r="O89" s="53">
        <v>200052</v>
      </c>
      <c r="P89" s="53">
        <v>154613</v>
      </c>
      <c r="Q89" s="53">
        <v>178733</v>
      </c>
      <c r="R89" s="53">
        <v>183133</v>
      </c>
      <c r="S89" s="53">
        <v>160227</v>
      </c>
      <c r="T89" s="53">
        <v>163979</v>
      </c>
      <c r="U89" s="53">
        <v>233223</v>
      </c>
      <c r="V89" s="53">
        <v>95407</v>
      </c>
      <c r="W89" s="53">
        <v>151187</v>
      </c>
      <c r="X89" s="53">
        <v>110991</v>
      </c>
      <c r="Y89" s="53">
        <v>73757</v>
      </c>
      <c r="Z89" s="53">
        <v>79824</v>
      </c>
      <c r="AA89" s="53">
        <v>87036</v>
      </c>
      <c r="AB89" s="53">
        <v>68044</v>
      </c>
      <c r="AC89" s="53">
        <v>94566</v>
      </c>
      <c r="AD89" s="53">
        <v>69103</v>
      </c>
      <c r="AE89" s="53">
        <v>82550</v>
      </c>
      <c r="AF89" s="53">
        <v>70096</v>
      </c>
      <c r="AG89" s="53">
        <v>84686</v>
      </c>
      <c r="AH89" s="53">
        <v>87507</v>
      </c>
      <c r="AI89" s="53">
        <v>75410</v>
      </c>
      <c r="AJ89" s="53">
        <v>81295</v>
      </c>
      <c r="AK89" s="53">
        <v>58948</v>
      </c>
      <c r="AL89" s="53">
        <v>62719</v>
      </c>
      <c r="AM89" s="53">
        <v>92470</v>
      </c>
      <c r="AN89" s="53">
        <v>90116</v>
      </c>
      <c r="AO89" s="53">
        <v>98904</v>
      </c>
      <c r="AP89" s="53">
        <v>106396</v>
      </c>
      <c r="AQ89" s="53">
        <v>93974</v>
      </c>
      <c r="AR89" s="53">
        <v>97137</v>
      </c>
      <c r="AS89" s="53">
        <v>90414</v>
      </c>
      <c r="AT89" s="53">
        <v>550058</v>
      </c>
      <c r="AU89" s="53">
        <v>235775</v>
      </c>
      <c r="AV89" s="53">
        <v>115112</v>
      </c>
      <c r="AW89" s="53">
        <v>91747</v>
      </c>
      <c r="AX89" s="53">
        <v>93448</v>
      </c>
      <c r="AY89" s="53">
        <v>98610</v>
      </c>
      <c r="AZ89" s="53">
        <v>104031</v>
      </c>
      <c r="BA89" s="53">
        <v>84224</v>
      </c>
      <c r="BB89" s="53">
        <v>84114</v>
      </c>
      <c r="BC89" s="53">
        <v>87734</v>
      </c>
      <c r="BD89" s="53">
        <v>128405</v>
      </c>
      <c r="BE89" s="53">
        <v>106319</v>
      </c>
      <c r="BF89" s="53">
        <v>103786</v>
      </c>
      <c r="BG89" s="53">
        <v>130311</v>
      </c>
      <c r="BH89" s="53">
        <v>180272</v>
      </c>
      <c r="BI89" s="53">
        <v>46592</v>
      </c>
    </row>
    <row r="90" spans="1:61" ht="15.75" x14ac:dyDescent="0.25">
      <c r="A90" s="53" t="s">
        <v>33</v>
      </c>
      <c r="B90" s="56" t="s">
        <v>141</v>
      </c>
      <c r="C90" s="52" t="s">
        <v>42</v>
      </c>
      <c r="D90" s="49" t="str">
        <f>VLOOKUP(A90,PARAMETER!D:E,2,0)</f>
        <v>NINA</v>
      </c>
      <c r="E90" s="49" t="str">
        <f t="shared" si="5"/>
        <v>NINATRX</v>
      </c>
      <c r="F90" s="49" t="str">
        <f t="shared" si="6"/>
        <v>SOLARIATRX</v>
      </c>
      <c r="G90" s="81">
        <f t="shared" si="7"/>
        <v>23146</v>
      </c>
      <c r="H90" s="81">
        <f>SUMIF(I$1:BI$1,"&lt;="&amp;PARAMETER!X$2,I90:BI90)</f>
        <v>6709</v>
      </c>
      <c r="I90" s="53">
        <v>562</v>
      </c>
      <c r="J90" s="53">
        <v>507</v>
      </c>
      <c r="K90" s="53">
        <v>532</v>
      </c>
      <c r="L90" s="53">
        <v>566</v>
      </c>
      <c r="M90" s="53">
        <v>506</v>
      </c>
      <c r="N90" s="53">
        <v>715</v>
      </c>
      <c r="O90" s="53">
        <v>766</v>
      </c>
      <c r="P90" s="53">
        <v>615</v>
      </c>
      <c r="Q90" s="53">
        <v>649</v>
      </c>
      <c r="R90" s="53">
        <v>674</v>
      </c>
      <c r="S90" s="53">
        <v>617</v>
      </c>
      <c r="T90" s="53">
        <v>626</v>
      </c>
      <c r="U90" s="53">
        <v>813</v>
      </c>
      <c r="V90" s="53">
        <v>342</v>
      </c>
      <c r="W90" s="53">
        <v>470</v>
      </c>
      <c r="X90" s="53">
        <v>402</v>
      </c>
      <c r="Y90" s="53">
        <v>306</v>
      </c>
      <c r="Z90" s="53">
        <v>330</v>
      </c>
      <c r="AA90" s="53">
        <v>351</v>
      </c>
      <c r="AB90" s="53">
        <v>279</v>
      </c>
      <c r="AC90" s="53">
        <v>353</v>
      </c>
      <c r="AD90" s="53">
        <v>288</v>
      </c>
      <c r="AE90" s="53">
        <v>307</v>
      </c>
      <c r="AF90" s="53">
        <v>277</v>
      </c>
      <c r="AG90" s="53">
        <v>311</v>
      </c>
      <c r="AH90" s="53">
        <v>309</v>
      </c>
      <c r="AI90" s="53">
        <v>300</v>
      </c>
      <c r="AJ90" s="53">
        <v>308</v>
      </c>
      <c r="AK90" s="53">
        <v>260</v>
      </c>
      <c r="AL90" s="53">
        <v>288</v>
      </c>
      <c r="AM90" s="53">
        <v>355</v>
      </c>
      <c r="AN90" s="53">
        <v>389</v>
      </c>
      <c r="AO90" s="53">
        <v>418</v>
      </c>
      <c r="AP90" s="53">
        <v>440</v>
      </c>
      <c r="AQ90" s="53">
        <v>393</v>
      </c>
      <c r="AR90" s="53">
        <v>411</v>
      </c>
      <c r="AS90" s="53">
        <v>380</v>
      </c>
      <c r="AT90" s="53">
        <v>444</v>
      </c>
      <c r="AU90" s="53">
        <v>403</v>
      </c>
      <c r="AV90" s="53">
        <v>466</v>
      </c>
      <c r="AW90" s="53">
        <v>391</v>
      </c>
      <c r="AX90" s="53">
        <v>397</v>
      </c>
      <c r="AY90" s="53">
        <v>405</v>
      </c>
      <c r="AZ90" s="53">
        <v>419</v>
      </c>
      <c r="BA90" s="53">
        <v>368</v>
      </c>
      <c r="BB90" s="53">
        <v>358</v>
      </c>
      <c r="BC90" s="53">
        <v>374</v>
      </c>
      <c r="BD90" s="53">
        <v>521</v>
      </c>
      <c r="BE90" s="53">
        <v>423</v>
      </c>
      <c r="BF90" s="53">
        <v>430</v>
      </c>
      <c r="BG90" s="53">
        <v>512</v>
      </c>
      <c r="BH90" s="53">
        <v>652</v>
      </c>
      <c r="BI90" s="53">
        <v>168</v>
      </c>
    </row>
    <row r="91" spans="1:61" ht="15.75" x14ac:dyDescent="0.25">
      <c r="A91" s="53" t="s">
        <v>33</v>
      </c>
      <c r="B91" s="56" t="s">
        <v>141</v>
      </c>
      <c r="C91" s="52" t="s">
        <v>41</v>
      </c>
      <c r="D91" s="49" t="str">
        <f>VLOOKUP(A91,PARAMETER!D:E,2,0)</f>
        <v>NINA</v>
      </c>
      <c r="E91" s="49" t="str">
        <f t="shared" si="5"/>
        <v>NINAVOL</v>
      </c>
      <c r="F91" s="49" t="str">
        <f t="shared" si="6"/>
        <v>SOLARIAVOL</v>
      </c>
      <c r="G91" s="81">
        <f t="shared" si="7"/>
        <v>3954419488</v>
      </c>
      <c r="H91" s="81">
        <f>SUMIF(I$1:BI$1,"&lt;="&amp;PARAMETER!X$2,I91:BI91)</f>
        <v>1185852100</v>
      </c>
      <c r="I91" s="53">
        <v>102917500</v>
      </c>
      <c r="J91" s="53">
        <v>91562000</v>
      </c>
      <c r="K91" s="53">
        <v>96097000</v>
      </c>
      <c r="L91" s="53">
        <v>97596300</v>
      </c>
      <c r="M91" s="53">
        <v>88025000</v>
      </c>
      <c r="N91" s="53">
        <v>126163000</v>
      </c>
      <c r="O91" s="53">
        <v>133368000</v>
      </c>
      <c r="P91" s="53">
        <v>103075400</v>
      </c>
      <c r="Q91" s="53">
        <v>119155400</v>
      </c>
      <c r="R91" s="53">
        <v>121074200</v>
      </c>
      <c r="S91" s="53">
        <v>106818300</v>
      </c>
      <c r="T91" s="53">
        <v>109319600</v>
      </c>
      <c r="U91" s="53">
        <v>155481800</v>
      </c>
      <c r="V91" s="53">
        <v>63604600</v>
      </c>
      <c r="W91" s="53">
        <v>100791600</v>
      </c>
      <c r="X91" s="53">
        <v>72719200</v>
      </c>
      <c r="Y91" s="53">
        <v>49171500</v>
      </c>
      <c r="Z91" s="53">
        <v>52813800</v>
      </c>
      <c r="AA91" s="53">
        <v>58024200</v>
      </c>
      <c r="AB91" s="53">
        <v>45362900</v>
      </c>
      <c r="AC91" s="53">
        <v>63044100</v>
      </c>
      <c r="AD91" s="53">
        <v>46068800</v>
      </c>
      <c r="AE91" s="53">
        <v>53820900</v>
      </c>
      <c r="AF91" s="53">
        <v>46730400</v>
      </c>
      <c r="AG91" s="53">
        <v>56457100</v>
      </c>
      <c r="AH91" s="53">
        <v>58337900</v>
      </c>
      <c r="AI91" s="53">
        <v>50273300</v>
      </c>
      <c r="AJ91" s="53">
        <v>53715200</v>
      </c>
      <c r="AK91" s="53">
        <v>39298900</v>
      </c>
      <c r="AL91" s="53">
        <v>41812900</v>
      </c>
      <c r="AM91" s="53">
        <v>61647000</v>
      </c>
      <c r="AN91" s="53">
        <v>60077400</v>
      </c>
      <c r="AO91" s="53">
        <v>65936100</v>
      </c>
      <c r="AP91" s="53">
        <v>70930900</v>
      </c>
      <c r="AQ91" s="53">
        <v>62649600</v>
      </c>
      <c r="AR91" s="53">
        <v>64758000</v>
      </c>
      <c r="AS91" s="53">
        <v>59975900</v>
      </c>
      <c r="AT91" s="53">
        <v>75095700</v>
      </c>
      <c r="AU91" s="53">
        <v>67600288</v>
      </c>
      <c r="AV91" s="53">
        <v>76027600</v>
      </c>
      <c r="AW91" s="53">
        <v>61164400</v>
      </c>
      <c r="AX91" s="53">
        <v>62298500</v>
      </c>
      <c r="AY91" s="53">
        <v>65739800</v>
      </c>
      <c r="AZ91" s="53">
        <v>67178100</v>
      </c>
      <c r="BA91" s="53">
        <v>56149600</v>
      </c>
      <c r="BB91" s="53">
        <v>56076300</v>
      </c>
      <c r="BC91" s="53">
        <v>58489000</v>
      </c>
      <c r="BD91" s="53">
        <v>85603500</v>
      </c>
      <c r="BE91" s="53">
        <v>67014400</v>
      </c>
      <c r="BF91" s="53">
        <v>69190400</v>
      </c>
      <c r="BG91" s="53">
        <v>86873900</v>
      </c>
      <c r="BH91" s="53">
        <v>120181300</v>
      </c>
      <c r="BI91" s="53">
        <v>31061000</v>
      </c>
    </row>
    <row r="92" spans="1:61" ht="15.75" x14ac:dyDescent="0.25">
      <c r="A92" s="53" t="s">
        <v>34</v>
      </c>
      <c r="B92" s="56" t="s">
        <v>141</v>
      </c>
      <c r="C92" s="49" t="s">
        <v>40</v>
      </c>
      <c r="D92" s="49" t="str">
        <f>VLOOKUP(A92,PARAMETER!D:E,2,0)</f>
        <v>NINA</v>
      </c>
      <c r="E92" s="49" t="str">
        <f t="shared" si="5"/>
        <v>NINAFBI</v>
      </c>
      <c r="F92" s="49" t="str">
        <f t="shared" si="6"/>
        <v>SOUR SALLYFBI</v>
      </c>
      <c r="G92" s="81">
        <f t="shared" si="7"/>
        <v>726876</v>
      </c>
      <c r="H92" s="81">
        <f>SUMIF(I$1:BI$1,"&lt;="&amp;PARAMETER!X$2,I92:BI92)</f>
        <v>44323</v>
      </c>
      <c r="I92" s="53">
        <v>5422</v>
      </c>
      <c r="J92" s="53">
        <v>14788</v>
      </c>
      <c r="K92" s="53">
        <v>4287</v>
      </c>
      <c r="L92" s="53">
        <v>6962</v>
      </c>
      <c r="M92" s="53">
        <v>1693</v>
      </c>
      <c r="N92" s="53">
        <v>670</v>
      </c>
      <c r="O92" s="53">
        <v>4355</v>
      </c>
      <c r="P92" s="53">
        <v>1820</v>
      </c>
      <c r="Q92" s="53">
        <v>1463</v>
      </c>
      <c r="R92" s="53">
        <v>1127</v>
      </c>
      <c r="S92" s="53">
        <v>1736</v>
      </c>
      <c r="T92" s="53">
        <v>615</v>
      </c>
      <c r="U92" s="53">
        <v>1412</v>
      </c>
      <c r="V92" s="53">
        <v>1200</v>
      </c>
      <c r="W92" s="53">
        <v>2092</v>
      </c>
      <c r="X92" s="53">
        <v>2085</v>
      </c>
      <c r="Y92" s="53">
        <v>2355</v>
      </c>
      <c r="Z92" s="53">
        <v>1719</v>
      </c>
      <c r="AA92" s="53">
        <v>752</v>
      </c>
      <c r="AB92" s="53">
        <v>1069</v>
      </c>
      <c r="AC92" s="53">
        <v>1268</v>
      </c>
      <c r="AD92" s="53">
        <v>2707</v>
      </c>
      <c r="AE92" s="53">
        <v>3006</v>
      </c>
      <c r="AF92" s="53">
        <v>1114</v>
      </c>
      <c r="AG92" s="53">
        <v>3125</v>
      </c>
      <c r="AH92" s="53">
        <v>2679</v>
      </c>
      <c r="AI92" s="53">
        <v>9941</v>
      </c>
      <c r="AJ92" s="53">
        <v>2314</v>
      </c>
      <c r="AK92" s="53">
        <v>1989</v>
      </c>
      <c r="AL92" s="53">
        <v>1038</v>
      </c>
      <c r="AM92" s="53">
        <v>1301</v>
      </c>
      <c r="AN92" s="53">
        <v>333</v>
      </c>
      <c r="AO92" s="53">
        <v>0</v>
      </c>
      <c r="AP92" s="53">
        <v>288</v>
      </c>
      <c r="AQ92" s="53">
        <v>0</v>
      </c>
      <c r="AR92" s="53">
        <v>0</v>
      </c>
      <c r="AS92" s="53">
        <v>0</v>
      </c>
      <c r="AT92" s="53">
        <v>0</v>
      </c>
      <c r="AU92" s="53">
        <v>0</v>
      </c>
      <c r="AV92" s="53">
        <v>93</v>
      </c>
      <c r="AW92" s="53">
        <v>0</v>
      </c>
      <c r="AX92" s="53">
        <v>0</v>
      </c>
      <c r="AY92" s="53">
        <v>1001</v>
      </c>
      <c r="AZ92" s="53">
        <v>0</v>
      </c>
      <c r="BA92" s="53">
        <v>0</v>
      </c>
      <c r="BB92" s="53">
        <v>228</v>
      </c>
      <c r="BC92" s="53">
        <v>639</v>
      </c>
      <c r="BD92" s="53">
        <v>129</v>
      </c>
      <c r="BE92" s="53">
        <v>224</v>
      </c>
      <c r="BF92" s="53">
        <v>0</v>
      </c>
      <c r="BG92" s="53">
        <v>129559</v>
      </c>
      <c r="BH92" s="53">
        <v>421242</v>
      </c>
      <c r="BI92" s="53">
        <v>85036</v>
      </c>
    </row>
    <row r="93" spans="1:61" ht="15.75" x14ac:dyDescent="0.25">
      <c r="A93" s="53" t="s">
        <v>34</v>
      </c>
      <c r="B93" s="56" t="s">
        <v>141</v>
      </c>
      <c r="C93" s="52" t="s">
        <v>42</v>
      </c>
      <c r="D93" s="49" t="str">
        <f>VLOOKUP(A93,PARAMETER!D:E,2,0)</f>
        <v>NINA</v>
      </c>
      <c r="E93" s="49" t="str">
        <f t="shared" si="5"/>
        <v>NINATRX</v>
      </c>
      <c r="F93" s="49" t="str">
        <f t="shared" si="6"/>
        <v>SOUR SALLYTRX</v>
      </c>
      <c r="G93" s="81">
        <f t="shared" si="7"/>
        <v>1745</v>
      </c>
      <c r="H93" s="81">
        <f>SUMIF(I$1:BI$1,"&lt;="&amp;PARAMETER!X$2,I93:BI93)</f>
        <v>303</v>
      </c>
      <c r="I93" s="53">
        <v>38</v>
      </c>
      <c r="J93" s="53">
        <v>71</v>
      </c>
      <c r="K93" s="53">
        <v>43</v>
      </c>
      <c r="L93" s="53">
        <v>51</v>
      </c>
      <c r="M93" s="53">
        <v>13</v>
      </c>
      <c r="N93" s="53">
        <v>5</v>
      </c>
      <c r="O93" s="53">
        <v>17</v>
      </c>
      <c r="P93" s="53">
        <v>20</v>
      </c>
      <c r="Q93" s="53">
        <v>15</v>
      </c>
      <c r="R93" s="53">
        <v>12</v>
      </c>
      <c r="S93" s="53">
        <v>18</v>
      </c>
      <c r="T93" s="53">
        <v>8</v>
      </c>
      <c r="U93" s="53">
        <v>14</v>
      </c>
      <c r="V93" s="53">
        <v>12</v>
      </c>
      <c r="W93" s="53">
        <v>21</v>
      </c>
      <c r="X93" s="53">
        <v>14</v>
      </c>
      <c r="Y93" s="53">
        <v>15</v>
      </c>
      <c r="Z93" s="53">
        <v>12</v>
      </c>
      <c r="AA93" s="53">
        <v>6</v>
      </c>
      <c r="AB93" s="53">
        <v>11</v>
      </c>
      <c r="AC93" s="53">
        <v>11</v>
      </c>
      <c r="AD93" s="53">
        <v>9</v>
      </c>
      <c r="AE93" s="53">
        <v>15</v>
      </c>
      <c r="AF93" s="53">
        <v>13</v>
      </c>
      <c r="AG93" s="53">
        <v>14</v>
      </c>
      <c r="AH93" s="53">
        <v>16</v>
      </c>
      <c r="AI93" s="53">
        <v>27</v>
      </c>
      <c r="AJ93" s="53">
        <v>18</v>
      </c>
      <c r="AK93" s="53">
        <v>13</v>
      </c>
      <c r="AL93" s="53">
        <v>13</v>
      </c>
      <c r="AM93" s="53">
        <v>9</v>
      </c>
      <c r="AN93" s="53">
        <v>4</v>
      </c>
      <c r="AO93" s="53">
        <v>0</v>
      </c>
      <c r="AP93" s="53">
        <v>1</v>
      </c>
      <c r="AQ93" s="53">
        <v>0</v>
      </c>
      <c r="AR93" s="53">
        <v>1</v>
      </c>
      <c r="AS93" s="53">
        <v>1</v>
      </c>
      <c r="AT93" s="53">
        <v>0</v>
      </c>
      <c r="AU93" s="53">
        <v>0</v>
      </c>
      <c r="AV93" s="53">
        <v>1</v>
      </c>
      <c r="AW93" s="53">
        <v>0</v>
      </c>
      <c r="AX93" s="53">
        <v>0</v>
      </c>
      <c r="AY93" s="53">
        <v>1</v>
      </c>
      <c r="AZ93" s="53">
        <v>0</v>
      </c>
      <c r="BA93" s="53">
        <v>0</v>
      </c>
      <c r="BB93" s="53">
        <v>2</v>
      </c>
      <c r="BC93" s="53">
        <v>3</v>
      </c>
      <c r="BD93" s="53">
        <v>2</v>
      </c>
      <c r="BE93" s="53">
        <v>1</v>
      </c>
      <c r="BF93" s="53">
        <v>0</v>
      </c>
      <c r="BG93" s="53">
        <v>240</v>
      </c>
      <c r="BH93" s="53">
        <v>760</v>
      </c>
      <c r="BI93" s="53">
        <v>154</v>
      </c>
    </row>
    <row r="94" spans="1:61" ht="15.75" x14ac:dyDescent="0.25">
      <c r="A94" s="53" t="s">
        <v>34</v>
      </c>
      <c r="B94" s="56" t="s">
        <v>141</v>
      </c>
      <c r="C94" s="52" t="s">
        <v>41</v>
      </c>
      <c r="D94" s="49" t="str">
        <f>VLOOKUP(A94,PARAMETER!D:E,2,0)</f>
        <v>NINA</v>
      </c>
      <c r="E94" s="49" t="str">
        <f t="shared" si="5"/>
        <v>NINAVOL</v>
      </c>
      <c r="F94" s="49" t="str">
        <f t="shared" si="6"/>
        <v>SOUR SALLYVOL</v>
      </c>
      <c r="G94" s="81">
        <f t="shared" si="7"/>
        <v>132707341</v>
      </c>
      <c r="H94" s="81">
        <f>SUMIF(I$1:BI$1,"&lt;="&amp;PARAMETER!X$2,I94:BI94)</f>
        <v>19602900</v>
      </c>
      <c r="I94" s="53">
        <v>2458500</v>
      </c>
      <c r="J94" s="53">
        <v>4537900</v>
      </c>
      <c r="K94" s="53">
        <v>2495600</v>
      </c>
      <c r="L94" s="53">
        <v>3207700</v>
      </c>
      <c r="M94" s="53">
        <v>1128600</v>
      </c>
      <c r="N94" s="53">
        <v>446600</v>
      </c>
      <c r="O94" s="53">
        <v>1230300</v>
      </c>
      <c r="P94" s="53">
        <v>1213500</v>
      </c>
      <c r="Q94" s="53">
        <v>975500</v>
      </c>
      <c r="R94" s="53">
        <v>751400</v>
      </c>
      <c r="S94" s="53">
        <v>1157300</v>
      </c>
      <c r="T94" s="53">
        <v>410100</v>
      </c>
      <c r="U94" s="53">
        <v>941000</v>
      </c>
      <c r="V94" s="53">
        <v>799900</v>
      </c>
      <c r="W94" s="53">
        <v>1394800</v>
      </c>
      <c r="X94" s="53">
        <v>976100</v>
      </c>
      <c r="Y94" s="53">
        <v>1156600</v>
      </c>
      <c r="Z94" s="53">
        <v>1146300</v>
      </c>
      <c r="AA94" s="53">
        <v>501400</v>
      </c>
      <c r="AB94" s="53">
        <v>712640</v>
      </c>
      <c r="AC94" s="53">
        <v>845100</v>
      </c>
      <c r="AD94" s="53">
        <v>637200</v>
      </c>
      <c r="AE94" s="53">
        <v>1222300</v>
      </c>
      <c r="AF94" s="53">
        <v>742800</v>
      </c>
      <c r="AG94" s="53">
        <v>1074900</v>
      </c>
      <c r="AH94" s="53">
        <v>1173700</v>
      </c>
      <c r="AI94" s="53">
        <v>2434100</v>
      </c>
      <c r="AJ94" s="53">
        <v>1543000</v>
      </c>
      <c r="AK94" s="53">
        <v>963200</v>
      </c>
      <c r="AL94" s="53">
        <v>692200</v>
      </c>
      <c r="AM94" s="53">
        <v>867000</v>
      </c>
      <c r="AN94" s="53">
        <v>222015</v>
      </c>
      <c r="AO94" s="53">
        <v>0</v>
      </c>
      <c r="AP94" s="53">
        <v>192000</v>
      </c>
      <c r="AQ94" s="53">
        <v>0</v>
      </c>
      <c r="AR94" s="53">
        <v>15</v>
      </c>
      <c r="AS94" s="53">
        <v>15</v>
      </c>
      <c r="AT94" s="53">
        <v>0</v>
      </c>
      <c r="AU94" s="53">
        <v>0</v>
      </c>
      <c r="AV94" s="53">
        <v>62000</v>
      </c>
      <c r="AW94" s="53">
        <v>0</v>
      </c>
      <c r="AX94" s="53">
        <v>0</v>
      </c>
      <c r="AY94" s="53">
        <v>143000</v>
      </c>
      <c r="AZ94" s="53">
        <v>0</v>
      </c>
      <c r="BA94" s="53">
        <v>0</v>
      </c>
      <c r="BB94" s="53">
        <v>152000</v>
      </c>
      <c r="BC94" s="53">
        <v>426000</v>
      </c>
      <c r="BD94" s="53">
        <v>86001</v>
      </c>
      <c r="BE94" s="53">
        <v>149000</v>
      </c>
      <c r="BF94" s="53">
        <v>0</v>
      </c>
      <c r="BG94" s="53">
        <v>18664000</v>
      </c>
      <c r="BH94" s="53">
        <v>60626055</v>
      </c>
      <c r="BI94" s="53">
        <v>12148000</v>
      </c>
    </row>
    <row r="95" spans="1:61" ht="15.75" x14ac:dyDescent="0.25">
      <c r="A95" s="53" t="s">
        <v>53</v>
      </c>
      <c r="B95" s="56" t="s">
        <v>141</v>
      </c>
      <c r="C95" s="49" t="s">
        <v>40</v>
      </c>
      <c r="D95" s="49" t="str">
        <f>VLOOKUP(A95,PARAMETER!D:E,2,0)</f>
        <v>NINA</v>
      </c>
      <c r="E95" s="49" t="str">
        <f t="shared" si="5"/>
        <v>NINAFBI</v>
      </c>
      <c r="F95" s="49" t="str">
        <f t="shared" si="6"/>
        <v>STEVEN GROUPFBI</v>
      </c>
      <c r="G95" s="81">
        <f t="shared" si="7"/>
        <v>809984</v>
      </c>
      <c r="H95" s="81">
        <f>SUMIF(I$1:BI$1,"&lt;="&amp;PARAMETER!X$2,I95:BI95)</f>
        <v>142241</v>
      </c>
      <c r="I95" s="53">
        <v>31550</v>
      </c>
      <c r="J95" s="53">
        <v>0</v>
      </c>
      <c r="K95" s="53">
        <v>0</v>
      </c>
      <c r="L95" s="53">
        <v>28800</v>
      </c>
      <c r="M95" s="53">
        <v>45128</v>
      </c>
      <c r="N95" s="53">
        <v>13917</v>
      </c>
      <c r="O95" s="53">
        <v>6839</v>
      </c>
      <c r="P95" s="53">
        <v>825</v>
      </c>
      <c r="Q95" s="53">
        <v>7100</v>
      </c>
      <c r="R95" s="53">
        <v>82</v>
      </c>
      <c r="S95" s="53">
        <v>8000</v>
      </c>
      <c r="T95" s="53">
        <v>0</v>
      </c>
      <c r="U95" s="53">
        <v>1200</v>
      </c>
      <c r="V95" s="53">
        <v>18141</v>
      </c>
      <c r="W95" s="53">
        <v>42591</v>
      </c>
      <c r="X95" s="53">
        <v>23238</v>
      </c>
      <c r="Y95" s="53">
        <v>0</v>
      </c>
      <c r="Z95" s="53">
        <v>16800</v>
      </c>
      <c r="AA95" s="53">
        <v>4737</v>
      </c>
      <c r="AB95" s="53">
        <v>4100</v>
      </c>
      <c r="AC95" s="53">
        <v>7700</v>
      </c>
      <c r="AD95" s="53">
        <v>4075</v>
      </c>
      <c r="AE95" s="53">
        <v>0</v>
      </c>
      <c r="AF95" s="53">
        <v>44687</v>
      </c>
      <c r="AG95" s="53">
        <v>77610</v>
      </c>
      <c r="AH95" s="53">
        <v>65100</v>
      </c>
      <c r="AI95" s="53">
        <v>47862</v>
      </c>
      <c r="AJ95" s="53">
        <v>56599</v>
      </c>
      <c r="AK95" s="53">
        <v>412</v>
      </c>
      <c r="AL95" s="53">
        <v>0</v>
      </c>
      <c r="AM95" s="53">
        <v>0</v>
      </c>
      <c r="AN95" s="53">
        <v>0</v>
      </c>
      <c r="AO95" s="53">
        <v>45</v>
      </c>
      <c r="AP95" s="53">
        <v>3611</v>
      </c>
      <c r="AQ95" s="53">
        <v>22</v>
      </c>
      <c r="AR95" s="53">
        <v>0</v>
      </c>
      <c r="AS95" s="53">
        <v>0</v>
      </c>
      <c r="AT95" s="53">
        <v>10833</v>
      </c>
      <c r="AU95" s="53">
        <v>202</v>
      </c>
      <c r="AV95" s="53">
        <v>780</v>
      </c>
      <c r="AW95" s="53">
        <v>640</v>
      </c>
      <c r="AX95" s="53">
        <v>390</v>
      </c>
      <c r="AY95" s="53">
        <v>0</v>
      </c>
      <c r="AZ95" s="53">
        <v>29043</v>
      </c>
      <c r="BA95" s="53">
        <v>43163</v>
      </c>
      <c r="BB95" s="53">
        <v>39822</v>
      </c>
      <c r="BC95" s="53">
        <v>66762</v>
      </c>
      <c r="BD95" s="53">
        <v>45710</v>
      </c>
      <c r="BE95" s="53">
        <v>3226</v>
      </c>
      <c r="BF95" s="53">
        <v>2547</v>
      </c>
      <c r="BG95" s="53">
        <v>3566</v>
      </c>
      <c r="BH95" s="53">
        <v>2529</v>
      </c>
      <c r="BI95" s="53">
        <v>0</v>
      </c>
    </row>
    <row r="96" spans="1:61" ht="15.75" x14ac:dyDescent="0.25">
      <c r="A96" s="53" t="s">
        <v>53</v>
      </c>
      <c r="B96" s="56" t="s">
        <v>141</v>
      </c>
      <c r="C96" s="52" t="s">
        <v>42</v>
      </c>
      <c r="D96" s="49" t="str">
        <f>VLOOKUP(A96,PARAMETER!D:E,2,0)</f>
        <v>NINA</v>
      </c>
      <c r="E96" s="49" t="str">
        <f t="shared" si="5"/>
        <v>NINATRX</v>
      </c>
      <c r="F96" s="49" t="str">
        <f t="shared" si="6"/>
        <v>STEVEN GROUPTRX</v>
      </c>
      <c r="G96" s="81">
        <f t="shared" si="7"/>
        <v>8448</v>
      </c>
      <c r="H96" s="81">
        <f>SUMIF(I$1:BI$1,"&lt;="&amp;PARAMETER!X$2,I96:BI96)</f>
        <v>233</v>
      </c>
      <c r="I96" s="53">
        <v>3</v>
      </c>
      <c r="J96" s="53">
        <v>0</v>
      </c>
      <c r="K96" s="53">
        <v>0</v>
      </c>
      <c r="L96" s="53">
        <v>3</v>
      </c>
      <c r="M96" s="53">
        <v>6</v>
      </c>
      <c r="N96" s="53">
        <v>3</v>
      </c>
      <c r="O96" s="53">
        <v>4</v>
      </c>
      <c r="P96" s="53">
        <v>1</v>
      </c>
      <c r="Q96" s="53">
        <v>210</v>
      </c>
      <c r="R96" s="53">
        <v>1</v>
      </c>
      <c r="S96" s="53">
        <v>2</v>
      </c>
      <c r="T96" s="53">
        <v>0</v>
      </c>
      <c r="U96" s="53">
        <v>1</v>
      </c>
      <c r="V96" s="53">
        <v>189</v>
      </c>
      <c r="W96" s="53">
        <v>390</v>
      </c>
      <c r="X96" s="53">
        <v>226</v>
      </c>
      <c r="Y96" s="53">
        <v>0</v>
      </c>
      <c r="Z96" s="53">
        <v>3</v>
      </c>
      <c r="AA96" s="53">
        <v>45</v>
      </c>
      <c r="AB96" s="53">
        <v>1</v>
      </c>
      <c r="AC96" s="53">
        <v>1</v>
      </c>
      <c r="AD96" s="53">
        <v>2</v>
      </c>
      <c r="AE96" s="53">
        <v>0</v>
      </c>
      <c r="AF96" s="53">
        <v>406</v>
      </c>
      <c r="AG96" s="53">
        <v>614</v>
      </c>
      <c r="AH96" s="53">
        <v>555</v>
      </c>
      <c r="AI96" s="53">
        <v>394</v>
      </c>
      <c r="AJ96" s="53">
        <v>499</v>
      </c>
      <c r="AK96" s="53">
        <v>3</v>
      </c>
      <c r="AL96" s="53">
        <v>0</v>
      </c>
      <c r="AM96" s="53">
        <v>0</v>
      </c>
      <c r="AN96" s="53">
        <v>0</v>
      </c>
      <c r="AO96" s="53">
        <v>3</v>
      </c>
      <c r="AP96" s="53">
        <v>25</v>
      </c>
      <c r="AQ96" s="53">
        <v>1</v>
      </c>
      <c r="AR96" s="53">
        <v>0</v>
      </c>
      <c r="AS96" s="53">
        <v>0</v>
      </c>
      <c r="AT96" s="53">
        <v>67</v>
      </c>
      <c r="AU96" s="53">
        <v>1</v>
      </c>
      <c r="AV96" s="53">
        <v>1</v>
      </c>
      <c r="AW96" s="53">
        <v>2</v>
      </c>
      <c r="AX96" s="53">
        <v>1</v>
      </c>
      <c r="AY96" s="53">
        <v>0</v>
      </c>
      <c r="AZ96" s="53">
        <v>342</v>
      </c>
      <c r="BA96" s="53">
        <v>489</v>
      </c>
      <c r="BB96" s="53">
        <v>488</v>
      </c>
      <c r="BC96" s="53">
        <v>487</v>
      </c>
      <c r="BD96" s="53">
        <v>439</v>
      </c>
      <c r="BE96" s="53">
        <v>613</v>
      </c>
      <c r="BF96" s="53">
        <v>512</v>
      </c>
      <c r="BG96" s="53">
        <v>597</v>
      </c>
      <c r="BH96" s="53">
        <v>678</v>
      </c>
      <c r="BI96" s="53">
        <v>140</v>
      </c>
    </row>
    <row r="97" spans="1:61" ht="15.75" x14ac:dyDescent="0.25">
      <c r="A97" s="53" t="s">
        <v>53</v>
      </c>
      <c r="B97" s="56" t="s">
        <v>141</v>
      </c>
      <c r="C97" s="52" t="s">
        <v>41</v>
      </c>
      <c r="D97" s="49" t="str">
        <f>VLOOKUP(A97,PARAMETER!D:E,2,0)</f>
        <v>NINA</v>
      </c>
      <c r="E97" s="49" t="str">
        <f t="shared" si="5"/>
        <v>NINAVOL</v>
      </c>
      <c r="F97" s="49" t="str">
        <f t="shared" si="6"/>
        <v>STEVEN GROUPVOL</v>
      </c>
      <c r="G97" s="81">
        <f t="shared" si="7"/>
        <v>524385460</v>
      </c>
      <c r="H97" s="81">
        <f>SUMIF(I$1:BI$1,"&lt;="&amp;PARAMETER!X$2,I97:BI97)</f>
        <v>21097104</v>
      </c>
      <c r="I97" s="53">
        <v>3155000</v>
      </c>
      <c r="J97" s="53">
        <v>0</v>
      </c>
      <c r="K97" s="53">
        <v>0</v>
      </c>
      <c r="L97" s="53">
        <v>4580000</v>
      </c>
      <c r="M97" s="53">
        <v>6779500</v>
      </c>
      <c r="N97" s="53">
        <v>1489000</v>
      </c>
      <c r="O97" s="53">
        <v>1008000</v>
      </c>
      <c r="P97" s="53">
        <v>550000</v>
      </c>
      <c r="Q97" s="53">
        <v>2708104</v>
      </c>
      <c r="R97" s="53">
        <v>27500</v>
      </c>
      <c r="S97" s="53">
        <v>800000</v>
      </c>
      <c r="T97" s="53">
        <v>0</v>
      </c>
      <c r="U97" s="53">
        <v>800000</v>
      </c>
      <c r="V97" s="53">
        <v>5837002</v>
      </c>
      <c r="W97" s="53">
        <v>14197000</v>
      </c>
      <c r="X97" s="53">
        <v>7946000</v>
      </c>
      <c r="Y97" s="53">
        <v>0</v>
      </c>
      <c r="Z97" s="53">
        <v>5080000</v>
      </c>
      <c r="AA97" s="53">
        <v>1579005</v>
      </c>
      <c r="AB97" s="53">
        <v>410000</v>
      </c>
      <c r="AC97" s="53">
        <v>385000</v>
      </c>
      <c r="AD97" s="53">
        <v>1300000</v>
      </c>
      <c r="AE97" s="53">
        <v>0</v>
      </c>
      <c r="AF97" s="53">
        <v>14895524</v>
      </c>
      <c r="AG97" s="53">
        <v>25870000</v>
      </c>
      <c r="AH97" s="53">
        <v>21700000</v>
      </c>
      <c r="AI97" s="53">
        <v>15954000</v>
      </c>
      <c r="AJ97" s="53">
        <v>18808000</v>
      </c>
      <c r="AK97" s="53">
        <v>58000</v>
      </c>
      <c r="AL97" s="53">
        <v>0</v>
      </c>
      <c r="AM97" s="53">
        <v>0</v>
      </c>
      <c r="AN97" s="53">
        <v>0</v>
      </c>
      <c r="AO97" s="53">
        <v>15002</v>
      </c>
      <c r="AP97" s="53">
        <v>1203500</v>
      </c>
      <c r="AQ97" s="53">
        <v>7500</v>
      </c>
      <c r="AR97" s="53">
        <v>0</v>
      </c>
      <c r="AS97" s="53">
        <v>0</v>
      </c>
      <c r="AT97" s="53">
        <v>3611001</v>
      </c>
      <c r="AU97" s="53">
        <v>67200</v>
      </c>
      <c r="AV97" s="53">
        <v>39000</v>
      </c>
      <c r="AW97" s="53">
        <v>65200</v>
      </c>
      <c r="AX97" s="53">
        <v>39000</v>
      </c>
      <c r="AY97" s="53">
        <v>0</v>
      </c>
      <c r="AZ97" s="53">
        <v>25572301</v>
      </c>
      <c r="BA97" s="53">
        <v>36942500</v>
      </c>
      <c r="BB97" s="53">
        <v>33985600</v>
      </c>
      <c r="BC97" s="53">
        <v>38091003</v>
      </c>
      <c r="BD97" s="53">
        <v>33467100</v>
      </c>
      <c r="BE97" s="53">
        <v>46143524</v>
      </c>
      <c r="BF97" s="53">
        <v>36298600</v>
      </c>
      <c r="BG97" s="53">
        <v>48587500</v>
      </c>
      <c r="BH97" s="53">
        <v>53965894</v>
      </c>
      <c r="BI97" s="53">
        <v>10367400</v>
      </c>
    </row>
    <row r="98" spans="1:61" ht="15.75" x14ac:dyDescent="0.25">
      <c r="A98" s="53" t="s">
        <v>35</v>
      </c>
      <c r="B98" s="56" t="s">
        <v>141</v>
      </c>
      <c r="C98" s="49" t="s">
        <v>40</v>
      </c>
      <c r="D98" s="49" t="str">
        <f>VLOOKUP(A98,PARAMETER!D:E,2,0)</f>
        <v>ADISTI</v>
      </c>
      <c r="E98" s="49" t="str">
        <f t="shared" ref="E98:E106" si="8">CONCATENATE(D98,C98)</f>
        <v>ADISTIFBI</v>
      </c>
      <c r="F98" s="49" t="str">
        <f t="shared" ref="F98:F106" si="9">CONCATENATE(A98,C98)</f>
        <v>SURYA BUMI RETAILINDOFBI</v>
      </c>
      <c r="G98" s="81">
        <f t="shared" si="7"/>
        <v>151714</v>
      </c>
      <c r="H98" s="81">
        <f>SUMIF(I$1:BI$1,"&lt;="&amp;PARAMETER!X$2,I98:BI98)</f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  <c r="N98" s="53">
        <v>0</v>
      </c>
      <c r="O98" s="53">
        <v>0</v>
      </c>
      <c r="P98" s="53">
        <v>0</v>
      </c>
      <c r="Q98" s="53">
        <v>0</v>
      </c>
      <c r="R98" s="53">
        <v>0</v>
      </c>
      <c r="S98" s="53">
        <v>0</v>
      </c>
      <c r="T98" s="53">
        <v>0</v>
      </c>
      <c r="U98" s="53">
        <v>0</v>
      </c>
      <c r="V98" s="53">
        <v>0</v>
      </c>
      <c r="W98" s="53">
        <v>0</v>
      </c>
      <c r="X98" s="53">
        <v>0</v>
      </c>
      <c r="Y98" s="53">
        <v>0</v>
      </c>
      <c r="Z98" s="53">
        <v>0</v>
      </c>
      <c r="AA98" s="53">
        <v>0</v>
      </c>
      <c r="AB98" s="53">
        <v>0</v>
      </c>
      <c r="AC98" s="53">
        <v>0</v>
      </c>
      <c r="AD98" s="53">
        <v>0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0</v>
      </c>
      <c r="AO98" s="53">
        <v>0</v>
      </c>
      <c r="AP98" s="53">
        <v>0</v>
      </c>
      <c r="AQ98" s="53">
        <v>0</v>
      </c>
      <c r="AR98" s="53">
        <v>0</v>
      </c>
      <c r="AS98" s="53">
        <v>0</v>
      </c>
      <c r="AT98" s="53">
        <v>0</v>
      </c>
      <c r="AU98" s="53">
        <v>0</v>
      </c>
      <c r="AV98" s="53">
        <v>0</v>
      </c>
      <c r="AW98" s="53">
        <v>0</v>
      </c>
      <c r="AX98" s="53">
        <v>0</v>
      </c>
      <c r="AY98" s="53">
        <v>0</v>
      </c>
      <c r="AZ98" s="53">
        <v>0</v>
      </c>
      <c r="BA98" s="53">
        <v>0</v>
      </c>
      <c r="BB98" s="53">
        <v>0</v>
      </c>
      <c r="BC98" s="53">
        <v>0</v>
      </c>
      <c r="BD98" s="53">
        <v>0</v>
      </c>
      <c r="BE98" s="53">
        <v>0</v>
      </c>
      <c r="BF98" s="53">
        <v>0</v>
      </c>
      <c r="BG98" s="53">
        <v>37694</v>
      </c>
      <c r="BH98" s="53">
        <v>107564</v>
      </c>
      <c r="BI98" s="53">
        <v>6456</v>
      </c>
    </row>
    <row r="99" spans="1:61" ht="15.75" x14ac:dyDescent="0.25">
      <c r="A99" s="53" t="s">
        <v>35</v>
      </c>
      <c r="B99" s="56" t="s">
        <v>141</v>
      </c>
      <c r="C99" s="52" t="s">
        <v>42</v>
      </c>
      <c r="D99" s="49" t="str">
        <f>VLOOKUP(A99,PARAMETER!D:E,2,0)</f>
        <v>ADISTI</v>
      </c>
      <c r="E99" s="49" t="str">
        <f t="shared" si="8"/>
        <v>ADISTITRX</v>
      </c>
      <c r="F99" s="49" t="str">
        <f t="shared" si="9"/>
        <v>SURYA BUMI RETAILINDOTRX</v>
      </c>
      <c r="G99" s="81">
        <f t="shared" si="7"/>
        <v>50</v>
      </c>
      <c r="H99" s="81">
        <f>SUMIF(I$1:BI$1,"&lt;="&amp;PARAMETER!X$2,I99:BI99)</f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0</v>
      </c>
      <c r="AO99" s="53">
        <v>0</v>
      </c>
      <c r="AP99" s="53">
        <v>0</v>
      </c>
      <c r="AQ99" s="53">
        <v>0</v>
      </c>
      <c r="AR99" s="53">
        <v>0</v>
      </c>
      <c r="AS99" s="53">
        <v>0</v>
      </c>
      <c r="AT99" s="53">
        <v>0</v>
      </c>
      <c r="AU99" s="53">
        <v>0</v>
      </c>
      <c r="AV99" s="53">
        <v>0</v>
      </c>
      <c r="AW99" s="53">
        <v>0</v>
      </c>
      <c r="AX99" s="53">
        <v>0</v>
      </c>
      <c r="AY99" s="53">
        <v>0</v>
      </c>
      <c r="AZ99" s="53">
        <v>0</v>
      </c>
      <c r="BA99" s="53">
        <v>0</v>
      </c>
      <c r="BB99" s="53">
        <v>0</v>
      </c>
      <c r="BC99" s="53">
        <v>0</v>
      </c>
      <c r="BD99" s="53">
        <v>0</v>
      </c>
      <c r="BE99" s="53">
        <v>0</v>
      </c>
      <c r="BF99" s="53">
        <v>0</v>
      </c>
      <c r="BG99" s="53">
        <v>7</v>
      </c>
      <c r="BH99" s="53">
        <v>36</v>
      </c>
      <c r="BI99" s="53">
        <v>7</v>
      </c>
    </row>
    <row r="100" spans="1:61" ht="15.75" x14ac:dyDescent="0.25">
      <c r="A100" s="53" t="s">
        <v>35</v>
      </c>
      <c r="B100" s="56" t="s">
        <v>141</v>
      </c>
      <c r="C100" s="52" t="s">
        <v>41</v>
      </c>
      <c r="D100" s="49" t="str">
        <f>VLOOKUP(A100,PARAMETER!D:E,2,0)</f>
        <v>ADISTI</v>
      </c>
      <c r="E100" s="49" t="str">
        <f t="shared" si="8"/>
        <v>ADISTIVOL</v>
      </c>
      <c r="F100" s="49" t="str">
        <f t="shared" si="9"/>
        <v>SURYA BUMI RETAILINDOVOL</v>
      </c>
      <c r="G100" s="81">
        <f t="shared" si="7"/>
        <v>46773100</v>
      </c>
      <c r="H100" s="81">
        <f>SUMIF(I$1:BI$1,"&lt;="&amp;PARAMETER!X$2,I100:BI100)</f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0</v>
      </c>
      <c r="Q100" s="53">
        <v>0</v>
      </c>
      <c r="R100" s="53">
        <v>0</v>
      </c>
      <c r="S100" s="53">
        <v>0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0</v>
      </c>
      <c r="AO100" s="53">
        <v>0</v>
      </c>
      <c r="AP100" s="53">
        <v>0</v>
      </c>
      <c r="AQ100" s="53">
        <v>0</v>
      </c>
      <c r="AR100" s="53">
        <v>0</v>
      </c>
      <c r="AS100" s="53">
        <v>0</v>
      </c>
      <c r="AT100" s="53">
        <v>0</v>
      </c>
      <c r="AU100" s="53">
        <v>0</v>
      </c>
      <c r="AV100" s="53">
        <v>0</v>
      </c>
      <c r="AW100" s="53">
        <v>0</v>
      </c>
      <c r="AX100" s="53">
        <v>0</v>
      </c>
      <c r="AY100" s="53">
        <v>0</v>
      </c>
      <c r="AZ100" s="53">
        <v>0</v>
      </c>
      <c r="BA100" s="53">
        <v>0</v>
      </c>
      <c r="BB100" s="53">
        <v>0</v>
      </c>
      <c r="BC100" s="53">
        <v>0</v>
      </c>
      <c r="BD100" s="53">
        <v>0</v>
      </c>
      <c r="BE100" s="53">
        <v>0</v>
      </c>
      <c r="BF100" s="53">
        <v>0</v>
      </c>
      <c r="BG100" s="53">
        <v>9219100</v>
      </c>
      <c r="BH100" s="53">
        <v>33250000</v>
      </c>
      <c r="BI100" s="53">
        <v>4304000</v>
      </c>
    </row>
    <row r="101" spans="1:61" ht="15.75" x14ac:dyDescent="0.25">
      <c r="A101" s="53" t="s">
        <v>36</v>
      </c>
      <c r="B101" s="56" t="s">
        <v>141</v>
      </c>
      <c r="C101" s="49" t="s">
        <v>40</v>
      </c>
      <c r="D101" s="49" t="str">
        <f>VLOOKUP(A101,PARAMETER!D:E,2,0)</f>
        <v>NINA</v>
      </c>
      <c r="E101" s="49" t="str">
        <f t="shared" si="8"/>
        <v>NINAFBI</v>
      </c>
      <c r="F101" s="49" t="str">
        <f t="shared" si="9"/>
        <v>TAMANIFBI</v>
      </c>
      <c r="G101" s="81">
        <f t="shared" si="7"/>
        <v>283243</v>
      </c>
      <c r="H101" s="81">
        <f>SUMIF(I$1:BI$1,"&lt;="&amp;PARAMETER!X$2,I101:BI101)</f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360</v>
      </c>
      <c r="AH101" s="53">
        <v>0</v>
      </c>
      <c r="AI101" s="53">
        <v>0</v>
      </c>
      <c r="AJ101" s="53">
        <v>0</v>
      </c>
      <c r="AK101" s="53">
        <v>0</v>
      </c>
      <c r="AL101" s="53">
        <v>0</v>
      </c>
      <c r="AM101" s="53">
        <v>0</v>
      </c>
      <c r="AN101" s="53">
        <v>0</v>
      </c>
      <c r="AO101" s="53">
        <v>0</v>
      </c>
      <c r="AP101" s="53">
        <v>6974</v>
      </c>
      <c r="AQ101" s="53">
        <v>19263</v>
      </c>
      <c r="AR101" s="53">
        <v>3736</v>
      </c>
      <c r="AS101" s="53">
        <v>21650</v>
      </c>
      <c r="AT101" s="53">
        <v>5224</v>
      </c>
      <c r="AU101" s="53">
        <v>147</v>
      </c>
      <c r="AV101" s="53">
        <v>20998</v>
      </c>
      <c r="AW101" s="53">
        <v>4767</v>
      </c>
      <c r="AX101" s="53">
        <v>0</v>
      </c>
      <c r="AY101" s="53">
        <v>22069</v>
      </c>
      <c r="AZ101" s="53">
        <v>69296</v>
      </c>
      <c r="BA101" s="53">
        <v>21132</v>
      </c>
      <c r="BB101" s="53">
        <v>23883</v>
      </c>
      <c r="BC101" s="53">
        <v>15565</v>
      </c>
      <c r="BD101" s="53">
        <v>34015</v>
      </c>
      <c r="BE101" s="53">
        <v>2838</v>
      </c>
      <c r="BF101" s="53">
        <v>4759</v>
      </c>
      <c r="BG101" s="53">
        <v>2350</v>
      </c>
      <c r="BH101" s="53">
        <v>4217</v>
      </c>
      <c r="BI101" s="53">
        <v>0</v>
      </c>
    </row>
    <row r="102" spans="1:61" ht="15.75" x14ac:dyDescent="0.25">
      <c r="A102" s="53" t="s">
        <v>36</v>
      </c>
      <c r="B102" s="56" t="s">
        <v>141</v>
      </c>
      <c r="C102" s="52" t="s">
        <v>42</v>
      </c>
      <c r="D102" s="49" t="str">
        <f>VLOOKUP(A102,PARAMETER!D:E,2,0)</f>
        <v>NINA</v>
      </c>
      <c r="E102" s="49" t="str">
        <f t="shared" si="8"/>
        <v>NINATRX</v>
      </c>
      <c r="F102" s="49" t="str">
        <f t="shared" si="9"/>
        <v>TAMANITRX</v>
      </c>
      <c r="G102" s="81">
        <f t="shared" si="7"/>
        <v>147</v>
      </c>
      <c r="H102" s="81">
        <f>SUMIF(I$1:BI$1,"&lt;="&amp;PARAMETER!X$2,I102:BI102)</f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4</v>
      </c>
      <c r="AH102" s="53">
        <v>0</v>
      </c>
      <c r="AI102" s="53">
        <v>0</v>
      </c>
      <c r="AJ102" s="53">
        <v>0</v>
      </c>
      <c r="AK102" s="53">
        <v>0</v>
      </c>
      <c r="AL102" s="53">
        <v>0</v>
      </c>
      <c r="AM102" s="53">
        <v>0</v>
      </c>
      <c r="AN102" s="53">
        <v>0</v>
      </c>
      <c r="AO102" s="53">
        <v>0</v>
      </c>
      <c r="AP102" s="53">
        <v>1</v>
      </c>
      <c r="AQ102" s="53">
        <v>5</v>
      </c>
      <c r="AR102" s="53">
        <v>6</v>
      </c>
      <c r="AS102" s="53">
        <v>7</v>
      </c>
      <c r="AT102" s="53">
        <v>7</v>
      </c>
      <c r="AU102" s="53">
        <v>1</v>
      </c>
      <c r="AV102" s="53">
        <v>13</v>
      </c>
      <c r="AW102" s="53">
        <v>3</v>
      </c>
      <c r="AX102" s="53">
        <v>0</v>
      </c>
      <c r="AY102" s="53">
        <v>11</v>
      </c>
      <c r="AZ102" s="53">
        <v>10</v>
      </c>
      <c r="BA102" s="53">
        <v>12</v>
      </c>
      <c r="BB102" s="53">
        <v>14</v>
      </c>
      <c r="BC102" s="53">
        <v>6</v>
      </c>
      <c r="BD102" s="53">
        <v>17</v>
      </c>
      <c r="BE102" s="53">
        <v>6</v>
      </c>
      <c r="BF102" s="53">
        <v>6</v>
      </c>
      <c r="BG102" s="53">
        <v>8</v>
      </c>
      <c r="BH102" s="53">
        <v>10</v>
      </c>
      <c r="BI102" s="53">
        <v>0</v>
      </c>
    </row>
    <row r="103" spans="1:61" ht="15.75" x14ac:dyDescent="0.25">
      <c r="A103" s="53" t="s">
        <v>36</v>
      </c>
      <c r="B103" s="56" t="s">
        <v>141</v>
      </c>
      <c r="C103" s="52" t="s">
        <v>41</v>
      </c>
      <c r="D103" s="49" t="str">
        <f>VLOOKUP(A103,PARAMETER!D:E,2,0)</f>
        <v>NINA</v>
      </c>
      <c r="E103" s="49" t="str">
        <f t="shared" si="8"/>
        <v>NINAVOL</v>
      </c>
      <c r="F103" s="49" t="str">
        <f t="shared" si="9"/>
        <v>TAMANIVOL</v>
      </c>
      <c r="G103" s="81">
        <f t="shared" si="7"/>
        <v>47441100</v>
      </c>
      <c r="H103" s="81">
        <f>SUMIF(I$1:BI$1,"&lt;="&amp;PARAMETER!X$2,I103:BI103)</f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120000</v>
      </c>
      <c r="AH103" s="53">
        <v>0</v>
      </c>
      <c r="AI103" s="53">
        <v>0</v>
      </c>
      <c r="AJ103" s="53">
        <v>0</v>
      </c>
      <c r="AK103" s="53">
        <v>0</v>
      </c>
      <c r="AL103" s="53">
        <v>0</v>
      </c>
      <c r="AM103" s="53">
        <v>0</v>
      </c>
      <c r="AN103" s="53">
        <v>0</v>
      </c>
      <c r="AO103" s="53">
        <v>0</v>
      </c>
      <c r="AP103" s="53">
        <v>697400</v>
      </c>
      <c r="AQ103" s="53">
        <v>3236200</v>
      </c>
      <c r="AR103" s="53">
        <v>2490950</v>
      </c>
      <c r="AS103" s="53">
        <v>2922150</v>
      </c>
      <c r="AT103" s="53">
        <v>1449800</v>
      </c>
      <c r="AU103" s="53">
        <v>97900</v>
      </c>
      <c r="AV103" s="53">
        <v>4555100</v>
      </c>
      <c r="AW103" s="53">
        <v>939950</v>
      </c>
      <c r="AX103" s="53">
        <v>0</v>
      </c>
      <c r="AY103" s="53">
        <v>3626350</v>
      </c>
      <c r="AZ103" s="53">
        <v>5756300</v>
      </c>
      <c r="BA103" s="53">
        <v>3446300</v>
      </c>
      <c r="BB103" s="53">
        <v>3253250</v>
      </c>
      <c r="BC103" s="53">
        <v>2252250</v>
      </c>
      <c r="BD103" s="53">
        <v>4856500</v>
      </c>
      <c r="BE103" s="53">
        <v>1892000</v>
      </c>
      <c r="BF103" s="53">
        <v>1470700</v>
      </c>
      <c r="BG103" s="53">
        <v>1566950</v>
      </c>
      <c r="BH103" s="53">
        <v>2811050</v>
      </c>
      <c r="BI103" s="53">
        <v>0</v>
      </c>
    </row>
    <row r="104" spans="1:61" ht="15.75" x14ac:dyDescent="0.25">
      <c r="A104" s="53" t="s">
        <v>38</v>
      </c>
      <c r="B104" s="56" t="s">
        <v>141</v>
      </c>
      <c r="C104" s="49" t="s">
        <v>40</v>
      </c>
      <c r="D104" s="49" t="str">
        <f>VLOOKUP(A104,PARAMETER!D:E,2,0)</f>
        <v>NINA</v>
      </c>
      <c r="E104" s="49" t="str">
        <f t="shared" si="8"/>
        <v>NINAFBI</v>
      </c>
      <c r="F104" s="49" t="str">
        <f t="shared" si="9"/>
        <v>YOSHINOYAFBI</v>
      </c>
      <c r="G104" s="81">
        <f t="shared" si="7"/>
        <v>55646184</v>
      </c>
      <c r="H104" s="81">
        <f>SUMIF(I$1:BI$1,"&lt;="&amp;PARAMETER!X$2,I104:BI104)</f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0</v>
      </c>
      <c r="AF104" s="53">
        <v>0</v>
      </c>
      <c r="AG104" s="53">
        <v>0</v>
      </c>
      <c r="AH104" s="53">
        <v>0</v>
      </c>
      <c r="AI104" s="53">
        <v>0</v>
      </c>
      <c r="AJ104" s="53">
        <v>0</v>
      </c>
      <c r="AK104" s="53">
        <v>0</v>
      </c>
      <c r="AL104" s="53">
        <v>0</v>
      </c>
      <c r="AM104" s="53">
        <v>0</v>
      </c>
      <c r="AN104" s="53">
        <v>0</v>
      </c>
      <c r="AO104" s="53">
        <v>1077</v>
      </c>
      <c r="AP104" s="53">
        <v>0</v>
      </c>
      <c r="AQ104" s="53">
        <v>0</v>
      </c>
      <c r="AR104" s="53">
        <v>110</v>
      </c>
      <c r="AS104" s="53">
        <v>144</v>
      </c>
      <c r="AT104" s="53">
        <v>5190</v>
      </c>
      <c r="AU104" s="53">
        <v>4207</v>
      </c>
      <c r="AV104" s="53">
        <v>7783017</v>
      </c>
      <c r="AW104" s="53">
        <v>7843326</v>
      </c>
      <c r="AX104" s="53">
        <v>5324357</v>
      </c>
      <c r="AY104" s="53">
        <v>4358222</v>
      </c>
      <c r="AZ104" s="53">
        <v>5429571</v>
      </c>
      <c r="BA104" s="53">
        <v>4212543</v>
      </c>
      <c r="BB104" s="53">
        <v>2095556</v>
      </c>
      <c r="BC104" s="53">
        <v>1939122</v>
      </c>
      <c r="BD104" s="53">
        <v>2247041</v>
      </c>
      <c r="BE104" s="53">
        <v>1902848</v>
      </c>
      <c r="BF104" s="53">
        <v>1798542</v>
      </c>
      <c r="BG104" s="53">
        <v>2461302</v>
      </c>
      <c r="BH104" s="53">
        <v>6255964</v>
      </c>
      <c r="BI104" s="53">
        <v>1984045</v>
      </c>
    </row>
    <row r="105" spans="1:61" ht="15.75" x14ac:dyDescent="0.25">
      <c r="A105" s="53" t="s">
        <v>38</v>
      </c>
      <c r="B105" s="56" t="s">
        <v>141</v>
      </c>
      <c r="C105" s="52" t="s">
        <v>42</v>
      </c>
      <c r="D105" s="49" t="str">
        <f>VLOOKUP(A105,PARAMETER!D:E,2,0)</f>
        <v>NINA</v>
      </c>
      <c r="E105" s="49" t="str">
        <f t="shared" si="8"/>
        <v>NINATRX</v>
      </c>
      <c r="F105" s="49" t="str">
        <f t="shared" si="9"/>
        <v>YOSHINOYATRX</v>
      </c>
      <c r="G105" s="81">
        <f t="shared" si="7"/>
        <v>38563</v>
      </c>
      <c r="H105" s="81">
        <f>SUMIF(I$1:BI$1,"&lt;="&amp;PARAMETER!X$2,I105:BI105)</f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  <c r="AK105" s="53">
        <v>0</v>
      </c>
      <c r="AL105" s="53">
        <v>0</v>
      </c>
      <c r="AM105" s="53">
        <v>0</v>
      </c>
      <c r="AN105" s="53">
        <v>0</v>
      </c>
      <c r="AO105" s="53">
        <v>14</v>
      </c>
      <c r="AP105" s="53">
        <v>0</v>
      </c>
      <c r="AQ105" s="53">
        <v>0</v>
      </c>
      <c r="AR105" s="53">
        <v>1</v>
      </c>
      <c r="AS105" s="53">
        <v>2</v>
      </c>
      <c r="AT105" s="53">
        <v>7</v>
      </c>
      <c r="AU105" s="53">
        <v>16</v>
      </c>
      <c r="AV105" s="53">
        <v>4561</v>
      </c>
      <c r="AW105" s="53">
        <v>5238</v>
      </c>
      <c r="AX105" s="53">
        <v>3870</v>
      </c>
      <c r="AY105" s="53">
        <v>3499</v>
      </c>
      <c r="AZ105" s="53">
        <v>3710</v>
      </c>
      <c r="BA105" s="53">
        <v>2789</v>
      </c>
      <c r="BB105" s="53">
        <v>1712</v>
      </c>
      <c r="BC105" s="53">
        <v>1688</v>
      </c>
      <c r="BD105" s="53">
        <v>1815</v>
      </c>
      <c r="BE105" s="53">
        <v>1461</v>
      </c>
      <c r="BF105" s="53">
        <v>1394</v>
      </c>
      <c r="BG105" s="53">
        <v>1737</v>
      </c>
      <c r="BH105" s="53">
        <v>3866</v>
      </c>
      <c r="BI105" s="53">
        <v>1183</v>
      </c>
    </row>
    <row r="106" spans="1:61" ht="15.75" x14ac:dyDescent="0.25">
      <c r="A106" s="53" t="s">
        <v>38</v>
      </c>
      <c r="B106" s="56" t="s">
        <v>141</v>
      </c>
      <c r="C106" s="52" t="s">
        <v>41</v>
      </c>
      <c r="D106" s="49" t="str">
        <f>VLOOKUP(A106,PARAMETER!D:E,2,0)</f>
        <v>NINA</v>
      </c>
      <c r="E106" s="49" t="str">
        <f t="shared" si="8"/>
        <v>NINAVOL</v>
      </c>
      <c r="F106" s="49" t="str">
        <f t="shared" si="9"/>
        <v>YOSHINOYAVOL</v>
      </c>
      <c r="G106" s="81">
        <f t="shared" si="7"/>
        <v>5768993500</v>
      </c>
      <c r="H106" s="81">
        <f>SUMIF(I$1:BI$1,"&lt;="&amp;PARAMETER!X$2,I106:BI106)</f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  <c r="N106" s="53">
        <v>0</v>
      </c>
      <c r="O106" s="53">
        <v>0</v>
      </c>
      <c r="P106" s="53">
        <v>0</v>
      </c>
      <c r="Q106" s="53">
        <v>0</v>
      </c>
      <c r="R106" s="53">
        <v>0</v>
      </c>
      <c r="S106" s="53">
        <v>0</v>
      </c>
      <c r="T106" s="53">
        <v>0</v>
      </c>
      <c r="U106" s="53">
        <v>0</v>
      </c>
      <c r="V106" s="53">
        <v>0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0</v>
      </c>
      <c r="AC106" s="53">
        <v>0</v>
      </c>
      <c r="AD106" s="53">
        <v>0</v>
      </c>
      <c r="AE106" s="53">
        <v>0</v>
      </c>
      <c r="AF106" s="53">
        <v>0</v>
      </c>
      <c r="AG106" s="53">
        <v>0</v>
      </c>
      <c r="AH106" s="53">
        <v>0</v>
      </c>
      <c r="AI106" s="53">
        <v>0</v>
      </c>
      <c r="AJ106" s="53">
        <v>0</v>
      </c>
      <c r="AK106" s="53">
        <v>0</v>
      </c>
      <c r="AL106" s="53">
        <v>0</v>
      </c>
      <c r="AM106" s="53">
        <v>0</v>
      </c>
      <c r="AN106" s="53">
        <v>0</v>
      </c>
      <c r="AO106" s="53">
        <v>718000</v>
      </c>
      <c r="AP106" s="53">
        <v>0</v>
      </c>
      <c r="AQ106" s="53">
        <v>0</v>
      </c>
      <c r="AR106" s="53">
        <v>73000</v>
      </c>
      <c r="AS106" s="53">
        <v>96000</v>
      </c>
      <c r="AT106" s="53">
        <v>904500</v>
      </c>
      <c r="AU106" s="53">
        <v>1796000</v>
      </c>
      <c r="AV106" s="53">
        <v>752910100</v>
      </c>
      <c r="AW106" s="53">
        <v>811858200</v>
      </c>
      <c r="AX106" s="53">
        <v>565991300</v>
      </c>
      <c r="AY106" s="53">
        <v>481727300</v>
      </c>
      <c r="AZ106" s="53">
        <v>554889000</v>
      </c>
      <c r="BA106" s="53">
        <v>420099500</v>
      </c>
      <c r="BB106" s="53">
        <v>226099600</v>
      </c>
      <c r="BC106" s="53">
        <v>208415300</v>
      </c>
      <c r="BD106" s="53">
        <v>245436900</v>
      </c>
      <c r="BE106" s="53">
        <v>198461500</v>
      </c>
      <c r="BF106" s="53">
        <v>188160300</v>
      </c>
      <c r="BG106" s="53">
        <v>260710800</v>
      </c>
      <c r="BH106" s="53">
        <v>643201900</v>
      </c>
      <c r="BI106" s="53">
        <v>207444300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644F-E366-3742-976E-36D4BEB10E19}">
  <sheetPr codeName="Sheet4"/>
  <dimension ref="A1:BI130"/>
  <sheetViews>
    <sheetView zoomScale="27" workbookViewId="0">
      <selection activeCell="E55" sqref="E55"/>
    </sheetView>
  </sheetViews>
  <sheetFormatPr defaultColWidth="10.875" defaultRowHeight="13.5" x14ac:dyDescent="0.25"/>
  <cols>
    <col min="1" max="1" width="22.375" style="43" bestFit="1" customWidth="1"/>
    <col min="2" max="2" width="6.375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45" width="14" style="43" bestFit="1" customWidth="1"/>
    <col min="46" max="49" width="15" style="43" bestFit="1" customWidth="1"/>
    <col min="50" max="56" width="15.125" style="43" bestFit="1" customWidth="1"/>
    <col min="57" max="58" width="5.875" style="43" bestFit="1" customWidth="1"/>
    <col min="59" max="59" width="4.875" style="43" bestFit="1" customWidth="1"/>
    <col min="60" max="61" width="3.25" style="43" bestFit="1" customWidth="1"/>
    <col min="62" max="104" width="16.5" style="43" bestFit="1" customWidth="1"/>
    <col min="105" max="152" width="15.875" style="43" bestFit="1" customWidth="1"/>
    <col min="153" max="16384" width="10.875" style="43"/>
  </cols>
  <sheetData>
    <row r="1" spans="1:61" s="45" customFormat="1" ht="12.75" x14ac:dyDescent="0.2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2" t="s">
        <v>140</v>
      </c>
      <c r="C2" s="49" t="s">
        <v>42</v>
      </c>
      <c r="D2" s="49" t="str">
        <f>VLOOKUP(A2,PARAMETER!D:E,2,0)</f>
        <v>NINA</v>
      </c>
      <c r="E2" s="49" t="str">
        <f t="shared" ref="E2:E33" si="0">CONCATENATE(D2,C2)</f>
        <v>NINATRX</v>
      </c>
      <c r="F2" s="49" t="str">
        <f t="shared" ref="F2:F33" si="1">CONCATENATE(A2,C2)</f>
        <v>ALFA GROUPTRX</v>
      </c>
      <c r="G2" s="81">
        <f>SUM(I2:BI2)</f>
        <v>1435396</v>
      </c>
      <c r="H2" s="81">
        <f>SUMIF(I$1:BI$1,"&lt;="&amp;PARAMETER!X$2,I2:BI2)</f>
        <v>297128</v>
      </c>
      <c r="I2" s="53">
        <v>26145</v>
      </c>
      <c r="J2" s="53">
        <v>24664</v>
      </c>
      <c r="K2" s="53">
        <v>24364</v>
      </c>
      <c r="L2" s="53">
        <v>27666</v>
      </c>
      <c r="M2" s="53">
        <v>27585</v>
      </c>
      <c r="N2" s="53">
        <v>27343</v>
      </c>
      <c r="O2" s="53">
        <v>27142</v>
      </c>
      <c r="P2" s="53">
        <v>26674</v>
      </c>
      <c r="Q2" s="53">
        <v>30454</v>
      </c>
      <c r="R2" s="53">
        <v>27141</v>
      </c>
      <c r="S2" s="53">
        <v>27950</v>
      </c>
      <c r="T2" s="53">
        <v>31833</v>
      </c>
      <c r="U2" s="53">
        <v>34741</v>
      </c>
      <c r="V2" s="53">
        <v>27852</v>
      </c>
      <c r="W2" s="53">
        <v>25615</v>
      </c>
      <c r="X2" s="53">
        <v>26325</v>
      </c>
      <c r="Y2" s="53">
        <v>27080</v>
      </c>
      <c r="Z2" s="53">
        <v>27165</v>
      </c>
      <c r="AA2" s="53">
        <v>26727</v>
      </c>
      <c r="AB2" s="53">
        <v>26374</v>
      </c>
      <c r="AC2" s="53">
        <v>28486</v>
      </c>
      <c r="AD2" s="53">
        <v>13013</v>
      </c>
      <c r="AE2" s="53">
        <v>31242</v>
      </c>
      <c r="AF2" s="53">
        <v>28157</v>
      </c>
      <c r="AG2" s="53">
        <v>27984</v>
      </c>
      <c r="AH2" s="53">
        <v>30554</v>
      </c>
      <c r="AI2" s="53">
        <v>29452</v>
      </c>
      <c r="AJ2" s="53">
        <v>28509</v>
      </c>
      <c r="AK2" s="53">
        <v>28827</v>
      </c>
      <c r="AL2" s="53">
        <v>30088</v>
      </c>
      <c r="AM2" s="53">
        <v>26324</v>
      </c>
      <c r="AN2" s="53">
        <v>24395</v>
      </c>
      <c r="AO2" s="53">
        <v>28130</v>
      </c>
      <c r="AP2" s="53">
        <v>27827</v>
      </c>
      <c r="AQ2" s="53">
        <v>31029</v>
      </c>
      <c r="AR2" s="53">
        <v>28600</v>
      </c>
      <c r="AS2" s="53">
        <v>27401</v>
      </c>
      <c r="AT2" s="53">
        <v>27580</v>
      </c>
      <c r="AU2" s="53">
        <v>29412</v>
      </c>
      <c r="AV2" s="53">
        <v>30578</v>
      </c>
      <c r="AW2" s="53">
        <v>28321</v>
      </c>
      <c r="AX2" s="53">
        <v>28454</v>
      </c>
      <c r="AY2" s="53">
        <v>27068</v>
      </c>
      <c r="AZ2" s="53">
        <v>29289</v>
      </c>
      <c r="BA2" s="53">
        <v>27047</v>
      </c>
      <c r="BB2" s="53">
        <v>26708</v>
      </c>
      <c r="BC2" s="53">
        <v>26816</v>
      </c>
      <c r="BD2" s="53">
        <v>28893</v>
      </c>
      <c r="BE2" s="53">
        <v>27849</v>
      </c>
      <c r="BF2" s="53">
        <v>27107</v>
      </c>
      <c r="BG2" s="53">
        <v>20988</v>
      </c>
      <c r="BH2" s="53">
        <v>24068</v>
      </c>
      <c r="BI2" s="53">
        <v>4360</v>
      </c>
    </row>
    <row r="3" spans="1:61" ht="15.75" x14ac:dyDescent="0.25">
      <c r="A3" s="53" t="s">
        <v>1</v>
      </c>
      <c r="B3" s="52" t="s">
        <v>140</v>
      </c>
      <c r="C3" s="49" t="s">
        <v>41</v>
      </c>
      <c r="D3" s="49" t="str">
        <f>VLOOKUP(A3,PARAMETER!D:E,2,0)</f>
        <v>NINA</v>
      </c>
      <c r="E3" s="49" t="str">
        <f t="shared" si="0"/>
        <v>NINAVOL</v>
      </c>
      <c r="F3" s="49" t="str">
        <f t="shared" si="1"/>
        <v>ALFA GROUPVOL</v>
      </c>
      <c r="G3" s="81">
        <f t="shared" ref="G3:G66" si="2">SUM(I3:BI3)</f>
        <v>162155414115</v>
      </c>
      <c r="H3" s="81">
        <f>SUMIF(I$1:BI$1,"&lt;="&amp;PARAMETER!X$2,I3:BI3)</f>
        <v>34840190702</v>
      </c>
      <c r="I3" s="53">
        <v>3087220524</v>
      </c>
      <c r="J3" s="53">
        <v>2722494046</v>
      </c>
      <c r="K3" s="53">
        <v>2677647363</v>
      </c>
      <c r="L3" s="53">
        <v>3263299163</v>
      </c>
      <c r="M3" s="53">
        <v>3263724576</v>
      </c>
      <c r="N3" s="53">
        <v>3092301391</v>
      </c>
      <c r="O3" s="53">
        <v>2972413151</v>
      </c>
      <c r="P3" s="53">
        <v>3071136469</v>
      </c>
      <c r="Q3" s="53">
        <v>4069633197</v>
      </c>
      <c r="R3" s="53">
        <v>3253611035</v>
      </c>
      <c r="S3" s="53">
        <v>3366709787</v>
      </c>
      <c r="T3" s="53">
        <v>4107947863</v>
      </c>
      <c r="U3" s="53">
        <v>4575246001</v>
      </c>
      <c r="V3" s="53">
        <v>3212736544</v>
      </c>
      <c r="W3" s="53">
        <v>2792702177</v>
      </c>
      <c r="X3" s="53">
        <v>2809827052</v>
      </c>
      <c r="Y3" s="53">
        <v>3040317337</v>
      </c>
      <c r="Z3" s="53">
        <v>3039189058</v>
      </c>
      <c r="AA3" s="53">
        <v>2930258844</v>
      </c>
      <c r="AB3" s="53">
        <v>2796690690</v>
      </c>
      <c r="AC3" s="53">
        <v>3158979210</v>
      </c>
      <c r="AD3" s="53">
        <v>1553629172</v>
      </c>
      <c r="AE3" s="53">
        <v>3470695114</v>
      </c>
      <c r="AF3" s="53">
        <v>3049346387</v>
      </c>
      <c r="AG3" s="53">
        <v>3029053745</v>
      </c>
      <c r="AH3" s="53">
        <v>3607600991</v>
      </c>
      <c r="AI3" s="53">
        <v>3405971237</v>
      </c>
      <c r="AJ3" s="53">
        <v>3125247027</v>
      </c>
      <c r="AK3" s="53">
        <v>3089893723</v>
      </c>
      <c r="AL3" s="53">
        <v>3350059616</v>
      </c>
      <c r="AM3" s="53">
        <v>2943732507</v>
      </c>
      <c r="AN3" s="53">
        <v>2590440199</v>
      </c>
      <c r="AO3" s="53">
        <v>2951883066</v>
      </c>
      <c r="AP3" s="53">
        <v>3010754082</v>
      </c>
      <c r="AQ3" s="53">
        <v>3666055998</v>
      </c>
      <c r="AR3" s="53">
        <v>3098975525</v>
      </c>
      <c r="AS3" s="53">
        <v>2876000385</v>
      </c>
      <c r="AT3" s="53">
        <v>2898696797</v>
      </c>
      <c r="AU3" s="53">
        <v>3267331327</v>
      </c>
      <c r="AV3" s="53">
        <v>3491250197</v>
      </c>
      <c r="AW3" s="53">
        <v>2951641441</v>
      </c>
      <c r="AX3" s="53">
        <v>2958451415</v>
      </c>
      <c r="AY3" s="53">
        <v>2992123966</v>
      </c>
      <c r="AZ3" s="53">
        <v>3364840336</v>
      </c>
      <c r="BA3" s="53">
        <v>2948372713</v>
      </c>
      <c r="BB3" s="53">
        <v>2838926157</v>
      </c>
      <c r="BC3" s="53">
        <v>2976579136</v>
      </c>
      <c r="BD3" s="53">
        <v>3477236650</v>
      </c>
      <c r="BE3" s="53">
        <v>3214575667</v>
      </c>
      <c r="BF3" s="53">
        <v>2946959987</v>
      </c>
      <c r="BG3" s="53">
        <v>2347270951</v>
      </c>
      <c r="BH3" s="53">
        <v>2862656009</v>
      </c>
      <c r="BI3" s="53">
        <v>495077114</v>
      </c>
    </row>
    <row r="4" spans="1:61" ht="15.75" x14ac:dyDescent="0.25">
      <c r="A4" s="53" t="s">
        <v>1</v>
      </c>
      <c r="B4" s="52" t="s">
        <v>140</v>
      </c>
      <c r="C4" s="49" t="s">
        <v>40</v>
      </c>
      <c r="D4" s="49" t="str">
        <f>VLOOKUP(A4,PARAMETER!D:E,2,0)</f>
        <v>NINA</v>
      </c>
      <c r="E4" s="49" t="str">
        <f t="shared" si="0"/>
        <v>NINAFBI</v>
      </c>
      <c r="F4" s="49" t="str">
        <f t="shared" si="1"/>
        <v>ALFA GROUPFBI</v>
      </c>
      <c r="G4" s="81">
        <f t="shared" si="2"/>
        <v>1698973785</v>
      </c>
      <c r="H4" s="81">
        <f>SUMIF(I$1:BI$1,"&lt;="&amp;PARAMETER!X$2,I4:BI4)</f>
        <v>365493562</v>
      </c>
      <c r="I4" s="53">
        <v>31661730</v>
      </c>
      <c r="J4" s="53">
        <v>28675271</v>
      </c>
      <c r="K4" s="53">
        <v>28557031</v>
      </c>
      <c r="L4" s="53">
        <v>34069499</v>
      </c>
      <c r="M4" s="53">
        <v>33718280</v>
      </c>
      <c r="N4" s="53">
        <v>32712807</v>
      </c>
      <c r="O4" s="53">
        <v>31740184</v>
      </c>
      <c r="P4" s="53">
        <v>32844930</v>
      </c>
      <c r="Q4" s="53">
        <v>42118978</v>
      </c>
      <c r="R4" s="53">
        <v>34072483</v>
      </c>
      <c r="S4" s="53">
        <v>35322369</v>
      </c>
      <c r="T4" s="53">
        <v>41697081</v>
      </c>
      <c r="U4" s="53">
        <v>46107770</v>
      </c>
      <c r="V4" s="53">
        <v>32606111</v>
      </c>
      <c r="W4" s="53">
        <v>29130472</v>
      </c>
      <c r="X4" s="53">
        <v>29594525</v>
      </c>
      <c r="Y4" s="53">
        <v>31755947</v>
      </c>
      <c r="Z4" s="53">
        <v>31546245</v>
      </c>
      <c r="AA4" s="53">
        <v>30748082</v>
      </c>
      <c r="AB4" s="53">
        <v>30137504</v>
      </c>
      <c r="AC4" s="53">
        <v>33149946</v>
      </c>
      <c r="AD4" s="53">
        <v>15931113</v>
      </c>
      <c r="AE4" s="53">
        <v>35845196</v>
      </c>
      <c r="AF4" s="53">
        <v>32167768</v>
      </c>
      <c r="AG4" s="53">
        <v>32238089</v>
      </c>
      <c r="AH4" s="53">
        <v>37634769</v>
      </c>
      <c r="AI4" s="53">
        <v>35139198</v>
      </c>
      <c r="AJ4" s="53">
        <v>33004107</v>
      </c>
      <c r="AK4" s="53">
        <v>33097500</v>
      </c>
      <c r="AL4" s="53">
        <v>35511645</v>
      </c>
      <c r="AM4" s="53">
        <v>30555975</v>
      </c>
      <c r="AN4" s="53">
        <v>27254566</v>
      </c>
      <c r="AO4" s="53">
        <v>31365463</v>
      </c>
      <c r="AP4" s="53">
        <v>32026534</v>
      </c>
      <c r="AQ4" s="53">
        <v>38576481</v>
      </c>
      <c r="AR4" s="53">
        <v>32372185</v>
      </c>
      <c r="AS4" s="53">
        <v>30303706</v>
      </c>
      <c r="AT4" s="53">
        <v>31007689</v>
      </c>
      <c r="AU4" s="53">
        <v>34201858</v>
      </c>
      <c r="AV4" s="53">
        <v>36081699</v>
      </c>
      <c r="AW4" s="53">
        <v>30724332</v>
      </c>
      <c r="AX4" s="53">
        <v>31763423</v>
      </c>
      <c r="AY4" s="53">
        <v>31713737</v>
      </c>
      <c r="AZ4" s="53">
        <v>34945882</v>
      </c>
      <c r="BA4" s="53">
        <v>31182185</v>
      </c>
      <c r="BB4" s="53">
        <v>30477146</v>
      </c>
      <c r="BC4" s="53">
        <v>32173946</v>
      </c>
      <c r="BD4" s="53">
        <v>36874055</v>
      </c>
      <c r="BE4" s="53">
        <v>35042099</v>
      </c>
      <c r="BF4" s="53">
        <v>32299041</v>
      </c>
      <c r="BG4" s="53">
        <v>22899863</v>
      </c>
      <c r="BH4" s="53">
        <v>27731096</v>
      </c>
      <c r="BI4" s="53">
        <v>4864194</v>
      </c>
    </row>
    <row r="5" spans="1:61" ht="15.75" x14ac:dyDescent="0.25">
      <c r="A5" s="53" t="s">
        <v>2</v>
      </c>
      <c r="B5" s="52" t="s">
        <v>140</v>
      </c>
      <c r="C5" s="49" t="s">
        <v>42</v>
      </c>
      <c r="D5" s="49" t="str">
        <f>VLOOKUP(A5,PARAMETER!D:E,2,0)</f>
        <v>RIFALDI</v>
      </c>
      <c r="E5" s="49" t="str">
        <f t="shared" si="0"/>
        <v>RIFALDITRX</v>
      </c>
      <c r="F5" s="49" t="str">
        <f t="shared" si="1"/>
        <v>ANCOLTRX</v>
      </c>
      <c r="G5" s="81">
        <f t="shared" si="2"/>
        <v>31385</v>
      </c>
      <c r="H5" s="81">
        <f>SUMIF(I$1:BI$1,"&lt;="&amp;PARAMETER!X$2,I5:BI5)</f>
        <v>181</v>
      </c>
      <c r="I5" s="53">
        <v>6</v>
      </c>
      <c r="J5" s="53">
        <v>14</v>
      </c>
      <c r="K5" s="53">
        <v>11</v>
      </c>
      <c r="L5" s="53">
        <v>12</v>
      </c>
      <c r="M5" s="53">
        <v>14</v>
      </c>
      <c r="N5" s="53">
        <v>10</v>
      </c>
      <c r="O5" s="53">
        <v>18</v>
      </c>
      <c r="P5" s="53">
        <v>6</v>
      </c>
      <c r="Q5" s="53">
        <v>58</v>
      </c>
      <c r="R5" s="53">
        <v>21</v>
      </c>
      <c r="S5" s="53">
        <v>11</v>
      </c>
      <c r="T5" s="53">
        <v>18</v>
      </c>
      <c r="U5" s="53">
        <v>130</v>
      </c>
      <c r="V5" s="53">
        <v>254</v>
      </c>
      <c r="W5" s="53">
        <v>29</v>
      </c>
      <c r="X5" s="53">
        <v>26</v>
      </c>
      <c r="Y5" s="53">
        <v>23</v>
      </c>
      <c r="Z5" s="53">
        <v>15</v>
      </c>
      <c r="AA5" s="53">
        <v>29</v>
      </c>
      <c r="AB5" s="53">
        <v>28</v>
      </c>
      <c r="AC5" s="53">
        <v>49</v>
      </c>
      <c r="AD5" s="53">
        <v>50</v>
      </c>
      <c r="AE5" s="53">
        <v>46</v>
      </c>
      <c r="AF5" s="53">
        <v>40</v>
      </c>
      <c r="AG5" s="53">
        <v>49</v>
      </c>
      <c r="AH5" s="53">
        <v>286</v>
      </c>
      <c r="AI5" s="53">
        <v>284</v>
      </c>
      <c r="AJ5" s="53">
        <v>248</v>
      </c>
      <c r="AK5" s="53">
        <v>260</v>
      </c>
      <c r="AL5" s="53">
        <v>24</v>
      </c>
      <c r="AM5" s="53">
        <v>53</v>
      </c>
      <c r="AN5" s="53">
        <v>52</v>
      </c>
      <c r="AO5" s="53">
        <v>201</v>
      </c>
      <c r="AP5" s="53">
        <v>331</v>
      </c>
      <c r="AQ5" s="53">
        <v>261</v>
      </c>
      <c r="AR5" s="53">
        <v>80</v>
      </c>
      <c r="AS5" s="53">
        <v>103</v>
      </c>
      <c r="AT5" s="53">
        <v>381</v>
      </c>
      <c r="AU5" s="53">
        <v>385</v>
      </c>
      <c r="AV5" s="53">
        <v>193</v>
      </c>
      <c r="AW5" s="53">
        <v>180</v>
      </c>
      <c r="AX5" s="53">
        <v>147</v>
      </c>
      <c r="AY5" s="53">
        <v>225</v>
      </c>
      <c r="AZ5" s="53">
        <v>272</v>
      </c>
      <c r="BA5" s="53">
        <v>677</v>
      </c>
      <c r="BB5" s="53">
        <v>911</v>
      </c>
      <c r="BC5" s="53">
        <v>2646</v>
      </c>
      <c r="BD5" s="53">
        <v>4064</v>
      </c>
      <c r="BE5" s="53">
        <v>4500</v>
      </c>
      <c r="BF5" s="53">
        <v>5724</v>
      </c>
      <c r="BG5" s="53">
        <v>6088</v>
      </c>
      <c r="BH5" s="53">
        <v>1640</v>
      </c>
      <c r="BI5" s="53">
        <v>202</v>
      </c>
    </row>
    <row r="6" spans="1:61" ht="15.75" x14ac:dyDescent="0.25">
      <c r="A6" s="53" t="s">
        <v>2</v>
      </c>
      <c r="B6" s="52" t="s">
        <v>140</v>
      </c>
      <c r="C6" s="49" t="s">
        <v>41</v>
      </c>
      <c r="D6" s="49" t="str">
        <f>VLOOKUP(A6,PARAMETER!D:E,2,0)</f>
        <v>RIFALDI</v>
      </c>
      <c r="E6" s="49" t="str">
        <f t="shared" si="0"/>
        <v>RIFALDIVOL</v>
      </c>
      <c r="F6" s="49" t="str">
        <f t="shared" si="1"/>
        <v>ANCOLVOL</v>
      </c>
      <c r="G6" s="81">
        <f t="shared" si="2"/>
        <v>13151058840</v>
      </c>
      <c r="H6" s="81">
        <f>SUMIF(I$1:BI$1,"&lt;="&amp;PARAMETER!X$2,I6:BI6)</f>
        <v>29858641</v>
      </c>
      <c r="I6" s="53">
        <v>3642000</v>
      </c>
      <c r="J6" s="53">
        <v>781500</v>
      </c>
      <c r="K6" s="53">
        <v>556000</v>
      </c>
      <c r="L6" s="53">
        <v>655100</v>
      </c>
      <c r="M6" s="53">
        <v>5622890</v>
      </c>
      <c r="N6" s="53">
        <v>949975</v>
      </c>
      <c r="O6" s="53">
        <v>1115523</v>
      </c>
      <c r="P6" s="53">
        <v>379000</v>
      </c>
      <c r="Q6" s="53">
        <v>5787400</v>
      </c>
      <c r="R6" s="53">
        <v>3918810</v>
      </c>
      <c r="S6" s="53">
        <v>6450443</v>
      </c>
      <c r="T6" s="53">
        <v>1150500</v>
      </c>
      <c r="U6" s="53">
        <v>8171700</v>
      </c>
      <c r="V6" s="53">
        <v>16428900</v>
      </c>
      <c r="W6" s="53">
        <v>1796600</v>
      </c>
      <c r="X6" s="53">
        <v>1834700</v>
      </c>
      <c r="Y6" s="53">
        <v>1210000</v>
      </c>
      <c r="Z6" s="53">
        <v>629000</v>
      </c>
      <c r="AA6" s="53">
        <v>10833692</v>
      </c>
      <c r="AB6" s="53">
        <v>1553109</v>
      </c>
      <c r="AC6" s="53">
        <v>4014220</v>
      </c>
      <c r="AD6" s="53">
        <v>4765010</v>
      </c>
      <c r="AE6" s="53">
        <v>4296896</v>
      </c>
      <c r="AF6" s="53">
        <v>4129687</v>
      </c>
      <c r="AG6" s="53">
        <v>3019390</v>
      </c>
      <c r="AH6" s="53">
        <v>36027596</v>
      </c>
      <c r="AI6" s="53">
        <v>27619933</v>
      </c>
      <c r="AJ6" s="53">
        <v>27372651</v>
      </c>
      <c r="AK6" s="53">
        <v>25111644</v>
      </c>
      <c r="AL6" s="53">
        <v>1736178</v>
      </c>
      <c r="AM6" s="53">
        <v>4284406</v>
      </c>
      <c r="AN6" s="53">
        <v>5388131</v>
      </c>
      <c r="AO6" s="53">
        <v>18922776</v>
      </c>
      <c r="AP6" s="53">
        <v>30318628</v>
      </c>
      <c r="AQ6" s="53">
        <v>23868866</v>
      </c>
      <c r="AR6" s="53">
        <v>4769424</v>
      </c>
      <c r="AS6" s="53">
        <v>6009652</v>
      </c>
      <c r="AT6" s="53">
        <v>27031403</v>
      </c>
      <c r="AU6" s="53">
        <v>31869488</v>
      </c>
      <c r="AV6" s="53">
        <v>12977652</v>
      </c>
      <c r="AW6" s="53">
        <v>10560484</v>
      </c>
      <c r="AX6" s="53">
        <v>10214205</v>
      </c>
      <c r="AY6" s="53">
        <v>13531789</v>
      </c>
      <c r="AZ6" s="53">
        <v>13180220</v>
      </c>
      <c r="BA6" s="53">
        <v>339337134</v>
      </c>
      <c r="BB6" s="53">
        <v>301813442</v>
      </c>
      <c r="BC6" s="53">
        <v>731507169</v>
      </c>
      <c r="BD6" s="53">
        <v>1029482210</v>
      </c>
      <c r="BE6" s="53">
        <v>910619792</v>
      </c>
      <c r="BF6" s="53">
        <v>1782834613</v>
      </c>
      <c r="BG6" s="53">
        <v>2875218137</v>
      </c>
      <c r="BH6" s="53">
        <v>4115367571</v>
      </c>
      <c r="BI6" s="53">
        <v>640391601</v>
      </c>
    </row>
    <row r="7" spans="1:61" ht="15.75" x14ac:dyDescent="0.25">
      <c r="A7" s="53" t="s">
        <v>2</v>
      </c>
      <c r="B7" s="52" t="s">
        <v>140</v>
      </c>
      <c r="C7" s="49" t="s">
        <v>40</v>
      </c>
      <c r="D7" s="49" t="str">
        <f>VLOOKUP(A7,PARAMETER!D:E,2,0)</f>
        <v>RIFALDI</v>
      </c>
      <c r="E7" s="49" t="str">
        <f t="shared" si="0"/>
        <v>RIFALDIFBI</v>
      </c>
      <c r="F7" s="49" t="str">
        <f t="shared" si="1"/>
        <v>ANCOLFBI</v>
      </c>
      <c r="G7" s="81">
        <f t="shared" si="2"/>
        <v>103416682</v>
      </c>
      <c r="H7" s="81">
        <f>SUMIF(I$1:BI$1,"&lt;="&amp;PARAMETER!X$2,I7:BI7)</f>
        <v>216236</v>
      </c>
      <c r="I7" s="53">
        <v>36671</v>
      </c>
      <c r="J7" s="53">
        <v>2436</v>
      </c>
      <c r="K7" s="53">
        <v>0</v>
      </c>
      <c r="L7" s="53">
        <v>1652</v>
      </c>
      <c r="M7" s="53">
        <v>50432</v>
      </c>
      <c r="N7" s="53">
        <v>8666</v>
      </c>
      <c r="O7" s="53">
        <v>4598</v>
      </c>
      <c r="P7" s="53">
        <v>0</v>
      </c>
      <c r="Q7" s="53">
        <v>22155</v>
      </c>
      <c r="R7" s="53">
        <v>28426</v>
      </c>
      <c r="S7" s="53">
        <v>61200</v>
      </c>
      <c r="T7" s="53">
        <v>112</v>
      </c>
      <c r="U7" s="53">
        <v>2280</v>
      </c>
      <c r="V7" s="53">
        <v>1170</v>
      </c>
      <c r="W7" s="53">
        <v>4488</v>
      </c>
      <c r="X7" s="53">
        <v>6947</v>
      </c>
      <c r="Y7" s="53">
        <v>0</v>
      </c>
      <c r="Z7" s="53">
        <v>0</v>
      </c>
      <c r="AA7" s="53">
        <v>96905</v>
      </c>
      <c r="AB7" s="53">
        <v>1757</v>
      </c>
      <c r="AC7" s="53">
        <v>2716</v>
      </c>
      <c r="AD7" s="53">
        <v>0</v>
      </c>
      <c r="AE7" s="53">
        <v>2725</v>
      </c>
      <c r="AF7" s="53">
        <v>1911</v>
      </c>
      <c r="AG7" s="53">
        <v>2671</v>
      </c>
      <c r="AH7" s="53">
        <v>0</v>
      </c>
      <c r="AI7" s="53">
        <v>0</v>
      </c>
      <c r="AJ7" s="53">
        <v>16412</v>
      </c>
      <c r="AK7" s="53">
        <v>0</v>
      </c>
      <c r="AL7" s="53">
        <v>4662</v>
      </c>
      <c r="AM7" s="53">
        <v>3267</v>
      </c>
      <c r="AN7" s="53">
        <v>3057</v>
      </c>
      <c r="AO7" s="53">
        <v>0</v>
      </c>
      <c r="AP7" s="53">
        <v>800</v>
      </c>
      <c r="AQ7" s="53">
        <v>4522</v>
      </c>
      <c r="AR7" s="53">
        <v>0</v>
      </c>
      <c r="AS7" s="53">
        <v>0</v>
      </c>
      <c r="AT7" s="53">
        <v>36</v>
      </c>
      <c r="AU7" s="53">
        <v>0</v>
      </c>
      <c r="AV7" s="53">
        <v>5641</v>
      </c>
      <c r="AW7" s="53">
        <v>449</v>
      </c>
      <c r="AX7" s="53">
        <v>1716</v>
      </c>
      <c r="AY7" s="53">
        <v>5170</v>
      </c>
      <c r="AZ7" s="53">
        <v>835</v>
      </c>
      <c r="BA7" s="53">
        <v>2897883</v>
      </c>
      <c r="BB7" s="53">
        <v>2509261</v>
      </c>
      <c r="BC7" s="53">
        <v>5955483</v>
      </c>
      <c r="BD7" s="53">
        <v>8463872</v>
      </c>
      <c r="BE7" s="53">
        <v>7205303</v>
      </c>
      <c r="BF7" s="53">
        <v>15066895</v>
      </c>
      <c r="BG7" s="53">
        <v>23317096</v>
      </c>
      <c r="BH7" s="53">
        <v>32782751</v>
      </c>
      <c r="BI7" s="53">
        <v>4831653</v>
      </c>
    </row>
    <row r="8" spans="1:61" ht="15.75" x14ac:dyDescent="0.25">
      <c r="A8" s="53" t="s">
        <v>3</v>
      </c>
      <c r="B8" s="52" t="s">
        <v>140</v>
      </c>
      <c r="C8" s="49" t="s">
        <v>42</v>
      </c>
      <c r="D8" s="49" t="str">
        <f>VLOOKUP(A8,PARAMETER!D:E,2,0)</f>
        <v>NINA</v>
      </c>
      <c r="E8" s="49" t="str">
        <f t="shared" si="0"/>
        <v>NINATRX</v>
      </c>
      <c r="F8" s="49" t="str">
        <f t="shared" si="1"/>
        <v>BANBAN TEATRX</v>
      </c>
      <c r="G8" s="81">
        <f t="shared" si="2"/>
        <v>3300</v>
      </c>
      <c r="H8" s="81">
        <f>SUMIF(I$1:BI$1,"&lt;="&amp;PARAMETER!X$2,I8:BI8)</f>
        <v>1253</v>
      </c>
      <c r="I8" s="53">
        <v>34</v>
      </c>
      <c r="J8" s="53">
        <v>15</v>
      </c>
      <c r="K8" s="53">
        <v>12</v>
      </c>
      <c r="L8" s="53">
        <v>38</v>
      </c>
      <c r="M8" s="53">
        <v>91</v>
      </c>
      <c r="N8" s="53">
        <v>761</v>
      </c>
      <c r="O8" s="53">
        <v>122</v>
      </c>
      <c r="P8" s="53">
        <v>76</v>
      </c>
      <c r="Q8" s="53">
        <v>46</v>
      </c>
      <c r="R8" s="53">
        <v>24</v>
      </c>
      <c r="S8" s="53">
        <v>34</v>
      </c>
      <c r="T8" s="53">
        <v>40</v>
      </c>
      <c r="U8" s="53">
        <v>38</v>
      </c>
      <c r="V8" s="53">
        <v>23</v>
      </c>
      <c r="W8" s="53">
        <v>18</v>
      </c>
      <c r="X8" s="53">
        <v>23</v>
      </c>
      <c r="Y8" s="53">
        <v>12</v>
      </c>
      <c r="Z8" s="53">
        <v>19</v>
      </c>
      <c r="AA8" s="53">
        <v>230</v>
      </c>
      <c r="AB8" s="53">
        <v>40</v>
      </c>
      <c r="AC8" s="53">
        <v>16</v>
      </c>
      <c r="AD8" s="53">
        <v>44</v>
      </c>
      <c r="AE8" s="53">
        <v>11</v>
      </c>
      <c r="AF8" s="53">
        <v>13</v>
      </c>
      <c r="AG8" s="53">
        <v>385</v>
      </c>
      <c r="AH8" s="53">
        <v>290</v>
      </c>
      <c r="AI8" s="53">
        <v>113</v>
      </c>
      <c r="AJ8" s="53">
        <v>58</v>
      </c>
      <c r="AK8" s="53">
        <v>52</v>
      </c>
      <c r="AL8" s="53">
        <v>18</v>
      </c>
      <c r="AM8" s="53">
        <v>49</v>
      </c>
      <c r="AN8" s="53">
        <v>34</v>
      </c>
      <c r="AO8" s="53">
        <v>68</v>
      </c>
      <c r="AP8" s="53">
        <v>12</v>
      </c>
      <c r="AQ8" s="53">
        <v>6</v>
      </c>
      <c r="AR8" s="53">
        <v>74</v>
      </c>
      <c r="AS8" s="53">
        <v>28</v>
      </c>
      <c r="AT8" s="53">
        <v>22</v>
      </c>
      <c r="AU8" s="53">
        <v>23</v>
      </c>
      <c r="AV8" s="53">
        <v>38</v>
      </c>
      <c r="AW8" s="53">
        <v>29</v>
      </c>
      <c r="AX8" s="53">
        <v>13</v>
      </c>
      <c r="AY8" s="53">
        <v>27</v>
      </c>
      <c r="AZ8" s="53">
        <v>18</v>
      </c>
      <c r="BA8" s="53">
        <v>15</v>
      </c>
      <c r="BB8" s="53">
        <v>8</v>
      </c>
      <c r="BC8" s="53">
        <v>26</v>
      </c>
      <c r="BD8" s="53">
        <v>23</v>
      </c>
      <c r="BE8" s="53">
        <v>23</v>
      </c>
      <c r="BF8" s="53">
        <v>17</v>
      </c>
      <c r="BG8" s="53">
        <v>24</v>
      </c>
      <c r="BH8" s="53">
        <v>24</v>
      </c>
      <c r="BI8" s="53">
        <v>3</v>
      </c>
    </row>
    <row r="9" spans="1:61" ht="15.75" x14ac:dyDescent="0.25">
      <c r="A9" s="53" t="s">
        <v>3</v>
      </c>
      <c r="B9" s="52" t="s">
        <v>140</v>
      </c>
      <c r="C9" s="49" t="s">
        <v>41</v>
      </c>
      <c r="D9" s="49" t="str">
        <f>VLOOKUP(A9,PARAMETER!D:E,2,0)</f>
        <v>NINA</v>
      </c>
      <c r="E9" s="49" t="str">
        <f t="shared" si="0"/>
        <v>NINAVOL</v>
      </c>
      <c r="F9" s="49" t="str">
        <f t="shared" si="1"/>
        <v>BANBAN TEAVOL</v>
      </c>
      <c r="G9" s="81">
        <f t="shared" si="2"/>
        <v>181538285</v>
      </c>
      <c r="H9" s="81">
        <f>SUMIF(I$1:BI$1,"&lt;="&amp;PARAMETER!X$2,I9:BI9)</f>
        <v>46898276</v>
      </c>
      <c r="I9" s="53">
        <v>2749995</v>
      </c>
      <c r="J9" s="53">
        <v>1261192</v>
      </c>
      <c r="K9" s="53">
        <v>802298</v>
      </c>
      <c r="L9" s="53">
        <v>2175496</v>
      </c>
      <c r="M9" s="53">
        <v>4832394</v>
      </c>
      <c r="N9" s="53">
        <v>17904549</v>
      </c>
      <c r="O9" s="53">
        <v>6596398</v>
      </c>
      <c r="P9" s="53">
        <v>4340760</v>
      </c>
      <c r="Q9" s="53">
        <v>2840498</v>
      </c>
      <c r="R9" s="53">
        <v>1616597</v>
      </c>
      <c r="S9" s="53">
        <v>1778099</v>
      </c>
      <c r="T9" s="53">
        <v>2601349</v>
      </c>
      <c r="U9" s="53">
        <v>2687098</v>
      </c>
      <c r="V9" s="53">
        <v>1580999</v>
      </c>
      <c r="W9" s="53">
        <v>1066200</v>
      </c>
      <c r="X9" s="53">
        <v>1563300</v>
      </c>
      <c r="Y9" s="53">
        <v>730100</v>
      </c>
      <c r="Z9" s="53">
        <v>953999</v>
      </c>
      <c r="AA9" s="53">
        <v>14813182</v>
      </c>
      <c r="AB9" s="53">
        <v>2582200</v>
      </c>
      <c r="AC9" s="53">
        <v>1049101</v>
      </c>
      <c r="AD9" s="53">
        <v>2846200</v>
      </c>
      <c r="AE9" s="53">
        <v>734298</v>
      </c>
      <c r="AF9" s="53">
        <v>979799</v>
      </c>
      <c r="AG9" s="53">
        <v>24575483</v>
      </c>
      <c r="AH9" s="53">
        <v>20361989</v>
      </c>
      <c r="AI9" s="53">
        <v>7473496</v>
      </c>
      <c r="AJ9" s="53">
        <v>3183796</v>
      </c>
      <c r="AK9" s="53">
        <v>3339899</v>
      </c>
      <c r="AL9" s="53">
        <v>1602100</v>
      </c>
      <c r="AM9" s="53">
        <v>2704948</v>
      </c>
      <c r="AN9" s="53">
        <v>1959698</v>
      </c>
      <c r="AO9" s="53">
        <v>4320596</v>
      </c>
      <c r="AP9" s="53">
        <v>775297</v>
      </c>
      <c r="AQ9" s="53">
        <v>429900</v>
      </c>
      <c r="AR9" s="53">
        <v>4950997</v>
      </c>
      <c r="AS9" s="53">
        <v>1818299</v>
      </c>
      <c r="AT9" s="53">
        <v>1480897</v>
      </c>
      <c r="AU9" s="53">
        <v>1731299</v>
      </c>
      <c r="AV9" s="53">
        <v>2823997</v>
      </c>
      <c r="AW9" s="53">
        <v>1503300</v>
      </c>
      <c r="AX9" s="53">
        <v>653400</v>
      </c>
      <c r="AY9" s="53">
        <v>2173399</v>
      </c>
      <c r="AZ9" s="53">
        <v>1299298</v>
      </c>
      <c r="BA9" s="53">
        <v>767600</v>
      </c>
      <c r="BB9" s="53">
        <v>488400</v>
      </c>
      <c r="BC9" s="53">
        <v>1776298</v>
      </c>
      <c r="BD9" s="53">
        <v>1320399</v>
      </c>
      <c r="BE9" s="53">
        <v>1913600</v>
      </c>
      <c r="BF9" s="53">
        <v>912099</v>
      </c>
      <c r="BG9" s="53">
        <v>1900600</v>
      </c>
      <c r="BH9" s="53">
        <v>1992200</v>
      </c>
      <c r="BI9" s="53">
        <v>218900</v>
      </c>
    </row>
    <row r="10" spans="1:61" ht="15.75" x14ac:dyDescent="0.25">
      <c r="A10" s="53" t="s">
        <v>3</v>
      </c>
      <c r="B10" s="52" t="s">
        <v>140</v>
      </c>
      <c r="C10" s="49" t="s">
        <v>40</v>
      </c>
      <c r="D10" s="49" t="str">
        <f>VLOOKUP(A10,PARAMETER!D:E,2,0)</f>
        <v>NINA</v>
      </c>
      <c r="E10" s="49" t="str">
        <f t="shared" si="0"/>
        <v>NINAFBI</v>
      </c>
      <c r="F10" s="49" t="str">
        <f t="shared" si="1"/>
        <v>BANBAN TEAFBI</v>
      </c>
      <c r="G10" s="81">
        <f t="shared" si="2"/>
        <v>1267253</v>
      </c>
      <c r="H10" s="81">
        <f>SUMIF(I$1:BI$1,"&lt;="&amp;PARAMETER!X$2,I10:BI10)</f>
        <v>301802</v>
      </c>
      <c r="I10" s="53">
        <v>13064</v>
      </c>
      <c r="J10" s="53">
        <v>6384</v>
      </c>
      <c r="K10" s="53">
        <v>2439</v>
      </c>
      <c r="L10" s="53">
        <v>12131</v>
      </c>
      <c r="M10" s="53">
        <v>31929</v>
      </c>
      <c r="N10" s="53">
        <v>120468</v>
      </c>
      <c r="O10" s="53">
        <v>43146</v>
      </c>
      <c r="P10" s="53">
        <v>29004</v>
      </c>
      <c r="Q10" s="53">
        <v>19960</v>
      </c>
      <c r="R10" s="53">
        <v>11137</v>
      </c>
      <c r="S10" s="53">
        <v>12140</v>
      </c>
      <c r="T10" s="53">
        <v>17657</v>
      </c>
      <c r="U10" s="53">
        <v>16478</v>
      </c>
      <c r="V10" s="53">
        <v>9456</v>
      </c>
      <c r="W10" s="53">
        <v>6859</v>
      </c>
      <c r="X10" s="53">
        <v>9231</v>
      </c>
      <c r="Y10" s="53">
        <v>3938</v>
      </c>
      <c r="Z10" s="53">
        <v>5593</v>
      </c>
      <c r="AA10" s="53">
        <v>109868</v>
      </c>
      <c r="AB10" s="53">
        <v>17544</v>
      </c>
      <c r="AC10" s="53">
        <v>5711</v>
      </c>
      <c r="AD10" s="53">
        <v>20350</v>
      </c>
      <c r="AE10" s="53">
        <v>3680</v>
      </c>
      <c r="AF10" s="53">
        <v>7610</v>
      </c>
      <c r="AG10" s="53">
        <v>179946</v>
      </c>
      <c r="AH10" s="53">
        <v>152698</v>
      </c>
      <c r="AI10" s="53">
        <v>56746</v>
      </c>
      <c r="AJ10" s="53">
        <v>23031</v>
      </c>
      <c r="AK10" s="53">
        <v>25541</v>
      </c>
      <c r="AL10" s="53">
        <v>12270</v>
      </c>
      <c r="AM10" s="53">
        <v>18935</v>
      </c>
      <c r="AN10" s="53">
        <v>14011</v>
      </c>
      <c r="AO10" s="53">
        <v>33593</v>
      </c>
      <c r="AP10" s="53">
        <v>5784</v>
      </c>
      <c r="AQ10" s="53">
        <v>2846</v>
      </c>
      <c r="AR10" s="53">
        <v>35458</v>
      </c>
      <c r="AS10" s="53">
        <v>12430</v>
      </c>
      <c r="AT10" s="53">
        <v>9816</v>
      </c>
      <c r="AU10" s="53">
        <v>12117</v>
      </c>
      <c r="AV10" s="53">
        <v>19508</v>
      </c>
      <c r="AW10" s="53">
        <v>10249</v>
      </c>
      <c r="AX10" s="53">
        <v>4574</v>
      </c>
      <c r="AY10" s="53">
        <v>14590</v>
      </c>
      <c r="AZ10" s="53">
        <v>9095</v>
      </c>
      <c r="BA10" s="53">
        <v>5372</v>
      </c>
      <c r="BB10" s="53">
        <v>3134</v>
      </c>
      <c r="BC10" s="53">
        <v>12540</v>
      </c>
      <c r="BD10" s="53">
        <v>9544</v>
      </c>
      <c r="BE10" s="53">
        <v>13395</v>
      </c>
      <c r="BF10" s="53">
        <v>6385</v>
      </c>
      <c r="BG10" s="53">
        <v>13431</v>
      </c>
      <c r="BH10" s="53">
        <v>13165</v>
      </c>
      <c r="BI10" s="53">
        <v>1272</v>
      </c>
    </row>
    <row r="11" spans="1:61" ht="15.75" x14ac:dyDescent="0.25">
      <c r="A11" s="53" t="s">
        <v>4</v>
      </c>
      <c r="B11" s="52" t="s">
        <v>140</v>
      </c>
      <c r="C11" s="49" t="s">
        <v>42</v>
      </c>
      <c r="D11" s="49" t="str">
        <f>VLOOKUP(A11,PARAMETER!D:E,2,0)</f>
        <v>NINA</v>
      </c>
      <c r="E11" s="49" t="str">
        <f t="shared" si="0"/>
        <v>NINATRX</v>
      </c>
      <c r="F11" s="49" t="str">
        <f t="shared" si="1"/>
        <v>BEARD PAPATRX</v>
      </c>
      <c r="G11" s="81">
        <f t="shared" si="2"/>
        <v>544</v>
      </c>
      <c r="H11" s="81">
        <f>SUMIF(I$1:BI$1,"&lt;="&amp;PARAMETER!X$2,I11:BI11)</f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  <c r="P11" s="53">
        <v>0</v>
      </c>
      <c r="Q11" s="53">
        <v>0</v>
      </c>
      <c r="R11" s="53">
        <v>0</v>
      </c>
      <c r="S11" s="53">
        <v>0</v>
      </c>
      <c r="T11" s="53">
        <v>0</v>
      </c>
      <c r="U11" s="53">
        <v>0</v>
      </c>
      <c r="V11" s="53">
        <v>0</v>
      </c>
      <c r="W11" s="53">
        <v>0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5</v>
      </c>
      <c r="AJ11" s="53">
        <v>6</v>
      </c>
      <c r="AK11" s="53">
        <v>24</v>
      </c>
      <c r="AL11" s="53">
        <v>17</v>
      </c>
      <c r="AM11" s="53">
        <v>31</v>
      </c>
      <c r="AN11" s="53">
        <v>15</v>
      </c>
      <c r="AO11" s="53">
        <v>16</v>
      </c>
      <c r="AP11" s="53">
        <v>153</v>
      </c>
      <c r="AQ11" s="53">
        <v>22</v>
      </c>
      <c r="AR11" s="53">
        <v>43</v>
      </c>
      <c r="AS11" s="53">
        <v>32</v>
      </c>
      <c r="AT11" s="53">
        <v>53</v>
      </c>
      <c r="AU11" s="53">
        <v>27</v>
      </c>
      <c r="AV11" s="53">
        <v>6</v>
      </c>
      <c r="AW11" s="53">
        <v>5</v>
      </c>
      <c r="AX11" s="53">
        <v>7</v>
      </c>
      <c r="AY11" s="53">
        <v>5</v>
      </c>
      <c r="AZ11" s="53">
        <v>5</v>
      </c>
      <c r="BA11" s="53">
        <v>11</v>
      </c>
      <c r="BB11" s="53">
        <v>4</v>
      </c>
      <c r="BC11" s="53">
        <v>10</v>
      </c>
      <c r="BD11" s="53">
        <v>6</v>
      </c>
      <c r="BE11" s="53">
        <v>17</v>
      </c>
      <c r="BF11" s="53">
        <v>9</v>
      </c>
      <c r="BG11" s="53">
        <v>8</v>
      </c>
      <c r="BH11" s="53">
        <v>6</v>
      </c>
      <c r="BI11" s="53">
        <v>1</v>
      </c>
    </row>
    <row r="12" spans="1:61" ht="15.75" x14ac:dyDescent="0.25">
      <c r="A12" s="53" t="s">
        <v>4</v>
      </c>
      <c r="B12" s="52" t="s">
        <v>140</v>
      </c>
      <c r="C12" s="49" t="s">
        <v>41</v>
      </c>
      <c r="D12" s="49" t="str">
        <f>VLOOKUP(A12,PARAMETER!D:E,2,0)</f>
        <v>NINA</v>
      </c>
      <c r="E12" s="49" t="str">
        <f t="shared" si="0"/>
        <v>NINAVOL</v>
      </c>
      <c r="F12" s="49" t="str">
        <f t="shared" si="1"/>
        <v>BEARD PAPAVOL</v>
      </c>
      <c r="G12" s="81">
        <f t="shared" si="2"/>
        <v>107004726</v>
      </c>
      <c r="H12" s="81">
        <f>SUMIF(I$1:BI$1,"&lt;="&amp;PARAMETER!X$2,I12:BI12)</f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3">
        <v>0</v>
      </c>
      <c r="W12" s="53">
        <v>0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404000</v>
      </c>
      <c r="AJ12" s="53">
        <v>813000</v>
      </c>
      <c r="AK12" s="53">
        <v>2359000</v>
      </c>
      <c r="AL12" s="53">
        <v>1704000</v>
      </c>
      <c r="AM12" s="53">
        <v>2139005</v>
      </c>
      <c r="AN12" s="53">
        <v>1408000</v>
      </c>
      <c r="AO12" s="53">
        <v>22862501</v>
      </c>
      <c r="AP12" s="53">
        <v>13081000</v>
      </c>
      <c r="AQ12" s="53">
        <v>1974000</v>
      </c>
      <c r="AR12" s="53">
        <v>4962003</v>
      </c>
      <c r="AS12" s="53">
        <v>4625702</v>
      </c>
      <c r="AT12" s="53">
        <v>7223751</v>
      </c>
      <c r="AU12" s="53">
        <v>3912551</v>
      </c>
      <c r="AV12" s="53">
        <v>1533002</v>
      </c>
      <c r="AW12" s="53">
        <v>2763002</v>
      </c>
      <c r="AX12" s="53">
        <v>1518000</v>
      </c>
      <c r="AY12" s="53">
        <v>1994001</v>
      </c>
      <c r="AZ12" s="53">
        <v>1479000</v>
      </c>
      <c r="BA12" s="53">
        <v>1815002</v>
      </c>
      <c r="BB12" s="53">
        <v>2374000</v>
      </c>
      <c r="BC12" s="53">
        <v>1753003</v>
      </c>
      <c r="BD12" s="53">
        <v>3347001</v>
      </c>
      <c r="BE12" s="53">
        <v>5093202</v>
      </c>
      <c r="BF12" s="53">
        <v>4027000</v>
      </c>
      <c r="BG12" s="53">
        <v>4259000</v>
      </c>
      <c r="BH12" s="53">
        <v>6559000</v>
      </c>
      <c r="BI12" s="53">
        <v>1022000</v>
      </c>
    </row>
    <row r="13" spans="1:61" ht="15.75" x14ac:dyDescent="0.25">
      <c r="A13" s="53" t="s">
        <v>4</v>
      </c>
      <c r="B13" s="52" t="s">
        <v>140</v>
      </c>
      <c r="C13" s="49" t="s">
        <v>40</v>
      </c>
      <c r="D13" s="49" t="str">
        <f>VLOOKUP(A13,PARAMETER!D:E,2,0)</f>
        <v>NINA</v>
      </c>
      <c r="E13" s="49" t="str">
        <f t="shared" si="0"/>
        <v>NINAFBI</v>
      </c>
      <c r="F13" s="49" t="str">
        <f t="shared" si="1"/>
        <v>BEARD PAPAFBI</v>
      </c>
      <c r="G13" s="81">
        <f t="shared" si="2"/>
        <v>871200</v>
      </c>
      <c r="H13" s="81">
        <f>SUMIF(I$1:BI$1,"&lt;="&amp;PARAMETER!X$2,I13:BI13)</f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3">
        <v>0</v>
      </c>
      <c r="W13" s="53">
        <v>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4040</v>
      </c>
      <c r="AJ13" s="53">
        <v>5436</v>
      </c>
      <c r="AK13" s="53">
        <v>19012</v>
      </c>
      <c r="AL13" s="53">
        <v>21060</v>
      </c>
      <c r="AM13" s="53">
        <v>21191</v>
      </c>
      <c r="AN13" s="53">
        <v>16690</v>
      </c>
      <c r="AO13" s="53">
        <v>166165</v>
      </c>
      <c r="AP13" s="53">
        <v>106244</v>
      </c>
      <c r="AQ13" s="53">
        <v>18170</v>
      </c>
      <c r="AR13" s="53">
        <v>48247</v>
      </c>
      <c r="AS13" s="53">
        <v>51374</v>
      </c>
      <c r="AT13" s="53">
        <v>104664</v>
      </c>
      <c r="AU13" s="53">
        <v>39020</v>
      </c>
      <c r="AV13" s="53">
        <v>9213</v>
      </c>
      <c r="AW13" s="53">
        <v>18642</v>
      </c>
      <c r="AX13" s="53">
        <v>8498</v>
      </c>
      <c r="AY13" s="53">
        <v>13155</v>
      </c>
      <c r="AZ13" s="53">
        <v>7664</v>
      </c>
      <c r="BA13" s="53">
        <v>12100</v>
      </c>
      <c r="BB13" s="53">
        <v>14192</v>
      </c>
      <c r="BC13" s="53">
        <v>10616</v>
      </c>
      <c r="BD13" s="53">
        <v>20344</v>
      </c>
      <c r="BE13" s="53">
        <v>32682</v>
      </c>
      <c r="BF13" s="53">
        <v>25615</v>
      </c>
      <c r="BG13" s="53">
        <v>26689</v>
      </c>
      <c r="BH13" s="53">
        <v>43466</v>
      </c>
      <c r="BI13" s="53">
        <v>7011</v>
      </c>
    </row>
    <row r="14" spans="1:61" ht="15.75" x14ac:dyDescent="0.25">
      <c r="A14" s="53" t="s">
        <v>6</v>
      </c>
      <c r="B14" s="52" t="s">
        <v>140</v>
      </c>
      <c r="C14" s="49" t="s">
        <v>42</v>
      </c>
      <c r="D14" s="49" t="str">
        <f>VLOOKUP(A14,PARAMETER!D:E,2,0)</f>
        <v>NINA</v>
      </c>
      <c r="E14" s="49" t="str">
        <f t="shared" si="0"/>
        <v>NINATRX</v>
      </c>
      <c r="F14" s="49" t="str">
        <f t="shared" si="1"/>
        <v>CHAMP RESTOTRX</v>
      </c>
      <c r="G14" s="81">
        <f t="shared" si="2"/>
        <v>6339</v>
      </c>
      <c r="H14" s="81">
        <f>SUMIF(I$1:BI$1,"&lt;="&amp;PARAMETER!X$2,I14:BI14)</f>
        <v>1821</v>
      </c>
      <c r="I14" s="53">
        <v>50</v>
      </c>
      <c r="J14" s="53">
        <v>63</v>
      </c>
      <c r="K14" s="53">
        <v>55</v>
      </c>
      <c r="L14" s="53">
        <v>98</v>
      </c>
      <c r="M14" s="53">
        <v>61</v>
      </c>
      <c r="N14" s="53">
        <v>758</v>
      </c>
      <c r="O14" s="53">
        <v>488</v>
      </c>
      <c r="P14" s="53">
        <v>68</v>
      </c>
      <c r="Q14" s="53">
        <v>35</v>
      </c>
      <c r="R14" s="53">
        <v>71</v>
      </c>
      <c r="S14" s="53">
        <v>74</v>
      </c>
      <c r="T14" s="53">
        <v>54</v>
      </c>
      <c r="U14" s="53">
        <v>45</v>
      </c>
      <c r="V14" s="53">
        <v>39</v>
      </c>
      <c r="W14" s="53">
        <v>61</v>
      </c>
      <c r="X14" s="53">
        <v>86</v>
      </c>
      <c r="Y14" s="53">
        <v>92</v>
      </c>
      <c r="Z14" s="53">
        <v>504</v>
      </c>
      <c r="AA14" s="53">
        <v>86</v>
      </c>
      <c r="AB14" s="53">
        <v>60</v>
      </c>
      <c r="AC14" s="53">
        <v>72</v>
      </c>
      <c r="AD14" s="53">
        <v>81</v>
      </c>
      <c r="AE14" s="53">
        <v>78</v>
      </c>
      <c r="AF14" s="53">
        <v>71</v>
      </c>
      <c r="AG14" s="53">
        <v>63</v>
      </c>
      <c r="AH14" s="53">
        <v>88</v>
      </c>
      <c r="AI14" s="53">
        <v>65</v>
      </c>
      <c r="AJ14" s="53">
        <v>64</v>
      </c>
      <c r="AK14" s="53">
        <v>98</v>
      </c>
      <c r="AL14" s="53">
        <v>110</v>
      </c>
      <c r="AM14" s="53">
        <v>94</v>
      </c>
      <c r="AN14" s="53">
        <v>112</v>
      </c>
      <c r="AO14" s="53">
        <v>320</v>
      </c>
      <c r="AP14" s="53">
        <v>163</v>
      </c>
      <c r="AQ14" s="53">
        <v>111</v>
      </c>
      <c r="AR14" s="53">
        <v>95</v>
      </c>
      <c r="AS14" s="53">
        <v>94</v>
      </c>
      <c r="AT14" s="53">
        <v>107</v>
      </c>
      <c r="AU14" s="53">
        <v>106</v>
      </c>
      <c r="AV14" s="53">
        <v>130</v>
      </c>
      <c r="AW14" s="53">
        <v>114</v>
      </c>
      <c r="AX14" s="53">
        <v>110</v>
      </c>
      <c r="AY14" s="53">
        <v>95</v>
      </c>
      <c r="AZ14" s="53">
        <v>110</v>
      </c>
      <c r="BA14" s="53">
        <v>102</v>
      </c>
      <c r="BB14" s="53">
        <v>106</v>
      </c>
      <c r="BC14" s="53">
        <v>102</v>
      </c>
      <c r="BD14" s="53">
        <v>110</v>
      </c>
      <c r="BE14" s="53">
        <v>123</v>
      </c>
      <c r="BF14" s="53">
        <v>146</v>
      </c>
      <c r="BG14" s="53">
        <v>120</v>
      </c>
      <c r="BH14" s="53">
        <v>114</v>
      </c>
      <c r="BI14" s="53">
        <v>17</v>
      </c>
    </row>
    <row r="15" spans="1:61" ht="15.75" x14ac:dyDescent="0.25">
      <c r="A15" s="53" t="s">
        <v>6</v>
      </c>
      <c r="B15" s="52" t="s">
        <v>140</v>
      </c>
      <c r="C15" s="49" t="s">
        <v>41</v>
      </c>
      <c r="D15" s="49" t="str">
        <f>VLOOKUP(A15,PARAMETER!D:E,2,0)</f>
        <v>NINA</v>
      </c>
      <c r="E15" s="49" t="str">
        <f t="shared" si="0"/>
        <v>NINAVOL</v>
      </c>
      <c r="F15" s="49" t="str">
        <f t="shared" si="1"/>
        <v>CHAMP RESTOVOL</v>
      </c>
      <c r="G15" s="81">
        <f t="shared" si="2"/>
        <v>695142930</v>
      </c>
      <c r="H15" s="81">
        <f>SUMIF(I$1:BI$1,"&lt;="&amp;PARAMETER!X$2,I15:BI15)</f>
        <v>87312934</v>
      </c>
      <c r="I15" s="53">
        <v>6999997</v>
      </c>
      <c r="J15" s="53">
        <v>6225804</v>
      </c>
      <c r="K15" s="53">
        <v>3535061</v>
      </c>
      <c r="L15" s="53">
        <v>9426177</v>
      </c>
      <c r="M15" s="53">
        <v>6327452</v>
      </c>
      <c r="N15" s="53">
        <v>12368089</v>
      </c>
      <c r="O15" s="53">
        <v>8770265</v>
      </c>
      <c r="P15" s="53">
        <v>5285346</v>
      </c>
      <c r="Q15" s="53">
        <v>6294320</v>
      </c>
      <c r="R15" s="53">
        <v>10999733</v>
      </c>
      <c r="S15" s="53">
        <v>11080690</v>
      </c>
      <c r="T15" s="53">
        <v>9134445</v>
      </c>
      <c r="U15" s="53">
        <v>11143577</v>
      </c>
      <c r="V15" s="53">
        <v>8079053</v>
      </c>
      <c r="W15" s="53">
        <v>8328609</v>
      </c>
      <c r="X15" s="53">
        <v>17292189</v>
      </c>
      <c r="Y15" s="53">
        <v>13103549</v>
      </c>
      <c r="Z15" s="53">
        <v>34013853</v>
      </c>
      <c r="AA15" s="53">
        <v>11725720</v>
      </c>
      <c r="AB15" s="53">
        <v>8009754</v>
      </c>
      <c r="AC15" s="53">
        <v>11038218</v>
      </c>
      <c r="AD15" s="53">
        <v>6148910</v>
      </c>
      <c r="AE15" s="53">
        <v>17358292</v>
      </c>
      <c r="AF15" s="53">
        <v>5546223</v>
      </c>
      <c r="AG15" s="53">
        <v>3976406</v>
      </c>
      <c r="AH15" s="53">
        <v>10843332</v>
      </c>
      <c r="AI15" s="53">
        <v>4908610</v>
      </c>
      <c r="AJ15" s="53">
        <v>4975124</v>
      </c>
      <c r="AK15" s="53">
        <v>11338801</v>
      </c>
      <c r="AL15" s="53">
        <v>25466101</v>
      </c>
      <c r="AM15" s="53">
        <v>11041188</v>
      </c>
      <c r="AN15" s="53">
        <v>17190763</v>
      </c>
      <c r="AO15" s="53">
        <v>51396720</v>
      </c>
      <c r="AP15" s="53">
        <v>23411629</v>
      </c>
      <c r="AQ15" s="53">
        <v>8532958</v>
      </c>
      <c r="AR15" s="53">
        <v>9727552</v>
      </c>
      <c r="AS15" s="53">
        <v>12120267</v>
      </c>
      <c r="AT15" s="53">
        <v>21246280</v>
      </c>
      <c r="AU15" s="53">
        <v>13343420</v>
      </c>
      <c r="AV15" s="53">
        <v>13379214</v>
      </c>
      <c r="AW15" s="53">
        <v>16200081</v>
      </c>
      <c r="AX15" s="53">
        <v>14370431</v>
      </c>
      <c r="AY15" s="53">
        <v>7734039</v>
      </c>
      <c r="AZ15" s="53">
        <v>7608671</v>
      </c>
      <c r="BA15" s="53">
        <v>11601279</v>
      </c>
      <c r="BB15" s="53">
        <v>14705554</v>
      </c>
      <c r="BC15" s="53">
        <v>15739559</v>
      </c>
      <c r="BD15" s="53">
        <v>18351272</v>
      </c>
      <c r="BE15" s="53">
        <v>13317457</v>
      </c>
      <c r="BF15" s="53">
        <v>20999079</v>
      </c>
      <c r="BG15" s="53">
        <v>26600176</v>
      </c>
      <c r="BH15" s="53">
        <v>23401293</v>
      </c>
      <c r="BI15" s="53">
        <v>13380348</v>
      </c>
    </row>
    <row r="16" spans="1:61" ht="15.75" x14ac:dyDescent="0.25">
      <c r="A16" s="53" t="s">
        <v>6</v>
      </c>
      <c r="B16" s="52" t="s">
        <v>140</v>
      </c>
      <c r="C16" s="49" t="s">
        <v>40</v>
      </c>
      <c r="D16" s="49" t="str">
        <f>VLOOKUP(A16,PARAMETER!D:E,2,0)</f>
        <v>NINA</v>
      </c>
      <c r="E16" s="49" t="str">
        <f t="shared" si="0"/>
        <v>NINAFBI</v>
      </c>
      <c r="F16" s="49" t="str">
        <f t="shared" si="1"/>
        <v>CHAMP RESTOFBI</v>
      </c>
      <c r="G16" s="81">
        <f t="shared" si="2"/>
        <v>3476539</v>
      </c>
      <c r="H16" s="81">
        <f>SUMIF(I$1:BI$1,"&lt;="&amp;PARAMETER!X$2,I16:BI16)</f>
        <v>466065</v>
      </c>
      <c r="I16" s="53">
        <v>51490</v>
      </c>
      <c r="J16" s="53">
        <v>44639</v>
      </c>
      <c r="K16" s="53">
        <v>20443</v>
      </c>
      <c r="L16" s="53">
        <v>30693</v>
      </c>
      <c r="M16" s="53">
        <v>24459</v>
      </c>
      <c r="N16" s="53">
        <v>83380</v>
      </c>
      <c r="O16" s="53">
        <v>23555</v>
      </c>
      <c r="P16" s="53">
        <v>42630</v>
      </c>
      <c r="Q16" s="53">
        <v>66436</v>
      </c>
      <c r="R16" s="53">
        <v>37869</v>
      </c>
      <c r="S16" s="53">
        <v>40471</v>
      </c>
      <c r="T16" s="53">
        <v>42082</v>
      </c>
      <c r="U16" s="53">
        <v>77156</v>
      </c>
      <c r="V16" s="53">
        <v>24458</v>
      </c>
      <c r="W16" s="53">
        <v>59004</v>
      </c>
      <c r="X16" s="53">
        <v>203275</v>
      </c>
      <c r="Y16" s="53">
        <v>81172</v>
      </c>
      <c r="Z16" s="53">
        <v>186355</v>
      </c>
      <c r="AA16" s="53">
        <v>98800</v>
      </c>
      <c r="AB16" s="53">
        <v>66034</v>
      </c>
      <c r="AC16" s="53">
        <v>96387</v>
      </c>
      <c r="AD16" s="53">
        <v>12330</v>
      </c>
      <c r="AE16" s="53">
        <v>83656</v>
      </c>
      <c r="AF16" s="53">
        <v>23605</v>
      </c>
      <c r="AG16" s="53">
        <v>9480</v>
      </c>
      <c r="AH16" s="53">
        <v>51410</v>
      </c>
      <c r="AI16" s="53">
        <v>11568</v>
      </c>
      <c r="AJ16" s="53">
        <v>9534</v>
      </c>
      <c r="AK16" s="53">
        <v>27626</v>
      </c>
      <c r="AL16" s="53">
        <v>183724</v>
      </c>
      <c r="AM16" s="53">
        <v>35850</v>
      </c>
      <c r="AN16" s="53">
        <v>95805</v>
      </c>
      <c r="AO16" s="53">
        <v>301672</v>
      </c>
      <c r="AP16" s="53">
        <v>124608</v>
      </c>
      <c r="AQ16" s="53">
        <v>18284</v>
      </c>
      <c r="AR16" s="53">
        <v>24311</v>
      </c>
      <c r="AS16" s="53">
        <v>50746</v>
      </c>
      <c r="AT16" s="53">
        <v>104260</v>
      </c>
      <c r="AU16" s="53">
        <v>45348</v>
      </c>
      <c r="AV16" s="53">
        <v>37860</v>
      </c>
      <c r="AW16" s="53">
        <v>67426</v>
      </c>
      <c r="AX16" s="53">
        <v>47774</v>
      </c>
      <c r="AY16" s="53">
        <v>36538</v>
      </c>
      <c r="AZ16" s="53">
        <v>19235</v>
      </c>
      <c r="BA16" s="53">
        <v>45229</v>
      </c>
      <c r="BB16" s="53">
        <v>70547</v>
      </c>
      <c r="BC16" s="53">
        <v>62526</v>
      </c>
      <c r="BD16" s="53">
        <v>91341</v>
      </c>
      <c r="BE16" s="53">
        <v>39257</v>
      </c>
      <c r="BF16" s="53">
        <v>75348</v>
      </c>
      <c r="BG16" s="53">
        <v>90186</v>
      </c>
      <c r="BH16" s="53">
        <v>97525</v>
      </c>
      <c r="BI16" s="53">
        <v>81142</v>
      </c>
    </row>
    <row r="17" spans="1:61" ht="15.75" x14ac:dyDescent="0.25">
      <c r="A17" s="53" t="s">
        <v>7</v>
      </c>
      <c r="B17" s="52" t="s">
        <v>140</v>
      </c>
      <c r="C17" s="49" t="s">
        <v>42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DAMRITRX</v>
      </c>
      <c r="G17" s="81">
        <f t="shared" si="2"/>
        <v>1002</v>
      </c>
      <c r="H17" s="81">
        <f>SUMIF(I$1:BI$1,"&lt;="&amp;PARAMETER!X$2,I17:BI17)</f>
        <v>325</v>
      </c>
      <c r="I17" s="53">
        <v>0</v>
      </c>
      <c r="J17" s="53">
        <v>7</v>
      </c>
      <c r="K17" s="53">
        <v>12</v>
      </c>
      <c r="L17" s="53">
        <v>6</v>
      </c>
      <c r="M17" s="53">
        <v>31</v>
      </c>
      <c r="N17" s="53">
        <v>18</v>
      </c>
      <c r="O17" s="53">
        <v>41</v>
      </c>
      <c r="P17" s="53">
        <v>44</v>
      </c>
      <c r="Q17" s="53">
        <v>45</v>
      </c>
      <c r="R17" s="53">
        <v>67</v>
      </c>
      <c r="S17" s="53">
        <v>54</v>
      </c>
      <c r="T17" s="53">
        <v>35</v>
      </c>
      <c r="U17" s="53">
        <v>14</v>
      </c>
      <c r="V17" s="53">
        <v>32</v>
      </c>
      <c r="W17" s="53">
        <v>30</v>
      </c>
      <c r="X17" s="53">
        <v>19</v>
      </c>
      <c r="Y17" s="53">
        <v>19</v>
      </c>
      <c r="Z17" s="53">
        <v>28</v>
      </c>
      <c r="AA17" s="53">
        <v>29</v>
      </c>
      <c r="AB17" s="53">
        <v>25</v>
      </c>
      <c r="AC17" s="53">
        <v>27</v>
      </c>
      <c r="AD17" s="53">
        <v>24</v>
      </c>
      <c r="AE17" s="53">
        <v>29</v>
      </c>
      <c r="AF17" s="53">
        <v>10</v>
      </c>
      <c r="AG17" s="53">
        <v>11</v>
      </c>
      <c r="AH17" s="53">
        <v>20</v>
      </c>
      <c r="AI17" s="53">
        <v>25</v>
      </c>
      <c r="AJ17" s="53">
        <v>11</v>
      </c>
      <c r="AK17" s="53">
        <v>14</v>
      </c>
      <c r="AL17" s="53">
        <v>9</v>
      </c>
      <c r="AM17" s="53">
        <v>15</v>
      </c>
      <c r="AN17" s="53">
        <v>14</v>
      </c>
      <c r="AO17" s="53">
        <v>16</v>
      </c>
      <c r="AP17" s="53">
        <v>13</v>
      </c>
      <c r="AQ17" s="53">
        <v>17</v>
      </c>
      <c r="AR17" s="53">
        <v>16</v>
      </c>
      <c r="AS17" s="53">
        <v>14</v>
      </c>
      <c r="AT17" s="53">
        <v>11</v>
      </c>
      <c r="AU17" s="53">
        <v>16</v>
      </c>
      <c r="AV17" s="53">
        <v>14</v>
      </c>
      <c r="AW17" s="53">
        <v>13</v>
      </c>
      <c r="AX17" s="53">
        <v>13</v>
      </c>
      <c r="AY17" s="53">
        <v>10</v>
      </c>
      <c r="AZ17" s="53">
        <v>8</v>
      </c>
      <c r="BA17" s="53">
        <v>8</v>
      </c>
      <c r="BB17" s="53">
        <v>5</v>
      </c>
      <c r="BC17" s="53">
        <v>5</v>
      </c>
      <c r="BD17" s="53">
        <v>8</v>
      </c>
      <c r="BE17" s="53">
        <v>13</v>
      </c>
      <c r="BF17" s="53">
        <v>10</v>
      </c>
      <c r="BG17" s="53">
        <v>11</v>
      </c>
      <c r="BH17" s="53">
        <v>15</v>
      </c>
      <c r="BI17" s="53">
        <v>1</v>
      </c>
    </row>
    <row r="18" spans="1:61" ht="15.75" x14ac:dyDescent="0.25">
      <c r="A18" s="53" t="s">
        <v>7</v>
      </c>
      <c r="B18" s="52" t="s">
        <v>140</v>
      </c>
      <c r="C18" s="49" t="s">
        <v>41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DAMRIVOL</v>
      </c>
      <c r="G18" s="81">
        <f t="shared" si="2"/>
        <v>313037026</v>
      </c>
      <c r="H18" s="81">
        <f>SUMIF(I$1:BI$1,"&lt;="&amp;PARAMETER!X$2,I18:BI18)</f>
        <v>78142013</v>
      </c>
      <c r="I18" s="53">
        <v>0</v>
      </c>
      <c r="J18" s="53">
        <v>2715000</v>
      </c>
      <c r="K18" s="53">
        <v>3980000</v>
      </c>
      <c r="L18" s="53">
        <v>1950000</v>
      </c>
      <c r="M18" s="53">
        <v>10905010</v>
      </c>
      <c r="N18" s="53">
        <v>5080002</v>
      </c>
      <c r="O18" s="53">
        <v>8155000</v>
      </c>
      <c r="P18" s="53">
        <v>8915000</v>
      </c>
      <c r="Q18" s="53">
        <v>9440001</v>
      </c>
      <c r="R18" s="53">
        <v>15310000</v>
      </c>
      <c r="S18" s="53">
        <v>11692000</v>
      </c>
      <c r="T18" s="53">
        <v>11380000</v>
      </c>
      <c r="U18" s="53">
        <v>4055000</v>
      </c>
      <c r="V18" s="53">
        <v>11515000</v>
      </c>
      <c r="W18" s="53">
        <v>5505000</v>
      </c>
      <c r="X18" s="53">
        <v>6630000</v>
      </c>
      <c r="Y18" s="53">
        <v>6685000</v>
      </c>
      <c r="Z18" s="53">
        <v>10535000</v>
      </c>
      <c r="AA18" s="53">
        <v>12745000</v>
      </c>
      <c r="AB18" s="53">
        <v>13715000</v>
      </c>
      <c r="AC18" s="53">
        <v>11691000</v>
      </c>
      <c r="AD18" s="53">
        <v>10100000</v>
      </c>
      <c r="AE18" s="53">
        <v>11710000</v>
      </c>
      <c r="AF18" s="53">
        <v>2945000</v>
      </c>
      <c r="AG18" s="53">
        <v>2945001</v>
      </c>
      <c r="AH18" s="53">
        <v>10742000</v>
      </c>
      <c r="AI18" s="53">
        <v>15195000</v>
      </c>
      <c r="AJ18" s="53">
        <v>4775000</v>
      </c>
      <c r="AK18" s="53">
        <v>4720000</v>
      </c>
      <c r="AL18" s="53">
        <v>3665000</v>
      </c>
      <c r="AM18" s="53">
        <v>3485000</v>
      </c>
      <c r="AN18" s="53">
        <v>4055000</v>
      </c>
      <c r="AO18" s="53">
        <v>5170000</v>
      </c>
      <c r="AP18" s="53">
        <v>5080000</v>
      </c>
      <c r="AQ18" s="53">
        <v>4505012</v>
      </c>
      <c r="AR18" s="53">
        <v>4960000</v>
      </c>
      <c r="AS18" s="53">
        <v>3680000</v>
      </c>
      <c r="AT18" s="53">
        <v>3410000</v>
      </c>
      <c r="AU18" s="53">
        <v>4245000</v>
      </c>
      <c r="AV18" s="53">
        <v>3500000</v>
      </c>
      <c r="AW18" s="53">
        <v>3570000</v>
      </c>
      <c r="AX18" s="53">
        <v>3530000</v>
      </c>
      <c r="AY18" s="53">
        <v>2395000</v>
      </c>
      <c r="AZ18" s="53">
        <v>1780000</v>
      </c>
      <c r="BA18" s="53">
        <v>1660000</v>
      </c>
      <c r="BB18" s="53">
        <v>1065000</v>
      </c>
      <c r="BC18" s="53">
        <v>1190000</v>
      </c>
      <c r="BD18" s="53">
        <v>1870000</v>
      </c>
      <c r="BE18" s="53">
        <v>3995000</v>
      </c>
      <c r="BF18" s="53">
        <v>2950000</v>
      </c>
      <c r="BG18" s="53">
        <v>3316000</v>
      </c>
      <c r="BH18" s="53">
        <v>4076000</v>
      </c>
      <c r="BI18" s="53">
        <v>155000</v>
      </c>
    </row>
    <row r="19" spans="1:61" ht="15.75" x14ac:dyDescent="0.25">
      <c r="A19" s="53" t="s">
        <v>7</v>
      </c>
      <c r="B19" s="52" t="s">
        <v>140</v>
      </c>
      <c r="C19" s="49" t="s">
        <v>40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DAMRIFBI</v>
      </c>
      <c r="G19" s="81">
        <f t="shared" si="2"/>
        <v>2428361</v>
      </c>
      <c r="H19" s="81">
        <f>SUMIF(I$1:BI$1,"&lt;="&amp;PARAMETER!X$2,I19:BI19)</f>
        <v>637334</v>
      </c>
      <c r="I19" s="53">
        <v>0</v>
      </c>
      <c r="J19" s="53">
        <v>24630</v>
      </c>
      <c r="K19" s="53">
        <v>29750</v>
      </c>
      <c r="L19" s="53">
        <v>13650</v>
      </c>
      <c r="M19" s="53">
        <v>94455</v>
      </c>
      <c r="N19" s="53">
        <v>38245</v>
      </c>
      <c r="O19" s="53">
        <v>64055</v>
      </c>
      <c r="P19" s="53">
        <v>70010</v>
      </c>
      <c r="Q19" s="53">
        <v>73880</v>
      </c>
      <c r="R19" s="53">
        <v>128720</v>
      </c>
      <c r="S19" s="53">
        <v>99939</v>
      </c>
      <c r="T19" s="53">
        <v>97645</v>
      </c>
      <c r="U19" s="53">
        <v>33895</v>
      </c>
      <c r="V19" s="53">
        <v>91505</v>
      </c>
      <c r="W19" s="53">
        <v>42835</v>
      </c>
      <c r="X19" s="53">
        <v>46670</v>
      </c>
      <c r="Y19" s="53">
        <v>46105</v>
      </c>
      <c r="Z19" s="53">
        <v>95135</v>
      </c>
      <c r="AA19" s="53">
        <v>98865</v>
      </c>
      <c r="AB19" s="53">
        <v>98075</v>
      </c>
      <c r="AC19" s="53">
        <v>82872</v>
      </c>
      <c r="AD19" s="53">
        <v>70700</v>
      </c>
      <c r="AE19" s="53">
        <v>91875</v>
      </c>
      <c r="AF19" s="53">
        <v>21515</v>
      </c>
      <c r="AG19" s="53">
        <v>20615</v>
      </c>
      <c r="AH19" s="53">
        <v>84709</v>
      </c>
      <c r="AI19" s="53">
        <v>118590</v>
      </c>
      <c r="AJ19" s="53">
        <v>35180</v>
      </c>
      <c r="AK19" s="53">
        <v>34310</v>
      </c>
      <c r="AL19" s="53">
        <v>25655</v>
      </c>
      <c r="AM19" s="53">
        <v>24635</v>
      </c>
      <c r="AN19" s="53">
        <v>30825</v>
      </c>
      <c r="AO19" s="53">
        <v>40535</v>
      </c>
      <c r="AP19" s="53">
        <v>41800</v>
      </c>
      <c r="AQ19" s="53">
        <v>31535</v>
      </c>
      <c r="AR19" s="53">
        <v>34280</v>
      </c>
      <c r="AS19" s="53">
        <v>28490</v>
      </c>
      <c r="AT19" s="53">
        <v>25700</v>
      </c>
      <c r="AU19" s="53">
        <v>31860</v>
      </c>
      <c r="AV19" s="53">
        <v>25400</v>
      </c>
      <c r="AW19" s="53">
        <v>25765</v>
      </c>
      <c r="AX19" s="53">
        <v>27050</v>
      </c>
      <c r="AY19" s="53">
        <v>15885</v>
      </c>
      <c r="AZ19" s="53">
        <v>13000</v>
      </c>
      <c r="BA19" s="53">
        <v>13150</v>
      </c>
      <c r="BB19" s="53">
        <v>7455</v>
      </c>
      <c r="BC19" s="53">
        <v>8780</v>
      </c>
      <c r="BD19" s="53">
        <v>18860</v>
      </c>
      <c r="BE19" s="53">
        <v>28535</v>
      </c>
      <c r="BF19" s="53">
        <v>23965</v>
      </c>
      <c r="BG19" s="53">
        <v>25618</v>
      </c>
      <c r="BH19" s="53">
        <v>30068</v>
      </c>
      <c r="BI19" s="53">
        <v>1085</v>
      </c>
    </row>
    <row r="20" spans="1:61" ht="15.75" x14ac:dyDescent="0.25">
      <c r="A20" s="53" t="s">
        <v>44</v>
      </c>
      <c r="B20" s="52" t="s">
        <v>140</v>
      </c>
      <c r="C20" s="49" t="s">
        <v>42</v>
      </c>
      <c r="D20" s="49" t="e">
        <f>VLOOKUP(A20,PARAMETER!D:E,2,0)</f>
        <v>#N/A</v>
      </c>
      <c r="E20" s="49" t="e">
        <f t="shared" si="0"/>
        <v>#N/A</v>
      </c>
      <c r="F20" s="49" t="str">
        <f t="shared" si="1"/>
        <v>DELTA WIBAWA BERSAMATRX</v>
      </c>
      <c r="G20" s="81">
        <f t="shared" si="2"/>
        <v>2384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66</v>
      </c>
      <c r="AX20" s="53">
        <v>250</v>
      </c>
      <c r="AY20" s="53">
        <v>257</v>
      </c>
      <c r="AZ20" s="53">
        <v>235</v>
      </c>
      <c r="BA20" s="53">
        <v>282</v>
      </c>
      <c r="BB20" s="53">
        <v>241</v>
      </c>
      <c r="BC20" s="53">
        <v>194</v>
      </c>
      <c r="BD20" s="53">
        <v>165</v>
      </c>
      <c r="BE20" s="53">
        <v>183</v>
      </c>
      <c r="BF20" s="53">
        <v>215</v>
      </c>
      <c r="BG20" s="53">
        <v>115</v>
      </c>
      <c r="BH20" s="53">
        <v>168</v>
      </c>
      <c r="BI20" s="53">
        <v>13</v>
      </c>
    </row>
    <row r="21" spans="1:61" ht="15.75" x14ac:dyDescent="0.25">
      <c r="A21" s="53" t="s">
        <v>44</v>
      </c>
      <c r="B21" s="52" t="s">
        <v>140</v>
      </c>
      <c r="C21" s="49" t="s">
        <v>41</v>
      </c>
      <c r="D21" s="49" t="e">
        <f>VLOOKUP(A21,PARAMETER!D:E,2,0)</f>
        <v>#N/A</v>
      </c>
      <c r="E21" s="49" t="e">
        <f t="shared" si="0"/>
        <v>#N/A</v>
      </c>
      <c r="F21" s="49" t="str">
        <f t="shared" si="1"/>
        <v>DELTA WIBAWA BERSAMAVOL</v>
      </c>
      <c r="G21" s="81">
        <f t="shared" si="2"/>
        <v>566199645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12444737</v>
      </c>
      <c r="AX21" s="53">
        <v>68680147</v>
      </c>
      <c r="AY21" s="53">
        <v>54879638</v>
      </c>
      <c r="AZ21" s="53">
        <v>60006095</v>
      </c>
      <c r="BA21" s="53">
        <v>77702596</v>
      </c>
      <c r="BB21" s="53">
        <v>65483173</v>
      </c>
      <c r="BC21" s="53">
        <v>42734184</v>
      </c>
      <c r="BD21" s="53">
        <v>30928555</v>
      </c>
      <c r="BE21" s="53">
        <v>41498038</v>
      </c>
      <c r="BF21" s="53">
        <v>48707570</v>
      </c>
      <c r="BG21" s="53">
        <v>21844243</v>
      </c>
      <c r="BH21" s="53">
        <v>39661540</v>
      </c>
      <c r="BI21" s="53">
        <v>1629129</v>
      </c>
    </row>
    <row r="22" spans="1:61" ht="15.75" x14ac:dyDescent="0.25">
      <c r="A22" s="53" t="s">
        <v>44</v>
      </c>
      <c r="B22" s="52" t="s">
        <v>140</v>
      </c>
      <c r="C22" s="49" t="s">
        <v>40</v>
      </c>
      <c r="D22" s="49" t="e">
        <f>VLOOKUP(A22,PARAMETER!D:E,2,0)</f>
        <v>#N/A</v>
      </c>
      <c r="E22" s="49" t="e">
        <f t="shared" si="0"/>
        <v>#N/A</v>
      </c>
      <c r="F22" s="49" t="str">
        <f t="shared" si="1"/>
        <v>DELTA WIBAWA BERSAMAFBI</v>
      </c>
      <c r="G22" s="81">
        <f t="shared" si="2"/>
        <v>4704348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87113</v>
      </c>
      <c r="AX22" s="53">
        <v>672627</v>
      </c>
      <c r="AY22" s="53">
        <v>413381</v>
      </c>
      <c r="AZ22" s="53">
        <v>520550</v>
      </c>
      <c r="BA22" s="53">
        <v>711813</v>
      </c>
      <c r="BB22" s="53">
        <v>564296</v>
      </c>
      <c r="BC22" s="53">
        <v>338089</v>
      </c>
      <c r="BD22" s="53">
        <v>226186</v>
      </c>
      <c r="BE22" s="53">
        <v>327261</v>
      </c>
      <c r="BF22" s="53">
        <v>378836</v>
      </c>
      <c r="BG22" s="53">
        <v>171494</v>
      </c>
      <c r="BH22" s="53">
        <v>281209</v>
      </c>
      <c r="BI22" s="53">
        <v>11493</v>
      </c>
    </row>
    <row r="23" spans="1:61" ht="15.75" x14ac:dyDescent="0.25">
      <c r="A23" s="53" t="s">
        <v>8</v>
      </c>
      <c r="B23" s="52" t="s">
        <v>140</v>
      </c>
      <c r="C23" s="49" t="s">
        <v>42</v>
      </c>
      <c r="D23" s="49" t="str">
        <f>VLOOKUP(A23,PARAMETER!D:E,2,0)</f>
        <v>RIFALDI</v>
      </c>
      <c r="E23" s="49" t="str">
        <f t="shared" si="0"/>
        <v>RIFALDITRX</v>
      </c>
      <c r="F23" s="49" t="str">
        <f t="shared" si="1"/>
        <v>DWIDAYATRX</v>
      </c>
      <c r="G23" s="81">
        <f t="shared" si="2"/>
        <v>834</v>
      </c>
      <c r="H23" s="81">
        <f>SUMIF(I$1:BI$1,"&lt;="&amp;PARAMETER!X$2,I23:BI23)</f>
        <v>87</v>
      </c>
      <c r="I23" s="53">
        <v>5</v>
      </c>
      <c r="J23" s="53">
        <v>9</v>
      </c>
      <c r="K23" s="53">
        <v>5</v>
      </c>
      <c r="L23" s="53">
        <v>4</v>
      </c>
      <c r="M23" s="53">
        <v>10</v>
      </c>
      <c r="N23" s="53">
        <v>14</v>
      </c>
      <c r="O23" s="53">
        <v>6</v>
      </c>
      <c r="P23" s="53">
        <v>7</v>
      </c>
      <c r="Q23" s="53">
        <v>6</v>
      </c>
      <c r="R23" s="53">
        <v>11</v>
      </c>
      <c r="S23" s="53">
        <v>10</v>
      </c>
      <c r="T23" s="53">
        <v>8</v>
      </c>
      <c r="U23" s="53">
        <v>8</v>
      </c>
      <c r="V23" s="53">
        <v>6</v>
      </c>
      <c r="W23" s="53">
        <v>13</v>
      </c>
      <c r="X23" s="53">
        <v>7</v>
      </c>
      <c r="Y23" s="53">
        <v>11</v>
      </c>
      <c r="Z23" s="53">
        <v>22</v>
      </c>
      <c r="AA23" s="53">
        <v>17</v>
      </c>
      <c r="AB23" s="53">
        <v>15</v>
      </c>
      <c r="AC23" s="53">
        <v>15</v>
      </c>
      <c r="AD23" s="53">
        <v>12</v>
      </c>
      <c r="AE23" s="53">
        <v>13</v>
      </c>
      <c r="AF23" s="53">
        <v>10</v>
      </c>
      <c r="AG23" s="53">
        <v>18</v>
      </c>
      <c r="AH23" s="53">
        <v>12</v>
      </c>
      <c r="AI23" s="53">
        <v>4</v>
      </c>
      <c r="AJ23" s="53">
        <v>20</v>
      </c>
      <c r="AK23" s="53">
        <v>14</v>
      </c>
      <c r="AL23" s="53">
        <v>22</v>
      </c>
      <c r="AM23" s="53">
        <v>13</v>
      </c>
      <c r="AN23" s="53">
        <v>23</v>
      </c>
      <c r="AO23" s="53">
        <v>20</v>
      </c>
      <c r="AP23" s="53">
        <v>16</v>
      </c>
      <c r="AQ23" s="53">
        <v>19</v>
      </c>
      <c r="AR23" s="53">
        <v>21</v>
      </c>
      <c r="AS23" s="53">
        <v>25</v>
      </c>
      <c r="AT23" s="53">
        <v>27</v>
      </c>
      <c r="AU23" s="53">
        <v>27</v>
      </c>
      <c r="AV23" s="53">
        <v>20</v>
      </c>
      <c r="AW23" s="53">
        <v>40</v>
      </c>
      <c r="AX23" s="53">
        <v>44</v>
      </c>
      <c r="AY23" s="53">
        <v>30</v>
      </c>
      <c r="AZ23" s="53">
        <v>25</v>
      </c>
      <c r="BA23" s="53">
        <v>26</v>
      </c>
      <c r="BB23" s="53">
        <v>22</v>
      </c>
      <c r="BC23" s="53">
        <v>20</v>
      </c>
      <c r="BD23" s="53">
        <v>19</v>
      </c>
      <c r="BE23" s="53">
        <v>19</v>
      </c>
      <c r="BF23" s="53">
        <v>17</v>
      </c>
      <c r="BG23" s="53">
        <v>16</v>
      </c>
      <c r="BH23" s="53">
        <v>10</v>
      </c>
      <c r="BI23" s="53">
        <v>1</v>
      </c>
    </row>
    <row r="24" spans="1:61" ht="15.75" x14ac:dyDescent="0.25">
      <c r="A24" s="53" t="s">
        <v>8</v>
      </c>
      <c r="B24" s="52" t="s">
        <v>140</v>
      </c>
      <c r="C24" s="49" t="s">
        <v>41</v>
      </c>
      <c r="D24" s="49" t="str">
        <f>VLOOKUP(A24,PARAMETER!D:E,2,0)</f>
        <v>RIFALDI</v>
      </c>
      <c r="E24" s="49" t="str">
        <f t="shared" si="0"/>
        <v>RIFALDIVOL</v>
      </c>
      <c r="F24" s="49" t="str">
        <f t="shared" si="1"/>
        <v>DWIDAYAVOL</v>
      </c>
      <c r="G24" s="81">
        <f t="shared" si="2"/>
        <v>5284101260</v>
      </c>
      <c r="H24" s="81">
        <f>SUMIF(I$1:BI$1,"&lt;="&amp;PARAMETER!X$2,I24:BI24)</f>
        <v>429098244</v>
      </c>
      <c r="I24" s="53">
        <v>9885002</v>
      </c>
      <c r="J24" s="53">
        <v>36448001</v>
      </c>
      <c r="K24" s="53">
        <v>11922001</v>
      </c>
      <c r="L24" s="53">
        <v>37238001</v>
      </c>
      <c r="M24" s="53">
        <v>68670002</v>
      </c>
      <c r="N24" s="53">
        <v>70740000</v>
      </c>
      <c r="O24" s="53">
        <v>29842000</v>
      </c>
      <c r="P24" s="53">
        <v>24520000</v>
      </c>
      <c r="Q24" s="53">
        <v>8001236</v>
      </c>
      <c r="R24" s="53">
        <v>81005001</v>
      </c>
      <c r="S24" s="53">
        <v>50827000</v>
      </c>
      <c r="T24" s="53">
        <v>22887250</v>
      </c>
      <c r="U24" s="53">
        <v>21857500</v>
      </c>
      <c r="V24" s="53">
        <v>46166000</v>
      </c>
      <c r="W24" s="53">
        <v>43547928</v>
      </c>
      <c r="X24" s="53">
        <v>27580000</v>
      </c>
      <c r="Y24" s="53">
        <v>98947500</v>
      </c>
      <c r="Z24" s="53">
        <v>280595196</v>
      </c>
      <c r="AA24" s="53">
        <v>70758000</v>
      </c>
      <c r="AB24" s="53">
        <v>113129080</v>
      </c>
      <c r="AC24" s="53">
        <v>77708420</v>
      </c>
      <c r="AD24" s="53">
        <v>41177480</v>
      </c>
      <c r="AE24" s="53">
        <v>64791400</v>
      </c>
      <c r="AF24" s="53">
        <v>54238680</v>
      </c>
      <c r="AG24" s="53">
        <v>122801500</v>
      </c>
      <c r="AH24" s="53">
        <v>47866000</v>
      </c>
      <c r="AI24" s="53">
        <v>9822001</v>
      </c>
      <c r="AJ24" s="53">
        <v>130439573</v>
      </c>
      <c r="AK24" s="53">
        <v>105473360</v>
      </c>
      <c r="AL24" s="53">
        <v>207117643</v>
      </c>
      <c r="AM24" s="53">
        <v>93381000</v>
      </c>
      <c r="AN24" s="53">
        <v>161673000</v>
      </c>
      <c r="AO24" s="53">
        <v>185896750</v>
      </c>
      <c r="AP24" s="53">
        <v>70836000</v>
      </c>
      <c r="AQ24" s="53">
        <v>103615953</v>
      </c>
      <c r="AR24" s="53">
        <v>74225000</v>
      </c>
      <c r="AS24" s="53">
        <v>120626020</v>
      </c>
      <c r="AT24" s="53">
        <v>140109270</v>
      </c>
      <c r="AU24" s="53">
        <v>280153225</v>
      </c>
      <c r="AV24" s="53">
        <v>100798002</v>
      </c>
      <c r="AW24" s="53">
        <v>125061368</v>
      </c>
      <c r="AX24" s="53">
        <v>361317565</v>
      </c>
      <c r="AY24" s="53">
        <v>135351505</v>
      </c>
      <c r="AZ24" s="53">
        <v>240732738</v>
      </c>
      <c r="BA24" s="53">
        <v>323671183</v>
      </c>
      <c r="BB24" s="53">
        <v>85471858</v>
      </c>
      <c r="BC24" s="53">
        <v>120469230</v>
      </c>
      <c r="BD24" s="53">
        <v>120708357</v>
      </c>
      <c r="BE24" s="53">
        <v>166765651</v>
      </c>
      <c r="BF24" s="53">
        <v>86827607</v>
      </c>
      <c r="BG24" s="53">
        <v>112024564</v>
      </c>
      <c r="BH24" s="53">
        <v>58057659</v>
      </c>
      <c r="BI24" s="53">
        <v>325000</v>
      </c>
    </row>
    <row r="25" spans="1:61" ht="15.75" x14ac:dyDescent="0.25">
      <c r="A25" s="53" t="s">
        <v>8</v>
      </c>
      <c r="B25" s="52" t="s">
        <v>140</v>
      </c>
      <c r="C25" s="49" t="s">
        <v>40</v>
      </c>
      <c r="D25" s="49" t="str">
        <f>VLOOKUP(A25,PARAMETER!D:E,2,0)</f>
        <v>RIFALDI</v>
      </c>
      <c r="E25" s="49" t="str">
        <f t="shared" si="0"/>
        <v>RIFALDIFBI</v>
      </c>
      <c r="F25" s="49" t="str">
        <f t="shared" si="1"/>
        <v>DWIDAYAFBI</v>
      </c>
      <c r="G25" s="81">
        <f t="shared" si="2"/>
        <v>32542598</v>
      </c>
      <c r="H25" s="81">
        <f>SUMIF(I$1:BI$1,"&lt;="&amp;PARAMETER!X$2,I25:BI25)</f>
        <v>1594500</v>
      </c>
      <c r="I25" s="53">
        <v>69195</v>
      </c>
      <c r="J25" s="53">
        <v>137117</v>
      </c>
      <c r="K25" s="53">
        <v>83454</v>
      </c>
      <c r="L25" s="53">
        <v>110252</v>
      </c>
      <c r="M25" s="53">
        <v>240010</v>
      </c>
      <c r="N25" s="53">
        <v>287775</v>
      </c>
      <c r="O25" s="53">
        <v>108519</v>
      </c>
      <c r="P25" s="53">
        <v>171640</v>
      </c>
      <c r="Q25" s="53">
        <v>56009</v>
      </c>
      <c r="R25" s="53">
        <v>196995</v>
      </c>
      <c r="S25" s="53">
        <v>133534</v>
      </c>
      <c r="T25" s="53">
        <v>160211</v>
      </c>
      <c r="U25" s="53">
        <v>153003</v>
      </c>
      <c r="V25" s="53">
        <v>133104</v>
      </c>
      <c r="W25" s="53">
        <v>304836</v>
      </c>
      <c r="X25" s="53">
        <v>193060</v>
      </c>
      <c r="Y25" s="53">
        <v>186770</v>
      </c>
      <c r="Z25" s="53">
        <v>434578</v>
      </c>
      <c r="AA25" s="53">
        <v>416656</v>
      </c>
      <c r="AB25" s="53">
        <v>423591</v>
      </c>
      <c r="AC25" s="53">
        <v>308174</v>
      </c>
      <c r="AD25" s="53">
        <v>288242</v>
      </c>
      <c r="AE25" s="53">
        <v>220640</v>
      </c>
      <c r="AF25" s="53">
        <v>169996</v>
      </c>
      <c r="AG25" s="53">
        <v>430116</v>
      </c>
      <c r="AH25" s="53">
        <v>237162</v>
      </c>
      <c r="AI25" s="53">
        <v>68754</v>
      </c>
      <c r="AJ25" s="53">
        <v>587617</v>
      </c>
      <c r="AK25" s="53">
        <v>384981</v>
      </c>
      <c r="AL25" s="53">
        <v>641980</v>
      </c>
      <c r="AM25" s="53">
        <v>290062</v>
      </c>
      <c r="AN25" s="53">
        <v>620035</v>
      </c>
      <c r="AO25" s="53">
        <v>558486</v>
      </c>
      <c r="AP25" s="53">
        <v>394102</v>
      </c>
      <c r="AQ25" s="53">
        <v>380303</v>
      </c>
      <c r="AR25" s="53">
        <v>519575</v>
      </c>
      <c r="AS25" s="53">
        <v>670857</v>
      </c>
      <c r="AT25" s="53">
        <v>521913</v>
      </c>
      <c r="AU25" s="53">
        <v>3906270</v>
      </c>
      <c r="AV25" s="53">
        <v>1144876</v>
      </c>
      <c r="AW25" s="53">
        <v>1408082</v>
      </c>
      <c r="AX25" s="53">
        <v>3081057</v>
      </c>
      <c r="AY25" s="53">
        <v>889448</v>
      </c>
      <c r="AZ25" s="53">
        <v>2826000</v>
      </c>
      <c r="BA25" s="53">
        <v>3131043</v>
      </c>
      <c r="BB25" s="53">
        <v>713141</v>
      </c>
      <c r="BC25" s="53">
        <v>752439</v>
      </c>
      <c r="BD25" s="53">
        <v>710268</v>
      </c>
      <c r="BE25" s="53">
        <v>707888</v>
      </c>
      <c r="BF25" s="53">
        <v>592810</v>
      </c>
      <c r="BG25" s="53">
        <v>1021532</v>
      </c>
      <c r="BH25" s="53">
        <v>362165</v>
      </c>
      <c r="BI25" s="53">
        <v>2275</v>
      </c>
    </row>
    <row r="26" spans="1:61" ht="15.75" x14ac:dyDescent="0.25">
      <c r="A26" s="53" t="s">
        <v>45</v>
      </c>
      <c r="B26" s="52" t="s">
        <v>140</v>
      </c>
      <c r="C26" s="49" t="s">
        <v>42</v>
      </c>
      <c r="D26" s="49" t="str">
        <f>VLOOKUP(A26,PARAMETER!D:E,2,0)</f>
        <v>NINA</v>
      </c>
      <c r="E26" s="49" t="str">
        <f t="shared" si="0"/>
        <v>NINATRX</v>
      </c>
      <c r="F26" s="49" t="str">
        <f t="shared" si="1"/>
        <v>EKA HOSPITALTRX</v>
      </c>
      <c r="G26" s="81">
        <f t="shared" si="2"/>
        <v>200</v>
      </c>
      <c r="H26" s="81">
        <f>SUMIF(I$1:BI$1,"&lt;="&amp;PARAMETER!X$2,I26:BI26)</f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33</v>
      </c>
      <c r="V26" s="53">
        <v>19</v>
      </c>
      <c r="W26" s="53">
        <v>11</v>
      </c>
      <c r="X26" s="53">
        <v>15</v>
      </c>
      <c r="Y26" s="53">
        <v>0</v>
      </c>
      <c r="Z26" s="53">
        <v>18</v>
      </c>
      <c r="AA26" s="53">
        <v>1</v>
      </c>
      <c r="AB26" s="53">
        <v>4</v>
      </c>
      <c r="AC26" s="53">
        <v>10</v>
      </c>
      <c r="AD26" s="53">
        <v>0</v>
      </c>
      <c r="AE26" s="53">
        <v>2</v>
      </c>
      <c r="AF26" s="53">
        <v>11</v>
      </c>
      <c r="AG26" s="53">
        <v>0</v>
      </c>
      <c r="AH26" s="53">
        <v>6</v>
      </c>
      <c r="AI26" s="53">
        <v>0</v>
      </c>
      <c r="AJ26" s="53">
        <v>0</v>
      </c>
      <c r="AK26" s="53">
        <v>0</v>
      </c>
      <c r="AL26" s="53">
        <v>10</v>
      </c>
      <c r="AM26" s="53">
        <v>1</v>
      </c>
      <c r="AN26" s="53">
        <v>0</v>
      </c>
      <c r="AO26" s="53">
        <v>10</v>
      </c>
      <c r="AP26" s="53">
        <v>0</v>
      </c>
      <c r="AQ26" s="53">
        <v>2</v>
      </c>
      <c r="AR26" s="53">
        <v>0</v>
      </c>
      <c r="AS26" s="53">
        <v>10</v>
      </c>
      <c r="AT26" s="53">
        <v>0</v>
      </c>
      <c r="AU26" s="53">
        <v>0</v>
      </c>
      <c r="AV26" s="53">
        <v>1</v>
      </c>
      <c r="AW26" s="53">
        <v>7</v>
      </c>
      <c r="AX26" s="53">
        <v>0</v>
      </c>
      <c r="AY26" s="53">
        <v>0</v>
      </c>
      <c r="AZ26" s="53">
        <v>6</v>
      </c>
      <c r="BA26" s="53">
        <v>0</v>
      </c>
      <c r="BB26" s="53">
        <v>3</v>
      </c>
      <c r="BC26" s="53">
        <v>1</v>
      </c>
      <c r="BD26" s="53">
        <v>3</v>
      </c>
      <c r="BE26" s="53">
        <v>11</v>
      </c>
      <c r="BF26" s="53">
        <v>4</v>
      </c>
      <c r="BG26" s="53">
        <v>0</v>
      </c>
      <c r="BH26" s="53">
        <v>1</v>
      </c>
      <c r="BI26" s="53">
        <v>0</v>
      </c>
    </row>
    <row r="27" spans="1:61" ht="15.75" x14ac:dyDescent="0.25">
      <c r="A27" s="53" t="s">
        <v>45</v>
      </c>
      <c r="B27" s="52" t="s">
        <v>140</v>
      </c>
      <c r="C27" s="49" t="s">
        <v>41</v>
      </c>
      <c r="D27" s="49" t="str">
        <f>VLOOKUP(A27,PARAMETER!D:E,2,0)</f>
        <v>NINA</v>
      </c>
      <c r="E27" s="49" t="str">
        <f t="shared" si="0"/>
        <v>NINAVOL</v>
      </c>
      <c r="F27" s="49" t="str">
        <f t="shared" si="1"/>
        <v>EKA HOSPITALVOL</v>
      </c>
      <c r="G27" s="81">
        <f t="shared" si="2"/>
        <v>216137011</v>
      </c>
      <c r="H27" s="81">
        <f>SUMIF(I$1:BI$1,"&lt;="&amp;PARAMETER!X$2,I27:BI27)</f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12217498</v>
      </c>
      <c r="V27" s="53">
        <v>19729495</v>
      </c>
      <c r="W27" s="53">
        <v>152005</v>
      </c>
      <c r="X27" s="53">
        <v>22926315</v>
      </c>
      <c r="Y27" s="53">
        <v>0</v>
      </c>
      <c r="Z27" s="53">
        <v>8452355</v>
      </c>
      <c r="AA27" s="53">
        <v>332871</v>
      </c>
      <c r="AB27" s="53">
        <v>1570350</v>
      </c>
      <c r="AC27" s="53">
        <v>50005</v>
      </c>
      <c r="AD27" s="53">
        <v>0</v>
      </c>
      <c r="AE27" s="53">
        <v>35369315</v>
      </c>
      <c r="AF27" s="53">
        <v>60005</v>
      </c>
      <c r="AG27" s="53">
        <v>0</v>
      </c>
      <c r="AH27" s="53">
        <v>81492170</v>
      </c>
      <c r="AI27" s="53">
        <v>0</v>
      </c>
      <c r="AJ27" s="53">
        <v>0</v>
      </c>
      <c r="AK27" s="53">
        <v>0</v>
      </c>
      <c r="AL27" s="53">
        <v>50005</v>
      </c>
      <c r="AM27" s="53">
        <v>72900</v>
      </c>
      <c r="AN27" s="53">
        <v>0</v>
      </c>
      <c r="AO27" s="53">
        <v>50005</v>
      </c>
      <c r="AP27" s="53">
        <v>0</v>
      </c>
      <c r="AQ27" s="53">
        <v>2777670</v>
      </c>
      <c r="AR27" s="53">
        <v>0</v>
      </c>
      <c r="AS27" s="53">
        <v>50005</v>
      </c>
      <c r="AT27" s="53">
        <v>0</v>
      </c>
      <c r="AU27" s="53">
        <v>0</v>
      </c>
      <c r="AV27" s="53">
        <v>851190</v>
      </c>
      <c r="AW27" s="53">
        <v>1511205</v>
      </c>
      <c r="AX27" s="53">
        <v>0</v>
      </c>
      <c r="AY27" s="53">
        <v>0</v>
      </c>
      <c r="AZ27" s="53">
        <v>801605</v>
      </c>
      <c r="BA27" s="53">
        <v>0</v>
      </c>
      <c r="BB27" s="53">
        <v>1267630</v>
      </c>
      <c r="BC27" s="53">
        <v>2033920</v>
      </c>
      <c r="BD27" s="53">
        <v>9107180</v>
      </c>
      <c r="BE27" s="53">
        <v>5058495</v>
      </c>
      <c r="BF27" s="53">
        <v>9048497</v>
      </c>
      <c r="BG27" s="53">
        <v>0</v>
      </c>
      <c r="BH27" s="53">
        <v>1104320</v>
      </c>
      <c r="BI27" s="53">
        <v>0</v>
      </c>
    </row>
    <row r="28" spans="1:61" ht="15.75" x14ac:dyDescent="0.25">
      <c r="A28" s="53" t="s">
        <v>45</v>
      </c>
      <c r="B28" s="52" t="s">
        <v>140</v>
      </c>
      <c r="C28" s="49" t="s">
        <v>40</v>
      </c>
      <c r="D28" s="49" t="str">
        <f>VLOOKUP(A28,PARAMETER!D:E,2,0)</f>
        <v>NINA</v>
      </c>
      <c r="E28" s="49" t="str">
        <f t="shared" si="0"/>
        <v>NINAFBI</v>
      </c>
      <c r="F28" s="49" t="str">
        <f t="shared" si="1"/>
        <v>EKA HOSPITALFBI</v>
      </c>
      <c r="G28" s="81">
        <f t="shared" si="2"/>
        <v>2430551</v>
      </c>
      <c r="H28" s="81">
        <f>SUMIF(I$1:BI$1,"&lt;="&amp;PARAMETER!X$2,I28:BI28)</f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191494</v>
      </c>
      <c r="V28" s="53">
        <v>304983</v>
      </c>
      <c r="W28" s="53">
        <v>1153</v>
      </c>
      <c r="X28" s="53">
        <v>272648</v>
      </c>
      <c r="Y28" s="53">
        <v>0</v>
      </c>
      <c r="Z28" s="53">
        <v>110231</v>
      </c>
      <c r="AA28" s="53">
        <v>3329</v>
      </c>
      <c r="AB28" s="53">
        <v>31030</v>
      </c>
      <c r="AC28" s="53">
        <v>1000</v>
      </c>
      <c r="AD28" s="53">
        <v>0</v>
      </c>
      <c r="AE28" s="53">
        <v>353693</v>
      </c>
      <c r="AF28" s="53">
        <v>1200</v>
      </c>
      <c r="AG28" s="53">
        <v>0</v>
      </c>
      <c r="AH28" s="53">
        <v>842880</v>
      </c>
      <c r="AI28" s="53">
        <v>0</v>
      </c>
      <c r="AJ28" s="53">
        <v>0</v>
      </c>
      <c r="AK28" s="53">
        <v>0</v>
      </c>
      <c r="AL28" s="53">
        <v>650</v>
      </c>
      <c r="AM28" s="53">
        <v>510</v>
      </c>
      <c r="AN28" s="53">
        <v>0</v>
      </c>
      <c r="AO28" s="53">
        <v>500</v>
      </c>
      <c r="AP28" s="53">
        <v>0</v>
      </c>
      <c r="AQ28" s="53">
        <v>36110</v>
      </c>
      <c r="AR28" s="53">
        <v>0</v>
      </c>
      <c r="AS28" s="53">
        <v>500</v>
      </c>
      <c r="AT28" s="53">
        <v>0</v>
      </c>
      <c r="AU28" s="53">
        <v>0</v>
      </c>
      <c r="AV28" s="53">
        <v>11065</v>
      </c>
      <c r="AW28" s="53">
        <v>19646</v>
      </c>
      <c r="AX28" s="53">
        <v>0</v>
      </c>
      <c r="AY28" s="53">
        <v>0</v>
      </c>
      <c r="AZ28" s="53">
        <v>8016</v>
      </c>
      <c r="BA28" s="53">
        <v>0</v>
      </c>
      <c r="BB28" s="53">
        <v>12819</v>
      </c>
      <c r="BC28" s="53">
        <v>26441</v>
      </c>
      <c r="BD28" s="53">
        <v>60741</v>
      </c>
      <c r="BE28" s="53">
        <v>50735</v>
      </c>
      <c r="BF28" s="53">
        <v>74821</v>
      </c>
      <c r="BG28" s="53">
        <v>0</v>
      </c>
      <c r="BH28" s="53">
        <v>14356</v>
      </c>
      <c r="BI28" s="53">
        <v>0</v>
      </c>
    </row>
    <row r="29" spans="1:61" ht="15.75" x14ac:dyDescent="0.25">
      <c r="A29" s="53" t="s">
        <v>9</v>
      </c>
      <c r="B29" s="52" t="s">
        <v>140</v>
      </c>
      <c r="C29" s="49" t="s">
        <v>42</v>
      </c>
      <c r="D29" s="49" t="e">
        <f>VLOOKUP(A29,PARAMETER!D:E,2,0)</f>
        <v>#N/A</v>
      </c>
      <c r="E29" s="49" t="e">
        <f t="shared" si="0"/>
        <v>#N/A</v>
      </c>
      <c r="F29" s="49" t="str">
        <f t="shared" si="1"/>
        <v>ES TELLER 77TRX</v>
      </c>
      <c r="G29" s="81">
        <f t="shared" si="2"/>
        <v>6</v>
      </c>
      <c r="H29" s="81">
        <f>SUMIF(I$1:BI$1,"&lt;="&amp;PARAMETER!X$2,I29:BI29)</f>
        <v>1</v>
      </c>
      <c r="I29" s="53">
        <v>0</v>
      </c>
      <c r="J29" s="53">
        <v>1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1</v>
      </c>
      <c r="V29" s="53">
        <v>0</v>
      </c>
      <c r="W29" s="53">
        <v>0</v>
      </c>
      <c r="X29" s="53">
        <v>0</v>
      </c>
      <c r="Y29" s="53">
        <v>0</v>
      </c>
      <c r="Z29" s="53">
        <v>1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  <c r="AK29" s="53">
        <v>0</v>
      </c>
      <c r="AL29" s="53">
        <v>0</v>
      </c>
      <c r="AM29" s="53">
        <v>0</v>
      </c>
      <c r="AN29" s="53">
        <v>0</v>
      </c>
      <c r="AO29" s="53">
        <v>0</v>
      </c>
      <c r="AP29" s="53">
        <v>2</v>
      </c>
      <c r="AQ29" s="53">
        <v>1</v>
      </c>
      <c r="AR29" s="53">
        <v>0</v>
      </c>
      <c r="AS29" s="53">
        <v>0</v>
      </c>
      <c r="AT29" s="53">
        <v>0</v>
      </c>
      <c r="AU29" s="53">
        <v>0</v>
      </c>
      <c r="AV29" s="53">
        <v>0</v>
      </c>
      <c r="AW29" s="53">
        <v>0</v>
      </c>
      <c r="AX29" s="53">
        <v>0</v>
      </c>
      <c r="AY29" s="53">
        <v>0</v>
      </c>
      <c r="AZ29" s="53">
        <v>0</v>
      </c>
      <c r="BA29" s="53">
        <v>0</v>
      </c>
      <c r="BB29" s="53">
        <v>0</v>
      </c>
      <c r="BC29" s="53">
        <v>0</v>
      </c>
      <c r="BD29" s="53">
        <v>0</v>
      </c>
      <c r="BE29" s="53">
        <v>0</v>
      </c>
      <c r="BF29" s="53">
        <v>0</v>
      </c>
      <c r="BG29" s="53">
        <v>0</v>
      </c>
      <c r="BH29" s="53">
        <v>0</v>
      </c>
      <c r="BI29" s="53">
        <v>0</v>
      </c>
    </row>
    <row r="30" spans="1:61" ht="15.75" x14ac:dyDescent="0.25">
      <c r="A30" s="53" t="s">
        <v>9</v>
      </c>
      <c r="B30" s="52" t="s">
        <v>140</v>
      </c>
      <c r="C30" s="49" t="s">
        <v>41</v>
      </c>
      <c r="D30" s="49" t="e">
        <f>VLOOKUP(A30,PARAMETER!D:E,2,0)</f>
        <v>#N/A</v>
      </c>
      <c r="E30" s="49" t="e">
        <f t="shared" si="0"/>
        <v>#N/A</v>
      </c>
      <c r="F30" s="49" t="str">
        <f t="shared" si="1"/>
        <v>ES TELLER 77VOL</v>
      </c>
      <c r="G30" s="81">
        <f t="shared" si="2"/>
        <v>133027</v>
      </c>
      <c r="H30" s="81">
        <f>SUMIF(I$1:BI$1,"&lt;="&amp;PARAMETER!X$2,I30:BI30)</f>
        <v>45000</v>
      </c>
      <c r="I30" s="53">
        <v>0</v>
      </c>
      <c r="J30" s="53">
        <v>45000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38000</v>
      </c>
      <c r="V30" s="53">
        <v>0</v>
      </c>
      <c r="W30" s="53">
        <v>0</v>
      </c>
      <c r="X30" s="53">
        <v>0</v>
      </c>
      <c r="Y30" s="53">
        <v>0</v>
      </c>
      <c r="Z30" s="53">
        <v>50000</v>
      </c>
      <c r="AA30" s="53">
        <v>0</v>
      </c>
      <c r="AB30" s="53">
        <v>0</v>
      </c>
      <c r="AC30" s="53">
        <v>0</v>
      </c>
      <c r="AD30" s="53">
        <v>0</v>
      </c>
      <c r="AE30" s="53">
        <v>0</v>
      </c>
      <c r="AF30" s="53">
        <v>0</v>
      </c>
      <c r="AG30" s="53">
        <v>0</v>
      </c>
      <c r="AH30" s="53">
        <v>0</v>
      </c>
      <c r="AI30" s="53">
        <v>0</v>
      </c>
      <c r="AJ30" s="53">
        <v>0</v>
      </c>
      <c r="AK30" s="53">
        <v>0</v>
      </c>
      <c r="AL30" s="53">
        <v>0</v>
      </c>
      <c r="AM30" s="53">
        <v>0</v>
      </c>
      <c r="AN30" s="53">
        <v>0</v>
      </c>
      <c r="AO30" s="53">
        <v>0</v>
      </c>
      <c r="AP30" s="53">
        <v>26</v>
      </c>
      <c r="AQ30" s="53">
        <v>1</v>
      </c>
      <c r="AR30" s="53">
        <v>0</v>
      </c>
      <c r="AS30" s="53">
        <v>0</v>
      </c>
      <c r="AT30" s="53">
        <v>0</v>
      </c>
      <c r="AU30" s="53">
        <v>0</v>
      </c>
      <c r="AV30" s="53">
        <v>0</v>
      </c>
      <c r="AW30" s="53">
        <v>0</v>
      </c>
      <c r="AX30" s="53">
        <v>0</v>
      </c>
      <c r="AY30" s="53">
        <v>0</v>
      </c>
      <c r="AZ30" s="53">
        <v>0</v>
      </c>
      <c r="BA30" s="53">
        <v>0</v>
      </c>
      <c r="BB30" s="53">
        <v>0</v>
      </c>
      <c r="BC30" s="53">
        <v>0</v>
      </c>
      <c r="BD30" s="53">
        <v>0</v>
      </c>
      <c r="BE30" s="53">
        <v>0</v>
      </c>
      <c r="BF30" s="53">
        <v>0</v>
      </c>
      <c r="BG30" s="53">
        <v>0</v>
      </c>
      <c r="BH30" s="53">
        <v>0</v>
      </c>
      <c r="BI30" s="53">
        <v>0</v>
      </c>
    </row>
    <row r="31" spans="1:61" ht="15.75" x14ac:dyDescent="0.25">
      <c r="A31" s="53" t="s">
        <v>9</v>
      </c>
      <c r="B31" s="52" t="s">
        <v>140</v>
      </c>
      <c r="C31" s="49" t="s">
        <v>40</v>
      </c>
      <c r="D31" s="49" t="e">
        <f>VLOOKUP(A31,PARAMETER!D:E,2,0)</f>
        <v>#N/A</v>
      </c>
      <c r="E31" s="49" t="e">
        <f t="shared" si="0"/>
        <v>#N/A</v>
      </c>
      <c r="F31" s="49" t="str">
        <f t="shared" si="1"/>
        <v>ES TELLER 77FBI</v>
      </c>
      <c r="G31" s="81">
        <f t="shared" si="2"/>
        <v>1330</v>
      </c>
      <c r="H31" s="81">
        <f>SUMIF(I$1:BI$1,"&lt;="&amp;PARAMETER!X$2,I31:BI31)</f>
        <v>450</v>
      </c>
      <c r="I31" s="53">
        <v>0</v>
      </c>
      <c r="J31" s="53">
        <v>450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380</v>
      </c>
      <c r="V31" s="53">
        <v>0</v>
      </c>
      <c r="W31" s="53">
        <v>0</v>
      </c>
      <c r="X31" s="53">
        <v>0</v>
      </c>
      <c r="Y31" s="53">
        <v>0</v>
      </c>
      <c r="Z31" s="53">
        <v>500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  <c r="AK31" s="53">
        <v>0</v>
      </c>
      <c r="AL31" s="53">
        <v>0</v>
      </c>
      <c r="AM31" s="53">
        <v>0</v>
      </c>
      <c r="AN31" s="53">
        <v>0</v>
      </c>
      <c r="AO31" s="53">
        <v>0</v>
      </c>
      <c r="AP31" s="53">
        <v>0</v>
      </c>
      <c r="AQ31" s="53">
        <v>0</v>
      </c>
      <c r="AR31" s="53">
        <v>0</v>
      </c>
      <c r="AS31" s="53">
        <v>0</v>
      </c>
      <c r="AT31" s="53">
        <v>0</v>
      </c>
      <c r="AU31" s="53">
        <v>0</v>
      </c>
      <c r="AV31" s="53">
        <v>0</v>
      </c>
      <c r="AW31" s="53">
        <v>0</v>
      </c>
      <c r="AX31" s="53">
        <v>0</v>
      </c>
      <c r="AY31" s="53">
        <v>0</v>
      </c>
      <c r="AZ31" s="53">
        <v>0</v>
      </c>
      <c r="BA31" s="53">
        <v>0</v>
      </c>
      <c r="BB31" s="53">
        <v>0</v>
      </c>
      <c r="BC31" s="53">
        <v>0</v>
      </c>
      <c r="BD31" s="53">
        <v>0</v>
      </c>
      <c r="BE31" s="53">
        <v>0</v>
      </c>
      <c r="BF31" s="53">
        <v>0</v>
      </c>
      <c r="BG31" s="53">
        <v>0</v>
      </c>
      <c r="BH31" s="53">
        <v>0</v>
      </c>
      <c r="BI31" s="53">
        <v>0</v>
      </c>
    </row>
    <row r="32" spans="1:61" ht="15.75" x14ac:dyDescent="0.25">
      <c r="A32" s="53" t="s">
        <v>10</v>
      </c>
      <c r="B32" s="52" t="s">
        <v>140</v>
      </c>
      <c r="C32" s="49" t="s">
        <v>42</v>
      </c>
      <c r="D32" s="49" t="str">
        <f>VLOOKUP(A32,PARAMETER!D:E,2,0)</f>
        <v>RIFALDI</v>
      </c>
      <c r="E32" s="49" t="str">
        <f t="shared" si="0"/>
        <v>RIFALDITRX</v>
      </c>
      <c r="F32" s="49" t="str">
        <f t="shared" si="1"/>
        <v>GRAMEDIATRX</v>
      </c>
      <c r="G32" s="81">
        <f t="shared" si="2"/>
        <v>1487</v>
      </c>
      <c r="H32" s="81">
        <f>SUMIF(I$1:BI$1,"&lt;="&amp;PARAMETER!X$2,I32:BI32)</f>
        <v>102</v>
      </c>
      <c r="I32" s="53">
        <v>4</v>
      </c>
      <c r="J32" s="53">
        <v>0</v>
      </c>
      <c r="K32" s="53">
        <v>3</v>
      </c>
      <c r="L32" s="53">
        <v>5</v>
      </c>
      <c r="M32" s="53">
        <v>4</v>
      </c>
      <c r="N32" s="53">
        <v>8</v>
      </c>
      <c r="O32" s="53">
        <v>4</v>
      </c>
      <c r="P32" s="53">
        <v>9</v>
      </c>
      <c r="Q32" s="53">
        <v>12</v>
      </c>
      <c r="R32" s="53">
        <v>10</v>
      </c>
      <c r="S32" s="53">
        <v>43</v>
      </c>
      <c r="T32" s="53">
        <v>25</v>
      </c>
      <c r="U32" s="53">
        <v>14</v>
      </c>
      <c r="V32" s="53">
        <v>7</v>
      </c>
      <c r="W32" s="53">
        <v>27</v>
      </c>
      <c r="X32" s="53">
        <v>37</v>
      </c>
      <c r="Y32" s="53">
        <v>37</v>
      </c>
      <c r="Z32" s="53">
        <v>44</v>
      </c>
      <c r="AA32" s="53">
        <v>30</v>
      </c>
      <c r="AB32" s="53">
        <v>50</v>
      </c>
      <c r="AC32" s="53">
        <v>32</v>
      </c>
      <c r="AD32" s="53">
        <v>31</v>
      </c>
      <c r="AE32" s="53">
        <v>53</v>
      </c>
      <c r="AF32" s="53">
        <v>35</v>
      </c>
      <c r="AG32" s="53">
        <v>20</v>
      </c>
      <c r="AH32" s="53">
        <v>19</v>
      </c>
      <c r="AI32" s="53">
        <v>11</v>
      </c>
      <c r="AJ32" s="53">
        <v>26</v>
      </c>
      <c r="AK32" s="53">
        <v>66</v>
      </c>
      <c r="AL32" s="53">
        <v>38</v>
      </c>
      <c r="AM32" s="53">
        <v>18</v>
      </c>
      <c r="AN32" s="53">
        <v>20</v>
      </c>
      <c r="AO32" s="53">
        <v>41</v>
      </c>
      <c r="AP32" s="53">
        <v>22</v>
      </c>
      <c r="AQ32" s="53">
        <v>63</v>
      </c>
      <c r="AR32" s="53">
        <v>34</v>
      </c>
      <c r="AS32" s="53">
        <v>67</v>
      </c>
      <c r="AT32" s="53">
        <v>38</v>
      </c>
      <c r="AU32" s="53">
        <v>37</v>
      </c>
      <c r="AV32" s="53">
        <v>45</v>
      </c>
      <c r="AW32" s="53">
        <v>32</v>
      </c>
      <c r="AX32" s="53">
        <v>34</v>
      </c>
      <c r="AY32" s="53">
        <v>30</v>
      </c>
      <c r="AZ32" s="53">
        <v>27</v>
      </c>
      <c r="BA32" s="53">
        <v>39</v>
      </c>
      <c r="BB32" s="53">
        <v>24</v>
      </c>
      <c r="BC32" s="53">
        <v>50</v>
      </c>
      <c r="BD32" s="53">
        <v>32</v>
      </c>
      <c r="BE32" s="53">
        <v>18</v>
      </c>
      <c r="BF32" s="53">
        <v>24</v>
      </c>
      <c r="BG32" s="53">
        <v>71</v>
      </c>
      <c r="BH32" s="53">
        <v>17</v>
      </c>
      <c r="BI32" s="53">
        <v>0</v>
      </c>
    </row>
    <row r="33" spans="1:61" ht="15.75" x14ac:dyDescent="0.25">
      <c r="A33" s="53" t="s">
        <v>10</v>
      </c>
      <c r="B33" s="52" t="s">
        <v>140</v>
      </c>
      <c r="C33" s="49" t="s">
        <v>41</v>
      </c>
      <c r="D33" s="49" t="str">
        <f>VLOOKUP(A33,PARAMETER!D:E,2,0)</f>
        <v>RIFALDI</v>
      </c>
      <c r="E33" s="49" t="str">
        <f t="shared" si="0"/>
        <v>RIFALDIVOL</v>
      </c>
      <c r="F33" s="49" t="str">
        <f t="shared" si="1"/>
        <v>GRAMEDIAVOL</v>
      </c>
      <c r="G33" s="81">
        <f t="shared" si="2"/>
        <v>108651566</v>
      </c>
      <c r="H33" s="81">
        <f>SUMIF(I$1:BI$1,"&lt;="&amp;PARAMETER!X$2,I33:BI33)</f>
        <v>8521700</v>
      </c>
      <c r="I33" s="53">
        <v>294000</v>
      </c>
      <c r="J33" s="53">
        <v>0</v>
      </c>
      <c r="K33" s="53">
        <v>590100</v>
      </c>
      <c r="L33" s="53">
        <v>2512300</v>
      </c>
      <c r="M33" s="53">
        <v>155000</v>
      </c>
      <c r="N33" s="53">
        <v>1325400</v>
      </c>
      <c r="O33" s="53">
        <v>98000</v>
      </c>
      <c r="P33" s="53">
        <v>558400</v>
      </c>
      <c r="Q33" s="53">
        <v>340000</v>
      </c>
      <c r="R33" s="53">
        <v>1955600</v>
      </c>
      <c r="S33" s="53">
        <v>692900</v>
      </c>
      <c r="T33" s="53">
        <v>1742400</v>
      </c>
      <c r="U33" s="53">
        <v>317840</v>
      </c>
      <c r="V33" s="53">
        <v>248000</v>
      </c>
      <c r="W33" s="53">
        <v>904400</v>
      </c>
      <c r="X33" s="53">
        <v>1627400</v>
      </c>
      <c r="Y33" s="53">
        <v>1267000</v>
      </c>
      <c r="Z33" s="53">
        <v>2457400</v>
      </c>
      <c r="AA33" s="53">
        <v>1124501</v>
      </c>
      <c r="AB33" s="53">
        <v>1792500</v>
      </c>
      <c r="AC33" s="53">
        <v>891000</v>
      </c>
      <c r="AD33" s="53">
        <v>1057000</v>
      </c>
      <c r="AE33" s="53">
        <v>1443400</v>
      </c>
      <c r="AF33" s="53">
        <v>1120200</v>
      </c>
      <c r="AG33" s="53">
        <v>791000</v>
      </c>
      <c r="AH33" s="53">
        <v>818300</v>
      </c>
      <c r="AI33" s="53">
        <v>1981700</v>
      </c>
      <c r="AJ33" s="53">
        <v>2363400</v>
      </c>
      <c r="AK33" s="53">
        <v>3057125</v>
      </c>
      <c r="AL33" s="53">
        <v>34642140</v>
      </c>
      <c r="AM33" s="53">
        <v>999700</v>
      </c>
      <c r="AN33" s="53">
        <v>1254300</v>
      </c>
      <c r="AO33" s="53">
        <v>2592700</v>
      </c>
      <c r="AP33" s="53">
        <v>907000</v>
      </c>
      <c r="AQ33" s="53">
        <v>3251000</v>
      </c>
      <c r="AR33" s="53">
        <v>1243000</v>
      </c>
      <c r="AS33" s="53">
        <v>1987225</v>
      </c>
      <c r="AT33" s="53">
        <v>1214000</v>
      </c>
      <c r="AU33" s="53">
        <v>2066385</v>
      </c>
      <c r="AV33" s="53">
        <v>1709000</v>
      </c>
      <c r="AW33" s="53">
        <v>2124800</v>
      </c>
      <c r="AX33" s="53">
        <v>1489400</v>
      </c>
      <c r="AY33" s="53">
        <v>1191000</v>
      </c>
      <c r="AZ33" s="53">
        <v>971000</v>
      </c>
      <c r="BA33" s="53">
        <v>1850000</v>
      </c>
      <c r="BB33" s="53">
        <v>782700</v>
      </c>
      <c r="BC33" s="53">
        <v>2707000</v>
      </c>
      <c r="BD33" s="53">
        <v>1389000</v>
      </c>
      <c r="BE33" s="53">
        <v>661200</v>
      </c>
      <c r="BF33" s="53">
        <v>652200</v>
      </c>
      <c r="BG33" s="53">
        <v>8392800</v>
      </c>
      <c r="BH33" s="53">
        <v>1047750</v>
      </c>
      <c r="BI33" s="53">
        <v>0</v>
      </c>
    </row>
    <row r="34" spans="1:61" ht="15.75" x14ac:dyDescent="0.25">
      <c r="A34" s="53" t="s">
        <v>10</v>
      </c>
      <c r="B34" s="52" t="s">
        <v>140</v>
      </c>
      <c r="C34" s="49" t="s">
        <v>40</v>
      </c>
      <c r="D34" s="49" t="str">
        <f>VLOOKUP(A34,PARAMETER!D:E,2,0)</f>
        <v>RIFALDI</v>
      </c>
      <c r="E34" s="49" t="str">
        <f t="shared" ref="E34:E65" si="3">CONCATENATE(D34,C34)</f>
        <v>RIFALDIFBI</v>
      </c>
      <c r="F34" s="49" t="str">
        <f t="shared" ref="F34:F65" si="4">CONCATENATE(A34,C34)</f>
        <v>GRAMEDIAFBI</v>
      </c>
      <c r="G34" s="81">
        <f t="shared" si="2"/>
        <v>116342</v>
      </c>
      <c r="H34" s="81">
        <f>SUMIF(I$1:BI$1,"&lt;="&amp;PARAMETER!X$2,I34:BI34)</f>
        <v>9643</v>
      </c>
      <c r="I34" s="53">
        <v>270</v>
      </c>
      <c r="J34" s="53">
        <v>0</v>
      </c>
      <c r="K34" s="53">
        <v>885</v>
      </c>
      <c r="L34" s="53">
        <v>3768</v>
      </c>
      <c r="M34" s="53">
        <v>0</v>
      </c>
      <c r="N34" s="53">
        <v>1948</v>
      </c>
      <c r="O34" s="53">
        <v>0</v>
      </c>
      <c r="P34" s="53">
        <v>298</v>
      </c>
      <c r="Q34" s="53">
        <v>0</v>
      </c>
      <c r="R34" s="53">
        <v>2474</v>
      </c>
      <c r="S34" s="53">
        <v>0</v>
      </c>
      <c r="T34" s="53">
        <v>4095</v>
      </c>
      <c r="U34" s="53">
        <v>0</v>
      </c>
      <c r="V34" s="53">
        <v>111</v>
      </c>
      <c r="W34" s="53">
        <v>812</v>
      </c>
      <c r="X34" s="53">
        <v>1172</v>
      </c>
      <c r="Y34" s="53">
        <v>51</v>
      </c>
      <c r="Z34" s="53">
        <v>1210</v>
      </c>
      <c r="AA34" s="53">
        <v>197</v>
      </c>
      <c r="AB34" s="53">
        <v>7556</v>
      </c>
      <c r="AC34" s="53">
        <v>196</v>
      </c>
      <c r="AD34" s="53">
        <v>0</v>
      </c>
      <c r="AE34" s="53">
        <v>9996</v>
      </c>
      <c r="AF34" s="53">
        <v>0</v>
      </c>
      <c r="AG34" s="53">
        <v>248</v>
      </c>
      <c r="AH34" s="53">
        <v>555</v>
      </c>
      <c r="AI34" s="53">
        <v>2479</v>
      </c>
      <c r="AJ34" s="53">
        <v>2359</v>
      </c>
      <c r="AK34" s="53">
        <v>2175</v>
      </c>
      <c r="AL34" s="53">
        <v>49898</v>
      </c>
      <c r="AM34" s="53">
        <v>757</v>
      </c>
      <c r="AN34" s="53">
        <v>1178</v>
      </c>
      <c r="AO34" s="53">
        <v>2476</v>
      </c>
      <c r="AP34" s="53">
        <v>0</v>
      </c>
      <c r="AQ34" s="53">
        <v>1212</v>
      </c>
      <c r="AR34" s="53">
        <v>0</v>
      </c>
      <c r="AS34" s="53">
        <v>177</v>
      </c>
      <c r="AT34" s="53">
        <v>0</v>
      </c>
      <c r="AU34" s="53">
        <v>1681</v>
      </c>
      <c r="AV34" s="53">
        <v>0</v>
      </c>
      <c r="AW34" s="53">
        <v>1915</v>
      </c>
      <c r="AX34" s="53">
        <v>338</v>
      </c>
      <c r="AY34" s="53">
        <v>0</v>
      </c>
      <c r="AZ34" s="53">
        <v>118</v>
      </c>
      <c r="BA34" s="53">
        <v>170</v>
      </c>
      <c r="BB34" s="53">
        <v>0</v>
      </c>
      <c r="BC34" s="53">
        <v>3108</v>
      </c>
      <c r="BD34" s="53">
        <v>411</v>
      </c>
      <c r="BE34" s="53">
        <v>186</v>
      </c>
      <c r="BF34" s="53">
        <v>117</v>
      </c>
      <c r="BG34" s="53">
        <v>8898</v>
      </c>
      <c r="BH34" s="53">
        <v>847</v>
      </c>
      <c r="BI34" s="53">
        <v>0</v>
      </c>
    </row>
    <row r="35" spans="1:61" ht="15.75" x14ac:dyDescent="0.25">
      <c r="A35" s="53" t="s">
        <v>11</v>
      </c>
      <c r="B35" s="52" t="s">
        <v>140</v>
      </c>
      <c r="C35" s="49" t="s">
        <v>42</v>
      </c>
      <c r="D35" s="49" t="str">
        <f>VLOOKUP(A35,PARAMETER!D:E,2,0)</f>
        <v>NINA</v>
      </c>
      <c r="E35" s="49" t="str">
        <f t="shared" si="3"/>
        <v>NINATRX</v>
      </c>
      <c r="F35" s="49" t="str">
        <f t="shared" si="4"/>
        <v>HAUSTRX</v>
      </c>
      <c r="G35" s="81">
        <f t="shared" si="2"/>
        <v>210783</v>
      </c>
      <c r="H35" s="81">
        <f>SUMIF(I$1:BI$1,"&lt;="&amp;PARAMETER!X$2,I35:BI35)</f>
        <v>66862</v>
      </c>
      <c r="I35" s="53">
        <v>15734</v>
      </c>
      <c r="J35" s="53">
        <v>13388</v>
      </c>
      <c r="K35" s="53">
        <v>12794</v>
      </c>
      <c r="L35" s="53">
        <v>12391</v>
      </c>
      <c r="M35" s="53">
        <v>10336</v>
      </c>
      <c r="N35" s="53">
        <v>145</v>
      </c>
      <c r="O35" s="53">
        <v>171</v>
      </c>
      <c r="P35" s="53">
        <v>125</v>
      </c>
      <c r="Q35" s="53">
        <v>332</v>
      </c>
      <c r="R35" s="53">
        <v>1287</v>
      </c>
      <c r="S35" s="53">
        <v>159</v>
      </c>
      <c r="T35" s="53">
        <v>344</v>
      </c>
      <c r="U35" s="53">
        <v>185</v>
      </c>
      <c r="V35" s="53">
        <v>477</v>
      </c>
      <c r="W35" s="53">
        <v>6229</v>
      </c>
      <c r="X35" s="53">
        <v>134</v>
      </c>
      <c r="Y35" s="53">
        <v>122</v>
      </c>
      <c r="Z35" s="53">
        <v>91</v>
      </c>
      <c r="AA35" s="53">
        <v>116</v>
      </c>
      <c r="AB35" s="53">
        <v>6530</v>
      </c>
      <c r="AC35" s="53">
        <v>7044</v>
      </c>
      <c r="AD35" s="53">
        <v>8003</v>
      </c>
      <c r="AE35" s="53">
        <v>6791</v>
      </c>
      <c r="AF35" s="53">
        <v>5077</v>
      </c>
      <c r="AG35" s="53">
        <v>4448</v>
      </c>
      <c r="AH35" s="53">
        <v>5416</v>
      </c>
      <c r="AI35" s="53">
        <v>5707</v>
      </c>
      <c r="AJ35" s="53">
        <v>6367</v>
      </c>
      <c r="AK35" s="53">
        <v>6090</v>
      </c>
      <c r="AL35" s="53">
        <v>5322</v>
      </c>
      <c r="AM35" s="53">
        <v>6393</v>
      </c>
      <c r="AN35" s="53">
        <v>5358</v>
      </c>
      <c r="AO35" s="53">
        <v>4921</v>
      </c>
      <c r="AP35" s="53">
        <v>4792</v>
      </c>
      <c r="AQ35" s="53">
        <v>5173</v>
      </c>
      <c r="AR35" s="53">
        <v>5028</v>
      </c>
      <c r="AS35" s="53">
        <v>4719</v>
      </c>
      <c r="AT35" s="53">
        <v>4719</v>
      </c>
      <c r="AU35" s="53">
        <v>4895</v>
      </c>
      <c r="AV35" s="53">
        <v>4615</v>
      </c>
      <c r="AW35" s="53">
        <v>4454</v>
      </c>
      <c r="AX35" s="53">
        <v>4061</v>
      </c>
      <c r="AY35" s="53">
        <v>4143</v>
      </c>
      <c r="AZ35" s="53">
        <v>3848</v>
      </c>
      <c r="BA35" s="53">
        <v>1736</v>
      </c>
      <c r="BB35" s="53">
        <v>39</v>
      </c>
      <c r="BC35" s="53">
        <v>42</v>
      </c>
      <c r="BD35" s="53">
        <v>51</v>
      </c>
      <c r="BE35" s="53">
        <v>78</v>
      </c>
      <c r="BF35" s="53">
        <v>84</v>
      </c>
      <c r="BG35" s="53">
        <v>64</v>
      </c>
      <c r="BH35" s="53">
        <v>192</v>
      </c>
      <c r="BI35" s="53">
        <v>23</v>
      </c>
    </row>
    <row r="36" spans="1:61" ht="15.75" x14ac:dyDescent="0.25">
      <c r="A36" s="53" t="s">
        <v>11</v>
      </c>
      <c r="B36" s="52" t="s">
        <v>140</v>
      </c>
      <c r="C36" s="49" t="s">
        <v>41</v>
      </c>
      <c r="D36" s="49" t="str">
        <f>VLOOKUP(A36,PARAMETER!D:E,2,0)</f>
        <v>NINA</v>
      </c>
      <c r="E36" s="49" t="str">
        <f t="shared" si="3"/>
        <v>NINAVOL</v>
      </c>
      <c r="F36" s="49" t="str">
        <f t="shared" si="4"/>
        <v>HAUSVOL</v>
      </c>
      <c r="G36" s="81">
        <f t="shared" si="2"/>
        <v>8887740957</v>
      </c>
      <c r="H36" s="81">
        <f>SUMIF(I$1:BI$1,"&lt;="&amp;PARAMETER!X$2,I36:BI36)</f>
        <v>2715206869</v>
      </c>
      <c r="I36" s="53">
        <v>635476944</v>
      </c>
      <c r="J36" s="53">
        <v>519486406</v>
      </c>
      <c r="K36" s="53">
        <v>513516233</v>
      </c>
      <c r="L36" s="53">
        <v>531187577</v>
      </c>
      <c r="M36" s="53">
        <v>437454472</v>
      </c>
      <c r="N36" s="53">
        <v>5161900</v>
      </c>
      <c r="O36" s="53">
        <v>5504299</v>
      </c>
      <c r="P36" s="53">
        <v>4362030</v>
      </c>
      <c r="Q36" s="53">
        <v>11392995</v>
      </c>
      <c r="R36" s="53">
        <v>47304991</v>
      </c>
      <c r="S36" s="53">
        <v>4359022</v>
      </c>
      <c r="T36" s="53">
        <v>18179200</v>
      </c>
      <c r="U36" s="53">
        <v>7516993</v>
      </c>
      <c r="V36" s="53">
        <v>21169999</v>
      </c>
      <c r="W36" s="53">
        <v>278401060</v>
      </c>
      <c r="X36" s="53">
        <v>3530004</v>
      </c>
      <c r="Y36" s="53">
        <v>3342000</v>
      </c>
      <c r="Z36" s="53">
        <v>5996000</v>
      </c>
      <c r="AA36" s="53">
        <v>2728000</v>
      </c>
      <c r="AB36" s="53">
        <v>255648001</v>
      </c>
      <c r="AC36" s="53">
        <v>279831002</v>
      </c>
      <c r="AD36" s="53">
        <v>319439001</v>
      </c>
      <c r="AE36" s="53">
        <v>280526501</v>
      </c>
      <c r="AF36" s="53">
        <v>206905010</v>
      </c>
      <c r="AG36" s="53">
        <v>184693574</v>
      </c>
      <c r="AH36" s="53">
        <v>250444010</v>
      </c>
      <c r="AI36" s="53">
        <v>281134437</v>
      </c>
      <c r="AJ36" s="53">
        <v>300437347</v>
      </c>
      <c r="AK36" s="53">
        <v>282173020</v>
      </c>
      <c r="AL36" s="53">
        <v>245774692</v>
      </c>
      <c r="AM36" s="53">
        <v>294981127</v>
      </c>
      <c r="AN36" s="53">
        <v>250039021</v>
      </c>
      <c r="AO36" s="53">
        <v>223763021</v>
      </c>
      <c r="AP36" s="53">
        <v>210822573</v>
      </c>
      <c r="AQ36" s="53">
        <v>217841597</v>
      </c>
      <c r="AR36" s="53">
        <v>219324264</v>
      </c>
      <c r="AS36" s="53">
        <v>201630270</v>
      </c>
      <c r="AT36" s="53">
        <v>189688371</v>
      </c>
      <c r="AU36" s="53">
        <v>196750189</v>
      </c>
      <c r="AV36" s="53">
        <v>188840124</v>
      </c>
      <c r="AW36" s="53">
        <v>176895522</v>
      </c>
      <c r="AX36" s="53">
        <v>155381617</v>
      </c>
      <c r="AY36" s="53">
        <v>166771114</v>
      </c>
      <c r="AZ36" s="53">
        <v>156569718</v>
      </c>
      <c r="BA36" s="53">
        <v>62781009</v>
      </c>
      <c r="BB36" s="53">
        <v>10164000</v>
      </c>
      <c r="BC36" s="53">
        <v>1412000</v>
      </c>
      <c r="BD36" s="53">
        <v>2246400</v>
      </c>
      <c r="BE36" s="53">
        <v>3729000</v>
      </c>
      <c r="BF36" s="53">
        <v>4307000</v>
      </c>
      <c r="BG36" s="53">
        <v>3166400</v>
      </c>
      <c r="BH36" s="53">
        <v>5890900</v>
      </c>
      <c r="BI36" s="53">
        <v>1669000</v>
      </c>
    </row>
    <row r="37" spans="1:61" ht="15.75" x14ac:dyDescent="0.25">
      <c r="A37" s="53" t="s">
        <v>11</v>
      </c>
      <c r="B37" s="52" t="s">
        <v>140</v>
      </c>
      <c r="C37" s="49" t="s">
        <v>40</v>
      </c>
      <c r="D37" s="49" t="str">
        <f>VLOOKUP(A37,PARAMETER!D:E,2,0)</f>
        <v>NINA</v>
      </c>
      <c r="E37" s="49" t="str">
        <f t="shared" si="3"/>
        <v>NINAFBI</v>
      </c>
      <c r="F37" s="49" t="str">
        <f t="shared" si="4"/>
        <v>HAUSFBI</v>
      </c>
      <c r="G37" s="81">
        <f t="shared" si="2"/>
        <v>60470810</v>
      </c>
      <c r="H37" s="81">
        <f>SUMIF(I$1:BI$1,"&lt;="&amp;PARAMETER!X$2,I37:BI37)</f>
        <v>18731865</v>
      </c>
      <c r="I37" s="53">
        <v>4428992</v>
      </c>
      <c r="J37" s="53">
        <v>3595260</v>
      </c>
      <c r="K37" s="53">
        <v>3565327</v>
      </c>
      <c r="L37" s="53">
        <v>3701685</v>
      </c>
      <c r="M37" s="53">
        <v>3028101</v>
      </c>
      <c r="N37" s="53">
        <v>3070</v>
      </c>
      <c r="O37" s="53">
        <v>5270</v>
      </c>
      <c r="P37" s="53">
        <v>4260</v>
      </c>
      <c r="Q37" s="53">
        <v>60018</v>
      </c>
      <c r="R37" s="53">
        <v>324603</v>
      </c>
      <c r="S37" s="53">
        <v>15279</v>
      </c>
      <c r="T37" s="53">
        <v>70014</v>
      </c>
      <c r="U37" s="53">
        <v>36453</v>
      </c>
      <c r="V37" s="53">
        <v>91478</v>
      </c>
      <c r="W37" s="53">
        <v>1905404</v>
      </c>
      <c r="X37" s="53">
        <v>810</v>
      </c>
      <c r="Y37" s="53">
        <v>2206</v>
      </c>
      <c r="Z37" s="53">
        <v>10500</v>
      </c>
      <c r="AA37" s="53">
        <v>0</v>
      </c>
      <c r="AB37" s="53">
        <v>1769347</v>
      </c>
      <c r="AC37" s="53">
        <v>2018872</v>
      </c>
      <c r="AD37" s="53">
        <v>2217745</v>
      </c>
      <c r="AE37" s="53">
        <v>1895007</v>
      </c>
      <c r="AF37" s="53">
        <v>1427113</v>
      </c>
      <c r="AG37" s="53">
        <v>1275096</v>
      </c>
      <c r="AH37" s="53">
        <v>1717162</v>
      </c>
      <c r="AI37" s="53">
        <v>1914421</v>
      </c>
      <c r="AJ37" s="53">
        <v>2083287</v>
      </c>
      <c r="AK37" s="53">
        <v>1957018</v>
      </c>
      <c r="AL37" s="53">
        <v>1671364</v>
      </c>
      <c r="AM37" s="53">
        <v>2007827</v>
      </c>
      <c r="AN37" s="53">
        <v>1673034</v>
      </c>
      <c r="AO37" s="53">
        <v>1548459</v>
      </c>
      <c r="AP37" s="53">
        <v>1440509</v>
      </c>
      <c r="AQ37" s="53">
        <v>1509373</v>
      </c>
      <c r="AR37" s="53">
        <v>1504009</v>
      </c>
      <c r="AS37" s="53">
        <v>1391220</v>
      </c>
      <c r="AT37" s="53">
        <v>1310206</v>
      </c>
      <c r="AU37" s="53">
        <v>1328961</v>
      </c>
      <c r="AV37" s="53">
        <v>1266217</v>
      </c>
      <c r="AW37" s="53">
        <v>1132274</v>
      </c>
      <c r="AX37" s="53">
        <v>1016193</v>
      </c>
      <c r="AY37" s="53">
        <v>1092315</v>
      </c>
      <c r="AZ37" s="53">
        <v>989879</v>
      </c>
      <c r="BA37" s="53">
        <v>423866</v>
      </c>
      <c r="BB37" s="53">
        <v>27000</v>
      </c>
      <c r="BC37" s="53">
        <v>0</v>
      </c>
      <c r="BD37" s="53">
        <v>0</v>
      </c>
      <c r="BE37" s="53">
        <v>11756</v>
      </c>
      <c r="BF37" s="53">
        <v>0</v>
      </c>
      <c r="BG37" s="53">
        <v>0</v>
      </c>
      <c r="BH37" s="53">
        <v>0</v>
      </c>
      <c r="BI37" s="53">
        <v>2550</v>
      </c>
    </row>
    <row r="38" spans="1:61" ht="15.75" x14ac:dyDescent="0.25">
      <c r="A38" s="53" t="s">
        <v>12</v>
      </c>
      <c r="B38" s="52" t="s">
        <v>140</v>
      </c>
      <c r="C38" s="49" t="s">
        <v>42</v>
      </c>
      <c r="D38" s="49" t="e">
        <f>VLOOKUP(A38,PARAMETER!D:E,2,0)</f>
        <v>#N/A</v>
      </c>
      <c r="E38" s="49" t="e">
        <f t="shared" si="3"/>
        <v>#N/A</v>
      </c>
      <c r="F38" s="49" t="str">
        <f t="shared" si="4"/>
        <v>HEAVENLY WANGTRX</v>
      </c>
      <c r="G38" s="81">
        <f t="shared" si="2"/>
        <v>19</v>
      </c>
      <c r="H38" s="81">
        <f>SUMIF(I$1:BI$1,"&lt;="&amp;PARAMETER!X$2,I38:BI38)</f>
        <v>13</v>
      </c>
      <c r="I38" s="53">
        <v>2</v>
      </c>
      <c r="J38" s="53">
        <v>1</v>
      </c>
      <c r="K38" s="53">
        <v>1</v>
      </c>
      <c r="L38" s="53">
        <v>1</v>
      </c>
      <c r="M38" s="53">
        <v>1</v>
      </c>
      <c r="N38" s="53">
        <v>1</v>
      </c>
      <c r="O38" s="53">
        <v>2</v>
      </c>
      <c r="P38" s="53">
        <v>1</v>
      </c>
      <c r="Q38" s="53">
        <v>0</v>
      </c>
      <c r="R38" s="53">
        <v>1</v>
      </c>
      <c r="S38" s="53">
        <v>2</v>
      </c>
      <c r="T38" s="53">
        <v>0</v>
      </c>
      <c r="U38" s="53">
        <v>1</v>
      </c>
      <c r="V38" s="53">
        <v>1</v>
      </c>
      <c r="W38" s="53">
        <v>1</v>
      </c>
      <c r="X38" s="53">
        <v>2</v>
      </c>
      <c r="Y38" s="53">
        <v>0</v>
      </c>
      <c r="Z38" s="53">
        <v>1</v>
      </c>
      <c r="AA38" s="53">
        <v>0</v>
      </c>
      <c r="AB38" s="53">
        <v>0</v>
      </c>
      <c r="AC38" s="53">
        <v>0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0</v>
      </c>
      <c r="AK38" s="53">
        <v>0</v>
      </c>
      <c r="AL38" s="53">
        <v>0</v>
      </c>
      <c r="AM38" s="53">
        <v>0</v>
      </c>
      <c r="AN38" s="53">
        <v>0</v>
      </c>
      <c r="AO38" s="53">
        <v>0</v>
      </c>
      <c r="AP38" s="53">
        <v>0</v>
      </c>
      <c r="AQ38" s="53">
        <v>0</v>
      </c>
      <c r="AR38" s="53">
        <v>0</v>
      </c>
      <c r="AS38" s="53">
        <v>0</v>
      </c>
      <c r="AT38" s="53">
        <v>0</v>
      </c>
      <c r="AU38" s="53">
        <v>0</v>
      </c>
      <c r="AV38" s="53">
        <v>0</v>
      </c>
      <c r="AW38" s="53">
        <v>0</v>
      </c>
      <c r="AX38" s="53">
        <v>0</v>
      </c>
      <c r="AY38" s="53">
        <v>0</v>
      </c>
      <c r="AZ38" s="53">
        <v>0</v>
      </c>
      <c r="BA38" s="53">
        <v>0</v>
      </c>
      <c r="BB38" s="53">
        <v>0</v>
      </c>
      <c r="BC38" s="53">
        <v>0</v>
      </c>
      <c r="BD38" s="53">
        <v>0</v>
      </c>
      <c r="BE38" s="53">
        <v>0</v>
      </c>
      <c r="BF38" s="53">
        <v>0</v>
      </c>
      <c r="BG38" s="53">
        <v>0</v>
      </c>
      <c r="BH38" s="53">
        <v>0</v>
      </c>
      <c r="BI38" s="53">
        <v>0</v>
      </c>
    </row>
    <row r="39" spans="1:61" ht="15.75" x14ac:dyDescent="0.25">
      <c r="A39" s="53" t="s">
        <v>12</v>
      </c>
      <c r="B39" s="52" t="s">
        <v>140</v>
      </c>
      <c r="C39" s="49" t="s">
        <v>41</v>
      </c>
      <c r="D39" s="49" t="e">
        <f>VLOOKUP(A39,PARAMETER!D:E,2,0)</f>
        <v>#N/A</v>
      </c>
      <c r="E39" s="49" t="e">
        <f t="shared" si="3"/>
        <v>#N/A</v>
      </c>
      <c r="F39" s="49" t="str">
        <f t="shared" si="4"/>
        <v>HEAVENLY WANGVOL</v>
      </c>
      <c r="G39" s="81">
        <f t="shared" si="2"/>
        <v>2730860</v>
      </c>
      <c r="H39" s="81">
        <f>SUMIF(I$1:BI$1,"&lt;="&amp;PARAMETER!X$2,I39:BI39)</f>
        <v>1924230</v>
      </c>
      <c r="I39" s="53">
        <v>422730</v>
      </c>
      <c r="J39" s="53">
        <v>270270</v>
      </c>
      <c r="K39" s="53">
        <v>86625</v>
      </c>
      <c r="L39" s="53">
        <v>132825</v>
      </c>
      <c r="M39" s="53">
        <v>78540</v>
      </c>
      <c r="N39" s="53">
        <v>34650</v>
      </c>
      <c r="O39" s="53">
        <v>477015</v>
      </c>
      <c r="P39" s="53">
        <v>48510</v>
      </c>
      <c r="Q39" s="53">
        <v>0</v>
      </c>
      <c r="R39" s="53">
        <v>121275</v>
      </c>
      <c r="S39" s="53">
        <v>251790</v>
      </c>
      <c r="T39" s="53">
        <v>0</v>
      </c>
      <c r="U39" s="53">
        <v>22000</v>
      </c>
      <c r="V39" s="53">
        <v>119350</v>
      </c>
      <c r="W39" s="53">
        <v>271425</v>
      </c>
      <c r="X39" s="53">
        <v>166320</v>
      </c>
      <c r="Y39" s="53">
        <v>0</v>
      </c>
      <c r="Z39" s="53">
        <v>227535</v>
      </c>
      <c r="AA39" s="53">
        <v>0</v>
      </c>
      <c r="AB39" s="53">
        <v>0</v>
      </c>
      <c r="AC39" s="53">
        <v>0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0</v>
      </c>
      <c r="AK39" s="53">
        <v>0</v>
      </c>
      <c r="AL39" s="53">
        <v>0</v>
      </c>
      <c r="AM39" s="53">
        <v>0</v>
      </c>
      <c r="AN39" s="53">
        <v>0</v>
      </c>
      <c r="AO39" s="53">
        <v>0</v>
      </c>
      <c r="AP39" s="53">
        <v>0</v>
      </c>
      <c r="AQ39" s="53">
        <v>0</v>
      </c>
      <c r="AR39" s="53">
        <v>0</v>
      </c>
      <c r="AS39" s="53">
        <v>0</v>
      </c>
      <c r="AT39" s="53">
        <v>0</v>
      </c>
      <c r="AU39" s="53">
        <v>0</v>
      </c>
      <c r="AV39" s="53">
        <v>0</v>
      </c>
      <c r="AW39" s="53">
        <v>0</v>
      </c>
      <c r="AX39" s="53">
        <v>0</v>
      </c>
      <c r="AY39" s="53">
        <v>0</v>
      </c>
      <c r="AZ39" s="53">
        <v>0</v>
      </c>
      <c r="BA39" s="53">
        <v>0</v>
      </c>
      <c r="BB39" s="53">
        <v>0</v>
      </c>
      <c r="BC39" s="53">
        <v>0</v>
      </c>
      <c r="BD39" s="53">
        <v>0</v>
      </c>
      <c r="BE39" s="53">
        <v>0</v>
      </c>
      <c r="BF39" s="53">
        <v>0</v>
      </c>
      <c r="BG39" s="53">
        <v>0</v>
      </c>
      <c r="BH39" s="53">
        <v>0</v>
      </c>
      <c r="BI39" s="53">
        <v>0</v>
      </c>
    </row>
    <row r="40" spans="1:61" ht="15.75" x14ac:dyDescent="0.25">
      <c r="A40" s="53" t="s">
        <v>12</v>
      </c>
      <c r="B40" s="52" t="s">
        <v>140</v>
      </c>
      <c r="C40" s="49" t="s">
        <v>40</v>
      </c>
      <c r="D40" s="49" t="e">
        <f>VLOOKUP(A40,PARAMETER!D:E,2,0)</f>
        <v>#N/A</v>
      </c>
      <c r="E40" s="49" t="e">
        <f t="shared" si="3"/>
        <v>#N/A</v>
      </c>
      <c r="F40" s="49" t="str">
        <f t="shared" si="4"/>
        <v>HEAVENLY WANGFBI</v>
      </c>
      <c r="G40" s="81">
        <f t="shared" si="2"/>
        <v>13626</v>
      </c>
      <c r="H40" s="81">
        <f>SUMIF(I$1:BI$1,"&lt;="&amp;PARAMETER!X$2,I40:BI40)</f>
        <v>4195</v>
      </c>
      <c r="I40" s="53">
        <v>634</v>
      </c>
      <c r="J40" s="53">
        <v>405</v>
      </c>
      <c r="K40" s="53">
        <v>866</v>
      </c>
      <c r="L40" s="53">
        <v>199</v>
      </c>
      <c r="M40" s="53">
        <v>118</v>
      </c>
      <c r="N40" s="53">
        <v>624</v>
      </c>
      <c r="O40" s="53">
        <v>716</v>
      </c>
      <c r="P40" s="53">
        <v>73</v>
      </c>
      <c r="Q40" s="53">
        <v>0</v>
      </c>
      <c r="R40" s="53">
        <v>182</v>
      </c>
      <c r="S40" s="53">
        <v>378</v>
      </c>
      <c r="T40" s="53">
        <v>0</v>
      </c>
      <c r="U40" s="53">
        <v>396</v>
      </c>
      <c r="V40" s="53">
        <v>2148</v>
      </c>
      <c r="W40" s="53">
        <v>407</v>
      </c>
      <c r="X40" s="53">
        <v>2384</v>
      </c>
      <c r="Y40" s="53">
        <v>0</v>
      </c>
      <c r="Z40" s="53">
        <v>4096</v>
      </c>
      <c r="AA40" s="53">
        <v>0</v>
      </c>
      <c r="AB40" s="53">
        <v>0</v>
      </c>
      <c r="AC40" s="53">
        <v>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0</v>
      </c>
      <c r="AK40" s="53">
        <v>0</v>
      </c>
      <c r="AL40" s="53">
        <v>0</v>
      </c>
      <c r="AM40" s="53">
        <v>0</v>
      </c>
      <c r="AN40" s="53">
        <v>0</v>
      </c>
      <c r="AO40" s="53">
        <v>0</v>
      </c>
      <c r="AP40" s="53">
        <v>0</v>
      </c>
      <c r="AQ40" s="53">
        <v>0</v>
      </c>
      <c r="AR40" s="53">
        <v>0</v>
      </c>
      <c r="AS40" s="53">
        <v>0</v>
      </c>
      <c r="AT40" s="53">
        <v>0</v>
      </c>
      <c r="AU40" s="53">
        <v>0</v>
      </c>
      <c r="AV40" s="53">
        <v>0</v>
      </c>
      <c r="AW40" s="53">
        <v>0</v>
      </c>
      <c r="AX40" s="53">
        <v>0</v>
      </c>
      <c r="AY40" s="53">
        <v>0</v>
      </c>
      <c r="AZ40" s="53">
        <v>0</v>
      </c>
      <c r="BA40" s="53">
        <v>0</v>
      </c>
      <c r="BB40" s="53">
        <v>0</v>
      </c>
      <c r="BC40" s="53">
        <v>0</v>
      </c>
      <c r="BD40" s="53">
        <v>0</v>
      </c>
      <c r="BE40" s="53">
        <v>0</v>
      </c>
      <c r="BF40" s="53">
        <v>0</v>
      </c>
      <c r="BG40" s="53">
        <v>0</v>
      </c>
      <c r="BH40" s="53">
        <v>0</v>
      </c>
      <c r="BI40" s="53">
        <v>0</v>
      </c>
    </row>
    <row r="41" spans="1:61" ht="15.75" x14ac:dyDescent="0.25">
      <c r="A41" s="53" t="s">
        <v>13</v>
      </c>
      <c r="B41" s="52" t="s">
        <v>140</v>
      </c>
      <c r="C41" s="49" t="s">
        <v>42</v>
      </c>
      <c r="D41" s="49" t="str">
        <f>VLOOKUP(A41,PARAMETER!D:E,2,0)</f>
        <v>ADISTI</v>
      </c>
      <c r="E41" s="49" t="str">
        <f t="shared" si="3"/>
        <v>ADISTITRX</v>
      </c>
      <c r="F41" s="49" t="str">
        <f t="shared" si="4"/>
        <v>HERO GROUPTRX</v>
      </c>
      <c r="G41" s="81">
        <f t="shared" si="2"/>
        <v>5253</v>
      </c>
      <c r="H41" s="81">
        <f>SUMIF(I$1:BI$1,"&lt;="&amp;PARAMETER!X$2,I41:BI41)</f>
        <v>300</v>
      </c>
      <c r="I41" s="53">
        <v>29</v>
      </c>
      <c r="J41" s="53">
        <v>27</v>
      </c>
      <c r="K41" s="53">
        <v>23</v>
      </c>
      <c r="L41" s="53">
        <v>32</v>
      </c>
      <c r="M41" s="53">
        <v>33</v>
      </c>
      <c r="N41" s="53">
        <v>28</v>
      </c>
      <c r="O41" s="53">
        <v>32</v>
      </c>
      <c r="P41" s="53">
        <v>31</v>
      </c>
      <c r="Q41" s="53">
        <v>26</v>
      </c>
      <c r="R41" s="53">
        <v>15</v>
      </c>
      <c r="S41" s="53">
        <v>24</v>
      </c>
      <c r="T41" s="53">
        <v>15</v>
      </c>
      <c r="U41" s="53">
        <v>15</v>
      </c>
      <c r="V41" s="53">
        <v>16</v>
      </c>
      <c r="W41" s="53">
        <v>21</v>
      </c>
      <c r="X41" s="53">
        <v>14</v>
      </c>
      <c r="Y41" s="53">
        <v>17</v>
      </c>
      <c r="Z41" s="53">
        <v>28</v>
      </c>
      <c r="AA41" s="53">
        <v>15</v>
      </c>
      <c r="AB41" s="53">
        <v>17</v>
      </c>
      <c r="AC41" s="53">
        <v>25</v>
      </c>
      <c r="AD41" s="53">
        <v>36</v>
      </c>
      <c r="AE41" s="53">
        <v>131</v>
      </c>
      <c r="AF41" s="53">
        <v>139</v>
      </c>
      <c r="AG41" s="53">
        <v>72</v>
      </c>
      <c r="AH41" s="53">
        <v>157</v>
      </c>
      <c r="AI41" s="53">
        <v>109</v>
      </c>
      <c r="AJ41" s="53">
        <v>51</v>
      </c>
      <c r="AK41" s="53">
        <v>42</v>
      </c>
      <c r="AL41" s="53">
        <v>34</v>
      </c>
      <c r="AM41" s="53">
        <v>51</v>
      </c>
      <c r="AN41" s="53">
        <v>49</v>
      </c>
      <c r="AO41" s="53">
        <v>23</v>
      </c>
      <c r="AP41" s="53">
        <v>39</v>
      </c>
      <c r="AQ41" s="53">
        <v>36</v>
      </c>
      <c r="AR41" s="53">
        <v>80</v>
      </c>
      <c r="AS41" s="53">
        <v>89</v>
      </c>
      <c r="AT41" s="53">
        <v>265</v>
      </c>
      <c r="AU41" s="53">
        <v>606</v>
      </c>
      <c r="AV41" s="53">
        <v>632</v>
      </c>
      <c r="AW41" s="53">
        <v>134</v>
      </c>
      <c r="AX41" s="53">
        <v>85</v>
      </c>
      <c r="AY41" s="53">
        <v>136</v>
      </c>
      <c r="AZ41" s="53">
        <v>89</v>
      </c>
      <c r="BA41" s="53">
        <v>46</v>
      </c>
      <c r="BB41" s="53">
        <v>38</v>
      </c>
      <c r="BC41" s="53">
        <v>76</v>
      </c>
      <c r="BD41" s="53">
        <v>275</v>
      </c>
      <c r="BE41" s="53">
        <v>319</v>
      </c>
      <c r="BF41" s="53">
        <v>360</v>
      </c>
      <c r="BG41" s="53">
        <v>294</v>
      </c>
      <c r="BH41" s="53">
        <v>247</v>
      </c>
      <c r="BI41" s="53">
        <v>30</v>
      </c>
    </row>
    <row r="42" spans="1:61" ht="15.75" x14ac:dyDescent="0.25">
      <c r="A42" s="53" t="s">
        <v>13</v>
      </c>
      <c r="B42" s="52" t="s">
        <v>140</v>
      </c>
      <c r="C42" s="49" t="s">
        <v>41</v>
      </c>
      <c r="D42" s="49" t="str">
        <f>VLOOKUP(A42,PARAMETER!D:E,2,0)</f>
        <v>ADISTI</v>
      </c>
      <c r="E42" s="49" t="str">
        <f t="shared" si="3"/>
        <v>ADISTIVOL</v>
      </c>
      <c r="F42" s="49" t="str">
        <f t="shared" si="4"/>
        <v>HERO GROUPVOL</v>
      </c>
      <c r="G42" s="81">
        <f t="shared" si="2"/>
        <v>768872601</v>
      </c>
      <c r="H42" s="81">
        <f>SUMIF(I$1:BI$1,"&lt;="&amp;PARAMETER!X$2,I42:BI42)</f>
        <v>72843958</v>
      </c>
      <c r="I42" s="53">
        <v>11223313</v>
      </c>
      <c r="J42" s="53">
        <v>3507285</v>
      </c>
      <c r="K42" s="53">
        <v>7246994</v>
      </c>
      <c r="L42" s="53">
        <v>8292770</v>
      </c>
      <c r="M42" s="53">
        <v>6588656</v>
      </c>
      <c r="N42" s="53">
        <v>5681794</v>
      </c>
      <c r="O42" s="53">
        <v>3909650</v>
      </c>
      <c r="P42" s="53">
        <v>8793100</v>
      </c>
      <c r="Q42" s="53">
        <v>8492539</v>
      </c>
      <c r="R42" s="53">
        <v>402000</v>
      </c>
      <c r="S42" s="53">
        <v>8705857</v>
      </c>
      <c r="T42" s="53">
        <v>5371854</v>
      </c>
      <c r="U42" s="53">
        <v>7415945</v>
      </c>
      <c r="V42" s="53">
        <v>5487570</v>
      </c>
      <c r="W42" s="53">
        <v>8184640</v>
      </c>
      <c r="X42" s="53">
        <v>5618232</v>
      </c>
      <c r="Y42" s="53">
        <v>9364071</v>
      </c>
      <c r="Z42" s="53">
        <v>11938615</v>
      </c>
      <c r="AA42" s="53">
        <v>4734731</v>
      </c>
      <c r="AB42" s="53">
        <v>2224504</v>
      </c>
      <c r="AC42" s="53">
        <v>4788800</v>
      </c>
      <c r="AD42" s="53">
        <v>3892269</v>
      </c>
      <c r="AE42" s="53">
        <v>17340795</v>
      </c>
      <c r="AF42" s="53">
        <v>15996810</v>
      </c>
      <c r="AG42" s="53">
        <v>6729109</v>
      </c>
      <c r="AH42" s="53">
        <v>21155952</v>
      </c>
      <c r="AI42" s="53">
        <v>15472209</v>
      </c>
      <c r="AJ42" s="53">
        <v>3768969</v>
      </c>
      <c r="AK42" s="53">
        <v>6789393</v>
      </c>
      <c r="AL42" s="53">
        <v>8608566</v>
      </c>
      <c r="AM42" s="53">
        <v>5546800</v>
      </c>
      <c r="AN42" s="53">
        <v>4974382</v>
      </c>
      <c r="AO42" s="53">
        <v>2147355</v>
      </c>
      <c r="AP42" s="53">
        <v>5980632</v>
      </c>
      <c r="AQ42" s="53">
        <v>5661362</v>
      </c>
      <c r="AR42" s="53">
        <v>14627181</v>
      </c>
      <c r="AS42" s="53">
        <v>8008756</v>
      </c>
      <c r="AT42" s="53">
        <v>28592183</v>
      </c>
      <c r="AU42" s="53">
        <v>83294565</v>
      </c>
      <c r="AV42" s="53">
        <v>71456390</v>
      </c>
      <c r="AW42" s="53">
        <v>13900103</v>
      </c>
      <c r="AX42" s="53">
        <v>13836677</v>
      </c>
      <c r="AY42" s="53">
        <v>11872513</v>
      </c>
      <c r="AZ42" s="53">
        <v>12459502</v>
      </c>
      <c r="BA42" s="53">
        <v>8713750</v>
      </c>
      <c r="BB42" s="53">
        <v>7548688</v>
      </c>
      <c r="BC42" s="53">
        <v>15803629</v>
      </c>
      <c r="BD42" s="53">
        <v>37720602</v>
      </c>
      <c r="BE42" s="53">
        <v>48548408</v>
      </c>
      <c r="BF42" s="53">
        <v>43695472</v>
      </c>
      <c r="BG42" s="53">
        <v>39347387</v>
      </c>
      <c r="BH42" s="53">
        <v>41391508</v>
      </c>
      <c r="BI42" s="53">
        <v>6017764</v>
      </c>
    </row>
    <row r="43" spans="1:61" ht="15.75" x14ac:dyDescent="0.25">
      <c r="A43" s="53" t="s">
        <v>13</v>
      </c>
      <c r="B43" s="52" t="s">
        <v>140</v>
      </c>
      <c r="C43" s="49" t="s">
        <v>40</v>
      </c>
      <c r="D43" s="49" t="str">
        <f>VLOOKUP(A43,PARAMETER!D:E,2,0)</f>
        <v>ADISTI</v>
      </c>
      <c r="E43" s="49" t="str">
        <f t="shared" si="3"/>
        <v>ADISTIFBI</v>
      </c>
      <c r="F43" s="49" t="str">
        <f t="shared" si="4"/>
        <v>HERO GROUPFBI</v>
      </c>
      <c r="G43" s="81">
        <f t="shared" si="2"/>
        <v>2736850</v>
      </c>
      <c r="H43" s="81">
        <f>SUMIF(I$1:BI$1,"&lt;="&amp;PARAMETER!X$2,I43:BI43)</f>
        <v>216809</v>
      </c>
      <c r="I43" s="53">
        <v>20508</v>
      </c>
      <c r="J43" s="53">
        <v>11785</v>
      </c>
      <c r="K43" s="53">
        <v>45589</v>
      </c>
      <c r="L43" s="53">
        <v>11319</v>
      </c>
      <c r="M43" s="53">
        <v>16686</v>
      </c>
      <c r="N43" s="53">
        <v>10822</v>
      </c>
      <c r="O43" s="53">
        <v>4335</v>
      </c>
      <c r="P43" s="53">
        <v>11939</v>
      </c>
      <c r="Q43" s="53">
        <v>49054</v>
      </c>
      <c r="R43" s="53">
        <v>0</v>
      </c>
      <c r="S43" s="53">
        <v>34772</v>
      </c>
      <c r="T43" s="53">
        <v>17521</v>
      </c>
      <c r="U43" s="53">
        <v>50215</v>
      </c>
      <c r="V43" s="53">
        <v>7951</v>
      </c>
      <c r="W43" s="53">
        <v>11797</v>
      </c>
      <c r="X43" s="53">
        <v>8427</v>
      </c>
      <c r="Y43" s="53">
        <v>59513</v>
      </c>
      <c r="Z43" s="53">
        <v>44472</v>
      </c>
      <c r="AA43" s="53">
        <v>19620</v>
      </c>
      <c r="AB43" s="53">
        <v>2239</v>
      </c>
      <c r="AC43" s="53">
        <v>9937</v>
      </c>
      <c r="AD43" s="53">
        <v>7769</v>
      </c>
      <c r="AE43" s="53">
        <v>93773</v>
      </c>
      <c r="AF43" s="53">
        <v>78976</v>
      </c>
      <c r="AG43" s="53">
        <v>27598</v>
      </c>
      <c r="AH43" s="53">
        <v>123827</v>
      </c>
      <c r="AI43" s="53">
        <v>68001</v>
      </c>
      <c r="AJ43" s="53">
        <v>10963</v>
      </c>
      <c r="AK43" s="53">
        <v>42856</v>
      </c>
      <c r="AL43" s="53">
        <v>21218</v>
      </c>
      <c r="AM43" s="53">
        <v>13181</v>
      </c>
      <c r="AN43" s="53">
        <v>16371</v>
      </c>
      <c r="AO43" s="53">
        <v>5928</v>
      </c>
      <c r="AP43" s="53">
        <v>17042</v>
      </c>
      <c r="AQ43" s="53">
        <v>8533</v>
      </c>
      <c r="AR43" s="53">
        <v>57454</v>
      </c>
      <c r="AS43" s="53">
        <v>20620</v>
      </c>
      <c r="AT43" s="53">
        <v>23570</v>
      </c>
      <c r="AU43" s="53">
        <v>196950</v>
      </c>
      <c r="AV43" s="53">
        <v>93627</v>
      </c>
      <c r="AW43" s="53">
        <v>52268</v>
      </c>
      <c r="AX43" s="53">
        <v>56286</v>
      </c>
      <c r="AY43" s="53">
        <v>59695</v>
      </c>
      <c r="AZ43" s="53">
        <v>60777</v>
      </c>
      <c r="BA43" s="53">
        <v>46995</v>
      </c>
      <c r="BB43" s="53">
        <v>27045</v>
      </c>
      <c r="BC43" s="53">
        <v>58724</v>
      </c>
      <c r="BD43" s="53">
        <v>177274</v>
      </c>
      <c r="BE43" s="53">
        <v>268416</v>
      </c>
      <c r="BF43" s="53">
        <v>200648</v>
      </c>
      <c r="BG43" s="53">
        <v>148952</v>
      </c>
      <c r="BH43" s="53">
        <v>176157</v>
      </c>
      <c r="BI43" s="53">
        <v>26855</v>
      </c>
    </row>
    <row r="44" spans="1:61" ht="15.75" x14ac:dyDescent="0.25">
      <c r="A44" s="53" t="s">
        <v>46</v>
      </c>
      <c r="B44" s="52" t="s">
        <v>140</v>
      </c>
      <c r="C44" s="49" t="s">
        <v>42</v>
      </c>
      <c r="D44" s="49" t="str">
        <f>VLOOKUP(A44,PARAMETER!D:E,2,0)</f>
        <v>NINA</v>
      </c>
      <c r="E44" s="49" t="str">
        <f t="shared" si="3"/>
        <v>NINATRX</v>
      </c>
      <c r="F44" s="49" t="str">
        <f t="shared" si="4"/>
        <v>HOKBENTRX</v>
      </c>
      <c r="G44" s="81">
        <f t="shared" si="2"/>
        <v>23853</v>
      </c>
      <c r="H44" s="81">
        <f>SUMIF(I$1:BI$1,"&lt;="&amp;PARAMETER!X$2,I44:BI44)</f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421</v>
      </c>
      <c r="X44" s="53">
        <v>515</v>
      </c>
      <c r="Y44" s="53">
        <v>0</v>
      </c>
      <c r="Z44" s="53">
        <v>75</v>
      </c>
      <c r="AA44" s="53">
        <v>711</v>
      </c>
      <c r="AB44" s="53">
        <v>712</v>
      </c>
      <c r="AC44" s="53">
        <v>736</v>
      </c>
      <c r="AD44" s="53">
        <v>742</v>
      </c>
      <c r="AE44" s="53">
        <v>469</v>
      </c>
      <c r="AF44" s="53">
        <v>756</v>
      </c>
      <c r="AG44" s="53">
        <v>438</v>
      </c>
      <c r="AH44" s="53">
        <v>663</v>
      </c>
      <c r="AI44" s="53">
        <v>819</v>
      </c>
      <c r="AJ44" s="53">
        <v>682</v>
      </c>
      <c r="AK44" s="53">
        <v>796</v>
      </c>
      <c r="AL44" s="53">
        <v>785</v>
      </c>
      <c r="AM44" s="53">
        <v>722</v>
      </c>
      <c r="AN44" s="53">
        <v>638</v>
      </c>
      <c r="AO44" s="53">
        <v>608</v>
      </c>
      <c r="AP44" s="53">
        <v>605</v>
      </c>
      <c r="AQ44" s="53">
        <v>599</v>
      </c>
      <c r="AR44" s="53">
        <v>713</v>
      </c>
      <c r="AS44" s="53">
        <v>613</v>
      </c>
      <c r="AT44" s="53">
        <v>567</v>
      </c>
      <c r="AU44" s="53">
        <v>593</v>
      </c>
      <c r="AV44" s="53">
        <v>624</v>
      </c>
      <c r="AW44" s="53">
        <v>637</v>
      </c>
      <c r="AX44" s="53">
        <v>668</v>
      </c>
      <c r="AY44" s="53">
        <v>736</v>
      </c>
      <c r="AZ44" s="53">
        <v>654</v>
      </c>
      <c r="BA44" s="53">
        <v>460</v>
      </c>
      <c r="BB44" s="53">
        <v>586</v>
      </c>
      <c r="BC44" s="53">
        <v>525</v>
      </c>
      <c r="BD44" s="53">
        <v>761</v>
      </c>
      <c r="BE44" s="53">
        <v>785</v>
      </c>
      <c r="BF44" s="53">
        <v>723</v>
      </c>
      <c r="BG44" s="53">
        <v>783</v>
      </c>
      <c r="BH44" s="53">
        <v>809</v>
      </c>
      <c r="BI44" s="53">
        <v>124</v>
      </c>
    </row>
    <row r="45" spans="1:61" ht="15.75" x14ac:dyDescent="0.25">
      <c r="A45" s="53" t="s">
        <v>46</v>
      </c>
      <c r="B45" s="52" t="s">
        <v>140</v>
      </c>
      <c r="C45" s="49" t="s">
        <v>41</v>
      </c>
      <c r="D45" s="49" t="str">
        <f>VLOOKUP(A45,PARAMETER!D:E,2,0)</f>
        <v>NINA</v>
      </c>
      <c r="E45" s="49" t="str">
        <f t="shared" si="3"/>
        <v>NINAVOL</v>
      </c>
      <c r="F45" s="49" t="str">
        <f t="shared" si="4"/>
        <v>HOKBENVOL</v>
      </c>
      <c r="G45" s="81">
        <f t="shared" si="2"/>
        <v>2422863338</v>
      </c>
      <c r="H45" s="81">
        <f>SUMIF(I$1:BI$1,"&lt;="&amp;PARAMETER!X$2,I45:BI45)</f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43532000</v>
      </c>
      <c r="X45" s="53">
        <v>56369500</v>
      </c>
      <c r="Y45" s="53">
        <v>0</v>
      </c>
      <c r="Z45" s="53">
        <v>6101510</v>
      </c>
      <c r="AA45" s="53">
        <v>73436000</v>
      </c>
      <c r="AB45" s="53">
        <v>70232510</v>
      </c>
      <c r="AC45" s="53">
        <v>77975500</v>
      </c>
      <c r="AD45" s="53">
        <v>81626000</v>
      </c>
      <c r="AE45" s="53">
        <v>45082500</v>
      </c>
      <c r="AF45" s="53">
        <v>73531000</v>
      </c>
      <c r="AG45" s="53">
        <v>41929500</v>
      </c>
      <c r="AH45" s="53">
        <v>70651000</v>
      </c>
      <c r="AI45" s="53">
        <v>92119200</v>
      </c>
      <c r="AJ45" s="53">
        <v>74095200</v>
      </c>
      <c r="AK45" s="53">
        <v>79835300</v>
      </c>
      <c r="AL45" s="53">
        <v>80208000</v>
      </c>
      <c r="AM45" s="53">
        <v>68894600</v>
      </c>
      <c r="AN45" s="53">
        <v>61259400</v>
      </c>
      <c r="AO45" s="53">
        <v>63766500</v>
      </c>
      <c r="AP45" s="53">
        <v>59464500</v>
      </c>
      <c r="AQ45" s="53">
        <v>61710500</v>
      </c>
      <c r="AR45" s="53">
        <v>71533500</v>
      </c>
      <c r="AS45" s="53">
        <v>59119610</v>
      </c>
      <c r="AT45" s="53">
        <v>55559010</v>
      </c>
      <c r="AU45" s="53">
        <v>59055500</v>
      </c>
      <c r="AV45" s="53">
        <v>60201500</v>
      </c>
      <c r="AW45" s="53">
        <v>62505512</v>
      </c>
      <c r="AX45" s="53">
        <v>62970500</v>
      </c>
      <c r="AY45" s="53">
        <v>68776511</v>
      </c>
      <c r="AZ45" s="53">
        <v>66018000</v>
      </c>
      <c r="BA45" s="53">
        <v>42504500</v>
      </c>
      <c r="BB45" s="53">
        <v>58823000</v>
      </c>
      <c r="BC45" s="53">
        <v>51817000</v>
      </c>
      <c r="BD45" s="53">
        <v>77209075</v>
      </c>
      <c r="BE45" s="53">
        <v>82056000</v>
      </c>
      <c r="BF45" s="53">
        <v>74526400</v>
      </c>
      <c r="BG45" s="53">
        <v>81202000</v>
      </c>
      <c r="BH45" s="53">
        <v>93211000</v>
      </c>
      <c r="BI45" s="53">
        <v>13954500</v>
      </c>
    </row>
    <row r="46" spans="1:61" ht="15.75" x14ac:dyDescent="0.25">
      <c r="A46" s="53" t="s">
        <v>46</v>
      </c>
      <c r="B46" s="52" t="s">
        <v>140</v>
      </c>
      <c r="C46" s="49" t="s">
        <v>40</v>
      </c>
      <c r="D46" s="49" t="str">
        <f>VLOOKUP(A46,PARAMETER!D:E,2,0)</f>
        <v>NINA</v>
      </c>
      <c r="E46" s="49" t="str">
        <f t="shared" si="3"/>
        <v>NINAFBI</v>
      </c>
      <c r="F46" s="49" t="str">
        <f t="shared" si="4"/>
        <v>HOKBENFBI</v>
      </c>
      <c r="G46" s="81">
        <f t="shared" si="2"/>
        <v>17529430</v>
      </c>
      <c r="H46" s="81">
        <f>SUMIF(I$1:BI$1,"&lt;="&amp;PARAMETER!X$2,I46:BI46)</f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  <c r="N46" s="53">
        <v>0</v>
      </c>
      <c r="O46" s="53">
        <v>0</v>
      </c>
      <c r="P46" s="53">
        <v>0</v>
      </c>
      <c r="Q46" s="53">
        <v>0</v>
      </c>
      <c r="R46" s="53">
        <v>0</v>
      </c>
      <c r="S46" s="53">
        <v>0</v>
      </c>
      <c r="T46" s="53">
        <v>0</v>
      </c>
      <c r="U46" s="53">
        <v>0</v>
      </c>
      <c r="V46" s="53">
        <v>0</v>
      </c>
      <c r="W46" s="53">
        <v>304726</v>
      </c>
      <c r="X46" s="53">
        <v>394587</v>
      </c>
      <c r="Y46" s="53">
        <v>0</v>
      </c>
      <c r="Z46" s="53">
        <v>42710</v>
      </c>
      <c r="AA46" s="53">
        <v>514052</v>
      </c>
      <c r="AB46" s="53">
        <v>491625</v>
      </c>
      <c r="AC46" s="53">
        <v>1148671</v>
      </c>
      <c r="AD46" s="53">
        <v>571383</v>
      </c>
      <c r="AE46" s="53">
        <v>315578</v>
      </c>
      <c r="AF46" s="53">
        <v>514717</v>
      </c>
      <c r="AG46" s="53">
        <v>293506</v>
      </c>
      <c r="AH46" s="53">
        <v>494558</v>
      </c>
      <c r="AI46" s="53">
        <v>644836</v>
      </c>
      <c r="AJ46" s="53">
        <v>518669</v>
      </c>
      <c r="AK46" s="53">
        <v>558848</v>
      </c>
      <c r="AL46" s="53">
        <v>561457</v>
      </c>
      <c r="AM46" s="53">
        <v>482262</v>
      </c>
      <c r="AN46" s="53">
        <v>428814</v>
      </c>
      <c r="AO46" s="53">
        <v>446366</v>
      </c>
      <c r="AP46" s="53">
        <v>416254</v>
      </c>
      <c r="AQ46" s="53">
        <v>431969</v>
      </c>
      <c r="AR46" s="53">
        <v>500735</v>
      </c>
      <c r="AS46" s="53">
        <v>413375</v>
      </c>
      <c r="AT46" s="53">
        <v>388221</v>
      </c>
      <c r="AU46" s="53">
        <v>413331</v>
      </c>
      <c r="AV46" s="53">
        <v>421390</v>
      </c>
      <c r="AW46" s="53">
        <v>437428</v>
      </c>
      <c r="AX46" s="53">
        <v>439428</v>
      </c>
      <c r="AY46" s="53">
        <v>480169</v>
      </c>
      <c r="AZ46" s="53">
        <v>460278</v>
      </c>
      <c r="BA46" s="53">
        <v>292624</v>
      </c>
      <c r="BB46" s="53">
        <v>410452</v>
      </c>
      <c r="BC46" s="53">
        <v>362024</v>
      </c>
      <c r="BD46" s="53">
        <v>539069</v>
      </c>
      <c r="BE46" s="53">
        <v>573126</v>
      </c>
      <c r="BF46" s="53">
        <v>507173</v>
      </c>
      <c r="BG46" s="53">
        <v>565804</v>
      </c>
      <c r="BH46" s="53">
        <v>651604</v>
      </c>
      <c r="BI46" s="53">
        <v>97611</v>
      </c>
    </row>
    <row r="47" spans="1:61" ht="15.75" x14ac:dyDescent="0.25">
      <c r="A47" s="53" t="s">
        <v>14</v>
      </c>
      <c r="B47" s="52" t="s">
        <v>140</v>
      </c>
      <c r="C47" s="49" t="s">
        <v>42</v>
      </c>
      <c r="D47" s="49" t="str">
        <f>VLOOKUP(A47,PARAMETER!D:E,2,0)</f>
        <v>NINA</v>
      </c>
      <c r="E47" s="49" t="str">
        <f t="shared" si="3"/>
        <v>NINATRX</v>
      </c>
      <c r="F47" s="49" t="str">
        <f t="shared" si="4"/>
        <v>HOKKAIDO BAKED CHEESETRX</v>
      </c>
      <c r="G47" s="81">
        <f t="shared" si="2"/>
        <v>33507</v>
      </c>
      <c r="H47" s="81">
        <f>SUMIF(I$1:BI$1,"&lt;="&amp;PARAMETER!X$2,I47:BI47)</f>
        <v>5839</v>
      </c>
      <c r="I47" s="53">
        <v>470</v>
      </c>
      <c r="J47" s="53">
        <v>265</v>
      </c>
      <c r="K47" s="53">
        <v>242</v>
      </c>
      <c r="L47" s="53">
        <v>257</v>
      </c>
      <c r="M47" s="53">
        <v>310</v>
      </c>
      <c r="N47" s="53">
        <v>984</v>
      </c>
      <c r="O47" s="53">
        <v>360</v>
      </c>
      <c r="P47" s="53">
        <v>310</v>
      </c>
      <c r="Q47" s="53">
        <v>666</v>
      </c>
      <c r="R47" s="53">
        <v>876</v>
      </c>
      <c r="S47" s="53">
        <v>1099</v>
      </c>
      <c r="T47" s="53">
        <v>1326</v>
      </c>
      <c r="U47" s="53">
        <v>1839</v>
      </c>
      <c r="V47" s="53">
        <v>1275</v>
      </c>
      <c r="W47" s="53">
        <v>756</v>
      </c>
      <c r="X47" s="53">
        <v>993</v>
      </c>
      <c r="Y47" s="53">
        <v>997</v>
      </c>
      <c r="Z47" s="53">
        <v>1045</v>
      </c>
      <c r="AA47" s="53">
        <v>859</v>
      </c>
      <c r="AB47" s="53">
        <v>2229</v>
      </c>
      <c r="AC47" s="53">
        <v>453</v>
      </c>
      <c r="AD47" s="53">
        <v>534</v>
      </c>
      <c r="AE47" s="53">
        <v>1441</v>
      </c>
      <c r="AF47" s="53">
        <v>351</v>
      </c>
      <c r="AG47" s="53">
        <v>495</v>
      </c>
      <c r="AH47" s="53">
        <v>577</v>
      </c>
      <c r="AI47" s="53">
        <v>447</v>
      </c>
      <c r="AJ47" s="53">
        <v>282</v>
      </c>
      <c r="AK47" s="53">
        <v>1694</v>
      </c>
      <c r="AL47" s="53">
        <v>366</v>
      </c>
      <c r="AM47" s="53">
        <v>480</v>
      </c>
      <c r="AN47" s="53">
        <v>530</v>
      </c>
      <c r="AO47" s="53">
        <v>3358</v>
      </c>
      <c r="AP47" s="53">
        <v>356</v>
      </c>
      <c r="AQ47" s="53">
        <v>258</v>
      </c>
      <c r="AR47" s="53">
        <v>271</v>
      </c>
      <c r="AS47" s="53">
        <v>1600</v>
      </c>
      <c r="AT47" s="53">
        <v>307</v>
      </c>
      <c r="AU47" s="53">
        <v>188</v>
      </c>
      <c r="AV47" s="53">
        <v>226</v>
      </c>
      <c r="AW47" s="53">
        <v>74</v>
      </c>
      <c r="AX47" s="53">
        <v>221</v>
      </c>
      <c r="AY47" s="53">
        <v>202</v>
      </c>
      <c r="AZ47" s="53">
        <v>160</v>
      </c>
      <c r="BA47" s="53">
        <v>259</v>
      </c>
      <c r="BB47" s="53">
        <v>298</v>
      </c>
      <c r="BC47" s="53">
        <v>196</v>
      </c>
      <c r="BD47" s="53">
        <v>136</v>
      </c>
      <c r="BE47" s="53">
        <v>136</v>
      </c>
      <c r="BF47" s="53">
        <v>107</v>
      </c>
      <c r="BG47" s="53">
        <v>161</v>
      </c>
      <c r="BH47" s="53">
        <v>163</v>
      </c>
      <c r="BI47" s="53">
        <v>22</v>
      </c>
    </row>
    <row r="48" spans="1:61" ht="15.75" x14ac:dyDescent="0.25">
      <c r="A48" s="53" t="s">
        <v>14</v>
      </c>
      <c r="B48" s="52" t="s">
        <v>140</v>
      </c>
      <c r="C48" s="49" t="s">
        <v>41</v>
      </c>
      <c r="D48" s="49" t="str">
        <f>VLOOKUP(A48,PARAMETER!D:E,2,0)</f>
        <v>NINA</v>
      </c>
      <c r="E48" s="49" t="str">
        <f t="shared" si="3"/>
        <v>NINAVOL</v>
      </c>
      <c r="F48" s="49" t="str">
        <f t="shared" si="4"/>
        <v>HOKKAIDO BAKED CHEESEVOL</v>
      </c>
      <c r="G48" s="81">
        <f t="shared" si="2"/>
        <v>2228970911</v>
      </c>
      <c r="H48" s="81">
        <f>SUMIF(I$1:BI$1,"&lt;="&amp;PARAMETER!X$2,I48:BI48)</f>
        <v>456439994</v>
      </c>
      <c r="I48" s="53">
        <v>41422406</v>
      </c>
      <c r="J48" s="53">
        <v>22665200</v>
      </c>
      <c r="K48" s="53">
        <v>21201640</v>
      </c>
      <c r="L48" s="53">
        <v>20368401</v>
      </c>
      <c r="M48" s="53">
        <v>23642905</v>
      </c>
      <c r="N48" s="53">
        <v>43041151</v>
      </c>
      <c r="O48" s="53">
        <v>27341605</v>
      </c>
      <c r="P48" s="53">
        <v>24133615</v>
      </c>
      <c r="Q48" s="53">
        <v>60167140</v>
      </c>
      <c r="R48" s="53">
        <v>75173870</v>
      </c>
      <c r="S48" s="53">
        <v>97282061</v>
      </c>
      <c r="T48" s="53">
        <v>126446215</v>
      </c>
      <c r="U48" s="53">
        <v>191922528</v>
      </c>
      <c r="V48" s="53">
        <v>114033971</v>
      </c>
      <c r="W48" s="53">
        <v>65955079</v>
      </c>
      <c r="X48" s="53">
        <v>84123567</v>
      </c>
      <c r="Y48" s="53">
        <v>80358831</v>
      </c>
      <c r="Z48" s="53">
        <v>82814482</v>
      </c>
      <c r="AA48" s="53">
        <v>67478034</v>
      </c>
      <c r="AB48" s="53">
        <v>56630138</v>
      </c>
      <c r="AC48" s="53">
        <v>36952564</v>
      </c>
      <c r="AD48" s="53">
        <v>41126359</v>
      </c>
      <c r="AE48" s="53">
        <v>43069265</v>
      </c>
      <c r="AF48" s="53">
        <v>26559522</v>
      </c>
      <c r="AG48" s="53">
        <v>40149643</v>
      </c>
      <c r="AH48" s="53">
        <v>46694397</v>
      </c>
      <c r="AI48" s="53">
        <v>35755385</v>
      </c>
      <c r="AJ48" s="53">
        <v>22241952</v>
      </c>
      <c r="AK48" s="53">
        <v>46109297</v>
      </c>
      <c r="AL48" s="53">
        <v>31230413</v>
      </c>
      <c r="AM48" s="53">
        <v>38798152</v>
      </c>
      <c r="AN48" s="53">
        <v>45574336</v>
      </c>
      <c r="AO48" s="53">
        <v>109082967</v>
      </c>
      <c r="AP48" s="53">
        <v>28021949</v>
      </c>
      <c r="AQ48" s="53">
        <v>20208230</v>
      </c>
      <c r="AR48" s="53">
        <v>19125702</v>
      </c>
      <c r="AS48" s="53">
        <v>29610393</v>
      </c>
      <c r="AT48" s="53">
        <v>25222315</v>
      </c>
      <c r="AU48" s="53">
        <v>14348061</v>
      </c>
      <c r="AV48" s="53">
        <v>18341175</v>
      </c>
      <c r="AW48" s="53">
        <v>6904312</v>
      </c>
      <c r="AX48" s="53">
        <v>19896627</v>
      </c>
      <c r="AY48" s="53">
        <v>18373272</v>
      </c>
      <c r="AZ48" s="53">
        <v>11935808</v>
      </c>
      <c r="BA48" s="53">
        <v>21260861</v>
      </c>
      <c r="BB48" s="53">
        <v>23645030</v>
      </c>
      <c r="BC48" s="53">
        <v>19622317</v>
      </c>
      <c r="BD48" s="53">
        <v>10166119</v>
      </c>
      <c r="BE48" s="53">
        <v>13263908</v>
      </c>
      <c r="BF48" s="53">
        <v>9841291</v>
      </c>
      <c r="BG48" s="53">
        <v>14236450</v>
      </c>
      <c r="BH48" s="53">
        <v>13921000</v>
      </c>
      <c r="BI48" s="53">
        <v>1479000</v>
      </c>
    </row>
    <row r="49" spans="1:61" ht="15.75" x14ac:dyDescent="0.25">
      <c r="A49" s="53" t="s">
        <v>14</v>
      </c>
      <c r="B49" s="52" t="s">
        <v>140</v>
      </c>
      <c r="C49" s="49" t="s">
        <v>40</v>
      </c>
      <c r="D49" s="49" t="str">
        <f>VLOOKUP(A49,PARAMETER!D:E,2,0)</f>
        <v>NINA</v>
      </c>
      <c r="E49" s="49" t="str">
        <f t="shared" si="3"/>
        <v>NINAFBI</v>
      </c>
      <c r="F49" s="49" t="str">
        <f t="shared" si="4"/>
        <v>HOKKAIDO BAKED CHEESEFBI</v>
      </c>
      <c r="G49" s="81">
        <f t="shared" si="2"/>
        <v>14703768</v>
      </c>
      <c r="H49" s="81">
        <f>SUMIF(I$1:BI$1,"&lt;="&amp;PARAMETER!X$2,I49:BI49)</f>
        <v>3050457</v>
      </c>
      <c r="I49" s="53">
        <v>265467</v>
      </c>
      <c r="J49" s="53">
        <v>141940</v>
      </c>
      <c r="K49" s="53">
        <v>135932</v>
      </c>
      <c r="L49" s="53">
        <v>102386</v>
      </c>
      <c r="M49" s="53">
        <v>148822</v>
      </c>
      <c r="N49" s="53">
        <v>277239</v>
      </c>
      <c r="O49" s="53">
        <v>182406</v>
      </c>
      <c r="P49" s="53">
        <v>161787</v>
      </c>
      <c r="Q49" s="53">
        <v>410370</v>
      </c>
      <c r="R49" s="53">
        <v>538297</v>
      </c>
      <c r="S49" s="53">
        <v>685811</v>
      </c>
      <c r="T49" s="53">
        <v>906167</v>
      </c>
      <c r="U49" s="53">
        <v>1388491</v>
      </c>
      <c r="V49" s="53">
        <v>816527</v>
      </c>
      <c r="W49" s="53">
        <v>444742</v>
      </c>
      <c r="X49" s="53">
        <v>576772</v>
      </c>
      <c r="Y49" s="53">
        <v>545499</v>
      </c>
      <c r="Z49" s="53">
        <v>539194</v>
      </c>
      <c r="AA49" s="53">
        <v>419000</v>
      </c>
      <c r="AB49" s="53">
        <v>360633</v>
      </c>
      <c r="AC49" s="53">
        <v>226521</v>
      </c>
      <c r="AD49" s="53">
        <v>239600</v>
      </c>
      <c r="AE49" s="53">
        <v>249721</v>
      </c>
      <c r="AF49" s="53">
        <v>171688</v>
      </c>
      <c r="AG49" s="53">
        <v>252493</v>
      </c>
      <c r="AH49" s="53">
        <v>288319</v>
      </c>
      <c r="AI49" s="53">
        <v>224054</v>
      </c>
      <c r="AJ49" s="53">
        <v>126932</v>
      </c>
      <c r="AK49" s="53">
        <v>268359</v>
      </c>
      <c r="AL49" s="53">
        <v>160831</v>
      </c>
      <c r="AM49" s="53">
        <v>199989</v>
      </c>
      <c r="AN49" s="53">
        <v>309033</v>
      </c>
      <c r="AO49" s="53">
        <v>734850</v>
      </c>
      <c r="AP49" s="53">
        <v>173594</v>
      </c>
      <c r="AQ49" s="53">
        <v>133773</v>
      </c>
      <c r="AR49" s="53">
        <v>122490</v>
      </c>
      <c r="AS49" s="53">
        <v>194264</v>
      </c>
      <c r="AT49" s="53">
        <v>172168</v>
      </c>
      <c r="AU49" s="53">
        <v>91787</v>
      </c>
      <c r="AV49" s="53">
        <v>121283</v>
      </c>
      <c r="AW49" s="53">
        <v>40448</v>
      </c>
      <c r="AX49" s="53">
        <v>136273</v>
      </c>
      <c r="AY49" s="53">
        <v>108422</v>
      </c>
      <c r="AZ49" s="53">
        <v>79434</v>
      </c>
      <c r="BA49" s="53">
        <v>144432</v>
      </c>
      <c r="BB49" s="53">
        <v>161274</v>
      </c>
      <c r="BC49" s="53">
        <v>134468</v>
      </c>
      <c r="BD49" s="53">
        <v>71733</v>
      </c>
      <c r="BE49" s="53">
        <v>95432</v>
      </c>
      <c r="BF49" s="53">
        <v>66381</v>
      </c>
      <c r="BG49" s="53">
        <v>87783</v>
      </c>
      <c r="BH49" s="53">
        <v>59900</v>
      </c>
      <c r="BI49" s="53">
        <v>8557</v>
      </c>
    </row>
    <row r="50" spans="1:61" ht="15.75" x14ac:dyDescent="0.25">
      <c r="A50" s="53" t="s">
        <v>15</v>
      </c>
      <c r="B50" s="52" t="s">
        <v>140</v>
      </c>
      <c r="C50" s="49" t="s">
        <v>42</v>
      </c>
      <c r="D50" s="49" t="str">
        <f>VLOOKUP(A50,PARAMETER!D:E,2,0)</f>
        <v>NINA</v>
      </c>
      <c r="E50" s="49" t="str">
        <f t="shared" si="3"/>
        <v>NINATRX</v>
      </c>
      <c r="F50" s="49" t="str">
        <f t="shared" si="4"/>
        <v>HOP HOPTRX</v>
      </c>
      <c r="G50" s="81">
        <f t="shared" si="2"/>
        <v>137370</v>
      </c>
      <c r="H50" s="81">
        <f>SUMIF(I$1:BI$1,"&lt;="&amp;PARAMETER!X$2,I50:BI50)</f>
        <v>18674</v>
      </c>
      <c r="I50" s="53">
        <v>19</v>
      </c>
      <c r="J50" s="53">
        <v>14</v>
      </c>
      <c r="K50" s="53">
        <v>71</v>
      </c>
      <c r="L50" s="53">
        <v>239</v>
      </c>
      <c r="M50" s="53">
        <v>749</v>
      </c>
      <c r="N50" s="53">
        <v>2942</v>
      </c>
      <c r="O50" s="53">
        <v>1867</v>
      </c>
      <c r="P50" s="53">
        <v>1727</v>
      </c>
      <c r="Q50" s="53">
        <v>1198</v>
      </c>
      <c r="R50" s="53">
        <v>1285</v>
      </c>
      <c r="S50" s="53">
        <v>8563</v>
      </c>
      <c r="T50" s="53">
        <v>3262</v>
      </c>
      <c r="U50" s="53">
        <v>4498</v>
      </c>
      <c r="V50" s="53">
        <v>2490</v>
      </c>
      <c r="W50" s="53">
        <v>3843</v>
      </c>
      <c r="X50" s="53">
        <v>5289</v>
      </c>
      <c r="Y50" s="53">
        <v>2710</v>
      </c>
      <c r="Z50" s="53">
        <v>2134</v>
      </c>
      <c r="AA50" s="53">
        <v>2733</v>
      </c>
      <c r="AB50" s="53">
        <v>6622</v>
      </c>
      <c r="AC50" s="53">
        <v>2781</v>
      </c>
      <c r="AD50" s="53">
        <v>2090</v>
      </c>
      <c r="AE50" s="53">
        <v>5713</v>
      </c>
      <c r="AF50" s="53">
        <v>3444</v>
      </c>
      <c r="AG50" s="53">
        <v>2115</v>
      </c>
      <c r="AH50" s="53">
        <v>2820</v>
      </c>
      <c r="AI50" s="53">
        <v>1650</v>
      </c>
      <c r="AJ50" s="53">
        <v>1622</v>
      </c>
      <c r="AK50" s="53">
        <v>6748</v>
      </c>
      <c r="AL50" s="53">
        <v>1540</v>
      </c>
      <c r="AM50" s="53">
        <v>1755</v>
      </c>
      <c r="AN50" s="53">
        <v>1278</v>
      </c>
      <c r="AO50" s="53">
        <v>7101</v>
      </c>
      <c r="AP50" s="53">
        <v>1469</v>
      </c>
      <c r="AQ50" s="53">
        <v>1830</v>
      </c>
      <c r="AR50" s="53">
        <v>1703</v>
      </c>
      <c r="AS50" s="53">
        <v>6319</v>
      </c>
      <c r="AT50" s="53">
        <v>2167</v>
      </c>
      <c r="AU50" s="53">
        <v>2096</v>
      </c>
      <c r="AV50" s="53">
        <v>1632</v>
      </c>
      <c r="AW50" s="53">
        <v>2196</v>
      </c>
      <c r="AX50" s="53">
        <v>1803</v>
      </c>
      <c r="AY50" s="53">
        <v>2780</v>
      </c>
      <c r="AZ50" s="53">
        <v>1490</v>
      </c>
      <c r="BA50" s="53">
        <v>1438</v>
      </c>
      <c r="BB50" s="53">
        <v>2654</v>
      </c>
      <c r="BC50" s="53">
        <v>3902</v>
      </c>
      <c r="BD50" s="53">
        <v>1511</v>
      </c>
      <c r="BE50" s="53">
        <v>1370</v>
      </c>
      <c r="BF50" s="53">
        <v>4522</v>
      </c>
      <c r="BG50" s="53">
        <v>2423</v>
      </c>
      <c r="BH50" s="53">
        <v>1050</v>
      </c>
      <c r="BI50" s="53">
        <v>103</v>
      </c>
    </row>
    <row r="51" spans="1:61" ht="15.75" x14ac:dyDescent="0.25">
      <c r="A51" s="53" t="s">
        <v>15</v>
      </c>
      <c r="B51" s="52" t="s">
        <v>140</v>
      </c>
      <c r="C51" s="49" t="s">
        <v>41</v>
      </c>
      <c r="D51" s="49" t="str">
        <f>VLOOKUP(A51,PARAMETER!D:E,2,0)</f>
        <v>NINA</v>
      </c>
      <c r="E51" s="49" t="str">
        <f t="shared" si="3"/>
        <v>NINAVOL</v>
      </c>
      <c r="F51" s="49" t="str">
        <f t="shared" si="4"/>
        <v>HOP HOPVOL</v>
      </c>
      <c r="G51" s="81">
        <f t="shared" si="2"/>
        <v>3673520301</v>
      </c>
      <c r="H51" s="81">
        <f>SUMIF(I$1:BI$1,"&lt;="&amp;PARAMETER!X$2,I51:BI51)</f>
        <v>496431616</v>
      </c>
      <c r="I51" s="53">
        <v>886000</v>
      </c>
      <c r="J51" s="53">
        <v>614000</v>
      </c>
      <c r="K51" s="53">
        <v>2842000</v>
      </c>
      <c r="L51" s="53">
        <v>8560000</v>
      </c>
      <c r="M51" s="53">
        <v>27929000</v>
      </c>
      <c r="N51" s="53">
        <v>93051375</v>
      </c>
      <c r="O51" s="53">
        <v>67937501</v>
      </c>
      <c r="P51" s="53">
        <v>67649602</v>
      </c>
      <c r="Q51" s="53">
        <v>42258759</v>
      </c>
      <c r="R51" s="53">
        <v>48190002</v>
      </c>
      <c r="S51" s="53">
        <v>136513377</v>
      </c>
      <c r="T51" s="53">
        <v>115983501</v>
      </c>
      <c r="U51" s="53">
        <v>130295307</v>
      </c>
      <c r="V51" s="53">
        <v>92891840</v>
      </c>
      <c r="W51" s="53">
        <v>82514704</v>
      </c>
      <c r="X51" s="53">
        <v>99724091</v>
      </c>
      <c r="Y51" s="53">
        <v>83122000</v>
      </c>
      <c r="Z51" s="53">
        <v>82768000</v>
      </c>
      <c r="AA51" s="53">
        <v>107352001</v>
      </c>
      <c r="AB51" s="53">
        <v>107466680</v>
      </c>
      <c r="AC51" s="53">
        <v>89328000</v>
      </c>
      <c r="AD51" s="53">
        <v>78112027</v>
      </c>
      <c r="AE51" s="53">
        <v>106568288</v>
      </c>
      <c r="AF51" s="53">
        <v>86478053</v>
      </c>
      <c r="AG51" s="53">
        <v>77278036</v>
      </c>
      <c r="AH51" s="53">
        <v>93705500</v>
      </c>
      <c r="AI51" s="53">
        <v>62100000</v>
      </c>
      <c r="AJ51" s="53">
        <v>61388000</v>
      </c>
      <c r="AK51" s="53">
        <v>105844819</v>
      </c>
      <c r="AL51" s="53">
        <v>56759401</v>
      </c>
      <c r="AM51" s="53">
        <v>64839700</v>
      </c>
      <c r="AN51" s="53">
        <v>44144083</v>
      </c>
      <c r="AO51" s="53">
        <v>115450574</v>
      </c>
      <c r="AP51" s="53">
        <v>49491000</v>
      </c>
      <c r="AQ51" s="53">
        <v>65964002</v>
      </c>
      <c r="AR51" s="53">
        <v>64092500</v>
      </c>
      <c r="AS51" s="53">
        <v>102901098</v>
      </c>
      <c r="AT51" s="53">
        <v>75345676</v>
      </c>
      <c r="AU51" s="53">
        <v>73705003</v>
      </c>
      <c r="AV51" s="53">
        <v>58919000</v>
      </c>
      <c r="AW51" s="53">
        <v>74968000</v>
      </c>
      <c r="AX51" s="53">
        <v>61436001</v>
      </c>
      <c r="AY51" s="53">
        <v>92886000</v>
      </c>
      <c r="AZ51" s="53">
        <v>52651001</v>
      </c>
      <c r="BA51" s="53">
        <v>50119000</v>
      </c>
      <c r="BB51" s="53">
        <v>60836211</v>
      </c>
      <c r="BC51" s="53">
        <v>58970502</v>
      </c>
      <c r="BD51" s="53">
        <v>52500000</v>
      </c>
      <c r="BE51" s="53">
        <v>46330000</v>
      </c>
      <c r="BF51" s="53">
        <v>88634687</v>
      </c>
      <c r="BG51" s="53">
        <v>61332399</v>
      </c>
      <c r="BH51" s="53">
        <v>38159000</v>
      </c>
      <c r="BI51" s="53">
        <v>3733000</v>
      </c>
    </row>
    <row r="52" spans="1:61" ht="15.75" x14ac:dyDescent="0.25">
      <c r="A52" s="53" t="s">
        <v>15</v>
      </c>
      <c r="B52" s="52" t="s">
        <v>140</v>
      </c>
      <c r="C52" s="49" t="s">
        <v>40</v>
      </c>
      <c r="D52" s="49" t="str">
        <f>VLOOKUP(A52,PARAMETER!D:E,2,0)</f>
        <v>NINA</v>
      </c>
      <c r="E52" s="49" t="str">
        <f t="shared" si="3"/>
        <v>NINAFBI</v>
      </c>
      <c r="F52" s="49" t="str">
        <f t="shared" si="4"/>
        <v>HOP HOPFBI</v>
      </c>
      <c r="G52" s="81">
        <f t="shared" si="2"/>
        <v>4636</v>
      </c>
      <c r="H52" s="81">
        <f>SUMIF(I$1:BI$1,"&lt;="&amp;PARAMETER!X$2,I52:BI52)</f>
        <v>54050</v>
      </c>
      <c r="I52" s="53">
        <v>0</v>
      </c>
      <c r="J52" s="53">
        <v>0</v>
      </c>
      <c r="K52" s="53">
        <v>13055</v>
      </c>
      <c r="L52" s="53">
        <v>182</v>
      </c>
      <c r="M52" s="53">
        <v>8617</v>
      </c>
      <c r="N52" s="53">
        <v>7084</v>
      </c>
      <c r="O52" s="53">
        <v>1596</v>
      </c>
      <c r="P52" s="53">
        <v>7476</v>
      </c>
      <c r="Q52" s="53">
        <v>1771</v>
      </c>
      <c r="R52" s="53">
        <v>203</v>
      </c>
      <c r="S52" s="53">
        <v>14066</v>
      </c>
      <c r="T52" s="53">
        <v>1722</v>
      </c>
      <c r="U52" s="53">
        <v>4639</v>
      </c>
      <c r="V52" s="53">
        <v>1316</v>
      </c>
      <c r="W52" s="53">
        <v>1923</v>
      </c>
      <c r="X52" s="53">
        <v>2044</v>
      </c>
      <c r="Y52" s="53">
        <v>1869</v>
      </c>
      <c r="Z52" s="53">
        <v>3064</v>
      </c>
      <c r="AA52" s="53">
        <v>1778</v>
      </c>
      <c r="AB52" s="53">
        <v>3120</v>
      </c>
      <c r="AC52" s="53">
        <v>-134073</v>
      </c>
      <c r="AD52" s="53">
        <v>3773</v>
      </c>
      <c r="AE52" s="53">
        <v>8326</v>
      </c>
      <c r="AF52" s="53">
        <v>0</v>
      </c>
      <c r="AG52" s="53">
        <v>0</v>
      </c>
      <c r="AH52" s="53">
        <v>2926</v>
      </c>
      <c r="AI52" s="53">
        <v>0</v>
      </c>
      <c r="AJ52" s="53">
        <v>0</v>
      </c>
      <c r="AK52" s="53">
        <v>0</v>
      </c>
      <c r="AL52" s="53">
        <v>11787</v>
      </c>
      <c r="AM52" s="53">
        <v>0</v>
      </c>
      <c r="AN52" s="53">
        <v>0</v>
      </c>
      <c r="AO52" s="53">
        <v>2004</v>
      </c>
      <c r="AP52" s="53">
        <v>0</v>
      </c>
      <c r="AQ52" s="53">
        <v>2208</v>
      </c>
      <c r="AR52" s="53">
        <v>0</v>
      </c>
      <c r="AS52" s="53">
        <v>0</v>
      </c>
      <c r="AT52" s="53">
        <v>1815</v>
      </c>
      <c r="AU52" s="53">
        <v>3717</v>
      </c>
      <c r="AV52" s="53">
        <v>5058</v>
      </c>
      <c r="AW52" s="53">
        <v>0</v>
      </c>
      <c r="AX52" s="53">
        <v>0</v>
      </c>
      <c r="AY52" s="53">
        <v>5817</v>
      </c>
      <c r="AZ52" s="53">
        <v>4194</v>
      </c>
      <c r="BA52" s="53">
        <v>0</v>
      </c>
      <c r="BB52" s="53">
        <v>1872</v>
      </c>
      <c r="BC52" s="53">
        <v>7758</v>
      </c>
      <c r="BD52" s="53">
        <v>1929</v>
      </c>
      <c r="BE52" s="53">
        <v>0</v>
      </c>
      <c r="BF52" s="53">
        <v>0</v>
      </c>
      <c r="BG52" s="53">
        <v>0</v>
      </c>
      <c r="BH52" s="53">
        <v>0</v>
      </c>
      <c r="BI52" s="53">
        <v>0</v>
      </c>
    </row>
    <row r="53" spans="1:61" ht="15.75" x14ac:dyDescent="0.25">
      <c r="A53" s="53" t="s">
        <v>16</v>
      </c>
      <c r="B53" s="52" t="s">
        <v>140</v>
      </c>
      <c r="C53" s="49" t="s">
        <v>42</v>
      </c>
      <c r="D53" s="49" t="str">
        <f>VLOOKUP(A53,PARAMETER!D:E,2,0)</f>
        <v>ADISTI</v>
      </c>
      <c r="E53" s="49" t="str">
        <f t="shared" si="3"/>
        <v>ADISTITRX</v>
      </c>
      <c r="F53" s="49" t="str">
        <f t="shared" si="4"/>
        <v>IKEATRX</v>
      </c>
      <c r="G53" s="81">
        <f t="shared" si="2"/>
        <v>277</v>
      </c>
      <c r="H53" s="81">
        <f>SUMIF(I$1:BI$1,"&lt;="&amp;PARAMETER!X$2,I53:BI53)</f>
        <v>58</v>
      </c>
      <c r="I53" s="53">
        <v>6</v>
      </c>
      <c r="J53" s="53">
        <v>4</v>
      </c>
      <c r="K53" s="53">
        <v>8</v>
      </c>
      <c r="L53" s="53">
        <v>8</v>
      </c>
      <c r="M53" s="53">
        <v>1</v>
      </c>
      <c r="N53" s="53">
        <v>3</v>
      </c>
      <c r="O53" s="53">
        <v>3</v>
      </c>
      <c r="P53" s="53">
        <v>8</v>
      </c>
      <c r="Q53" s="53">
        <v>7</v>
      </c>
      <c r="R53" s="53">
        <v>3</v>
      </c>
      <c r="S53" s="53">
        <v>7</v>
      </c>
      <c r="T53" s="53">
        <v>10</v>
      </c>
      <c r="U53" s="53">
        <v>11</v>
      </c>
      <c r="V53" s="53">
        <v>9</v>
      </c>
      <c r="W53" s="53">
        <v>6</v>
      </c>
      <c r="X53" s="53">
        <v>7</v>
      </c>
      <c r="Y53" s="53">
        <v>7</v>
      </c>
      <c r="Z53" s="53">
        <v>12</v>
      </c>
      <c r="AA53" s="53">
        <v>8</v>
      </c>
      <c r="AB53" s="53">
        <v>2</v>
      </c>
      <c r="AC53" s="53">
        <v>3</v>
      </c>
      <c r="AD53" s="53">
        <v>2</v>
      </c>
      <c r="AE53" s="53">
        <v>7</v>
      </c>
      <c r="AF53" s="53">
        <v>4</v>
      </c>
      <c r="AG53" s="53">
        <v>2</v>
      </c>
      <c r="AH53" s="53">
        <v>4</v>
      </c>
      <c r="AI53" s="53">
        <v>3</v>
      </c>
      <c r="AJ53" s="53">
        <v>2</v>
      </c>
      <c r="AK53" s="53">
        <v>2</v>
      </c>
      <c r="AL53" s="53">
        <v>6</v>
      </c>
      <c r="AM53" s="53">
        <v>3</v>
      </c>
      <c r="AN53" s="53">
        <v>3</v>
      </c>
      <c r="AO53" s="53">
        <v>8</v>
      </c>
      <c r="AP53" s="53">
        <v>2</v>
      </c>
      <c r="AQ53" s="53">
        <v>6</v>
      </c>
      <c r="AR53" s="53">
        <v>5</v>
      </c>
      <c r="AS53" s="53">
        <v>4</v>
      </c>
      <c r="AT53" s="53">
        <v>4</v>
      </c>
      <c r="AU53" s="53">
        <v>10</v>
      </c>
      <c r="AV53" s="53">
        <v>4</v>
      </c>
      <c r="AW53" s="53">
        <v>6</v>
      </c>
      <c r="AX53" s="53">
        <v>2</v>
      </c>
      <c r="AY53" s="53">
        <v>3</v>
      </c>
      <c r="AZ53" s="53">
        <v>2</v>
      </c>
      <c r="BA53" s="53">
        <v>4</v>
      </c>
      <c r="BB53" s="53">
        <v>5</v>
      </c>
      <c r="BC53" s="53">
        <v>6</v>
      </c>
      <c r="BD53" s="53">
        <v>4</v>
      </c>
      <c r="BE53" s="53">
        <v>6</v>
      </c>
      <c r="BF53" s="53">
        <v>7</v>
      </c>
      <c r="BG53" s="53">
        <v>4</v>
      </c>
      <c r="BH53" s="53">
        <v>13</v>
      </c>
      <c r="BI53" s="53">
        <v>1</v>
      </c>
    </row>
    <row r="54" spans="1:61" ht="15.75" x14ac:dyDescent="0.25">
      <c r="A54" s="53" t="s">
        <v>16</v>
      </c>
      <c r="B54" s="52" t="s">
        <v>140</v>
      </c>
      <c r="C54" s="49" t="s">
        <v>41</v>
      </c>
      <c r="D54" s="49" t="str">
        <f>VLOOKUP(A54,PARAMETER!D:E,2,0)</f>
        <v>ADISTI</v>
      </c>
      <c r="E54" s="49" t="str">
        <f t="shared" si="3"/>
        <v>ADISTIVOL</v>
      </c>
      <c r="F54" s="49" t="str">
        <f t="shared" si="4"/>
        <v>IKEAVOL</v>
      </c>
      <c r="G54" s="81">
        <f t="shared" si="2"/>
        <v>224392900</v>
      </c>
      <c r="H54" s="81">
        <f>SUMIF(I$1:BI$1,"&lt;="&amp;PARAMETER!X$2,I54:BI54)</f>
        <v>38205960</v>
      </c>
      <c r="I54" s="53">
        <v>14378500</v>
      </c>
      <c r="J54" s="53">
        <v>1658500</v>
      </c>
      <c r="K54" s="53">
        <v>4720300</v>
      </c>
      <c r="L54" s="53">
        <v>2927030</v>
      </c>
      <c r="M54" s="53">
        <v>3594900</v>
      </c>
      <c r="N54" s="53">
        <v>1778500</v>
      </c>
      <c r="O54" s="53">
        <v>2285800</v>
      </c>
      <c r="P54" s="53">
        <v>2248600</v>
      </c>
      <c r="Q54" s="53">
        <v>2855900</v>
      </c>
      <c r="R54" s="53">
        <v>501800</v>
      </c>
      <c r="S54" s="53">
        <v>1256130</v>
      </c>
      <c r="T54" s="53">
        <v>6022900</v>
      </c>
      <c r="U54" s="53">
        <v>6541160</v>
      </c>
      <c r="V54" s="53">
        <v>2739000</v>
      </c>
      <c r="W54" s="53">
        <v>2833500</v>
      </c>
      <c r="X54" s="53">
        <v>13950140</v>
      </c>
      <c r="Y54" s="53">
        <v>2815900</v>
      </c>
      <c r="Z54" s="53">
        <v>19653500</v>
      </c>
      <c r="AA54" s="53">
        <v>29251700</v>
      </c>
      <c r="AB54" s="53">
        <v>712900</v>
      </c>
      <c r="AC54" s="53">
        <v>791700</v>
      </c>
      <c r="AD54" s="53">
        <v>328700</v>
      </c>
      <c r="AE54" s="53">
        <v>8203000</v>
      </c>
      <c r="AF54" s="53">
        <v>1204700</v>
      </c>
      <c r="AG54" s="53">
        <v>419100</v>
      </c>
      <c r="AH54" s="53">
        <v>4583600</v>
      </c>
      <c r="AI54" s="53">
        <v>392000</v>
      </c>
      <c r="AJ54" s="53">
        <v>3108300</v>
      </c>
      <c r="AK54" s="53">
        <v>484400</v>
      </c>
      <c r="AL54" s="53">
        <v>1443500</v>
      </c>
      <c r="AM54" s="53">
        <v>2725800</v>
      </c>
      <c r="AN54" s="53">
        <v>1017500</v>
      </c>
      <c r="AO54" s="53">
        <v>2580800</v>
      </c>
      <c r="AP54" s="53">
        <v>467800</v>
      </c>
      <c r="AQ54" s="53">
        <v>2183200</v>
      </c>
      <c r="AR54" s="53">
        <v>4496110</v>
      </c>
      <c r="AS54" s="53">
        <v>1501400</v>
      </c>
      <c r="AT54" s="53">
        <v>8286200</v>
      </c>
      <c r="AU54" s="53">
        <v>9090200</v>
      </c>
      <c r="AV54" s="53">
        <v>453500</v>
      </c>
      <c r="AW54" s="53">
        <v>3829630</v>
      </c>
      <c r="AX54" s="53">
        <v>1634000</v>
      </c>
      <c r="AY54" s="53">
        <v>2009900</v>
      </c>
      <c r="AZ54" s="53">
        <v>1041400</v>
      </c>
      <c r="BA54" s="53">
        <v>6931550</v>
      </c>
      <c r="BB54" s="53">
        <v>1380750</v>
      </c>
      <c r="BC54" s="53">
        <v>2893800</v>
      </c>
      <c r="BD54" s="53">
        <v>3016600</v>
      </c>
      <c r="BE54" s="53">
        <v>14306900</v>
      </c>
      <c r="BF54" s="53">
        <v>971000</v>
      </c>
      <c r="BG54" s="53">
        <v>5063100</v>
      </c>
      <c r="BH54" s="53">
        <v>4650100</v>
      </c>
      <c r="BI54" s="53">
        <v>176000</v>
      </c>
    </row>
    <row r="55" spans="1:61" ht="15.75" x14ac:dyDescent="0.25">
      <c r="A55" s="53" t="s">
        <v>16</v>
      </c>
      <c r="B55" s="52" t="s">
        <v>140</v>
      </c>
      <c r="C55" s="49" t="s">
        <v>40</v>
      </c>
      <c r="D55" s="49" t="str">
        <f>VLOOKUP(A55,PARAMETER!D:E,2,0)</f>
        <v>ADISTI</v>
      </c>
      <c r="E55" s="49" t="str">
        <f t="shared" si="3"/>
        <v>ADISTIFBI</v>
      </c>
      <c r="F55" s="49" t="str">
        <f t="shared" si="4"/>
        <v>IKEAFBI</v>
      </c>
      <c r="G55" s="81">
        <f t="shared" si="2"/>
        <v>336587</v>
      </c>
      <c r="H55" s="81">
        <f>SUMIF(I$1:BI$1,"&lt;="&amp;PARAMETER!X$2,I55:BI55)</f>
        <v>57310</v>
      </c>
      <c r="I55" s="53">
        <v>21568</v>
      </c>
      <c r="J55" s="53">
        <v>2488</v>
      </c>
      <c r="K55" s="53">
        <v>7080</v>
      </c>
      <c r="L55" s="53">
        <v>4391</v>
      </c>
      <c r="M55" s="53">
        <v>5392</v>
      </c>
      <c r="N55" s="53">
        <v>2668</v>
      </c>
      <c r="O55" s="53">
        <v>3429</v>
      </c>
      <c r="P55" s="53">
        <v>3373</v>
      </c>
      <c r="Q55" s="53">
        <v>4284</v>
      </c>
      <c r="R55" s="53">
        <v>753</v>
      </c>
      <c r="S55" s="53">
        <v>1884</v>
      </c>
      <c r="T55" s="53">
        <v>9034</v>
      </c>
      <c r="U55" s="53">
        <v>9812</v>
      </c>
      <c r="V55" s="53">
        <v>4108</v>
      </c>
      <c r="W55" s="53">
        <v>4250</v>
      </c>
      <c r="X55" s="53">
        <v>20925</v>
      </c>
      <c r="Y55" s="53">
        <v>4224</v>
      </c>
      <c r="Z55" s="53">
        <v>29480</v>
      </c>
      <c r="AA55" s="53">
        <v>43878</v>
      </c>
      <c r="AB55" s="53">
        <v>1069</v>
      </c>
      <c r="AC55" s="53">
        <v>1188</v>
      </c>
      <c r="AD55" s="53">
        <v>493</v>
      </c>
      <c r="AE55" s="53">
        <v>12304</v>
      </c>
      <c r="AF55" s="53">
        <v>1807</v>
      </c>
      <c r="AG55" s="53">
        <v>629</v>
      </c>
      <c r="AH55" s="53">
        <v>6875</v>
      </c>
      <c r="AI55" s="53">
        <v>588</v>
      </c>
      <c r="AJ55" s="53">
        <v>4662</v>
      </c>
      <c r="AK55" s="53">
        <v>727</v>
      </c>
      <c r="AL55" s="53">
        <v>2165</v>
      </c>
      <c r="AM55" s="53">
        <v>4089</v>
      </c>
      <c r="AN55" s="53">
        <v>1526</v>
      </c>
      <c r="AO55" s="53">
        <v>3871</v>
      </c>
      <c r="AP55" s="53">
        <v>702</v>
      </c>
      <c r="AQ55" s="53">
        <v>3275</v>
      </c>
      <c r="AR55" s="53">
        <v>6744</v>
      </c>
      <c r="AS55" s="53">
        <v>2252</v>
      </c>
      <c r="AT55" s="53">
        <v>12429</v>
      </c>
      <c r="AU55" s="53">
        <v>13635</v>
      </c>
      <c r="AV55" s="53">
        <v>680</v>
      </c>
      <c r="AW55" s="53">
        <v>5744</v>
      </c>
      <c r="AX55" s="53">
        <v>2451</v>
      </c>
      <c r="AY55" s="53">
        <v>3015</v>
      </c>
      <c r="AZ55" s="53">
        <v>1562</v>
      </c>
      <c r="BA55" s="53">
        <v>10397</v>
      </c>
      <c r="BB55" s="53">
        <v>2071</v>
      </c>
      <c r="BC55" s="53">
        <v>4341</v>
      </c>
      <c r="BD55" s="53">
        <v>4525</v>
      </c>
      <c r="BE55" s="53">
        <v>21460</v>
      </c>
      <c r="BF55" s="53">
        <v>1456</v>
      </c>
      <c r="BG55" s="53">
        <v>7595</v>
      </c>
      <c r="BH55" s="53">
        <v>6975</v>
      </c>
      <c r="BI55" s="53">
        <v>264</v>
      </c>
    </row>
    <row r="56" spans="1:61" ht="15.75" x14ac:dyDescent="0.25">
      <c r="A56" s="53" t="s">
        <v>17</v>
      </c>
      <c r="B56" s="52" t="s">
        <v>140</v>
      </c>
      <c r="C56" s="49" t="s">
        <v>42</v>
      </c>
      <c r="D56" s="49" t="str">
        <f>VLOOKUP(A56,PARAMETER!D:E,2,0)</f>
        <v>ADISTI</v>
      </c>
      <c r="E56" s="49" t="str">
        <f t="shared" si="3"/>
        <v>ADISTITRX</v>
      </c>
      <c r="F56" s="49" t="str">
        <f t="shared" si="4"/>
        <v>INDOMARETTRX</v>
      </c>
      <c r="G56" s="81">
        <f t="shared" si="2"/>
        <v>1445253</v>
      </c>
      <c r="H56" s="81">
        <f>SUMIF(I$1:BI$1,"&lt;="&amp;PARAMETER!X$2,I56:BI56)</f>
        <v>305771</v>
      </c>
      <c r="I56" s="53">
        <v>29015</v>
      </c>
      <c r="J56" s="53">
        <v>26256</v>
      </c>
      <c r="K56" s="53">
        <v>26570</v>
      </c>
      <c r="L56" s="53">
        <v>30050</v>
      </c>
      <c r="M56" s="53">
        <v>28357</v>
      </c>
      <c r="N56" s="53">
        <v>27487</v>
      </c>
      <c r="O56" s="53">
        <v>28161</v>
      </c>
      <c r="P56" s="53">
        <v>27356</v>
      </c>
      <c r="Q56" s="53">
        <v>29401</v>
      </c>
      <c r="R56" s="53">
        <v>25687</v>
      </c>
      <c r="S56" s="53">
        <v>27431</v>
      </c>
      <c r="T56" s="53">
        <v>30076</v>
      </c>
      <c r="U56" s="53">
        <v>33174</v>
      </c>
      <c r="V56" s="53">
        <v>27932</v>
      </c>
      <c r="W56" s="53">
        <v>25783</v>
      </c>
      <c r="X56" s="53">
        <v>26115</v>
      </c>
      <c r="Y56" s="53">
        <v>26934</v>
      </c>
      <c r="Z56" s="53">
        <v>27042</v>
      </c>
      <c r="AA56" s="53">
        <v>27845</v>
      </c>
      <c r="AB56" s="53">
        <v>26708</v>
      </c>
      <c r="AC56" s="53">
        <v>28442</v>
      </c>
      <c r="AD56" s="53">
        <v>13183</v>
      </c>
      <c r="AE56" s="53">
        <v>30516</v>
      </c>
      <c r="AF56" s="53">
        <v>28105</v>
      </c>
      <c r="AG56" s="53">
        <v>29646</v>
      </c>
      <c r="AH56" s="53">
        <v>31524</v>
      </c>
      <c r="AI56" s="53">
        <v>31403</v>
      </c>
      <c r="AJ56" s="53">
        <v>30671</v>
      </c>
      <c r="AK56" s="53">
        <v>30199</v>
      </c>
      <c r="AL56" s="53">
        <v>30828</v>
      </c>
      <c r="AM56" s="53">
        <v>26941</v>
      </c>
      <c r="AN56" s="53">
        <v>25546</v>
      </c>
      <c r="AO56" s="53">
        <v>29315</v>
      </c>
      <c r="AP56" s="53">
        <v>28714</v>
      </c>
      <c r="AQ56" s="53">
        <v>30707</v>
      </c>
      <c r="AR56" s="53">
        <v>29652</v>
      </c>
      <c r="AS56" s="53">
        <v>28476</v>
      </c>
      <c r="AT56" s="53">
        <v>28117</v>
      </c>
      <c r="AU56" s="53">
        <v>28864</v>
      </c>
      <c r="AV56" s="53">
        <v>30020</v>
      </c>
      <c r="AW56" s="53">
        <v>27596</v>
      </c>
      <c r="AX56" s="53">
        <v>26867</v>
      </c>
      <c r="AY56" s="53">
        <v>25887</v>
      </c>
      <c r="AZ56" s="53">
        <v>27279</v>
      </c>
      <c r="BA56" s="53">
        <v>26486</v>
      </c>
      <c r="BB56" s="53">
        <v>25863</v>
      </c>
      <c r="BC56" s="53">
        <v>26758</v>
      </c>
      <c r="BD56" s="53">
        <v>27015</v>
      </c>
      <c r="BE56" s="53">
        <v>26747</v>
      </c>
      <c r="BF56" s="53">
        <v>26386</v>
      </c>
      <c r="BG56" s="53">
        <v>20961</v>
      </c>
      <c r="BH56" s="53">
        <v>24910</v>
      </c>
      <c r="BI56" s="53">
        <v>4249</v>
      </c>
    </row>
    <row r="57" spans="1:61" ht="15.75" x14ac:dyDescent="0.25">
      <c r="A57" s="53" t="s">
        <v>17</v>
      </c>
      <c r="B57" s="52" t="s">
        <v>140</v>
      </c>
      <c r="C57" s="49" t="s">
        <v>41</v>
      </c>
      <c r="D57" s="49" t="str">
        <f>VLOOKUP(A57,PARAMETER!D:E,2,0)</f>
        <v>ADISTI</v>
      </c>
      <c r="E57" s="49" t="str">
        <f t="shared" si="3"/>
        <v>ADISTIVOL</v>
      </c>
      <c r="F57" s="49" t="str">
        <f t="shared" si="4"/>
        <v>INDOMARETVOL</v>
      </c>
      <c r="G57" s="81">
        <f t="shared" si="2"/>
        <v>150670988830</v>
      </c>
      <c r="H57" s="81">
        <f>SUMIF(I$1:BI$1,"&lt;="&amp;PARAMETER!X$2,I57:BI57)</f>
        <v>32516028683</v>
      </c>
      <c r="I57" s="53">
        <v>3134093333</v>
      </c>
      <c r="J57" s="53">
        <v>2609253864</v>
      </c>
      <c r="K57" s="53">
        <v>2631411324</v>
      </c>
      <c r="L57" s="53">
        <v>3191451480</v>
      </c>
      <c r="M57" s="53">
        <v>2959303403</v>
      </c>
      <c r="N57" s="53">
        <v>2776357504</v>
      </c>
      <c r="O57" s="53">
        <v>2779542283</v>
      </c>
      <c r="P57" s="53">
        <v>2798429308</v>
      </c>
      <c r="Q57" s="53">
        <v>3551491130</v>
      </c>
      <c r="R57" s="53">
        <v>2898699602</v>
      </c>
      <c r="S57" s="53">
        <v>3185995452</v>
      </c>
      <c r="T57" s="53">
        <v>3773372150</v>
      </c>
      <c r="U57" s="53">
        <v>3996099300</v>
      </c>
      <c r="V57" s="53">
        <v>2996688625</v>
      </c>
      <c r="W57" s="53">
        <v>2527872284</v>
      </c>
      <c r="X57" s="53">
        <v>2523132606</v>
      </c>
      <c r="Y57" s="53">
        <v>2642816400</v>
      </c>
      <c r="Z57" s="53">
        <v>2766778269</v>
      </c>
      <c r="AA57" s="53">
        <v>2735628492</v>
      </c>
      <c r="AB57" s="53">
        <v>2590453443</v>
      </c>
      <c r="AC57" s="53">
        <v>2767049698</v>
      </c>
      <c r="AD57" s="53">
        <v>1354628974</v>
      </c>
      <c r="AE57" s="53">
        <v>3094840334</v>
      </c>
      <c r="AF57" s="53">
        <v>2755919005</v>
      </c>
      <c r="AG57" s="53">
        <v>2974442467</v>
      </c>
      <c r="AH57" s="53">
        <v>3376956825</v>
      </c>
      <c r="AI57" s="53">
        <v>3428488161</v>
      </c>
      <c r="AJ57" s="53">
        <v>3170314551</v>
      </c>
      <c r="AK57" s="53">
        <v>3027229469</v>
      </c>
      <c r="AL57" s="53">
        <v>3130231108</v>
      </c>
      <c r="AM57" s="53">
        <v>2806910699</v>
      </c>
      <c r="AN57" s="53">
        <v>2581836170</v>
      </c>
      <c r="AO57" s="53">
        <v>2962814982</v>
      </c>
      <c r="AP57" s="53">
        <v>2879578439</v>
      </c>
      <c r="AQ57" s="53">
        <v>3281003345</v>
      </c>
      <c r="AR57" s="53">
        <v>3050744451</v>
      </c>
      <c r="AS57" s="53">
        <v>2786310814</v>
      </c>
      <c r="AT57" s="53">
        <v>2739035905</v>
      </c>
      <c r="AU57" s="53">
        <v>2927593309</v>
      </c>
      <c r="AV57" s="53">
        <v>3157290776</v>
      </c>
      <c r="AW57" s="53">
        <v>2705039605</v>
      </c>
      <c r="AX57" s="53">
        <v>2614478278</v>
      </c>
      <c r="AY57" s="53">
        <v>2690016334</v>
      </c>
      <c r="AZ57" s="53">
        <v>2939080063</v>
      </c>
      <c r="BA57" s="53">
        <v>2770362584</v>
      </c>
      <c r="BB57" s="53">
        <v>2650014310</v>
      </c>
      <c r="BC57" s="53">
        <v>2748769642</v>
      </c>
      <c r="BD57" s="53">
        <v>2883280514</v>
      </c>
      <c r="BE57" s="53">
        <v>2887050604</v>
      </c>
      <c r="BF57" s="53">
        <v>2721860748</v>
      </c>
      <c r="BG57" s="53">
        <v>2356111748</v>
      </c>
      <c r="BH57" s="53">
        <v>2898459871</v>
      </c>
      <c r="BI57" s="53">
        <v>484374795</v>
      </c>
    </row>
    <row r="58" spans="1:61" ht="15.75" x14ac:dyDescent="0.25">
      <c r="A58" s="53" t="s">
        <v>17</v>
      </c>
      <c r="B58" s="52" t="s">
        <v>140</v>
      </c>
      <c r="C58" s="49" t="s">
        <v>40</v>
      </c>
      <c r="D58" s="49" t="str">
        <f>VLOOKUP(A58,PARAMETER!D:E,2,0)</f>
        <v>ADISTI</v>
      </c>
      <c r="E58" s="49" t="str">
        <f t="shared" si="3"/>
        <v>ADISTIFBI</v>
      </c>
      <c r="F58" s="49" t="str">
        <f t="shared" si="4"/>
        <v>INDOMARETFBI</v>
      </c>
      <c r="G58" s="81">
        <f t="shared" si="2"/>
        <v>1487673740</v>
      </c>
      <c r="H58" s="81">
        <f>SUMIF(I$1:BI$1,"&lt;="&amp;PARAMETER!X$2,I58:BI58)</f>
        <v>306891853</v>
      </c>
      <c r="I58" s="53">
        <v>28359196</v>
      </c>
      <c r="J58" s="53">
        <v>24517323</v>
      </c>
      <c r="K58" s="53">
        <v>25278901</v>
      </c>
      <c r="L58" s="53">
        <v>30353717</v>
      </c>
      <c r="M58" s="53">
        <v>27667095</v>
      </c>
      <c r="N58" s="53">
        <v>26604027</v>
      </c>
      <c r="O58" s="53">
        <v>27444816</v>
      </c>
      <c r="P58" s="53">
        <v>27223625</v>
      </c>
      <c r="Q58" s="53">
        <v>32534545</v>
      </c>
      <c r="R58" s="53">
        <v>26928334</v>
      </c>
      <c r="S58" s="53">
        <v>29980274</v>
      </c>
      <c r="T58" s="53">
        <v>35046673</v>
      </c>
      <c r="U58" s="53">
        <v>37094316</v>
      </c>
      <c r="V58" s="53">
        <v>27872459</v>
      </c>
      <c r="W58" s="53">
        <v>24315497</v>
      </c>
      <c r="X58" s="53">
        <v>24084125</v>
      </c>
      <c r="Y58" s="53">
        <v>25165264</v>
      </c>
      <c r="Z58" s="53">
        <v>25387453</v>
      </c>
      <c r="AA58" s="53">
        <v>26083158</v>
      </c>
      <c r="AB58" s="53">
        <v>25063097</v>
      </c>
      <c r="AC58" s="53">
        <v>26464620</v>
      </c>
      <c r="AD58" s="53">
        <v>12407361</v>
      </c>
      <c r="AE58" s="53">
        <v>29743323</v>
      </c>
      <c r="AF58" s="53">
        <v>26753322</v>
      </c>
      <c r="AG58" s="53">
        <v>29698051</v>
      </c>
      <c r="AH58" s="53">
        <v>33210221</v>
      </c>
      <c r="AI58" s="53">
        <v>34056174</v>
      </c>
      <c r="AJ58" s="53">
        <v>32740224</v>
      </c>
      <c r="AK58" s="53">
        <v>31349459</v>
      </c>
      <c r="AL58" s="53">
        <v>31607044</v>
      </c>
      <c r="AM58" s="53">
        <v>28335775</v>
      </c>
      <c r="AN58" s="53">
        <v>26512596</v>
      </c>
      <c r="AO58" s="53">
        <v>30824375</v>
      </c>
      <c r="AP58" s="53">
        <v>29849952</v>
      </c>
      <c r="AQ58" s="53">
        <v>33758158</v>
      </c>
      <c r="AR58" s="53">
        <v>30928743</v>
      </c>
      <c r="AS58" s="53">
        <v>28910791</v>
      </c>
      <c r="AT58" s="53">
        <v>28387013</v>
      </c>
      <c r="AU58" s="53">
        <v>29324339</v>
      </c>
      <c r="AV58" s="53">
        <v>31344612</v>
      </c>
      <c r="AW58" s="53">
        <v>27573555</v>
      </c>
      <c r="AX58" s="53">
        <v>26578145</v>
      </c>
      <c r="AY58" s="53">
        <v>27606062</v>
      </c>
      <c r="AZ58" s="53">
        <v>29738875</v>
      </c>
      <c r="BA58" s="53">
        <v>28651000</v>
      </c>
      <c r="BB58" s="53">
        <v>27698232</v>
      </c>
      <c r="BC58" s="53">
        <v>28086771</v>
      </c>
      <c r="BD58" s="53">
        <v>29111442</v>
      </c>
      <c r="BE58" s="53">
        <v>30067977</v>
      </c>
      <c r="BF58" s="53">
        <v>28997315</v>
      </c>
      <c r="BG58" s="53">
        <v>24839048</v>
      </c>
      <c r="BH58" s="53">
        <v>30366320</v>
      </c>
      <c r="BI58" s="53">
        <v>5148950</v>
      </c>
    </row>
    <row r="59" spans="1:61" ht="15.75" x14ac:dyDescent="0.25">
      <c r="A59" s="53" t="s">
        <v>18</v>
      </c>
      <c r="B59" s="52" t="s">
        <v>140</v>
      </c>
      <c r="C59" s="49" t="s">
        <v>42</v>
      </c>
      <c r="D59" s="49" t="str">
        <f>VLOOKUP(A59,PARAMETER!D:E,2,0)</f>
        <v>ADISTI</v>
      </c>
      <c r="E59" s="49" t="str">
        <f t="shared" si="3"/>
        <v>ADISTITRX</v>
      </c>
      <c r="F59" s="49" t="str">
        <f t="shared" si="4"/>
        <v>KAWAN LAMATRX</v>
      </c>
      <c r="G59" s="81">
        <f t="shared" si="2"/>
        <v>51065</v>
      </c>
      <c r="H59" s="81">
        <f>SUMIF(I$1:BI$1,"&lt;="&amp;PARAMETER!X$2,I59:BI59)</f>
        <v>19665</v>
      </c>
      <c r="I59" s="53">
        <v>654</v>
      </c>
      <c r="J59" s="53">
        <v>503</v>
      </c>
      <c r="K59" s="53">
        <v>538</v>
      </c>
      <c r="L59" s="53">
        <v>641</v>
      </c>
      <c r="M59" s="53">
        <v>593</v>
      </c>
      <c r="N59" s="53">
        <v>12824</v>
      </c>
      <c r="O59" s="53">
        <v>812</v>
      </c>
      <c r="P59" s="53">
        <v>724</v>
      </c>
      <c r="Q59" s="53">
        <v>718</v>
      </c>
      <c r="R59" s="53">
        <v>749</v>
      </c>
      <c r="S59" s="53">
        <v>909</v>
      </c>
      <c r="T59" s="53">
        <v>9783</v>
      </c>
      <c r="U59" s="53">
        <v>1769</v>
      </c>
      <c r="V59" s="53">
        <v>984</v>
      </c>
      <c r="W59" s="53">
        <v>714</v>
      </c>
      <c r="X59" s="53">
        <v>807</v>
      </c>
      <c r="Y59" s="53">
        <v>666</v>
      </c>
      <c r="Z59" s="53">
        <v>739</v>
      </c>
      <c r="AA59" s="53">
        <v>722</v>
      </c>
      <c r="AB59" s="53">
        <v>588</v>
      </c>
      <c r="AC59" s="53">
        <v>467</v>
      </c>
      <c r="AD59" s="53">
        <v>244</v>
      </c>
      <c r="AE59" s="53">
        <v>511</v>
      </c>
      <c r="AF59" s="53">
        <v>455</v>
      </c>
      <c r="AG59" s="53">
        <v>441</v>
      </c>
      <c r="AH59" s="53">
        <v>544</v>
      </c>
      <c r="AI59" s="53">
        <v>470</v>
      </c>
      <c r="AJ59" s="53">
        <v>478</v>
      </c>
      <c r="AK59" s="53">
        <v>477</v>
      </c>
      <c r="AL59" s="53">
        <v>433</v>
      </c>
      <c r="AM59" s="53">
        <v>379</v>
      </c>
      <c r="AN59" s="53">
        <v>399</v>
      </c>
      <c r="AO59" s="53">
        <v>474</v>
      </c>
      <c r="AP59" s="53">
        <v>419</v>
      </c>
      <c r="AQ59" s="53">
        <v>391</v>
      </c>
      <c r="AR59" s="53">
        <v>508</v>
      </c>
      <c r="AS59" s="53">
        <v>456</v>
      </c>
      <c r="AT59" s="53">
        <v>476</v>
      </c>
      <c r="AU59" s="53">
        <v>464</v>
      </c>
      <c r="AV59" s="53">
        <v>450</v>
      </c>
      <c r="AW59" s="53">
        <v>420</v>
      </c>
      <c r="AX59" s="53">
        <v>444</v>
      </c>
      <c r="AY59" s="53">
        <v>383</v>
      </c>
      <c r="AZ59" s="53">
        <v>390</v>
      </c>
      <c r="BA59" s="53">
        <v>374</v>
      </c>
      <c r="BB59" s="53">
        <v>394</v>
      </c>
      <c r="BC59" s="53">
        <v>336</v>
      </c>
      <c r="BD59" s="53">
        <v>374</v>
      </c>
      <c r="BE59" s="53">
        <v>438</v>
      </c>
      <c r="BF59" s="53">
        <v>697</v>
      </c>
      <c r="BG59" s="53">
        <v>637</v>
      </c>
      <c r="BH59" s="53">
        <v>700</v>
      </c>
      <c r="BI59" s="53">
        <v>105</v>
      </c>
    </row>
    <row r="60" spans="1:61" ht="15.75" x14ac:dyDescent="0.25">
      <c r="A60" s="53" t="s">
        <v>18</v>
      </c>
      <c r="B60" s="52" t="s">
        <v>140</v>
      </c>
      <c r="C60" s="49" t="s">
        <v>41</v>
      </c>
      <c r="D60" s="49" t="str">
        <f>VLOOKUP(A60,PARAMETER!D:E,2,0)</f>
        <v>ADISTI</v>
      </c>
      <c r="E60" s="49" t="str">
        <f t="shared" si="3"/>
        <v>ADISTIVOL</v>
      </c>
      <c r="F60" s="49" t="str">
        <f t="shared" si="4"/>
        <v>KAWAN LAMAVOL</v>
      </c>
      <c r="G60" s="81">
        <f t="shared" si="2"/>
        <v>38781779675</v>
      </c>
      <c r="H60" s="81">
        <f>SUMIF(I$1:BI$1,"&lt;="&amp;PARAMETER!X$2,I60:BI60)</f>
        <v>8699959395</v>
      </c>
      <c r="I60" s="53">
        <v>703266392</v>
      </c>
      <c r="J60" s="53">
        <v>721748151</v>
      </c>
      <c r="K60" s="53">
        <v>660541878</v>
      </c>
      <c r="L60" s="53">
        <v>899423574</v>
      </c>
      <c r="M60" s="53">
        <v>735817144</v>
      </c>
      <c r="N60" s="53">
        <v>800811247</v>
      </c>
      <c r="O60" s="53">
        <v>785350510</v>
      </c>
      <c r="P60" s="53">
        <v>731293950</v>
      </c>
      <c r="Q60" s="53">
        <v>789617383</v>
      </c>
      <c r="R60" s="53">
        <v>842206965</v>
      </c>
      <c r="S60" s="53">
        <v>1029882201</v>
      </c>
      <c r="T60" s="53">
        <v>1072888099</v>
      </c>
      <c r="U60" s="53">
        <v>906552009</v>
      </c>
      <c r="V60" s="53">
        <v>976937780</v>
      </c>
      <c r="W60" s="53">
        <v>704299923</v>
      </c>
      <c r="X60" s="53">
        <v>889504590</v>
      </c>
      <c r="Y60" s="53">
        <v>547693499</v>
      </c>
      <c r="Z60" s="53">
        <v>577060143</v>
      </c>
      <c r="AA60" s="53">
        <v>446291474</v>
      </c>
      <c r="AB60" s="53">
        <v>730592135</v>
      </c>
      <c r="AC60" s="53">
        <v>418079286</v>
      </c>
      <c r="AD60" s="53">
        <v>257986307</v>
      </c>
      <c r="AE60" s="53">
        <v>664538564</v>
      </c>
      <c r="AF60" s="53">
        <v>598291794</v>
      </c>
      <c r="AG60" s="53">
        <v>505363301</v>
      </c>
      <c r="AH60" s="53">
        <v>646426340</v>
      </c>
      <c r="AI60" s="53">
        <v>702849858</v>
      </c>
      <c r="AJ60" s="53">
        <v>781853754</v>
      </c>
      <c r="AK60" s="53">
        <v>819424050</v>
      </c>
      <c r="AL60" s="53">
        <v>618486066</v>
      </c>
      <c r="AM60" s="53">
        <v>613582773</v>
      </c>
      <c r="AN60" s="53">
        <v>643223546</v>
      </c>
      <c r="AO60" s="53">
        <v>931372957</v>
      </c>
      <c r="AP60" s="53">
        <v>740780975</v>
      </c>
      <c r="AQ60" s="53">
        <v>755489361</v>
      </c>
      <c r="AR60" s="53">
        <v>1046192554</v>
      </c>
      <c r="AS60" s="53">
        <v>870105463</v>
      </c>
      <c r="AT60" s="53">
        <v>746102491</v>
      </c>
      <c r="AU60" s="53">
        <v>993022145</v>
      </c>
      <c r="AV60" s="53">
        <v>738988995</v>
      </c>
      <c r="AW60" s="53">
        <v>684078726</v>
      </c>
      <c r="AX60" s="53">
        <v>775469654</v>
      </c>
      <c r="AY60" s="53">
        <v>402601204</v>
      </c>
      <c r="AZ60" s="53">
        <v>534980836</v>
      </c>
      <c r="BA60" s="53">
        <v>520026127</v>
      </c>
      <c r="BB60" s="53">
        <v>695760904</v>
      </c>
      <c r="BC60" s="53">
        <v>428290489</v>
      </c>
      <c r="BD60" s="53">
        <v>520094314</v>
      </c>
      <c r="BE60" s="53">
        <v>550399425</v>
      </c>
      <c r="BF60" s="53">
        <v>808431222</v>
      </c>
      <c r="BG60" s="53">
        <v>1298227541</v>
      </c>
      <c r="BH60" s="53">
        <v>1620296780</v>
      </c>
      <c r="BI60" s="53">
        <v>299182826</v>
      </c>
    </row>
    <row r="61" spans="1:61" ht="15.75" x14ac:dyDescent="0.25">
      <c r="A61" s="53" t="s">
        <v>18</v>
      </c>
      <c r="B61" s="52" t="s">
        <v>140</v>
      </c>
      <c r="C61" s="49" t="s">
        <v>40</v>
      </c>
      <c r="D61" s="49" t="str">
        <f>VLOOKUP(A61,PARAMETER!D:E,2,0)</f>
        <v>ADISTI</v>
      </c>
      <c r="E61" s="49" t="str">
        <f t="shared" si="3"/>
        <v>ADISTIFBI</v>
      </c>
      <c r="F61" s="49" t="str">
        <f t="shared" si="4"/>
        <v>KAWAN LAMAFBI</v>
      </c>
      <c r="G61" s="81">
        <f t="shared" si="2"/>
        <v>93242165</v>
      </c>
      <c r="H61" s="81">
        <f>SUMIF(I$1:BI$1,"&lt;="&amp;PARAMETER!X$2,I61:BI61)</f>
        <v>13446620</v>
      </c>
      <c r="I61" s="53">
        <v>1058541</v>
      </c>
      <c r="J61" s="53">
        <v>1093899</v>
      </c>
      <c r="K61" s="53">
        <v>991192</v>
      </c>
      <c r="L61" s="53">
        <v>1356226</v>
      </c>
      <c r="M61" s="53">
        <v>1105958</v>
      </c>
      <c r="N61" s="53">
        <v>1344980</v>
      </c>
      <c r="O61" s="53">
        <v>1218348</v>
      </c>
      <c r="P61" s="53">
        <v>1161068</v>
      </c>
      <c r="Q61" s="53">
        <v>1214841</v>
      </c>
      <c r="R61" s="53">
        <v>1302858</v>
      </c>
      <c r="S61" s="53">
        <v>1598709</v>
      </c>
      <c r="T61" s="53">
        <v>1713280</v>
      </c>
      <c r="U61" s="53">
        <v>1440203</v>
      </c>
      <c r="V61" s="53">
        <v>1535610</v>
      </c>
      <c r="W61" s="53">
        <v>1106296</v>
      </c>
      <c r="X61" s="53">
        <v>1374102</v>
      </c>
      <c r="Y61" s="53">
        <v>872276</v>
      </c>
      <c r="Z61" s="53">
        <v>918027</v>
      </c>
      <c r="AA61" s="53">
        <v>898149</v>
      </c>
      <c r="AB61" s="53">
        <v>1355134</v>
      </c>
      <c r="AC61" s="53">
        <v>840188</v>
      </c>
      <c r="AD61" s="53">
        <v>730967</v>
      </c>
      <c r="AE61" s="53">
        <v>1632087</v>
      </c>
      <c r="AF61" s="53">
        <v>1548211</v>
      </c>
      <c r="AG61" s="53">
        <v>1415952</v>
      </c>
      <c r="AH61" s="53">
        <v>1916786</v>
      </c>
      <c r="AI61" s="53">
        <v>2176540</v>
      </c>
      <c r="AJ61" s="53">
        <v>2291242</v>
      </c>
      <c r="AK61" s="53">
        <v>2522477</v>
      </c>
      <c r="AL61" s="53">
        <v>1874319</v>
      </c>
      <c r="AM61" s="53">
        <v>2302625</v>
      </c>
      <c r="AN61" s="53">
        <v>1940861</v>
      </c>
      <c r="AO61" s="53">
        <v>2848618</v>
      </c>
      <c r="AP61" s="53">
        <v>2452141</v>
      </c>
      <c r="AQ61" s="53">
        <v>2508690</v>
      </c>
      <c r="AR61" s="53">
        <v>3321429</v>
      </c>
      <c r="AS61" s="53">
        <v>2752895</v>
      </c>
      <c r="AT61" s="53">
        <v>2567312</v>
      </c>
      <c r="AU61" s="53">
        <v>2835485</v>
      </c>
      <c r="AV61" s="53">
        <v>2579496</v>
      </c>
      <c r="AW61" s="53">
        <v>2363328</v>
      </c>
      <c r="AX61" s="53">
        <v>2571814</v>
      </c>
      <c r="AY61" s="53">
        <v>706265</v>
      </c>
      <c r="AZ61" s="53">
        <v>818932</v>
      </c>
      <c r="BA61" s="53">
        <v>779120</v>
      </c>
      <c r="BB61" s="53">
        <v>1082299</v>
      </c>
      <c r="BC61" s="53">
        <v>641093</v>
      </c>
      <c r="BD61" s="53">
        <v>779369</v>
      </c>
      <c r="BE61" s="53">
        <v>824301</v>
      </c>
      <c r="BF61" s="53">
        <v>2232770</v>
      </c>
      <c r="BG61" s="53">
        <v>4896125</v>
      </c>
      <c r="BH61" s="53">
        <v>6914488</v>
      </c>
      <c r="BI61" s="53">
        <v>914243</v>
      </c>
    </row>
    <row r="62" spans="1:61" ht="15.75" x14ac:dyDescent="0.25">
      <c r="A62" s="53" t="s">
        <v>19</v>
      </c>
      <c r="B62" s="52" t="s">
        <v>140</v>
      </c>
      <c r="C62" s="49" t="s">
        <v>42</v>
      </c>
      <c r="D62" s="49" t="str">
        <f>VLOOKUP(A62,PARAMETER!D:E,2,0)</f>
        <v>RIFALDI</v>
      </c>
      <c r="E62" s="49" t="str">
        <f t="shared" si="3"/>
        <v>RIFALDITRX</v>
      </c>
      <c r="F62" s="49" t="str">
        <f t="shared" si="4"/>
        <v>KCICTRX</v>
      </c>
      <c r="G62" s="81">
        <f t="shared" si="2"/>
        <v>39572</v>
      </c>
      <c r="H62" s="81">
        <f>SUMIF(I$1:BI$1,"&lt;="&amp;PARAMETER!X$2,I62:BI62)</f>
        <v>6872</v>
      </c>
      <c r="I62" s="53">
        <v>502</v>
      </c>
      <c r="J62" s="53">
        <v>555</v>
      </c>
      <c r="K62" s="53">
        <v>693</v>
      </c>
      <c r="L62" s="53">
        <v>580</v>
      </c>
      <c r="M62" s="53">
        <v>657</v>
      </c>
      <c r="N62" s="53">
        <v>814</v>
      </c>
      <c r="O62" s="53">
        <v>780</v>
      </c>
      <c r="P62" s="53">
        <v>644</v>
      </c>
      <c r="Q62" s="53">
        <v>478</v>
      </c>
      <c r="R62" s="53">
        <v>595</v>
      </c>
      <c r="S62" s="53">
        <v>574</v>
      </c>
      <c r="T62" s="53">
        <v>461</v>
      </c>
      <c r="U62" s="53">
        <v>353</v>
      </c>
      <c r="V62" s="53">
        <v>443</v>
      </c>
      <c r="W62" s="53">
        <v>530</v>
      </c>
      <c r="X62" s="53">
        <v>742</v>
      </c>
      <c r="Y62" s="53">
        <v>760</v>
      </c>
      <c r="Z62" s="53">
        <v>721</v>
      </c>
      <c r="AA62" s="53">
        <v>756</v>
      </c>
      <c r="AB62" s="53">
        <v>698</v>
      </c>
      <c r="AC62" s="53">
        <v>614</v>
      </c>
      <c r="AD62" s="53">
        <v>263</v>
      </c>
      <c r="AE62" s="53">
        <v>557</v>
      </c>
      <c r="AF62" s="53">
        <v>846</v>
      </c>
      <c r="AG62" s="53">
        <v>810</v>
      </c>
      <c r="AH62" s="53">
        <v>745</v>
      </c>
      <c r="AI62" s="53">
        <v>834</v>
      </c>
      <c r="AJ62" s="53">
        <v>871</v>
      </c>
      <c r="AK62" s="53">
        <v>817</v>
      </c>
      <c r="AL62" s="53">
        <v>851</v>
      </c>
      <c r="AM62" s="53">
        <v>739</v>
      </c>
      <c r="AN62" s="53">
        <v>714</v>
      </c>
      <c r="AO62" s="53">
        <v>910</v>
      </c>
      <c r="AP62" s="53">
        <v>818</v>
      </c>
      <c r="AQ62" s="53">
        <v>766</v>
      </c>
      <c r="AR62" s="53">
        <v>730</v>
      </c>
      <c r="AS62" s="53">
        <v>881</v>
      </c>
      <c r="AT62" s="53">
        <v>870</v>
      </c>
      <c r="AU62" s="53">
        <v>840</v>
      </c>
      <c r="AV62" s="53">
        <v>2418</v>
      </c>
      <c r="AW62" s="53">
        <v>2028</v>
      </c>
      <c r="AX62" s="53">
        <v>890</v>
      </c>
      <c r="AY62" s="53">
        <v>689</v>
      </c>
      <c r="AZ62" s="53">
        <v>607</v>
      </c>
      <c r="BA62" s="53">
        <v>687</v>
      </c>
      <c r="BB62" s="53">
        <v>659</v>
      </c>
      <c r="BC62" s="53">
        <v>658</v>
      </c>
      <c r="BD62" s="53">
        <v>789</v>
      </c>
      <c r="BE62" s="53">
        <v>830</v>
      </c>
      <c r="BF62" s="53">
        <v>763</v>
      </c>
      <c r="BG62" s="53">
        <v>802</v>
      </c>
      <c r="BH62" s="53">
        <v>779</v>
      </c>
      <c r="BI62" s="53">
        <v>161</v>
      </c>
    </row>
    <row r="63" spans="1:61" ht="15.75" x14ac:dyDescent="0.25">
      <c r="A63" s="53" t="s">
        <v>19</v>
      </c>
      <c r="B63" s="52" t="s">
        <v>140</v>
      </c>
      <c r="C63" s="49" t="s">
        <v>41</v>
      </c>
      <c r="D63" s="49" t="str">
        <f>VLOOKUP(A63,PARAMETER!D:E,2,0)</f>
        <v>RIFALDI</v>
      </c>
      <c r="E63" s="49" t="str">
        <f t="shared" si="3"/>
        <v>RIFALDIVOL</v>
      </c>
      <c r="F63" s="49" t="str">
        <f t="shared" si="4"/>
        <v>KCICVOL</v>
      </c>
      <c r="G63" s="81">
        <f t="shared" si="2"/>
        <v>27322724008</v>
      </c>
      <c r="H63" s="81">
        <f>SUMIF(I$1:BI$1,"&lt;="&amp;PARAMETER!X$2,I63:BI63)</f>
        <v>4380500000</v>
      </c>
      <c r="I63" s="53">
        <v>330175000</v>
      </c>
      <c r="J63" s="53">
        <v>336125000</v>
      </c>
      <c r="K63" s="53">
        <v>464000000</v>
      </c>
      <c r="L63" s="53">
        <v>434475000</v>
      </c>
      <c r="M63" s="53">
        <v>445750000</v>
      </c>
      <c r="N63" s="53">
        <v>545075000</v>
      </c>
      <c r="O63" s="53">
        <v>526800000</v>
      </c>
      <c r="P63" s="53">
        <v>427350000</v>
      </c>
      <c r="Q63" s="53">
        <v>279525000</v>
      </c>
      <c r="R63" s="53">
        <v>296500000</v>
      </c>
      <c r="S63" s="53">
        <v>294725000</v>
      </c>
      <c r="T63" s="53">
        <v>229350000</v>
      </c>
      <c r="U63" s="53">
        <v>239150000</v>
      </c>
      <c r="V63" s="53">
        <v>305350000</v>
      </c>
      <c r="W63" s="53">
        <v>314075000</v>
      </c>
      <c r="X63" s="53">
        <v>430775008</v>
      </c>
      <c r="Y63" s="53">
        <v>435775000</v>
      </c>
      <c r="Z63" s="53">
        <v>432050000</v>
      </c>
      <c r="AA63" s="53">
        <v>462975000</v>
      </c>
      <c r="AB63" s="53">
        <v>421650000</v>
      </c>
      <c r="AC63" s="53">
        <v>338450000</v>
      </c>
      <c r="AD63" s="53">
        <v>148425000</v>
      </c>
      <c r="AE63" s="53">
        <v>358825000</v>
      </c>
      <c r="AF63" s="53">
        <v>494850000</v>
      </c>
      <c r="AG63" s="53">
        <v>477775000</v>
      </c>
      <c r="AH63" s="53">
        <v>492712000</v>
      </c>
      <c r="AI63" s="53">
        <v>570750000</v>
      </c>
      <c r="AJ63" s="53">
        <v>602175000</v>
      </c>
      <c r="AK63" s="53">
        <v>538660000</v>
      </c>
      <c r="AL63" s="53">
        <v>537215000</v>
      </c>
      <c r="AM63" s="53">
        <v>470950000</v>
      </c>
      <c r="AN63" s="53">
        <v>495900000</v>
      </c>
      <c r="AO63" s="53">
        <v>634965000</v>
      </c>
      <c r="AP63" s="53">
        <v>585880000</v>
      </c>
      <c r="AQ63" s="53">
        <v>596400000</v>
      </c>
      <c r="AR63" s="53">
        <v>539675000</v>
      </c>
      <c r="AS63" s="53">
        <v>682125000</v>
      </c>
      <c r="AT63" s="53">
        <v>684115000</v>
      </c>
      <c r="AU63" s="53">
        <v>545785000</v>
      </c>
      <c r="AV63" s="53">
        <v>1389110000</v>
      </c>
      <c r="AW63" s="53">
        <v>1414820000</v>
      </c>
      <c r="AX63" s="53">
        <v>744401000</v>
      </c>
      <c r="AY63" s="53">
        <v>530195000</v>
      </c>
      <c r="AZ63" s="53">
        <v>498360000</v>
      </c>
      <c r="BA63" s="53">
        <v>508591000</v>
      </c>
      <c r="BB63" s="53">
        <v>584340000</v>
      </c>
      <c r="BC63" s="53">
        <v>519440000</v>
      </c>
      <c r="BD63" s="53">
        <v>638490000</v>
      </c>
      <c r="BE63" s="53">
        <v>789255000</v>
      </c>
      <c r="BF63" s="53">
        <v>712230000</v>
      </c>
      <c r="BG63" s="53">
        <v>719700000</v>
      </c>
      <c r="BH63" s="53">
        <v>697410000</v>
      </c>
      <c r="BI63" s="53">
        <v>129100000</v>
      </c>
    </row>
    <row r="64" spans="1:61" ht="15.75" x14ac:dyDescent="0.25">
      <c r="A64" s="53" t="s">
        <v>19</v>
      </c>
      <c r="B64" s="52" t="s">
        <v>140</v>
      </c>
      <c r="C64" s="49" t="s">
        <v>40</v>
      </c>
      <c r="D64" s="49" t="str">
        <f>VLOOKUP(A64,PARAMETER!D:E,2,0)</f>
        <v>RIFALDI</v>
      </c>
      <c r="E64" s="49" t="str">
        <f t="shared" si="3"/>
        <v>RIFALDIFBI</v>
      </c>
      <c r="F64" s="49" t="str">
        <f t="shared" si="4"/>
        <v>KCICFBI</v>
      </c>
      <c r="G64" s="81">
        <f t="shared" si="2"/>
        <v>335623929</v>
      </c>
      <c r="H64" s="81">
        <f>SUMIF(I$1:BI$1,"&lt;="&amp;PARAMETER!X$2,I64:BI64)</f>
        <v>58357863</v>
      </c>
      <c r="I64" s="53">
        <v>4100212</v>
      </c>
      <c r="J64" s="53">
        <v>4465700</v>
      </c>
      <c r="K64" s="53">
        <v>6347438</v>
      </c>
      <c r="L64" s="53">
        <v>5656562</v>
      </c>
      <c r="M64" s="53">
        <v>5992925</v>
      </c>
      <c r="N64" s="53">
        <v>7729600</v>
      </c>
      <c r="O64" s="53">
        <v>6962638</v>
      </c>
      <c r="P64" s="53">
        <v>5883338</v>
      </c>
      <c r="Q64" s="53">
        <v>3655050</v>
      </c>
      <c r="R64" s="53">
        <v>3827275</v>
      </c>
      <c r="S64" s="53">
        <v>3737125</v>
      </c>
      <c r="T64" s="53">
        <v>2986800</v>
      </c>
      <c r="U64" s="53">
        <v>3019625</v>
      </c>
      <c r="V64" s="53">
        <v>3836050</v>
      </c>
      <c r="W64" s="53">
        <v>4209762</v>
      </c>
      <c r="X64" s="53">
        <v>5636713</v>
      </c>
      <c r="Y64" s="53">
        <v>5850100</v>
      </c>
      <c r="Z64" s="53">
        <v>5995175</v>
      </c>
      <c r="AA64" s="53">
        <v>6224825</v>
      </c>
      <c r="AB64" s="53">
        <v>5921462</v>
      </c>
      <c r="AC64" s="53">
        <v>4557488</v>
      </c>
      <c r="AD64" s="53">
        <v>2045812</v>
      </c>
      <c r="AE64" s="53">
        <v>4951550</v>
      </c>
      <c r="AF64" s="53">
        <v>6674188</v>
      </c>
      <c r="AG64" s="53">
        <v>6389975</v>
      </c>
      <c r="AH64" s="53">
        <v>6617366</v>
      </c>
      <c r="AI64" s="53">
        <v>7458050</v>
      </c>
      <c r="AJ64" s="53">
        <v>8033618</v>
      </c>
      <c r="AK64" s="53">
        <v>7394800</v>
      </c>
      <c r="AL64" s="53">
        <v>7467600</v>
      </c>
      <c r="AM64" s="53">
        <v>6571200</v>
      </c>
      <c r="AN64" s="53">
        <v>6897325</v>
      </c>
      <c r="AO64" s="53">
        <v>8691120</v>
      </c>
      <c r="AP64" s="53">
        <v>8306435</v>
      </c>
      <c r="AQ64" s="53">
        <v>8237945</v>
      </c>
      <c r="AR64" s="53">
        <v>7487188</v>
      </c>
      <c r="AS64" s="53">
        <v>9830828</v>
      </c>
      <c r="AT64" s="53">
        <v>9670768</v>
      </c>
      <c r="AU64" s="53">
        <v>7629645</v>
      </c>
      <c r="AV64" s="53">
        <v>13342130</v>
      </c>
      <c r="AW64" s="53">
        <v>13243352</v>
      </c>
      <c r="AX64" s="53">
        <v>7181920</v>
      </c>
      <c r="AY64" s="53">
        <v>5164262</v>
      </c>
      <c r="AZ64" s="53">
        <v>4620192</v>
      </c>
      <c r="BA64" s="53">
        <v>4862130</v>
      </c>
      <c r="BB64" s="53">
        <v>5972520</v>
      </c>
      <c r="BC64" s="53">
        <v>5309700</v>
      </c>
      <c r="BD64" s="53">
        <v>6391442</v>
      </c>
      <c r="BE64" s="53">
        <v>8282415</v>
      </c>
      <c r="BF64" s="53">
        <v>6890265</v>
      </c>
      <c r="BG64" s="53">
        <v>8106430</v>
      </c>
      <c r="BH64" s="53">
        <v>7939915</v>
      </c>
      <c r="BI64" s="53">
        <v>1365980</v>
      </c>
    </row>
    <row r="65" spans="1:61" ht="15.75" x14ac:dyDescent="0.25">
      <c r="A65" s="53" t="s">
        <v>20</v>
      </c>
      <c r="B65" s="52" t="s">
        <v>140</v>
      </c>
      <c r="C65" s="49" t="s">
        <v>42</v>
      </c>
      <c r="D65" s="49" t="e">
        <f>VLOOKUP(A65,PARAMETER!D:E,2,0)</f>
        <v>#N/A</v>
      </c>
      <c r="E65" s="49" t="e">
        <f t="shared" si="3"/>
        <v>#N/A</v>
      </c>
      <c r="F65" s="49" t="str">
        <f t="shared" si="4"/>
        <v>KIMIA FARMATRX</v>
      </c>
      <c r="G65" s="81">
        <f t="shared" si="2"/>
        <v>38</v>
      </c>
      <c r="H65" s="81">
        <f>SUMIF(I$1:BI$1,"&lt;="&amp;PARAMETER!X$2,I65:BI65)</f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18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2</v>
      </c>
      <c r="AD65" s="53">
        <v>3</v>
      </c>
      <c r="AE65" s="53">
        <v>2</v>
      </c>
      <c r="AF65" s="53">
        <v>0</v>
      </c>
      <c r="AG65" s="53">
        <v>4</v>
      </c>
      <c r="AH65" s="53">
        <v>0</v>
      </c>
      <c r="AI65" s="53">
        <v>0</v>
      </c>
      <c r="AJ65" s="53">
        <v>1</v>
      </c>
      <c r="AK65" s="53">
        <v>1</v>
      </c>
      <c r="AL65" s="53">
        <v>0</v>
      </c>
      <c r="AM65" s="53">
        <v>0</v>
      </c>
      <c r="AN65" s="53">
        <v>0</v>
      </c>
      <c r="AO65" s="53">
        <v>0</v>
      </c>
      <c r="AP65" s="53">
        <v>0</v>
      </c>
      <c r="AQ65" s="53">
        <v>2</v>
      </c>
      <c r="AR65" s="53">
        <v>0</v>
      </c>
      <c r="AS65" s="53">
        <v>1</v>
      </c>
      <c r="AT65" s="53">
        <v>1</v>
      </c>
      <c r="AU65" s="53">
        <v>1</v>
      </c>
      <c r="AV65" s="53">
        <v>1</v>
      </c>
      <c r="AW65" s="53">
        <v>0</v>
      </c>
      <c r="AX65" s="53">
        <v>0</v>
      </c>
      <c r="AY65" s="53">
        <v>0</v>
      </c>
      <c r="AZ65" s="53">
        <v>0</v>
      </c>
      <c r="BA65" s="53">
        <v>1</v>
      </c>
      <c r="BB65" s="53">
        <v>0</v>
      </c>
      <c r="BC65" s="53">
        <v>0</v>
      </c>
      <c r="BD65" s="53">
        <v>0</v>
      </c>
      <c r="BE65" s="53">
        <v>0</v>
      </c>
      <c r="BF65" s="53">
        <v>0</v>
      </c>
      <c r="BG65" s="53">
        <v>0</v>
      </c>
      <c r="BH65" s="53">
        <v>0</v>
      </c>
      <c r="BI65" s="53">
        <v>0</v>
      </c>
    </row>
    <row r="66" spans="1:61" ht="15.75" x14ac:dyDescent="0.25">
      <c r="A66" s="53" t="s">
        <v>20</v>
      </c>
      <c r="B66" s="52" t="s">
        <v>140</v>
      </c>
      <c r="C66" s="49" t="s">
        <v>41</v>
      </c>
      <c r="D66" s="49" t="e">
        <f>VLOOKUP(A66,PARAMETER!D:E,2,0)</f>
        <v>#N/A</v>
      </c>
      <c r="E66" s="49" t="e">
        <f t="shared" ref="E66:E97" si="5">CONCATENATE(D66,C66)</f>
        <v>#N/A</v>
      </c>
      <c r="F66" s="49" t="str">
        <f t="shared" ref="F66:F97" si="6">CONCATENATE(A66,C66)</f>
        <v>KIMIA FARMAVOL</v>
      </c>
      <c r="G66" s="81">
        <f t="shared" si="2"/>
        <v>7920366</v>
      </c>
      <c r="H66" s="81">
        <f>SUMIF(I$1:BI$1,"&lt;="&amp;PARAMETER!X$2,I66:BI66)</f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4345000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172900</v>
      </c>
      <c r="AD66" s="53">
        <v>600551</v>
      </c>
      <c r="AE66" s="53">
        <v>58001</v>
      </c>
      <c r="AF66" s="53">
        <v>0</v>
      </c>
      <c r="AG66" s="53">
        <v>1129679</v>
      </c>
      <c r="AH66" s="53">
        <v>0</v>
      </c>
      <c r="AI66" s="53">
        <v>0</v>
      </c>
      <c r="AJ66" s="53">
        <v>425963</v>
      </c>
      <c r="AK66" s="53">
        <v>53396</v>
      </c>
      <c r="AL66" s="53">
        <v>0</v>
      </c>
      <c r="AM66" s="53">
        <v>0</v>
      </c>
      <c r="AN66" s="53">
        <v>0</v>
      </c>
      <c r="AO66" s="53">
        <v>0</v>
      </c>
      <c r="AP66" s="53">
        <v>0</v>
      </c>
      <c r="AQ66" s="53">
        <v>675793</v>
      </c>
      <c r="AR66" s="53">
        <v>0</v>
      </c>
      <c r="AS66" s="53">
        <v>100000</v>
      </c>
      <c r="AT66" s="53">
        <v>108000</v>
      </c>
      <c r="AU66" s="53">
        <v>113000</v>
      </c>
      <c r="AV66" s="53">
        <v>137083</v>
      </c>
      <c r="AW66" s="53">
        <v>0</v>
      </c>
      <c r="AX66" s="53">
        <v>0</v>
      </c>
      <c r="AY66" s="53">
        <v>0</v>
      </c>
      <c r="AZ66" s="53">
        <v>0</v>
      </c>
      <c r="BA66" s="53">
        <v>1000</v>
      </c>
      <c r="BB66" s="53">
        <v>0</v>
      </c>
      <c r="BC66" s="53">
        <v>0</v>
      </c>
      <c r="BD66" s="53">
        <v>0</v>
      </c>
      <c r="BE66" s="53">
        <v>0</v>
      </c>
      <c r="BF66" s="53">
        <v>0</v>
      </c>
      <c r="BG66" s="53">
        <v>0</v>
      </c>
      <c r="BH66" s="53">
        <v>0</v>
      </c>
      <c r="BI66" s="53">
        <v>0</v>
      </c>
    </row>
    <row r="67" spans="1:61" ht="15.75" x14ac:dyDescent="0.25">
      <c r="A67" s="53" t="s">
        <v>20</v>
      </c>
      <c r="B67" s="52" t="s">
        <v>140</v>
      </c>
      <c r="C67" s="49" t="s">
        <v>40</v>
      </c>
      <c r="D67" s="49" t="e">
        <f>VLOOKUP(A67,PARAMETER!D:E,2,0)</f>
        <v>#N/A</v>
      </c>
      <c r="E67" s="49" t="e">
        <f t="shared" si="5"/>
        <v>#N/A</v>
      </c>
      <c r="F67" s="49" t="str">
        <f t="shared" si="6"/>
        <v>KIMIA FARMAFBI</v>
      </c>
      <c r="G67" s="81">
        <f t="shared" ref="G67:G130" si="7">SUM(I67:BI67)</f>
        <v>26632</v>
      </c>
      <c r="H67" s="81">
        <f>SUMIF(I$1:BI$1,"&lt;="&amp;PARAMETER!X$2,I67:BI67)</f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1605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1210</v>
      </c>
      <c r="AD67" s="53">
        <v>4204</v>
      </c>
      <c r="AE67" s="53">
        <v>406</v>
      </c>
      <c r="AF67" s="53">
        <v>0</v>
      </c>
      <c r="AG67" s="53">
        <v>7907</v>
      </c>
      <c r="AH67" s="53">
        <v>0</v>
      </c>
      <c r="AI67" s="53">
        <v>0</v>
      </c>
      <c r="AJ67" s="53">
        <v>2982</v>
      </c>
      <c r="AK67" s="53">
        <v>374</v>
      </c>
      <c r="AL67" s="53">
        <v>0</v>
      </c>
      <c r="AM67" s="53">
        <v>0</v>
      </c>
      <c r="AN67" s="53">
        <v>0</v>
      </c>
      <c r="AO67" s="53">
        <v>0</v>
      </c>
      <c r="AP67" s="53">
        <v>0</v>
      </c>
      <c r="AQ67" s="53">
        <v>4730</v>
      </c>
      <c r="AR67" s="53">
        <v>0</v>
      </c>
      <c r="AS67" s="53">
        <v>700</v>
      </c>
      <c r="AT67" s="53">
        <v>756</v>
      </c>
      <c r="AU67" s="53">
        <v>791</v>
      </c>
      <c r="AV67" s="53">
        <v>960</v>
      </c>
      <c r="AW67" s="53">
        <v>0</v>
      </c>
      <c r="AX67" s="53">
        <v>0</v>
      </c>
      <c r="AY67" s="53">
        <v>0</v>
      </c>
      <c r="AZ67" s="53">
        <v>0</v>
      </c>
      <c r="BA67" s="53">
        <v>7</v>
      </c>
      <c r="BB67" s="53">
        <v>0</v>
      </c>
      <c r="BC67" s="53">
        <v>0</v>
      </c>
      <c r="BD67" s="53">
        <v>0</v>
      </c>
      <c r="BE67" s="53">
        <v>0</v>
      </c>
      <c r="BF67" s="53">
        <v>0</v>
      </c>
      <c r="BG67" s="53">
        <v>0</v>
      </c>
      <c r="BH67" s="53">
        <v>0</v>
      </c>
      <c r="BI67" s="53">
        <v>0</v>
      </c>
    </row>
    <row r="68" spans="1:61" ht="15.75" x14ac:dyDescent="0.25">
      <c r="A68" s="53" t="s">
        <v>47</v>
      </c>
      <c r="B68" s="52" t="s">
        <v>140</v>
      </c>
      <c r="C68" s="49" t="s">
        <v>42</v>
      </c>
      <c r="D68" s="49" t="str">
        <f>VLOOKUP(A68,PARAMETER!D:E,2,0)</f>
        <v>ADISTI</v>
      </c>
      <c r="E68" s="49" t="str">
        <f t="shared" si="5"/>
        <v>ADISTITRX</v>
      </c>
      <c r="F68" s="49" t="str">
        <f t="shared" si="6"/>
        <v>LOTTE GROUPTRX</v>
      </c>
      <c r="G68" s="81">
        <f t="shared" si="7"/>
        <v>5875</v>
      </c>
      <c r="H68" s="81">
        <f>SUMIF(I$1:BI$1,"&lt;="&amp;PARAMETER!X$2,I68:BI68)</f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1</v>
      </c>
      <c r="AJ68" s="53">
        <v>67</v>
      </c>
      <c r="AK68" s="53">
        <v>175</v>
      </c>
      <c r="AL68" s="53">
        <v>256</v>
      </c>
      <c r="AM68" s="53">
        <v>201</v>
      </c>
      <c r="AN68" s="53">
        <v>246</v>
      </c>
      <c r="AO68" s="53">
        <v>265</v>
      </c>
      <c r="AP68" s="53">
        <v>207</v>
      </c>
      <c r="AQ68" s="53">
        <v>250</v>
      </c>
      <c r="AR68" s="53">
        <v>240</v>
      </c>
      <c r="AS68" s="53">
        <v>255</v>
      </c>
      <c r="AT68" s="53">
        <v>235</v>
      </c>
      <c r="AU68" s="53">
        <v>279</v>
      </c>
      <c r="AV68" s="53">
        <v>286</v>
      </c>
      <c r="AW68" s="53">
        <v>256</v>
      </c>
      <c r="AX68" s="53">
        <v>277</v>
      </c>
      <c r="AY68" s="53">
        <v>233</v>
      </c>
      <c r="AZ68" s="53">
        <v>246</v>
      </c>
      <c r="BA68" s="53">
        <v>214</v>
      </c>
      <c r="BB68" s="53">
        <v>209</v>
      </c>
      <c r="BC68" s="53">
        <v>250</v>
      </c>
      <c r="BD68" s="53">
        <v>253</v>
      </c>
      <c r="BE68" s="53">
        <v>220</v>
      </c>
      <c r="BF68" s="53">
        <v>208</v>
      </c>
      <c r="BG68" s="53">
        <v>252</v>
      </c>
      <c r="BH68" s="53">
        <v>252</v>
      </c>
      <c r="BI68" s="53">
        <v>42</v>
      </c>
    </row>
    <row r="69" spans="1:61" ht="15.75" x14ac:dyDescent="0.25">
      <c r="A69" s="53" t="s">
        <v>47</v>
      </c>
      <c r="B69" s="52" t="s">
        <v>140</v>
      </c>
      <c r="C69" s="49" t="s">
        <v>41</v>
      </c>
      <c r="D69" s="49" t="str">
        <f>VLOOKUP(A69,PARAMETER!D:E,2,0)</f>
        <v>ADISTI</v>
      </c>
      <c r="E69" s="49" t="str">
        <f t="shared" si="5"/>
        <v>ADISTIVOL</v>
      </c>
      <c r="F69" s="49" t="str">
        <f t="shared" si="6"/>
        <v>LOTTE GROUPVOL</v>
      </c>
      <c r="G69" s="81">
        <f t="shared" si="7"/>
        <v>3322171770</v>
      </c>
      <c r="H69" s="81">
        <f>SUMIF(I$1:BI$1,"&lt;="&amp;PARAMETER!X$2,I69:BI69)</f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0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0</v>
      </c>
      <c r="AD69" s="53">
        <v>0</v>
      </c>
      <c r="AE69" s="53">
        <v>0</v>
      </c>
      <c r="AF69" s="53">
        <v>0</v>
      </c>
      <c r="AG69" s="53">
        <v>0</v>
      </c>
      <c r="AH69" s="53">
        <v>0</v>
      </c>
      <c r="AI69" s="53">
        <v>973826</v>
      </c>
      <c r="AJ69" s="53">
        <v>26080025</v>
      </c>
      <c r="AK69" s="53">
        <v>76175894</v>
      </c>
      <c r="AL69" s="53">
        <v>121208123</v>
      </c>
      <c r="AM69" s="53">
        <v>115888798</v>
      </c>
      <c r="AN69" s="53">
        <v>123580859</v>
      </c>
      <c r="AO69" s="53">
        <v>113773686</v>
      </c>
      <c r="AP69" s="53">
        <v>118747859</v>
      </c>
      <c r="AQ69" s="53">
        <v>107226993</v>
      </c>
      <c r="AR69" s="53">
        <v>116910758</v>
      </c>
      <c r="AS69" s="53">
        <v>160701926</v>
      </c>
      <c r="AT69" s="53">
        <v>133766827</v>
      </c>
      <c r="AU69" s="53">
        <v>167036995</v>
      </c>
      <c r="AV69" s="53">
        <v>137648623</v>
      </c>
      <c r="AW69" s="53">
        <v>110674924</v>
      </c>
      <c r="AX69" s="53">
        <v>158769481</v>
      </c>
      <c r="AY69" s="53">
        <v>164493237</v>
      </c>
      <c r="AZ69" s="53">
        <v>199097862</v>
      </c>
      <c r="BA69" s="53">
        <v>111135800</v>
      </c>
      <c r="BB69" s="53">
        <v>120329971</v>
      </c>
      <c r="BC69" s="53">
        <v>123203593</v>
      </c>
      <c r="BD69" s="53">
        <v>161709974</v>
      </c>
      <c r="BE69" s="53">
        <v>129140100</v>
      </c>
      <c r="BF69" s="53">
        <v>241011930</v>
      </c>
      <c r="BG69" s="53">
        <v>132788320</v>
      </c>
      <c r="BH69" s="53">
        <v>132450116</v>
      </c>
      <c r="BI69" s="53">
        <v>17645270</v>
      </c>
    </row>
    <row r="70" spans="1:61" ht="15.75" x14ac:dyDescent="0.25">
      <c r="A70" s="53" t="s">
        <v>47</v>
      </c>
      <c r="B70" s="52" t="s">
        <v>140</v>
      </c>
      <c r="C70" s="49" t="s">
        <v>40</v>
      </c>
      <c r="D70" s="49" t="str">
        <f>VLOOKUP(A70,PARAMETER!D:E,2,0)</f>
        <v>ADISTI</v>
      </c>
      <c r="E70" s="49" t="str">
        <f t="shared" si="5"/>
        <v>ADISTIFBI</v>
      </c>
      <c r="F70" s="49" t="str">
        <f t="shared" si="6"/>
        <v>LOTTE GROUPFBI</v>
      </c>
      <c r="G70" s="81">
        <f t="shared" si="7"/>
        <v>5768023</v>
      </c>
      <c r="H70" s="81">
        <f>SUMIF(I$1:BI$1,"&lt;="&amp;PARAMETER!X$2,I70:BI70)</f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  <c r="N70" s="53">
        <v>0</v>
      </c>
      <c r="O70" s="53">
        <v>0</v>
      </c>
      <c r="P70" s="53">
        <v>0</v>
      </c>
      <c r="Q70" s="53">
        <v>0</v>
      </c>
      <c r="R70" s="53">
        <v>0</v>
      </c>
      <c r="S70" s="53">
        <v>0</v>
      </c>
      <c r="T70" s="53">
        <v>0</v>
      </c>
      <c r="U70" s="53">
        <v>0</v>
      </c>
      <c r="V70" s="53">
        <v>0</v>
      </c>
      <c r="W70" s="53">
        <v>0</v>
      </c>
      <c r="X70" s="53">
        <v>0</v>
      </c>
      <c r="Y70" s="53">
        <v>0</v>
      </c>
      <c r="Z70" s="53">
        <v>0</v>
      </c>
      <c r="AA70" s="53">
        <v>0</v>
      </c>
      <c r="AB70" s="53">
        <v>0</v>
      </c>
      <c r="AC70" s="53">
        <v>0</v>
      </c>
      <c r="AD70" s="53">
        <v>0</v>
      </c>
      <c r="AE70" s="53">
        <v>0</v>
      </c>
      <c r="AF70" s="53">
        <v>0</v>
      </c>
      <c r="AG70" s="53">
        <v>0</v>
      </c>
      <c r="AH70" s="53">
        <v>0</v>
      </c>
      <c r="AI70" s="53">
        <v>1461</v>
      </c>
      <c r="AJ70" s="53">
        <v>39841</v>
      </c>
      <c r="AK70" s="53">
        <v>114264</v>
      </c>
      <c r="AL70" s="53">
        <v>181812</v>
      </c>
      <c r="AM70" s="53">
        <v>173833</v>
      </c>
      <c r="AN70" s="53">
        <v>185371</v>
      </c>
      <c r="AO70" s="53">
        <v>170660</v>
      </c>
      <c r="AP70" s="53">
        <v>178121</v>
      </c>
      <c r="AQ70" s="53">
        <v>160840</v>
      </c>
      <c r="AR70" s="53">
        <v>185949</v>
      </c>
      <c r="AS70" s="53">
        <v>311554</v>
      </c>
      <c r="AT70" s="53">
        <v>290014</v>
      </c>
      <c r="AU70" s="53">
        <v>440297</v>
      </c>
      <c r="AV70" s="53">
        <v>270982</v>
      </c>
      <c r="AW70" s="53">
        <v>199576</v>
      </c>
      <c r="AX70" s="53">
        <v>285057</v>
      </c>
      <c r="AY70" s="53">
        <v>282794</v>
      </c>
      <c r="AZ70" s="53">
        <v>324368</v>
      </c>
      <c r="BA70" s="53">
        <v>199603</v>
      </c>
      <c r="BB70" s="53">
        <v>210518</v>
      </c>
      <c r="BC70" s="53">
        <v>203889</v>
      </c>
      <c r="BD70" s="53">
        <v>291899</v>
      </c>
      <c r="BE70" s="53">
        <v>221330</v>
      </c>
      <c r="BF70" s="53">
        <v>365597</v>
      </c>
      <c r="BG70" s="53">
        <v>230812</v>
      </c>
      <c r="BH70" s="53">
        <v>219053</v>
      </c>
      <c r="BI70" s="53">
        <v>28528</v>
      </c>
    </row>
    <row r="71" spans="1:61" ht="15.75" x14ac:dyDescent="0.25">
      <c r="A71" s="53" t="s">
        <v>48</v>
      </c>
      <c r="B71" s="52" t="s">
        <v>140</v>
      </c>
      <c r="C71" s="49" t="s">
        <v>42</v>
      </c>
      <c r="D71" s="49" t="str">
        <f>VLOOKUP(A71,PARAMETER!D:E,2,0)</f>
        <v>NINA</v>
      </c>
      <c r="E71" s="49" t="str">
        <f t="shared" si="5"/>
        <v>NINATRX</v>
      </c>
      <c r="F71" s="49" t="str">
        <f t="shared" si="6"/>
        <v>MAMA ROZTRX</v>
      </c>
      <c r="G71" s="81">
        <f t="shared" si="7"/>
        <v>1562</v>
      </c>
      <c r="H71" s="81">
        <f>SUMIF(I$1:BI$1,"&lt;="&amp;PARAMETER!X$2,I71:BI71)</f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0</v>
      </c>
      <c r="AE71" s="53">
        <v>0</v>
      </c>
      <c r="AF71" s="53">
        <v>0</v>
      </c>
      <c r="AG71" s="53">
        <v>0</v>
      </c>
      <c r="AH71" s="53">
        <v>0</v>
      </c>
      <c r="AI71" s="53">
        <v>0</v>
      </c>
      <c r="AJ71" s="53">
        <v>0</v>
      </c>
      <c r="AK71" s="53">
        <v>0</v>
      </c>
      <c r="AL71" s="53">
        <v>0</v>
      </c>
      <c r="AM71" s="53">
        <v>0</v>
      </c>
      <c r="AN71" s="53">
        <v>0</v>
      </c>
      <c r="AO71" s="53">
        <v>89</v>
      </c>
      <c r="AP71" s="53">
        <v>200</v>
      </c>
      <c r="AQ71" s="53">
        <v>133</v>
      </c>
      <c r="AR71" s="53">
        <v>95</v>
      </c>
      <c r="AS71" s="53">
        <v>104</v>
      </c>
      <c r="AT71" s="53">
        <v>129</v>
      </c>
      <c r="AU71" s="53">
        <v>78</v>
      </c>
      <c r="AV71" s="53">
        <v>76</v>
      </c>
      <c r="AW71" s="53">
        <v>134</v>
      </c>
      <c r="AX71" s="53">
        <v>82</v>
      </c>
      <c r="AY71" s="53">
        <v>103</v>
      </c>
      <c r="AZ71" s="53">
        <v>57</v>
      </c>
      <c r="BA71" s="53">
        <v>62</v>
      </c>
      <c r="BB71" s="53">
        <v>45</v>
      </c>
      <c r="BC71" s="53">
        <v>52</v>
      </c>
      <c r="BD71" s="53">
        <v>36</v>
      </c>
      <c r="BE71" s="53">
        <v>34</v>
      </c>
      <c r="BF71" s="53">
        <v>35</v>
      </c>
      <c r="BG71" s="53">
        <v>18</v>
      </c>
      <c r="BH71" s="53">
        <v>0</v>
      </c>
      <c r="BI71" s="53">
        <v>0</v>
      </c>
    </row>
    <row r="72" spans="1:61" ht="15.75" x14ac:dyDescent="0.25">
      <c r="A72" s="53" t="s">
        <v>48</v>
      </c>
      <c r="B72" s="52" t="s">
        <v>140</v>
      </c>
      <c r="C72" s="49" t="s">
        <v>41</v>
      </c>
      <c r="D72" s="49" t="str">
        <f>VLOOKUP(A72,PARAMETER!D:E,2,0)</f>
        <v>NINA</v>
      </c>
      <c r="E72" s="49" t="str">
        <f t="shared" si="5"/>
        <v>NINAVOL</v>
      </c>
      <c r="F72" s="49" t="str">
        <f t="shared" si="6"/>
        <v>MAMA ROZVOL</v>
      </c>
      <c r="G72" s="81">
        <f t="shared" si="7"/>
        <v>136493803</v>
      </c>
      <c r="H72" s="81">
        <f>SUMIF(I$1:BI$1,"&lt;="&amp;PARAMETER!X$2,I72:BI72)</f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  <c r="AK72" s="53">
        <v>0</v>
      </c>
      <c r="AL72" s="53">
        <v>0</v>
      </c>
      <c r="AM72" s="53">
        <v>0</v>
      </c>
      <c r="AN72" s="53">
        <v>0</v>
      </c>
      <c r="AO72" s="53">
        <v>16378996</v>
      </c>
      <c r="AP72" s="53">
        <v>15361960</v>
      </c>
      <c r="AQ72" s="53">
        <v>10522551</v>
      </c>
      <c r="AR72" s="53">
        <v>6948931</v>
      </c>
      <c r="AS72" s="53">
        <v>8525232</v>
      </c>
      <c r="AT72" s="53">
        <v>10762710</v>
      </c>
      <c r="AU72" s="53">
        <v>6392860</v>
      </c>
      <c r="AV72" s="53">
        <v>5642610</v>
      </c>
      <c r="AW72" s="53">
        <v>11106130</v>
      </c>
      <c r="AX72" s="53">
        <v>6612860</v>
      </c>
      <c r="AY72" s="53">
        <v>7647200</v>
      </c>
      <c r="AZ72" s="53">
        <v>4921000</v>
      </c>
      <c r="BA72" s="53">
        <v>5142410</v>
      </c>
      <c r="BB72" s="53">
        <v>3296701</v>
      </c>
      <c r="BC72" s="53">
        <v>3676320</v>
      </c>
      <c r="BD72" s="53">
        <v>2613130</v>
      </c>
      <c r="BE72" s="53">
        <v>2690640</v>
      </c>
      <c r="BF72" s="53">
        <v>2677561</v>
      </c>
      <c r="BG72" s="53">
        <v>3658141</v>
      </c>
      <c r="BH72" s="53">
        <v>1205460</v>
      </c>
      <c r="BI72" s="53">
        <v>710400</v>
      </c>
    </row>
    <row r="73" spans="1:61" ht="15.75" x14ac:dyDescent="0.25">
      <c r="A73" s="53" t="s">
        <v>48</v>
      </c>
      <c r="B73" s="52" t="s">
        <v>140</v>
      </c>
      <c r="C73" s="49" t="s">
        <v>40</v>
      </c>
      <c r="D73" s="49" t="str">
        <f>VLOOKUP(A73,PARAMETER!D:E,2,0)</f>
        <v>NINA</v>
      </c>
      <c r="E73" s="49" t="str">
        <f t="shared" si="5"/>
        <v>NINAFBI</v>
      </c>
      <c r="F73" s="49" t="str">
        <f t="shared" si="6"/>
        <v>MAMA ROZFBI</v>
      </c>
      <c r="G73" s="81">
        <f t="shared" si="7"/>
        <v>1011307</v>
      </c>
      <c r="H73" s="81">
        <f>SUMIF(I$1:BI$1,"&lt;="&amp;PARAMETER!X$2,I73:BI73)</f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0</v>
      </c>
      <c r="AE73" s="53">
        <v>0</v>
      </c>
      <c r="AF73" s="53">
        <v>0</v>
      </c>
      <c r="AG73" s="53">
        <v>0</v>
      </c>
      <c r="AH73" s="53">
        <v>0</v>
      </c>
      <c r="AI73" s="53">
        <v>0</v>
      </c>
      <c r="AJ73" s="53">
        <v>0</v>
      </c>
      <c r="AK73" s="53">
        <v>0</v>
      </c>
      <c r="AL73" s="53">
        <v>0</v>
      </c>
      <c r="AM73" s="53">
        <v>0</v>
      </c>
      <c r="AN73" s="53">
        <v>0</v>
      </c>
      <c r="AO73" s="53">
        <v>120581</v>
      </c>
      <c r="AP73" s="53">
        <v>107534</v>
      </c>
      <c r="AQ73" s="53">
        <v>76162</v>
      </c>
      <c r="AR73" s="53">
        <v>49944</v>
      </c>
      <c r="AS73" s="53">
        <v>63189</v>
      </c>
      <c r="AT73" s="53">
        <v>82348</v>
      </c>
      <c r="AU73" s="53">
        <v>49307</v>
      </c>
      <c r="AV73" s="53">
        <v>41096</v>
      </c>
      <c r="AW73" s="53">
        <v>84695</v>
      </c>
      <c r="AX73" s="53">
        <v>49323</v>
      </c>
      <c r="AY73" s="53">
        <v>54543</v>
      </c>
      <c r="AZ73" s="53">
        <v>41594</v>
      </c>
      <c r="BA73" s="53">
        <v>42088</v>
      </c>
      <c r="BB73" s="53">
        <v>23837</v>
      </c>
      <c r="BC73" s="53">
        <v>26414</v>
      </c>
      <c r="BD73" s="53">
        <v>20797</v>
      </c>
      <c r="BE73" s="53">
        <v>19353</v>
      </c>
      <c r="BF73" s="53">
        <v>19483</v>
      </c>
      <c r="BG73" s="53">
        <v>25608</v>
      </c>
      <c r="BH73" s="53">
        <v>8438</v>
      </c>
      <c r="BI73" s="53">
        <v>4973</v>
      </c>
    </row>
    <row r="74" spans="1:61" ht="15.75" x14ac:dyDescent="0.25">
      <c r="A74" s="53" t="s">
        <v>21</v>
      </c>
      <c r="B74" s="52" t="s">
        <v>140</v>
      </c>
      <c r="C74" s="49" t="s">
        <v>42</v>
      </c>
      <c r="D74" s="49" t="str">
        <f>VLOOKUP(A74,PARAMETER!D:E,2,0)</f>
        <v>ADISTI</v>
      </c>
      <c r="E74" s="49" t="str">
        <f t="shared" si="5"/>
        <v>ADISTITRX</v>
      </c>
      <c r="F74" s="49" t="str">
        <f t="shared" si="6"/>
        <v>MAP GROUPTRX</v>
      </c>
      <c r="G74" s="81">
        <f t="shared" si="7"/>
        <v>229411</v>
      </c>
      <c r="H74" s="81">
        <f>SUMIF(I$1:BI$1,"&lt;="&amp;PARAMETER!X$2,I74:BI74)</f>
        <v>1940</v>
      </c>
      <c r="I74" s="53">
        <v>197</v>
      </c>
      <c r="J74" s="53">
        <v>212</v>
      </c>
      <c r="K74" s="53">
        <v>178</v>
      </c>
      <c r="L74" s="53">
        <v>149</v>
      </c>
      <c r="M74" s="53">
        <v>167</v>
      </c>
      <c r="N74" s="53">
        <v>153</v>
      </c>
      <c r="O74" s="53">
        <v>182</v>
      </c>
      <c r="P74" s="53">
        <v>180</v>
      </c>
      <c r="Q74" s="53">
        <v>190</v>
      </c>
      <c r="R74" s="53">
        <v>137</v>
      </c>
      <c r="S74" s="53">
        <v>195</v>
      </c>
      <c r="T74" s="53">
        <v>193</v>
      </c>
      <c r="U74" s="53">
        <v>152</v>
      </c>
      <c r="V74" s="53">
        <v>92</v>
      </c>
      <c r="W74" s="53">
        <v>138</v>
      </c>
      <c r="X74" s="53">
        <v>189</v>
      </c>
      <c r="Y74" s="53">
        <v>258</v>
      </c>
      <c r="Z74" s="53">
        <v>236</v>
      </c>
      <c r="AA74" s="53">
        <v>255</v>
      </c>
      <c r="AB74" s="53">
        <v>306</v>
      </c>
      <c r="AC74" s="53">
        <v>293</v>
      </c>
      <c r="AD74" s="53">
        <v>174</v>
      </c>
      <c r="AE74" s="53">
        <v>179</v>
      </c>
      <c r="AF74" s="53">
        <v>221</v>
      </c>
      <c r="AG74" s="53">
        <v>248</v>
      </c>
      <c r="AH74" s="53">
        <v>322</v>
      </c>
      <c r="AI74" s="53">
        <v>317</v>
      </c>
      <c r="AJ74" s="53">
        <v>270</v>
      </c>
      <c r="AK74" s="53">
        <v>219</v>
      </c>
      <c r="AL74" s="53">
        <v>186</v>
      </c>
      <c r="AM74" s="53">
        <v>269</v>
      </c>
      <c r="AN74" s="53">
        <v>262</v>
      </c>
      <c r="AO74" s="53">
        <v>272</v>
      </c>
      <c r="AP74" s="53">
        <v>603</v>
      </c>
      <c r="AQ74" s="53">
        <v>487</v>
      </c>
      <c r="AR74" s="53">
        <v>1256</v>
      </c>
      <c r="AS74" s="53">
        <v>9475</v>
      </c>
      <c r="AT74" s="53">
        <v>16207</v>
      </c>
      <c r="AU74" s="53">
        <v>21617</v>
      </c>
      <c r="AV74" s="53">
        <v>15780</v>
      </c>
      <c r="AW74" s="53">
        <v>13952</v>
      </c>
      <c r="AX74" s="53">
        <v>12741</v>
      </c>
      <c r="AY74" s="53">
        <v>12108</v>
      </c>
      <c r="AZ74" s="53">
        <v>11488</v>
      </c>
      <c r="BA74" s="53">
        <v>11305</v>
      </c>
      <c r="BB74" s="53">
        <v>10988</v>
      </c>
      <c r="BC74" s="53">
        <v>10831</v>
      </c>
      <c r="BD74" s="53">
        <v>15054</v>
      </c>
      <c r="BE74" s="53">
        <v>14748</v>
      </c>
      <c r="BF74" s="53">
        <v>13206</v>
      </c>
      <c r="BG74" s="53">
        <v>12622</v>
      </c>
      <c r="BH74" s="53">
        <v>16079</v>
      </c>
      <c r="BI74" s="53">
        <v>1873</v>
      </c>
    </row>
    <row r="75" spans="1:61" ht="15.75" x14ac:dyDescent="0.25">
      <c r="A75" s="53" t="s">
        <v>21</v>
      </c>
      <c r="B75" s="52" t="s">
        <v>140</v>
      </c>
      <c r="C75" s="49" t="s">
        <v>41</v>
      </c>
      <c r="D75" s="49" t="str">
        <f>VLOOKUP(A75,PARAMETER!D:E,2,0)</f>
        <v>ADISTI</v>
      </c>
      <c r="E75" s="49" t="str">
        <f t="shared" si="5"/>
        <v>ADISTIVOL</v>
      </c>
      <c r="F75" s="49" t="str">
        <f t="shared" si="6"/>
        <v>MAP GROUPVOL</v>
      </c>
      <c r="G75" s="81">
        <f t="shared" si="7"/>
        <v>211092513890</v>
      </c>
      <c r="H75" s="81">
        <f>SUMIF(I$1:BI$1,"&lt;="&amp;PARAMETER!X$2,I75:BI75)</f>
        <v>290316900</v>
      </c>
      <c r="I75" s="53">
        <v>29697300</v>
      </c>
      <c r="J75" s="53">
        <v>24810100</v>
      </c>
      <c r="K75" s="53">
        <v>22402600</v>
      </c>
      <c r="L75" s="53">
        <v>23205700</v>
      </c>
      <c r="M75" s="53">
        <v>30490300</v>
      </c>
      <c r="N75" s="53">
        <v>20652000</v>
      </c>
      <c r="O75" s="53">
        <v>27604000</v>
      </c>
      <c r="P75" s="53">
        <v>23828100</v>
      </c>
      <c r="Q75" s="53">
        <v>33839500</v>
      </c>
      <c r="R75" s="53">
        <v>24806100</v>
      </c>
      <c r="S75" s="53">
        <v>28981200</v>
      </c>
      <c r="T75" s="53">
        <v>33389200</v>
      </c>
      <c r="U75" s="53">
        <v>28009750</v>
      </c>
      <c r="V75" s="53">
        <v>12702700</v>
      </c>
      <c r="W75" s="53">
        <v>15417983</v>
      </c>
      <c r="X75" s="53">
        <v>19535300</v>
      </c>
      <c r="Y75" s="53">
        <v>30329700</v>
      </c>
      <c r="Z75" s="53">
        <v>30572300</v>
      </c>
      <c r="AA75" s="53">
        <v>27766200</v>
      </c>
      <c r="AB75" s="53">
        <v>23530800</v>
      </c>
      <c r="AC75" s="53">
        <v>28457800</v>
      </c>
      <c r="AD75" s="53">
        <v>20726300</v>
      </c>
      <c r="AE75" s="53">
        <v>22447700</v>
      </c>
      <c r="AF75" s="53">
        <v>30076500</v>
      </c>
      <c r="AG75" s="53">
        <v>28764500</v>
      </c>
      <c r="AH75" s="53">
        <v>44940700</v>
      </c>
      <c r="AI75" s="53">
        <v>39759350</v>
      </c>
      <c r="AJ75" s="53">
        <v>38597600</v>
      </c>
      <c r="AK75" s="53">
        <v>34815400</v>
      </c>
      <c r="AL75" s="53">
        <v>23712900</v>
      </c>
      <c r="AM75" s="53">
        <v>38515300</v>
      </c>
      <c r="AN75" s="53">
        <v>94055603</v>
      </c>
      <c r="AO75" s="53">
        <v>118564304</v>
      </c>
      <c r="AP75" s="53">
        <v>533573925</v>
      </c>
      <c r="AQ75" s="53">
        <v>331702426</v>
      </c>
      <c r="AR75" s="53">
        <v>1108230507</v>
      </c>
      <c r="AS75" s="53">
        <v>8640047586</v>
      </c>
      <c r="AT75" s="53">
        <v>15607962901</v>
      </c>
      <c r="AU75" s="53">
        <v>21050228321</v>
      </c>
      <c r="AV75" s="53">
        <v>15831016840</v>
      </c>
      <c r="AW75" s="53">
        <v>13959657105</v>
      </c>
      <c r="AX75" s="53">
        <v>12072722491</v>
      </c>
      <c r="AY75" s="53">
        <v>11198559936</v>
      </c>
      <c r="AZ75" s="53">
        <v>11025830180</v>
      </c>
      <c r="BA75" s="53">
        <v>11020120622</v>
      </c>
      <c r="BB75" s="53">
        <v>11475666362</v>
      </c>
      <c r="BC75" s="53">
        <v>10766988627</v>
      </c>
      <c r="BD75" s="53">
        <v>13324970368</v>
      </c>
      <c r="BE75" s="53">
        <v>12591467602</v>
      </c>
      <c r="BF75" s="53">
        <v>11544638538</v>
      </c>
      <c r="BG75" s="53">
        <v>11344625948</v>
      </c>
      <c r="BH75" s="53">
        <v>15036853175</v>
      </c>
      <c r="BI75" s="53">
        <v>1552645640</v>
      </c>
    </row>
    <row r="76" spans="1:61" ht="15.75" x14ac:dyDescent="0.25">
      <c r="A76" s="53" t="s">
        <v>21</v>
      </c>
      <c r="B76" s="52" t="s">
        <v>140</v>
      </c>
      <c r="C76" s="49" t="s">
        <v>40</v>
      </c>
      <c r="D76" s="49" t="str">
        <f>VLOOKUP(A76,PARAMETER!D:E,2,0)</f>
        <v>ADISTI</v>
      </c>
      <c r="E76" s="49" t="str">
        <f t="shared" si="5"/>
        <v>ADISTIFBI</v>
      </c>
      <c r="F76" s="49" t="str">
        <f t="shared" si="6"/>
        <v>MAP GROUPFBI</v>
      </c>
      <c r="G76" s="81">
        <f t="shared" si="7"/>
        <v>2391249947</v>
      </c>
      <c r="H76" s="81">
        <f>SUMIF(I$1:BI$1,"&lt;="&amp;PARAMETER!X$2,I76:BI76)</f>
        <v>2186826</v>
      </c>
      <c r="I76" s="53">
        <v>212141</v>
      </c>
      <c r="J76" s="53">
        <v>175868</v>
      </c>
      <c r="K76" s="53">
        <v>167062</v>
      </c>
      <c r="L76" s="53">
        <v>176308</v>
      </c>
      <c r="M76" s="53">
        <v>240975</v>
      </c>
      <c r="N76" s="53">
        <v>156487</v>
      </c>
      <c r="O76" s="53">
        <v>212194</v>
      </c>
      <c r="P76" s="53">
        <v>186532</v>
      </c>
      <c r="Q76" s="53">
        <v>255410</v>
      </c>
      <c r="R76" s="53">
        <v>184002</v>
      </c>
      <c r="S76" s="53">
        <v>219847</v>
      </c>
      <c r="T76" s="53">
        <v>245595</v>
      </c>
      <c r="U76" s="53">
        <v>208287</v>
      </c>
      <c r="V76" s="53">
        <v>97554</v>
      </c>
      <c r="W76" s="53">
        <v>114588</v>
      </c>
      <c r="X76" s="53">
        <v>145078</v>
      </c>
      <c r="Y76" s="53">
        <v>221437</v>
      </c>
      <c r="Z76" s="53">
        <v>218118</v>
      </c>
      <c r="AA76" s="53">
        <v>205492</v>
      </c>
      <c r="AB76" s="53">
        <v>164121</v>
      </c>
      <c r="AC76" s="53">
        <v>210837</v>
      </c>
      <c r="AD76" s="53">
        <v>145909</v>
      </c>
      <c r="AE76" s="53">
        <v>168438</v>
      </c>
      <c r="AF76" s="53">
        <v>226027</v>
      </c>
      <c r="AG76" s="53">
        <v>199201</v>
      </c>
      <c r="AH76" s="53">
        <v>283831</v>
      </c>
      <c r="AI76" s="53">
        <v>257662</v>
      </c>
      <c r="AJ76" s="53">
        <v>254734</v>
      </c>
      <c r="AK76" s="53">
        <v>239775</v>
      </c>
      <c r="AL76" s="53">
        <v>161887</v>
      </c>
      <c r="AM76" s="53">
        <v>279135</v>
      </c>
      <c r="AN76" s="53">
        <v>947849</v>
      </c>
      <c r="AO76" s="53">
        <v>1223219</v>
      </c>
      <c r="AP76" s="53">
        <v>6144234</v>
      </c>
      <c r="AQ76" s="53">
        <v>3555399</v>
      </c>
      <c r="AR76" s="53">
        <v>12360393</v>
      </c>
      <c r="AS76" s="53">
        <v>95990080</v>
      </c>
      <c r="AT76" s="53">
        <v>174004963</v>
      </c>
      <c r="AU76" s="53">
        <v>236497577</v>
      </c>
      <c r="AV76" s="53">
        <v>187431440</v>
      </c>
      <c r="AW76" s="53">
        <v>163979227</v>
      </c>
      <c r="AX76" s="53">
        <v>138634260</v>
      </c>
      <c r="AY76" s="53">
        <v>128514886</v>
      </c>
      <c r="AZ76" s="53">
        <v>124778666</v>
      </c>
      <c r="BA76" s="53">
        <v>125438533</v>
      </c>
      <c r="BB76" s="53">
        <v>130102496</v>
      </c>
      <c r="BC76" s="53">
        <v>122859862</v>
      </c>
      <c r="BD76" s="53">
        <v>151793146</v>
      </c>
      <c r="BE76" s="53">
        <v>141489266</v>
      </c>
      <c r="BF76" s="53">
        <v>129077044</v>
      </c>
      <c r="BG76" s="53">
        <v>126278480</v>
      </c>
      <c r="BH76" s="53">
        <v>166607925</v>
      </c>
      <c r="BI76" s="53">
        <v>17306470</v>
      </c>
    </row>
    <row r="77" spans="1:61" ht="15.75" x14ac:dyDescent="0.25">
      <c r="A77" s="53" t="s">
        <v>23</v>
      </c>
      <c r="B77" s="52" t="s">
        <v>140</v>
      </c>
      <c r="C77" s="49" t="s">
        <v>42</v>
      </c>
      <c r="D77" s="49" t="str">
        <f>VLOOKUP(A77,PARAMETER!D:E,2,0)</f>
        <v>ADISTI</v>
      </c>
      <c r="E77" s="49" t="str">
        <f t="shared" si="5"/>
        <v>ADISTITRX</v>
      </c>
      <c r="F77" s="49" t="str">
        <f t="shared" si="6"/>
        <v>MITRA10TRX</v>
      </c>
      <c r="G77" s="81">
        <f t="shared" si="7"/>
        <v>5801</v>
      </c>
      <c r="H77" s="81">
        <f>SUMIF(I$1:BI$1,"&lt;="&amp;PARAMETER!X$2,I77:BI77)</f>
        <v>1303</v>
      </c>
      <c r="I77" s="53">
        <v>134</v>
      </c>
      <c r="J77" s="53">
        <v>92</v>
      </c>
      <c r="K77" s="53">
        <v>122</v>
      </c>
      <c r="L77" s="53">
        <v>118</v>
      </c>
      <c r="M77" s="53">
        <v>136</v>
      </c>
      <c r="N77" s="53">
        <v>105</v>
      </c>
      <c r="O77" s="53">
        <v>108</v>
      </c>
      <c r="P77" s="53">
        <v>109</v>
      </c>
      <c r="Q77" s="53">
        <v>104</v>
      </c>
      <c r="R77" s="53">
        <v>135</v>
      </c>
      <c r="S77" s="53">
        <v>140</v>
      </c>
      <c r="T77" s="53">
        <v>102</v>
      </c>
      <c r="U77" s="53">
        <v>49</v>
      </c>
      <c r="V77" s="53">
        <v>90</v>
      </c>
      <c r="W77" s="53">
        <v>105</v>
      </c>
      <c r="X77" s="53">
        <v>105</v>
      </c>
      <c r="Y77" s="53">
        <v>109</v>
      </c>
      <c r="Z77" s="53">
        <v>125</v>
      </c>
      <c r="AA77" s="53">
        <v>139</v>
      </c>
      <c r="AB77" s="53">
        <v>101</v>
      </c>
      <c r="AC77" s="53">
        <v>123</v>
      </c>
      <c r="AD77" s="53">
        <v>41</v>
      </c>
      <c r="AE77" s="53">
        <v>121</v>
      </c>
      <c r="AF77" s="53">
        <v>122</v>
      </c>
      <c r="AG77" s="53">
        <v>123</v>
      </c>
      <c r="AH77" s="53">
        <v>124</v>
      </c>
      <c r="AI77" s="53">
        <v>94</v>
      </c>
      <c r="AJ77" s="53">
        <v>104</v>
      </c>
      <c r="AK77" s="53">
        <v>103</v>
      </c>
      <c r="AL77" s="53">
        <v>119</v>
      </c>
      <c r="AM77" s="53">
        <v>102</v>
      </c>
      <c r="AN77" s="53">
        <v>106</v>
      </c>
      <c r="AO77" s="53">
        <v>148</v>
      </c>
      <c r="AP77" s="53">
        <v>112</v>
      </c>
      <c r="AQ77" s="53">
        <v>124</v>
      </c>
      <c r="AR77" s="53">
        <v>128</v>
      </c>
      <c r="AS77" s="53">
        <v>114</v>
      </c>
      <c r="AT77" s="53">
        <v>131</v>
      </c>
      <c r="AU77" s="53">
        <v>143</v>
      </c>
      <c r="AV77" s="53">
        <v>117</v>
      </c>
      <c r="AW77" s="53">
        <v>133</v>
      </c>
      <c r="AX77" s="53">
        <v>94</v>
      </c>
      <c r="AY77" s="53">
        <v>89</v>
      </c>
      <c r="AZ77" s="53">
        <v>88</v>
      </c>
      <c r="BA77" s="53">
        <v>97</v>
      </c>
      <c r="BB77" s="53">
        <v>103</v>
      </c>
      <c r="BC77" s="53">
        <v>96</v>
      </c>
      <c r="BD77" s="53">
        <v>95</v>
      </c>
      <c r="BE77" s="53">
        <v>110</v>
      </c>
      <c r="BF77" s="53">
        <v>127</v>
      </c>
      <c r="BG77" s="53">
        <v>118</v>
      </c>
      <c r="BH77" s="53">
        <v>103</v>
      </c>
      <c r="BI77" s="53">
        <v>21</v>
      </c>
    </row>
    <row r="78" spans="1:61" ht="15.75" x14ac:dyDescent="0.25">
      <c r="A78" s="53" t="s">
        <v>23</v>
      </c>
      <c r="B78" s="52" t="s">
        <v>140</v>
      </c>
      <c r="C78" s="49" t="s">
        <v>41</v>
      </c>
      <c r="D78" s="49" t="str">
        <f>VLOOKUP(A78,PARAMETER!D:E,2,0)</f>
        <v>ADISTI</v>
      </c>
      <c r="E78" s="49" t="str">
        <f t="shared" si="5"/>
        <v>ADISTIVOL</v>
      </c>
      <c r="F78" s="49" t="str">
        <f t="shared" si="6"/>
        <v>MITRA10VOL</v>
      </c>
      <c r="G78" s="81">
        <f t="shared" si="7"/>
        <v>12538438120</v>
      </c>
      <c r="H78" s="81">
        <f>SUMIF(I$1:BI$1,"&lt;="&amp;PARAMETER!X$2,I78:BI78)</f>
        <v>2670836595</v>
      </c>
      <c r="I78" s="53">
        <v>272144573</v>
      </c>
      <c r="J78" s="53">
        <v>182462329</v>
      </c>
      <c r="K78" s="53">
        <v>168988025</v>
      </c>
      <c r="L78" s="53">
        <v>260453054</v>
      </c>
      <c r="M78" s="53">
        <v>241807143</v>
      </c>
      <c r="N78" s="53">
        <v>213605330</v>
      </c>
      <c r="O78" s="53">
        <v>266212853</v>
      </c>
      <c r="P78" s="53">
        <v>331143960</v>
      </c>
      <c r="Q78" s="53">
        <v>170204810</v>
      </c>
      <c r="R78" s="53">
        <v>279337353</v>
      </c>
      <c r="S78" s="53">
        <v>284477165</v>
      </c>
      <c r="T78" s="53">
        <v>173690437</v>
      </c>
      <c r="U78" s="53">
        <v>46610603</v>
      </c>
      <c r="V78" s="53">
        <v>120432783</v>
      </c>
      <c r="W78" s="53">
        <v>244336083</v>
      </c>
      <c r="X78" s="53">
        <v>208699619</v>
      </c>
      <c r="Y78" s="53">
        <v>240311594</v>
      </c>
      <c r="Z78" s="53">
        <v>192406293</v>
      </c>
      <c r="AA78" s="53">
        <v>269995096</v>
      </c>
      <c r="AB78" s="53">
        <v>264777942</v>
      </c>
      <c r="AC78" s="53">
        <v>298801921</v>
      </c>
      <c r="AD78" s="53">
        <v>82470876</v>
      </c>
      <c r="AE78" s="53">
        <v>238238746</v>
      </c>
      <c r="AF78" s="53">
        <v>213668630</v>
      </c>
      <c r="AG78" s="53">
        <v>337295229</v>
      </c>
      <c r="AH78" s="53">
        <v>190148236</v>
      </c>
      <c r="AI78" s="53">
        <v>164616661</v>
      </c>
      <c r="AJ78" s="53">
        <v>289088448</v>
      </c>
      <c r="AK78" s="53">
        <v>202072101</v>
      </c>
      <c r="AL78" s="53">
        <v>283342171</v>
      </c>
      <c r="AM78" s="53">
        <v>261432199</v>
      </c>
      <c r="AN78" s="53">
        <v>165055402</v>
      </c>
      <c r="AO78" s="53">
        <v>356585812</v>
      </c>
      <c r="AP78" s="53">
        <v>202026906</v>
      </c>
      <c r="AQ78" s="53">
        <v>390188773</v>
      </c>
      <c r="AR78" s="53">
        <v>300561501</v>
      </c>
      <c r="AS78" s="53">
        <v>251629234</v>
      </c>
      <c r="AT78" s="53">
        <v>200802492</v>
      </c>
      <c r="AU78" s="53">
        <v>388638325</v>
      </c>
      <c r="AV78" s="53">
        <v>226411296</v>
      </c>
      <c r="AW78" s="53">
        <v>318864028</v>
      </c>
      <c r="AX78" s="53">
        <v>254748991</v>
      </c>
      <c r="AY78" s="53">
        <v>199981087</v>
      </c>
      <c r="AZ78" s="53">
        <v>251315186</v>
      </c>
      <c r="BA78" s="53">
        <v>190394265</v>
      </c>
      <c r="BB78" s="53">
        <v>292915129</v>
      </c>
      <c r="BC78" s="53">
        <v>190542566</v>
      </c>
      <c r="BD78" s="53">
        <v>241129805</v>
      </c>
      <c r="BE78" s="53">
        <v>193914605</v>
      </c>
      <c r="BF78" s="53">
        <v>258570699</v>
      </c>
      <c r="BG78" s="53">
        <v>345738417</v>
      </c>
      <c r="BH78" s="53">
        <v>294830465</v>
      </c>
      <c r="BI78" s="53">
        <v>30320873</v>
      </c>
    </row>
    <row r="79" spans="1:61" ht="15.75" x14ac:dyDescent="0.25">
      <c r="A79" s="53" t="s">
        <v>23</v>
      </c>
      <c r="B79" s="52" t="s">
        <v>140</v>
      </c>
      <c r="C79" s="49" t="s">
        <v>40</v>
      </c>
      <c r="D79" s="49" t="str">
        <f>VLOOKUP(A79,PARAMETER!D:E,2,0)</f>
        <v>ADISTI</v>
      </c>
      <c r="E79" s="49" t="str">
        <f t="shared" si="5"/>
        <v>ADISTIFBI</v>
      </c>
      <c r="F79" s="49" t="str">
        <f t="shared" si="6"/>
        <v>MITRA10FBI</v>
      </c>
      <c r="G79" s="81">
        <f t="shared" si="7"/>
        <v>19901417</v>
      </c>
      <c r="H79" s="81">
        <f>SUMIF(I$1:BI$1,"&lt;="&amp;PARAMETER!X$2,I79:BI79)</f>
        <v>4594975</v>
      </c>
      <c r="I79" s="53">
        <v>408217</v>
      </c>
      <c r="J79" s="53">
        <v>278897</v>
      </c>
      <c r="K79" s="53">
        <v>253482</v>
      </c>
      <c r="L79" s="53">
        <v>411843</v>
      </c>
      <c r="M79" s="53">
        <v>364569</v>
      </c>
      <c r="N79" s="53">
        <v>320408</v>
      </c>
      <c r="O79" s="53">
        <v>449258</v>
      </c>
      <c r="P79" s="53">
        <v>963243</v>
      </c>
      <c r="Q79" s="53">
        <v>255307</v>
      </c>
      <c r="R79" s="53">
        <v>463036</v>
      </c>
      <c r="S79" s="53">
        <v>426715</v>
      </c>
      <c r="T79" s="53">
        <v>260535</v>
      </c>
      <c r="U79" s="53">
        <v>69916</v>
      </c>
      <c r="V79" s="53">
        <v>180649</v>
      </c>
      <c r="W79" s="53">
        <v>366504</v>
      </c>
      <c r="X79" s="53">
        <v>313049</v>
      </c>
      <c r="Y79" s="53">
        <v>360792</v>
      </c>
      <c r="Z79" s="53">
        <v>288609</v>
      </c>
      <c r="AA79" s="53">
        <v>404992</v>
      </c>
      <c r="AB79" s="53">
        <v>397167</v>
      </c>
      <c r="AC79" s="53">
        <v>511892</v>
      </c>
      <c r="AD79" s="53">
        <v>123706</v>
      </c>
      <c r="AE79" s="53">
        <v>357358</v>
      </c>
      <c r="AF79" s="53">
        <v>320503</v>
      </c>
      <c r="AG79" s="53">
        <v>505942</v>
      </c>
      <c r="AH79" s="53">
        <v>287167</v>
      </c>
      <c r="AI79" s="53">
        <v>246925</v>
      </c>
      <c r="AJ79" s="53">
        <v>433632</v>
      </c>
      <c r="AK79" s="53">
        <v>312395</v>
      </c>
      <c r="AL79" s="53">
        <v>425013</v>
      </c>
      <c r="AM79" s="53">
        <v>392148</v>
      </c>
      <c r="AN79" s="53">
        <v>247583</v>
      </c>
      <c r="AO79" s="53">
        <v>834222</v>
      </c>
      <c r="AP79" s="53">
        <v>310168</v>
      </c>
      <c r="AQ79" s="53">
        <v>585283</v>
      </c>
      <c r="AR79" s="53">
        <v>469421</v>
      </c>
      <c r="AS79" s="53">
        <v>377444</v>
      </c>
      <c r="AT79" s="53">
        <v>303403</v>
      </c>
      <c r="AU79" s="53">
        <v>582957</v>
      </c>
      <c r="AV79" s="53">
        <v>339617</v>
      </c>
      <c r="AW79" s="53">
        <v>480214</v>
      </c>
      <c r="AX79" s="53">
        <v>387082</v>
      </c>
      <c r="AY79" s="53">
        <v>302448</v>
      </c>
      <c r="AZ79" s="53">
        <v>376973</v>
      </c>
      <c r="BA79" s="53">
        <v>285591</v>
      </c>
      <c r="BB79" s="53">
        <v>439372</v>
      </c>
      <c r="BC79" s="53">
        <v>289069</v>
      </c>
      <c r="BD79" s="53">
        <v>402856</v>
      </c>
      <c r="BE79" s="53">
        <v>328686</v>
      </c>
      <c r="BF79" s="53">
        <v>398826</v>
      </c>
      <c r="BG79" s="53">
        <v>518607</v>
      </c>
      <c r="BH79" s="53">
        <v>442245</v>
      </c>
      <c r="BI79" s="53">
        <v>45481</v>
      </c>
    </row>
    <row r="80" spans="1:61" ht="15.75" x14ac:dyDescent="0.25">
      <c r="A80" s="53" t="s">
        <v>144</v>
      </c>
      <c r="B80" s="52" t="s">
        <v>140</v>
      </c>
      <c r="C80" s="49" t="s">
        <v>42</v>
      </c>
      <c r="D80" s="49" t="e">
        <f>VLOOKUP(A80,PARAMETER!D:E,2,0)</f>
        <v>#N/A</v>
      </c>
      <c r="E80" s="49" t="e">
        <f t="shared" si="5"/>
        <v>#N/A</v>
      </c>
      <c r="F80" s="49" t="str">
        <f t="shared" si="6"/>
        <v>MIXUETRX</v>
      </c>
      <c r="G80" s="81">
        <f t="shared" si="7"/>
        <v>3</v>
      </c>
      <c r="H80" s="81">
        <f>SUMIF(I$1:BI$1,"&lt;="&amp;PARAMETER!X$2,I80:BI80)</f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0</v>
      </c>
      <c r="P80" s="53">
        <v>0</v>
      </c>
      <c r="Q80" s="53">
        <v>0</v>
      </c>
      <c r="R80" s="53">
        <v>0</v>
      </c>
      <c r="S80" s="53">
        <v>0</v>
      </c>
      <c r="T80" s="53">
        <v>0</v>
      </c>
      <c r="U80" s="53">
        <v>0</v>
      </c>
      <c r="V80" s="53">
        <v>0</v>
      </c>
      <c r="W80" s="53">
        <v>0</v>
      </c>
      <c r="X80" s="53">
        <v>0</v>
      </c>
      <c r="Y80" s="53">
        <v>0</v>
      </c>
      <c r="Z80" s="53">
        <v>0</v>
      </c>
      <c r="AA80" s="53">
        <v>0</v>
      </c>
      <c r="AB80" s="53">
        <v>0</v>
      </c>
      <c r="AC80" s="53">
        <v>0</v>
      </c>
      <c r="AD80" s="53">
        <v>0</v>
      </c>
      <c r="AE80" s="53">
        <v>0</v>
      </c>
      <c r="AF80" s="53">
        <v>0</v>
      </c>
      <c r="AG80" s="53">
        <v>0</v>
      </c>
      <c r="AH80" s="53">
        <v>0</v>
      </c>
      <c r="AI80" s="53">
        <v>0</v>
      </c>
      <c r="AJ80" s="53">
        <v>0</v>
      </c>
      <c r="AK80" s="53">
        <v>0</v>
      </c>
      <c r="AL80" s="53">
        <v>0</v>
      </c>
      <c r="AM80" s="53">
        <v>0</v>
      </c>
      <c r="AN80" s="53">
        <v>0</v>
      </c>
      <c r="AO80" s="53">
        <v>0</v>
      </c>
      <c r="AP80" s="53">
        <v>0</v>
      </c>
      <c r="AQ80" s="53">
        <v>0</v>
      </c>
      <c r="AR80" s="53">
        <v>0</v>
      </c>
      <c r="AS80" s="53">
        <v>0</v>
      </c>
      <c r="AT80" s="53">
        <v>0</v>
      </c>
      <c r="AU80" s="53">
        <v>0</v>
      </c>
      <c r="AV80" s="53">
        <v>0</v>
      </c>
      <c r="AW80" s="53">
        <v>0</v>
      </c>
      <c r="AX80" s="53">
        <v>0</v>
      </c>
      <c r="AY80" s="53">
        <v>0</v>
      </c>
      <c r="AZ80" s="53">
        <v>0</v>
      </c>
      <c r="BA80" s="53">
        <v>0</v>
      </c>
      <c r="BB80" s="53">
        <v>0</v>
      </c>
      <c r="BC80" s="53">
        <v>0</v>
      </c>
      <c r="BD80" s="53">
        <v>3</v>
      </c>
      <c r="BE80" s="53">
        <v>0</v>
      </c>
      <c r="BF80" s="53">
        <v>0</v>
      </c>
      <c r="BG80" s="53">
        <v>0</v>
      </c>
      <c r="BH80" s="53">
        <v>0</v>
      </c>
      <c r="BI80" s="53">
        <v>0</v>
      </c>
    </row>
    <row r="81" spans="1:61" ht="15.75" x14ac:dyDescent="0.25">
      <c r="A81" s="53" t="s">
        <v>144</v>
      </c>
      <c r="B81" s="52" t="s">
        <v>140</v>
      </c>
      <c r="C81" s="49" t="s">
        <v>41</v>
      </c>
      <c r="D81" s="49" t="e">
        <f>VLOOKUP(A81,PARAMETER!D:E,2,0)</f>
        <v>#N/A</v>
      </c>
      <c r="E81" s="49" t="e">
        <f t="shared" si="5"/>
        <v>#N/A</v>
      </c>
      <c r="F81" s="49" t="str">
        <f t="shared" si="6"/>
        <v>MIXUEVOL</v>
      </c>
      <c r="G81" s="81">
        <f t="shared" si="7"/>
        <v>78000</v>
      </c>
      <c r="H81" s="81">
        <f>SUMIF(I$1:BI$1,"&lt;="&amp;PARAMETER!X$2,I81:BI81)</f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  <c r="AK81" s="53">
        <v>0</v>
      </c>
      <c r="AL81" s="53">
        <v>0</v>
      </c>
      <c r="AM81" s="53">
        <v>0</v>
      </c>
      <c r="AN81" s="53">
        <v>0</v>
      </c>
      <c r="AO81" s="53">
        <v>0</v>
      </c>
      <c r="AP81" s="53">
        <v>0</v>
      </c>
      <c r="AQ81" s="53">
        <v>0</v>
      </c>
      <c r="AR81" s="53">
        <v>0</v>
      </c>
      <c r="AS81" s="53">
        <v>0</v>
      </c>
      <c r="AT81" s="53">
        <v>0</v>
      </c>
      <c r="AU81" s="53">
        <v>0</v>
      </c>
      <c r="AV81" s="53">
        <v>0</v>
      </c>
      <c r="AW81" s="53">
        <v>0</v>
      </c>
      <c r="AX81" s="53">
        <v>0</v>
      </c>
      <c r="AY81" s="53">
        <v>0</v>
      </c>
      <c r="AZ81" s="53">
        <v>0</v>
      </c>
      <c r="BA81" s="53">
        <v>0</v>
      </c>
      <c r="BB81" s="53">
        <v>0</v>
      </c>
      <c r="BC81" s="53">
        <v>0</v>
      </c>
      <c r="BD81" s="53">
        <v>78000</v>
      </c>
      <c r="BE81" s="53">
        <v>0</v>
      </c>
      <c r="BF81" s="53">
        <v>0</v>
      </c>
      <c r="BG81" s="53">
        <v>0</v>
      </c>
      <c r="BH81" s="53">
        <v>0</v>
      </c>
      <c r="BI81" s="53">
        <v>0</v>
      </c>
    </row>
    <row r="82" spans="1:61" ht="15.75" x14ac:dyDescent="0.25">
      <c r="A82" s="53" t="s">
        <v>144</v>
      </c>
      <c r="B82" s="52" t="s">
        <v>140</v>
      </c>
      <c r="C82" s="49" t="s">
        <v>40</v>
      </c>
      <c r="D82" s="49" t="e">
        <f>VLOOKUP(A82,PARAMETER!D:E,2,0)</f>
        <v>#N/A</v>
      </c>
      <c r="E82" s="49" t="e">
        <f t="shared" si="5"/>
        <v>#N/A</v>
      </c>
      <c r="F82" s="49" t="str">
        <f t="shared" si="6"/>
        <v>MIXUEFBI</v>
      </c>
      <c r="G82" s="81">
        <f t="shared" si="7"/>
        <v>0</v>
      </c>
      <c r="H82" s="81">
        <f>SUMIF(I$1:BI$1,"&lt;="&amp;PARAMETER!X$2,I82:BI82)</f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3">
        <v>0</v>
      </c>
      <c r="AH82" s="53">
        <v>0</v>
      </c>
      <c r="AI82" s="53">
        <v>0</v>
      </c>
      <c r="AJ82" s="53">
        <v>0</v>
      </c>
      <c r="AK82" s="53">
        <v>0</v>
      </c>
      <c r="AL82" s="53">
        <v>0</v>
      </c>
      <c r="AM82" s="53">
        <v>0</v>
      </c>
      <c r="AN82" s="53">
        <v>0</v>
      </c>
      <c r="AO82" s="53">
        <v>0</v>
      </c>
      <c r="AP82" s="53">
        <v>0</v>
      </c>
      <c r="AQ82" s="53">
        <v>0</v>
      </c>
      <c r="AR82" s="53">
        <v>0</v>
      </c>
      <c r="AS82" s="53">
        <v>0</v>
      </c>
      <c r="AT82" s="53">
        <v>0</v>
      </c>
      <c r="AU82" s="53">
        <v>0</v>
      </c>
      <c r="AV82" s="53">
        <v>0</v>
      </c>
      <c r="AW82" s="53">
        <v>0</v>
      </c>
      <c r="AX82" s="53">
        <v>0</v>
      </c>
      <c r="AY82" s="53">
        <v>0</v>
      </c>
      <c r="AZ82" s="53">
        <v>0</v>
      </c>
      <c r="BA82" s="53">
        <v>0</v>
      </c>
      <c r="BB82" s="53">
        <v>0</v>
      </c>
      <c r="BC82" s="53">
        <v>0</v>
      </c>
      <c r="BD82" s="53">
        <v>0</v>
      </c>
      <c r="BE82" s="53">
        <v>0</v>
      </c>
      <c r="BF82" s="53">
        <v>0</v>
      </c>
      <c r="BG82" s="53">
        <v>0</v>
      </c>
      <c r="BH82" s="53">
        <v>0</v>
      </c>
      <c r="BI82" s="53">
        <v>0</v>
      </c>
    </row>
    <row r="83" spans="1:61" ht="15.75" x14ac:dyDescent="0.25">
      <c r="A83" s="53" t="s">
        <v>25</v>
      </c>
      <c r="B83" s="52" t="s">
        <v>140</v>
      </c>
      <c r="C83" s="49" t="s">
        <v>42</v>
      </c>
      <c r="D83" s="49" t="str">
        <f>VLOOKUP(A83,PARAMETER!D:E,2,0)</f>
        <v>RIFALDI</v>
      </c>
      <c r="E83" s="49" t="str">
        <f t="shared" si="5"/>
        <v>RIFALDITRX</v>
      </c>
      <c r="F83" s="49" t="str">
        <f t="shared" si="6"/>
        <v>OPTIK MELAWAITRX</v>
      </c>
      <c r="G83" s="81">
        <f t="shared" si="7"/>
        <v>8271</v>
      </c>
      <c r="H83" s="81">
        <f>SUMIF(I$1:BI$1,"&lt;="&amp;PARAMETER!X$2,I83:BI83)</f>
        <v>6674</v>
      </c>
      <c r="I83" s="53">
        <v>1173</v>
      </c>
      <c r="J83" s="53">
        <v>1172</v>
      </c>
      <c r="K83" s="53">
        <v>1142</v>
      </c>
      <c r="L83" s="53">
        <v>1295</v>
      </c>
      <c r="M83" s="53">
        <v>1004</v>
      </c>
      <c r="N83" s="53">
        <v>137</v>
      </c>
      <c r="O83" s="53">
        <v>173</v>
      </c>
      <c r="P83" s="53">
        <v>158</v>
      </c>
      <c r="Q83" s="53">
        <v>178</v>
      </c>
      <c r="R83" s="53">
        <v>222</v>
      </c>
      <c r="S83" s="53">
        <v>20</v>
      </c>
      <c r="T83" s="53">
        <v>19</v>
      </c>
      <c r="U83" s="53">
        <v>24</v>
      </c>
      <c r="V83" s="53">
        <v>16</v>
      </c>
      <c r="W83" s="53">
        <v>850</v>
      </c>
      <c r="X83" s="53">
        <v>22</v>
      </c>
      <c r="Y83" s="53">
        <v>22</v>
      </c>
      <c r="Z83" s="53">
        <v>70</v>
      </c>
      <c r="AA83" s="53">
        <v>26</v>
      </c>
      <c r="AB83" s="53">
        <v>21</v>
      </c>
      <c r="AC83" s="53">
        <v>15</v>
      </c>
      <c r="AD83" s="53">
        <v>10</v>
      </c>
      <c r="AE83" s="53">
        <v>18</v>
      </c>
      <c r="AF83" s="53">
        <v>24</v>
      </c>
      <c r="AG83" s="53">
        <v>17</v>
      </c>
      <c r="AH83" s="53">
        <v>18</v>
      </c>
      <c r="AI83" s="53">
        <v>15</v>
      </c>
      <c r="AJ83" s="53">
        <v>23</v>
      </c>
      <c r="AK83" s="53">
        <v>13</v>
      </c>
      <c r="AL83" s="53">
        <v>17</v>
      </c>
      <c r="AM83" s="53">
        <v>12</v>
      </c>
      <c r="AN83" s="53">
        <v>14</v>
      </c>
      <c r="AO83" s="53">
        <v>20</v>
      </c>
      <c r="AP83" s="53">
        <v>16</v>
      </c>
      <c r="AQ83" s="53">
        <v>17</v>
      </c>
      <c r="AR83" s="53">
        <v>14</v>
      </c>
      <c r="AS83" s="53">
        <v>23</v>
      </c>
      <c r="AT83" s="53">
        <v>12</v>
      </c>
      <c r="AU83" s="53">
        <v>21</v>
      </c>
      <c r="AV83" s="53">
        <v>25</v>
      </c>
      <c r="AW83" s="53">
        <v>24</v>
      </c>
      <c r="AX83" s="53">
        <v>29</v>
      </c>
      <c r="AY83" s="53">
        <v>11</v>
      </c>
      <c r="AZ83" s="53">
        <v>20</v>
      </c>
      <c r="BA83" s="53">
        <v>19</v>
      </c>
      <c r="BB83" s="53">
        <v>14</v>
      </c>
      <c r="BC83" s="53">
        <v>15</v>
      </c>
      <c r="BD83" s="53">
        <v>14</v>
      </c>
      <c r="BE83" s="53">
        <v>13</v>
      </c>
      <c r="BF83" s="53">
        <v>7</v>
      </c>
      <c r="BG83" s="53">
        <v>10</v>
      </c>
      <c r="BH83" s="53">
        <v>5</v>
      </c>
      <c r="BI83" s="53">
        <v>2</v>
      </c>
    </row>
    <row r="84" spans="1:61" ht="15.75" x14ac:dyDescent="0.25">
      <c r="A84" s="53" t="s">
        <v>25</v>
      </c>
      <c r="B84" s="52" t="s">
        <v>140</v>
      </c>
      <c r="C84" s="49" t="s">
        <v>41</v>
      </c>
      <c r="D84" s="49" t="str">
        <f>VLOOKUP(A84,PARAMETER!D:E,2,0)</f>
        <v>RIFALDI</v>
      </c>
      <c r="E84" s="49" t="str">
        <f t="shared" si="5"/>
        <v>RIFALDIVOL</v>
      </c>
      <c r="F84" s="49" t="str">
        <f t="shared" si="6"/>
        <v>OPTIK MELAWAIVOL</v>
      </c>
      <c r="G84" s="81">
        <f t="shared" si="7"/>
        <v>8081418711</v>
      </c>
      <c r="H84" s="81">
        <f>SUMIF(I$1:BI$1,"&lt;="&amp;PARAMETER!X$2,I84:BI84)</f>
        <v>6137663699</v>
      </c>
      <c r="I84" s="53">
        <v>1052349499</v>
      </c>
      <c r="J84" s="53">
        <v>1032299900</v>
      </c>
      <c r="K84" s="53">
        <v>944655250</v>
      </c>
      <c r="L84" s="53">
        <v>1184572600</v>
      </c>
      <c r="M84" s="53">
        <v>729569450</v>
      </c>
      <c r="N84" s="53">
        <v>185487500</v>
      </c>
      <c r="O84" s="53">
        <v>240728000</v>
      </c>
      <c r="P84" s="53">
        <v>247317000</v>
      </c>
      <c r="Q84" s="53">
        <v>261257000</v>
      </c>
      <c r="R84" s="53">
        <v>220871000</v>
      </c>
      <c r="S84" s="53">
        <v>38556500</v>
      </c>
      <c r="T84" s="53">
        <v>26926000</v>
      </c>
      <c r="U84" s="53">
        <v>16697000</v>
      </c>
      <c r="V84" s="53">
        <v>18292000</v>
      </c>
      <c r="W84" s="53">
        <v>770150709</v>
      </c>
      <c r="X84" s="53">
        <v>31425003</v>
      </c>
      <c r="Y84" s="53">
        <v>21538000</v>
      </c>
      <c r="Z84" s="53">
        <v>112829000</v>
      </c>
      <c r="AA84" s="53">
        <v>37620500</v>
      </c>
      <c r="AB84" s="53">
        <v>40453000</v>
      </c>
      <c r="AC84" s="53">
        <v>16896000</v>
      </c>
      <c r="AD84" s="53">
        <v>21778000</v>
      </c>
      <c r="AE84" s="53">
        <v>16579000</v>
      </c>
      <c r="AF84" s="53">
        <v>43699000</v>
      </c>
      <c r="AG84" s="53">
        <v>25169500</v>
      </c>
      <c r="AH84" s="53">
        <v>32414500</v>
      </c>
      <c r="AI84" s="53">
        <v>19744500</v>
      </c>
      <c r="AJ84" s="53">
        <v>30189500</v>
      </c>
      <c r="AK84" s="53">
        <v>17482000</v>
      </c>
      <c r="AL84" s="53">
        <v>21788500</v>
      </c>
      <c r="AM84" s="53">
        <v>8624500</v>
      </c>
      <c r="AN84" s="53">
        <v>42996500</v>
      </c>
      <c r="AO84" s="53">
        <v>28193500</v>
      </c>
      <c r="AP84" s="53">
        <v>25230000</v>
      </c>
      <c r="AQ84" s="53">
        <v>36040500</v>
      </c>
      <c r="AR84" s="53">
        <v>26445500</v>
      </c>
      <c r="AS84" s="53">
        <v>51750500</v>
      </c>
      <c r="AT84" s="53">
        <v>21217500</v>
      </c>
      <c r="AU84" s="53">
        <v>18942500</v>
      </c>
      <c r="AV84" s="53">
        <v>34672300</v>
      </c>
      <c r="AW84" s="53">
        <v>44148000</v>
      </c>
      <c r="AX84" s="53">
        <v>85657000</v>
      </c>
      <c r="AY84" s="53">
        <v>22514000</v>
      </c>
      <c r="AZ84" s="53">
        <v>30355500</v>
      </c>
      <c r="BA84" s="53">
        <v>30238000</v>
      </c>
      <c r="BB84" s="53">
        <v>25797500</v>
      </c>
      <c r="BC84" s="53">
        <v>27648500</v>
      </c>
      <c r="BD84" s="53">
        <v>17152500</v>
      </c>
      <c r="BE84" s="53">
        <v>20766000</v>
      </c>
      <c r="BF84" s="53">
        <v>6733000</v>
      </c>
      <c r="BG84" s="53">
        <v>7606000</v>
      </c>
      <c r="BH84" s="53">
        <v>4601000</v>
      </c>
      <c r="BI84" s="53">
        <v>4753000</v>
      </c>
    </row>
    <row r="85" spans="1:61" ht="15.75" x14ac:dyDescent="0.25">
      <c r="A85" s="53" t="s">
        <v>25</v>
      </c>
      <c r="B85" s="52" t="s">
        <v>140</v>
      </c>
      <c r="C85" s="49" t="s">
        <v>40</v>
      </c>
      <c r="D85" s="49" t="str">
        <f>VLOOKUP(A85,PARAMETER!D:E,2,0)</f>
        <v>RIFALDI</v>
      </c>
      <c r="E85" s="49" t="str">
        <f t="shared" si="5"/>
        <v>RIFALDIFBI</v>
      </c>
      <c r="F85" s="49" t="str">
        <f t="shared" si="6"/>
        <v>OPTIK MELAWAIFBI</v>
      </c>
      <c r="G85" s="81">
        <f t="shared" si="7"/>
        <v>54957710</v>
      </c>
      <c r="H85" s="81">
        <f>SUMIF(I$1:BI$1,"&lt;="&amp;PARAMETER!X$2,I85:BI85)</f>
        <v>47575913</v>
      </c>
      <c r="I85" s="53">
        <v>7871230</v>
      </c>
      <c r="J85" s="53">
        <v>7672224</v>
      </c>
      <c r="K85" s="53">
        <v>7320102</v>
      </c>
      <c r="L85" s="53">
        <v>9287546</v>
      </c>
      <c r="M85" s="53">
        <v>5626998</v>
      </c>
      <c r="N85" s="53">
        <v>1841508</v>
      </c>
      <c r="O85" s="53">
        <v>2248922</v>
      </c>
      <c r="P85" s="53">
        <v>2244486</v>
      </c>
      <c r="Q85" s="53">
        <v>2110654</v>
      </c>
      <c r="R85" s="53">
        <v>1294408</v>
      </c>
      <c r="S85" s="53">
        <v>57835</v>
      </c>
      <c r="T85" s="53">
        <v>40389</v>
      </c>
      <c r="U85" s="53">
        <v>25046</v>
      </c>
      <c r="V85" s="53">
        <v>27438</v>
      </c>
      <c r="W85" s="53">
        <v>5236098</v>
      </c>
      <c r="X85" s="53">
        <v>47412</v>
      </c>
      <c r="Y85" s="53">
        <v>37460</v>
      </c>
      <c r="Z85" s="53">
        <v>495995</v>
      </c>
      <c r="AA85" s="53">
        <v>109542</v>
      </c>
      <c r="AB85" s="53">
        <v>60680</v>
      </c>
      <c r="AC85" s="53">
        <v>25344</v>
      </c>
      <c r="AD85" s="53">
        <v>32667</v>
      </c>
      <c r="AE85" s="53">
        <v>24868</v>
      </c>
      <c r="AF85" s="53">
        <v>65548</v>
      </c>
      <c r="AG85" s="53">
        <v>37754</v>
      </c>
      <c r="AH85" s="53">
        <v>48622</v>
      </c>
      <c r="AI85" s="53">
        <v>29617</v>
      </c>
      <c r="AJ85" s="53">
        <v>45284</v>
      </c>
      <c r="AK85" s="53">
        <v>26223</v>
      </c>
      <c r="AL85" s="53">
        <v>32683</v>
      </c>
      <c r="AM85" s="53">
        <v>12937</v>
      </c>
      <c r="AN85" s="53">
        <v>64495</v>
      </c>
      <c r="AO85" s="53">
        <v>42290</v>
      </c>
      <c r="AP85" s="53">
        <v>37845</v>
      </c>
      <c r="AQ85" s="53">
        <v>54061</v>
      </c>
      <c r="AR85" s="53">
        <v>39668</v>
      </c>
      <c r="AS85" s="53">
        <v>77626</v>
      </c>
      <c r="AT85" s="53">
        <v>31826</v>
      </c>
      <c r="AU85" s="53">
        <v>28414</v>
      </c>
      <c r="AV85" s="53">
        <v>52008</v>
      </c>
      <c r="AW85" s="53">
        <v>66222</v>
      </c>
      <c r="AX85" s="53">
        <v>128486</v>
      </c>
      <c r="AY85" s="53">
        <v>33771</v>
      </c>
      <c r="AZ85" s="53">
        <v>45533</v>
      </c>
      <c r="BA85" s="53">
        <v>45357</v>
      </c>
      <c r="BB85" s="53">
        <v>38696</v>
      </c>
      <c r="BC85" s="53">
        <v>41473</v>
      </c>
      <c r="BD85" s="53">
        <v>25729</v>
      </c>
      <c r="BE85" s="53">
        <v>31149</v>
      </c>
      <c r="BF85" s="53">
        <v>10100</v>
      </c>
      <c r="BG85" s="53">
        <v>11409</v>
      </c>
      <c r="BH85" s="53">
        <v>6902</v>
      </c>
      <c r="BI85" s="53">
        <v>7130</v>
      </c>
    </row>
    <row r="86" spans="1:61" ht="15.75" x14ac:dyDescent="0.25">
      <c r="A86" s="53" t="s">
        <v>26</v>
      </c>
      <c r="B86" s="52" t="s">
        <v>140</v>
      </c>
      <c r="C86" s="49" t="s">
        <v>42</v>
      </c>
      <c r="D86" s="49" t="str">
        <f>VLOOKUP(A86,PARAMETER!D:E,2,0)</f>
        <v>RIFALDI</v>
      </c>
      <c r="E86" s="49" t="str">
        <f t="shared" si="5"/>
        <v>RIFALDITRX</v>
      </c>
      <c r="F86" s="49" t="str">
        <f t="shared" si="6"/>
        <v>PATRA JASATRX</v>
      </c>
      <c r="G86" s="81">
        <f t="shared" si="7"/>
        <v>40</v>
      </c>
      <c r="H86" s="81">
        <f>SUMIF(I$1:BI$1,"&lt;="&amp;PARAMETER!X$2,I86:BI86)</f>
        <v>2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  <c r="N86" s="53">
        <v>0</v>
      </c>
      <c r="O86" s="53">
        <v>1</v>
      </c>
      <c r="P86" s="53">
        <v>0</v>
      </c>
      <c r="Q86" s="53">
        <v>1</v>
      </c>
      <c r="R86" s="53">
        <v>0</v>
      </c>
      <c r="S86" s="53">
        <v>0</v>
      </c>
      <c r="T86" s="53">
        <v>0</v>
      </c>
      <c r="U86" s="53">
        <v>0</v>
      </c>
      <c r="V86" s="53">
        <v>0</v>
      </c>
      <c r="W86" s="53">
        <v>0</v>
      </c>
      <c r="X86" s="53">
        <v>0</v>
      </c>
      <c r="Y86" s="53">
        <v>0</v>
      </c>
      <c r="Z86" s="53">
        <v>1</v>
      </c>
      <c r="AA86" s="53">
        <v>0</v>
      </c>
      <c r="AB86" s="53">
        <v>0</v>
      </c>
      <c r="AC86" s="53">
        <v>0</v>
      </c>
      <c r="AD86" s="53">
        <v>0</v>
      </c>
      <c r="AE86" s="53">
        <v>0</v>
      </c>
      <c r="AF86" s="53">
        <v>1</v>
      </c>
      <c r="AG86" s="53">
        <v>0</v>
      </c>
      <c r="AH86" s="53">
        <v>1</v>
      </c>
      <c r="AI86" s="53">
        <v>0</v>
      </c>
      <c r="AJ86" s="53">
        <v>0</v>
      </c>
      <c r="AK86" s="53">
        <v>0</v>
      </c>
      <c r="AL86" s="53">
        <v>0</v>
      </c>
      <c r="AM86" s="53">
        <v>0</v>
      </c>
      <c r="AN86" s="53">
        <v>0</v>
      </c>
      <c r="AO86" s="53">
        <v>0</v>
      </c>
      <c r="AP86" s="53">
        <v>0</v>
      </c>
      <c r="AQ86" s="53">
        <v>0</v>
      </c>
      <c r="AR86" s="53">
        <v>0</v>
      </c>
      <c r="AS86" s="53">
        <v>0</v>
      </c>
      <c r="AT86" s="53">
        <v>0</v>
      </c>
      <c r="AU86" s="53">
        <v>0</v>
      </c>
      <c r="AV86" s="53">
        <v>1</v>
      </c>
      <c r="AW86" s="53">
        <v>0</v>
      </c>
      <c r="AX86" s="53">
        <v>0</v>
      </c>
      <c r="AY86" s="53">
        <v>1</v>
      </c>
      <c r="AZ86" s="53">
        <v>0</v>
      </c>
      <c r="BA86" s="53">
        <v>2</v>
      </c>
      <c r="BB86" s="53">
        <v>0</v>
      </c>
      <c r="BC86" s="53">
        <v>1</v>
      </c>
      <c r="BD86" s="53">
        <v>8</v>
      </c>
      <c r="BE86" s="53">
        <v>8</v>
      </c>
      <c r="BF86" s="53">
        <v>4</v>
      </c>
      <c r="BG86" s="53">
        <v>10</v>
      </c>
      <c r="BH86" s="53">
        <v>0</v>
      </c>
      <c r="BI86" s="53">
        <v>0</v>
      </c>
    </row>
    <row r="87" spans="1:61" ht="15.75" x14ac:dyDescent="0.25">
      <c r="A87" s="53" t="s">
        <v>26</v>
      </c>
      <c r="B87" s="52" t="s">
        <v>140</v>
      </c>
      <c r="C87" s="49" t="s">
        <v>41</v>
      </c>
      <c r="D87" s="49" t="str">
        <f>VLOOKUP(A87,PARAMETER!D:E,2,0)</f>
        <v>RIFALDI</v>
      </c>
      <c r="E87" s="49" t="str">
        <f t="shared" si="5"/>
        <v>RIFALDIVOL</v>
      </c>
      <c r="F87" s="49" t="str">
        <f t="shared" si="6"/>
        <v>PATRA JASAVOL</v>
      </c>
      <c r="G87" s="81">
        <f t="shared" si="7"/>
        <v>30519714</v>
      </c>
      <c r="H87" s="81">
        <f>SUMIF(I$1:BI$1,"&lt;="&amp;PARAMETER!X$2,I87:BI87)</f>
        <v>3900000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  <c r="N87" s="53">
        <v>0</v>
      </c>
      <c r="O87" s="53">
        <v>2400000</v>
      </c>
      <c r="P87" s="53">
        <v>0</v>
      </c>
      <c r="Q87" s="53">
        <v>1500000</v>
      </c>
      <c r="R87" s="53">
        <v>0</v>
      </c>
      <c r="S87" s="53">
        <v>0</v>
      </c>
      <c r="T87" s="53">
        <v>0</v>
      </c>
      <c r="U87" s="53">
        <v>0</v>
      </c>
      <c r="V87" s="53">
        <v>0</v>
      </c>
      <c r="W87" s="53">
        <v>0</v>
      </c>
      <c r="X87" s="53">
        <v>0</v>
      </c>
      <c r="Y87" s="53">
        <v>0</v>
      </c>
      <c r="Z87" s="53">
        <v>750000</v>
      </c>
      <c r="AA87" s="53">
        <v>0</v>
      </c>
      <c r="AB87" s="53">
        <v>0</v>
      </c>
      <c r="AC87" s="53">
        <v>0</v>
      </c>
      <c r="AD87" s="53">
        <v>0</v>
      </c>
      <c r="AE87" s="53">
        <v>0</v>
      </c>
      <c r="AF87" s="53">
        <v>600000</v>
      </c>
      <c r="AG87" s="53">
        <v>0</v>
      </c>
      <c r="AH87" s="53">
        <v>3150000</v>
      </c>
      <c r="AI87" s="53">
        <v>0</v>
      </c>
      <c r="AJ87" s="53">
        <v>0</v>
      </c>
      <c r="AK87" s="53">
        <v>0</v>
      </c>
      <c r="AL87" s="53">
        <v>0</v>
      </c>
      <c r="AM87" s="53">
        <v>0</v>
      </c>
      <c r="AN87" s="53">
        <v>0</v>
      </c>
      <c r="AO87" s="53">
        <v>0</v>
      </c>
      <c r="AP87" s="53">
        <v>0</v>
      </c>
      <c r="AQ87" s="53">
        <v>0</v>
      </c>
      <c r="AR87" s="53">
        <v>0</v>
      </c>
      <c r="AS87" s="53">
        <v>0</v>
      </c>
      <c r="AT87" s="53">
        <v>0</v>
      </c>
      <c r="AU87" s="53">
        <v>0</v>
      </c>
      <c r="AV87" s="53">
        <v>2400000</v>
      </c>
      <c r="AW87" s="53">
        <v>0</v>
      </c>
      <c r="AX87" s="53">
        <v>0</v>
      </c>
      <c r="AY87" s="53">
        <v>1</v>
      </c>
      <c r="AZ87" s="53">
        <v>0</v>
      </c>
      <c r="BA87" s="53">
        <v>1315000</v>
      </c>
      <c r="BB87" s="53">
        <v>0</v>
      </c>
      <c r="BC87" s="53">
        <v>4800000</v>
      </c>
      <c r="BD87" s="53">
        <v>976330</v>
      </c>
      <c r="BE87" s="53">
        <v>2372840</v>
      </c>
      <c r="BF87" s="53">
        <v>1969400</v>
      </c>
      <c r="BG87" s="53">
        <v>8286143</v>
      </c>
      <c r="BH87" s="53">
        <v>0</v>
      </c>
      <c r="BI87" s="53">
        <v>0</v>
      </c>
    </row>
    <row r="88" spans="1:61" ht="15.75" x14ac:dyDescent="0.25">
      <c r="A88" s="53" t="s">
        <v>26</v>
      </c>
      <c r="B88" s="52" t="s">
        <v>140</v>
      </c>
      <c r="C88" s="49" t="s">
        <v>40</v>
      </c>
      <c r="D88" s="49" t="str">
        <f>VLOOKUP(A88,PARAMETER!D:E,2,0)</f>
        <v>RIFALDI</v>
      </c>
      <c r="E88" s="49" t="str">
        <f t="shared" si="5"/>
        <v>RIFALDIFBI</v>
      </c>
      <c r="F88" s="49" t="str">
        <f t="shared" si="6"/>
        <v>PATRA JASAFBI</v>
      </c>
      <c r="G88" s="81">
        <f t="shared" si="7"/>
        <v>423857</v>
      </c>
      <c r="H88" s="81">
        <f>SUMIF(I$1:BI$1,"&lt;="&amp;PARAMETER!X$2,I88:BI88)</f>
        <v>58200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  <c r="N88" s="53">
        <v>0</v>
      </c>
      <c r="O88" s="53">
        <v>43200</v>
      </c>
      <c r="P88" s="53">
        <v>0</v>
      </c>
      <c r="Q88" s="53">
        <v>15000</v>
      </c>
      <c r="R88" s="53">
        <v>0</v>
      </c>
      <c r="S88" s="53">
        <v>0</v>
      </c>
      <c r="T88" s="53">
        <v>0</v>
      </c>
      <c r="U88" s="53">
        <v>0</v>
      </c>
      <c r="V88" s="53">
        <v>0</v>
      </c>
      <c r="W88" s="53">
        <v>0</v>
      </c>
      <c r="X88" s="53">
        <v>0</v>
      </c>
      <c r="Y88" s="53">
        <v>0</v>
      </c>
      <c r="Z88" s="53">
        <v>7500</v>
      </c>
      <c r="AA88" s="53">
        <v>0</v>
      </c>
      <c r="AB88" s="53">
        <v>0</v>
      </c>
      <c r="AC88" s="53">
        <v>0</v>
      </c>
      <c r="AD88" s="53">
        <v>0</v>
      </c>
      <c r="AE88" s="53">
        <v>0</v>
      </c>
      <c r="AF88" s="53">
        <v>6000</v>
      </c>
      <c r="AG88" s="53">
        <v>0</v>
      </c>
      <c r="AH88" s="53">
        <v>31500</v>
      </c>
      <c r="AI88" s="53">
        <v>0</v>
      </c>
      <c r="AJ88" s="53">
        <v>0</v>
      </c>
      <c r="AK88" s="53">
        <v>0</v>
      </c>
      <c r="AL88" s="53">
        <v>0</v>
      </c>
      <c r="AM88" s="53">
        <v>0</v>
      </c>
      <c r="AN88" s="53">
        <v>0</v>
      </c>
      <c r="AO88" s="53">
        <v>0</v>
      </c>
      <c r="AP88" s="53">
        <v>0</v>
      </c>
      <c r="AQ88" s="53">
        <v>0</v>
      </c>
      <c r="AR88" s="53">
        <v>0</v>
      </c>
      <c r="AS88" s="53">
        <v>0</v>
      </c>
      <c r="AT88" s="53">
        <v>0</v>
      </c>
      <c r="AU88" s="53">
        <v>0</v>
      </c>
      <c r="AV88" s="53">
        <v>43200</v>
      </c>
      <c r="AW88" s="53">
        <v>0</v>
      </c>
      <c r="AX88" s="53">
        <v>0</v>
      </c>
      <c r="AY88" s="53">
        <v>0</v>
      </c>
      <c r="AZ88" s="53">
        <v>0</v>
      </c>
      <c r="BA88" s="53">
        <v>23550</v>
      </c>
      <c r="BB88" s="53">
        <v>0</v>
      </c>
      <c r="BC88" s="53">
        <v>86400</v>
      </c>
      <c r="BD88" s="53">
        <v>12426</v>
      </c>
      <c r="BE88" s="53">
        <v>30869</v>
      </c>
      <c r="BF88" s="53">
        <v>18841</v>
      </c>
      <c r="BG88" s="53">
        <v>105371</v>
      </c>
      <c r="BH88" s="53">
        <v>0</v>
      </c>
      <c r="BI88" s="53">
        <v>0</v>
      </c>
    </row>
    <row r="89" spans="1:61" ht="15.75" x14ac:dyDescent="0.25">
      <c r="A89" s="53" t="s">
        <v>27</v>
      </c>
      <c r="B89" s="52" t="s">
        <v>140</v>
      </c>
      <c r="C89" s="49" t="s">
        <v>42</v>
      </c>
      <c r="D89" s="49" t="str">
        <f>VLOOKUP(A89,PARAMETER!D:E,2,0)</f>
        <v>RIFALDI</v>
      </c>
      <c r="E89" s="49" t="str">
        <f t="shared" si="5"/>
        <v>RIFALDITRX</v>
      </c>
      <c r="F89" s="49" t="str">
        <f t="shared" si="6"/>
        <v>PERTAMINA RETAILTRX</v>
      </c>
      <c r="G89" s="81">
        <f t="shared" si="7"/>
        <v>137002</v>
      </c>
      <c r="H89" s="81">
        <f>SUMIF(I$1:BI$1,"&lt;="&amp;PARAMETER!X$2,I89:BI89)</f>
        <v>23515</v>
      </c>
      <c r="I89" s="53">
        <v>1855</v>
      </c>
      <c r="J89" s="53">
        <v>1813</v>
      </c>
      <c r="K89" s="53">
        <v>1495</v>
      </c>
      <c r="L89" s="53">
        <v>1617</v>
      </c>
      <c r="M89" s="53">
        <v>1730</v>
      </c>
      <c r="N89" s="53">
        <v>1932</v>
      </c>
      <c r="O89" s="53">
        <v>1769</v>
      </c>
      <c r="P89" s="53">
        <v>3441</v>
      </c>
      <c r="Q89" s="53">
        <v>2685</v>
      </c>
      <c r="R89" s="53">
        <v>2608</v>
      </c>
      <c r="S89" s="53">
        <v>2570</v>
      </c>
      <c r="T89" s="53">
        <v>3862</v>
      </c>
      <c r="U89" s="53">
        <v>2993</v>
      </c>
      <c r="V89" s="53">
        <v>2358</v>
      </c>
      <c r="W89" s="53">
        <v>2980</v>
      </c>
      <c r="X89" s="53">
        <v>2737</v>
      </c>
      <c r="Y89" s="53">
        <v>2858</v>
      </c>
      <c r="Z89" s="53">
        <v>2110</v>
      </c>
      <c r="AA89" s="53">
        <v>2301</v>
      </c>
      <c r="AB89" s="53">
        <v>2185</v>
      </c>
      <c r="AC89" s="53">
        <v>2276</v>
      </c>
      <c r="AD89" s="53">
        <v>1649</v>
      </c>
      <c r="AE89" s="53">
        <v>1925</v>
      </c>
      <c r="AF89" s="53">
        <v>2099</v>
      </c>
      <c r="AG89" s="53">
        <v>2125</v>
      </c>
      <c r="AH89" s="53">
        <v>2597</v>
      </c>
      <c r="AI89" s="53">
        <v>2842</v>
      </c>
      <c r="AJ89" s="53">
        <v>2465</v>
      </c>
      <c r="AK89" s="53">
        <v>1762</v>
      </c>
      <c r="AL89" s="53">
        <v>1719</v>
      </c>
      <c r="AM89" s="53">
        <v>1998</v>
      </c>
      <c r="AN89" s="53">
        <v>1979</v>
      </c>
      <c r="AO89" s="53">
        <v>2223</v>
      </c>
      <c r="AP89" s="53">
        <v>2394</v>
      </c>
      <c r="AQ89" s="53">
        <v>2247</v>
      </c>
      <c r="AR89" s="53">
        <v>2306</v>
      </c>
      <c r="AS89" s="53">
        <v>2321</v>
      </c>
      <c r="AT89" s="53">
        <v>1917</v>
      </c>
      <c r="AU89" s="53">
        <v>2182</v>
      </c>
      <c r="AV89" s="53">
        <v>2413</v>
      </c>
      <c r="AW89" s="53">
        <v>2651</v>
      </c>
      <c r="AX89" s="53">
        <v>2843</v>
      </c>
      <c r="AY89" s="53">
        <v>3800</v>
      </c>
      <c r="AZ89" s="53">
        <v>3633</v>
      </c>
      <c r="BA89" s="53">
        <v>3982</v>
      </c>
      <c r="BB89" s="53">
        <v>3203</v>
      </c>
      <c r="BC89" s="53">
        <v>4152</v>
      </c>
      <c r="BD89" s="53">
        <v>4640</v>
      </c>
      <c r="BE89" s="53">
        <v>4397</v>
      </c>
      <c r="BF89" s="53">
        <v>3944</v>
      </c>
      <c r="BG89" s="53">
        <v>3878</v>
      </c>
      <c r="BH89" s="53">
        <v>3899</v>
      </c>
      <c r="BI89" s="53">
        <v>642</v>
      </c>
    </row>
    <row r="90" spans="1:61" ht="15.75" x14ac:dyDescent="0.25">
      <c r="A90" s="53" t="s">
        <v>27</v>
      </c>
      <c r="B90" s="52" t="s">
        <v>140</v>
      </c>
      <c r="C90" s="49" t="s">
        <v>41</v>
      </c>
      <c r="D90" s="49" t="str">
        <f>VLOOKUP(A90,PARAMETER!D:E,2,0)</f>
        <v>RIFALDI</v>
      </c>
      <c r="E90" s="49" t="str">
        <f t="shared" si="5"/>
        <v>RIFALDIVOL</v>
      </c>
      <c r="F90" s="49" t="str">
        <f t="shared" si="6"/>
        <v>PERTAMINA RETAILVOL</v>
      </c>
      <c r="G90" s="81">
        <f t="shared" si="7"/>
        <v>22081732248</v>
      </c>
      <c r="H90" s="81">
        <f>SUMIF(I$1:BI$1,"&lt;="&amp;PARAMETER!X$2,I90:BI90)</f>
        <v>4794699549</v>
      </c>
      <c r="I90" s="53">
        <v>396864978</v>
      </c>
      <c r="J90" s="53">
        <v>354412413</v>
      </c>
      <c r="K90" s="53">
        <v>315160848</v>
      </c>
      <c r="L90" s="53">
        <v>332074517</v>
      </c>
      <c r="M90" s="53">
        <v>325219066</v>
      </c>
      <c r="N90" s="53">
        <v>369196694</v>
      </c>
      <c r="O90" s="53">
        <v>330073419</v>
      </c>
      <c r="P90" s="53">
        <v>752603391</v>
      </c>
      <c r="Q90" s="53">
        <v>555920310</v>
      </c>
      <c r="R90" s="53">
        <v>532780592</v>
      </c>
      <c r="S90" s="53">
        <v>530393321</v>
      </c>
      <c r="T90" s="53">
        <v>888129497</v>
      </c>
      <c r="U90" s="53">
        <v>690418518</v>
      </c>
      <c r="V90" s="53">
        <v>502137141</v>
      </c>
      <c r="W90" s="53">
        <v>645148736</v>
      </c>
      <c r="X90" s="53">
        <v>560278980</v>
      </c>
      <c r="Y90" s="53">
        <v>578225730</v>
      </c>
      <c r="Z90" s="53">
        <v>413606686</v>
      </c>
      <c r="AA90" s="53">
        <v>426108688</v>
      </c>
      <c r="AB90" s="53">
        <v>409412032</v>
      </c>
      <c r="AC90" s="53">
        <v>482579006</v>
      </c>
      <c r="AD90" s="53">
        <v>261487995</v>
      </c>
      <c r="AE90" s="53">
        <v>335765502</v>
      </c>
      <c r="AF90" s="53">
        <v>404070475</v>
      </c>
      <c r="AG90" s="53">
        <v>376768802</v>
      </c>
      <c r="AH90" s="53">
        <v>520856591</v>
      </c>
      <c r="AI90" s="53">
        <v>573679961</v>
      </c>
      <c r="AJ90" s="53">
        <v>520227963</v>
      </c>
      <c r="AK90" s="53">
        <v>323654763</v>
      </c>
      <c r="AL90" s="53">
        <v>281984195</v>
      </c>
      <c r="AM90" s="53">
        <v>288065882</v>
      </c>
      <c r="AN90" s="53">
        <v>284447742</v>
      </c>
      <c r="AO90" s="53">
        <v>332209821</v>
      </c>
      <c r="AP90" s="53">
        <v>369806512</v>
      </c>
      <c r="AQ90" s="53">
        <v>322461441</v>
      </c>
      <c r="AR90" s="53">
        <v>364978789</v>
      </c>
      <c r="AS90" s="53">
        <v>360191301</v>
      </c>
      <c r="AT90" s="53">
        <v>263682297</v>
      </c>
      <c r="AU90" s="53">
        <v>267588700</v>
      </c>
      <c r="AV90" s="53">
        <v>296247615</v>
      </c>
      <c r="AW90" s="53">
        <v>257250334</v>
      </c>
      <c r="AX90" s="53">
        <v>265056017</v>
      </c>
      <c r="AY90" s="53">
        <v>400114017</v>
      </c>
      <c r="AZ90" s="53">
        <v>356623363</v>
      </c>
      <c r="BA90" s="53">
        <v>393929438</v>
      </c>
      <c r="BB90" s="53">
        <v>333207767</v>
      </c>
      <c r="BC90" s="53">
        <v>398231273</v>
      </c>
      <c r="BD90" s="53">
        <v>509715258</v>
      </c>
      <c r="BE90" s="53">
        <v>484260476</v>
      </c>
      <c r="BF90" s="53">
        <v>469416751</v>
      </c>
      <c r="BG90" s="53">
        <v>467129195</v>
      </c>
      <c r="BH90" s="53">
        <v>522809278</v>
      </c>
      <c r="BI90" s="53">
        <v>85068171</v>
      </c>
    </row>
    <row r="91" spans="1:61" ht="15.75" x14ac:dyDescent="0.25">
      <c r="A91" s="53" t="s">
        <v>27</v>
      </c>
      <c r="B91" s="52" t="s">
        <v>140</v>
      </c>
      <c r="C91" s="49" t="s">
        <v>40</v>
      </c>
      <c r="D91" s="49" t="str">
        <f>VLOOKUP(A91,PARAMETER!D:E,2,0)</f>
        <v>RIFALDI</v>
      </c>
      <c r="E91" s="49" t="str">
        <f t="shared" si="5"/>
        <v>RIFALDIFBI</v>
      </c>
      <c r="F91" s="49" t="str">
        <f t="shared" si="6"/>
        <v>PERTAMINA RETAILFBI</v>
      </c>
      <c r="G91" s="81">
        <f t="shared" si="7"/>
        <v>125113735</v>
      </c>
      <c r="H91" s="81">
        <f>SUMIF(I$1:BI$1,"&lt;="&amp;PARAMETER!X$2,I91:BI91)</f>
        <v>31881492</v>
      </c>
      <c r="I91" s="53">
        <v>2199823</v>
      </c>
      <c r="J91" s="53">
        <v>2080609</v>
      </c>
      <c r="K91" s="53">
        <v>2232502</v>
      </c>
      <c r="L91" s="53">
        <v>2662440</v>
      </c>
      <c r="M91" s="53">
        <v>2561656</v>
      </c>
      <c r="N91" s="53">
        <v>3141036</v>
      </c>
      <c r="O91" s="53">
        <v>2417387</v>
      </c>
      <c r="P91" s="53">
        <v>4782734</v>
      </c>
      <c r="Q91" s="53">
        <v>3216565</v>
      </c>
      <c r="R91" s="53">
        <v>3181232</v>
      </c>
      <c r="S91" s="53">
        <v>3405508</v>
      </c>
      <c r="T91" s="53">
        <v>5266490</v>
      </c>
      <c r="U91" s="53">
        <v>3853395</v>
      </c>
      <c r="V91" s="53">
        <v>2794636</v>
      </c>
      <c r="W91" s="53">
        <v>3625309</v>
      </c>
      <c r="X91" s="53">
        <v>3064698</v>
      </c>
      <c r="Y91" s="53">
        <v>3241860</v>
      </c>
      <c r="Z91" s="53">
        <v>2285014</v>
      </c>
      <c r="AA91" s="53">
        <v>2259276</v>
      </c>
      <c r="AB91" s="53">
        <v>2259454</v>
      </c>
      <c r="AC91" s="53">
        <v>2982488</v>
      </c>
      <c r="AD91" s="53">
        <v>1212660</v>
      </c>
      <c r="AE91" s="53">
        <v>1763435</v>
      </c>
      <c r="AF91" s="53">
        <v>2236326</v>
      </c>
      <c r="AG91" s="53">
        <v>2076985</v>
      </c>
      <c r="AH91" s="53">
        <v>3169222</v>
      </c>
      <c r="AI91" s="53">
        <v>3337521</v>
      </c>
      <c r="AJ91" s="53">
        <v>3108424</v>
      </c>
      <c r="AK91" s="53">
        <v>2192666</v>
      </c>
      <c r="AL91" s="53">
        <v>1759433</v>
      </c>
      <c r="AM91" s="53">
        <v>1556846</v>
      </c>
      <c r="AN91" s="53">
        <v>1499200</v>
      </c>
      <c r="AO91" s="53">
        <v>1879875</v>
      </c>
      <c r="AP91" s="53">
        <v>2532212</v>
      </c>
      <c r="AQ91" s="53">
        <v>1875589</v>
      </c>
      <c r="AR91" s="53">
        <v>2244116</v>
      </c>
      <c r="AS91" s="53">
        <v>2229459</v>
      </c>
      <c r="AT91" s="53">
        <v>1778130</v>
      </c>
      <c r="AU91" s="53">
        <v>1378794</v>
      </c>
      <c r="AV91" s="53">
        <v>1553357</v>
      </c>
      <c r="AW91" s="53">
        <v>1345439</v>
      </c>
      <c r="AX91" s="53">
        <v>1282220</v>
      </c>
      <c r="AY91" s="53">
        <v>1822857</v>
      </c>
      <c r="AZ91" s="53">
        <v>1494430</v>
      </c>
      <c r="BA91" s="53">
        <v>1692009</v>
      </c>
      <c r="BB91" s="53">
        <v>1522817</v>
      </c>
      <c r="BC91" s="53">
        <v>1805194</v>
      </c>
      <c r="BD91" s="53">
        <v>2304190</v>
      </c>
      <c r="BE91" s="53">
        <v>2340975</v>
      </c>
      <c r="BF91" s="53">
        <v>2023160</v>
      </c>
      <c r="BG91" s="53">
        <v>2020574</v>
      </c>
      <c r="BH91" s="53">
        <v>2219395</v>
      </c>
      <c r="BI91" s="53">
        <v>342113</v>
      </c>
    </row>
    <row r="92" spans="1:61" ht="15.75" x14ac:dyDescent="0.25">
      <c r="A92" s="53" t="s">
        <v>28</v>
      </c>
      <c r="B92" s="52" t="s">
        <v>140</v>
      </c>
      <c r="C92" s="49" t="s">
        <v>42</v>
      </c>
      <c r="D92" s="49" t="str">
        <f>VLOOKUP(A92,PARAMETER!D:E,2,0)</f>
        <v>NINA</v>
      </c>
      <c r="E92" s="49" t="str">
        <f t="shared" si="5"/>
        <v>NINATRX</v>
      </c>
      <c r="F92" s="49" t="str">
        <f t="shared" si="6"/>
        <v>PIZZA HUTTRX</v>
      </c>
      <c r="G92" s="81">
        <f t="shared" si="7"/>
        <v>5021</v>
      </c>
      <c r="H92" s="81">
        <f>SUMIF(I$1:BI$1,"&lt;="&amp;PARAMETER!X$2,I92:BI92)</f>
        <v>1344</v>
      </c>
      <c r="I92" s="53">
        <v>75</v>
      </c>
      <c r="J92" s="53">
        <v>55</v>
      </c>
      <c r="K92" s="53">
        <v>48</v>
      </c>
      <c r="L92" s="53">
        <v>86</v>
      </c>
      <c r="M92" s="53">
        <v>109</v>
      </c>
      <c r="N92" s="53">
        <v>545</v>
      </c>
      <c r="O92" s="53">
        <v>174</v>
      </c>
      <c r="P92" s="53">
        <v>48</v>
      </c>
      <c r="Q92" s="53">
        <v>58</v>
      </c>
      <c r="R92" s="53">
        <v>75</v>
      </c>
      <c r="S92" s="53">
        <v>71</v>
      </c>
      <c r="T92" s="53">
        <v>161</v>
      </c>
      <c r="U92" s="53">
        <v>98</v>
      </c>
      <c r="V92" s="53">
        <v>80</v>
      </c>
      <c r="W92" s="53">
        <v>59</v>
      </c>
      <c r="X92" s="53">
        <v>56</v>
      </c>
      <c r="Y92" s="53">
        <v>48</v>
      </c>
      <c r="Z92" s="53">
        <v>54</v>
      </c>
      <c r="AA92" s="53">
        <v>71</v>
      </c>
      <c r="AB92" s="53">
        <v>51</v>
      </c>
      <c r="AC92" s="53">
        <v>65</v>
      </c>
      <c r="AD92" s="53">
        <v>183</v>
      </c>
      <c r="AE92" s="53">
        <v>88</v>
      </c>
      <c r="AF92" s="53">
        <v>73</v>
      </c>
      <c r="AG92" s="53">
        <v>83</v>
      </c>
      <c r="AH92" s="53">
        <v>82</v>
      </c>
      <c r="AI92" s="53">
        <v>68</v>
      </c>
      <c r="AJ92" s="53">
        <v>60</v>
      </c>
      <c r="AK92" s="53">
        <v>52</v>
      </c>
      <c r="AL92" s="53">
        <v>61</v>
      </c>
      <c r="AM92" s="53">
        <v>43</v>
      </c>
      <c r="AN92" s="53">
        <v>39</v>
      </c>
      <c r="AO92" s="53">
        <v>155</v>
      </c>
      <c r="AP92" s="53">
        <v>42</v>
      </c>
      <c r="AQ92" s="53">
        <v>52</v>
      </c>
      <c r="AR92" s="53">
        <v>55</v>
      </c>
      <c r="AS92" s="53">
        <v>58</v>
      </c>
      <c r="AT92" s="53">
        <v>43</v>
      </c>
      <c r="AU92" s="53">
        <v>29</v>
      </c>
      <c r="AV92" s="53">
        <v>47</v>
      </c>
      <c r="AW92" s="53">
        <v>32</v>
      </c>
      <c r="AX92" s="53">
        <v>38</v>
      </c>
      <c r="AY92" s="53">
        <v>45</v>
      </c>
      <c r="AZ92" s="53">
        <v>81</v>
      </c>
      <c r="BA92" s="53">
        <v>212</v>
      </c>
      <c r="BB92" s="53">
        <v>111</v>
      </c>
      <c r="BC92" s="53">
        <v>451</v>
      </c>
      <c r="BD92" s="53">
        <v>143</v>
      </c>
      <c r="BE92" s="53">
        <v>142</v>
      </c>
      <c r="BF92" s="53">
        <v>72</v>
      </c>
      <c r="BG92" s="53">
        <v>131</v>
      </c>
      <c r="BH92" s="53">
        <v>127</v>
      </c>
      <c r="BI92" s="53">
        <v>36</v>
      </c>
    </row>
    <row r="93" spans="1:61" ht="15.75" x14ac:dyDescent="0.25">
      <c r="A93" s="53" t="s">
        <v>28</v>
      </c>
      <c r="B93" s="52" t="s">
        <v>140</v>
      </c>
      <c r="C93" s="49" t="s">
        <v>41</v>
      </c>
      <c r="D93" s="49" t="str">
        <f>VLOOKUP(A93,PARAMETER!D:E,2,0)</f>
        <v>NINA</v>
      </c>
      <c r="E93" s="49" t="str">
        <f t="shared" si="5"/>
        <v>NINAVOL</v>
      </c>
      <c r="F93" s="49" t="str">
        <f t="shared" si="6"/>
        <v>PIZZA HUTVOL</v>
      </c>
      <c r="G93" s="81">
        <f t="shared" si="7"/>
        <v>874255945</v>
      </c>
      <c r="H93" s="81">
        <f>SUMIF(I$1:BI$1,"&lt;="&amp;PARAMETER!X$2,I93:BI93)</f>
        <v>217436046</v>
      </c>
      <c r="I93" s="53">
        <v>20317236</v>
      </c>
      <c r="J93" s="53">
        <v>14445004</v>
      </c>
      <c r="K93" s="53">
        <v>13768998</v>
      </c>
      <c r="L93" s="53">
        <v>22289740</v>
      </c>
      <c r="M93" s="53">
        <v>27783759</v>
      </c>
      <c r="N93" s="53">
        <v>26397374</v>
      </c>
      <c r="O93" s="53">
        <v>21700017</v>
      </c>
      <c r="P93" s="53">
        <v>14188502</v>
      </c>
      <c r="Q93" s="53">
        <v>17595504</v>
      </c>
      <c r="R93" s="53">
        <v>19442000</v>
      </c>
      <c r="S93" s="53">
        <v>19507912</v>
      </c>
      <c r="T93" s="53">
        <v>26630014</v>
      </c>
      <c r="U93" s="53">
        <v>27607889</v>
      </c>
      <c r="V93" s="53">
        <v>25684975</v>
      </c>
      <c r="W93" s="53">
        <v>13797508</v>
      </c>
      <c r="X93" s="53">
        <v>17314505</v>
      </c>
      <c r="Y93" s="53">
        <v>12934902</v>
      </c>
      <c r="Z93" s="53">
        <v>11427501</v>
      </c>
      <c r="AA93" s="53">
        <v>19078505</v>
      </c>
      <c r="AB93" s="53">
        <v>13749992</v>
      </c>
      <c r="AC93" s="53">
        <v>19589001</v>
      </c>
      <c r="AD93" s="53">
        <v>14125995</v>
      </c>
      <c r="AE93" s="53">
        <v>25415496</v>
      </c>
      <c r="AF93" s="53">
        <v>19659518</v>
      </c>
      <c r="AG93" s="53">
        <v>19478504</v>
      </c>
      <c r="AH93" s="53">
        <v>22011999</v>
      </c>
      <c r="AI93" s="53">
        <v>22545503</v>
      </c>
      <c r="AJ93" s="53">
        <v>14734513</v>
      </c>
      <c r="AK93" s="53">
        <v>14763003</v>
      </c>
      <c r="AL93" s="53">
        <v>17677516</v>
      </c>
      <c r="AM93" s="53">
        <v>10975008</v>
      </c>
      <c r="AN93" s="53">
        <v>11849994</v>
      </c>
      <c r="AO93" s="53">
        <v>24659989</v>
      </c>
      <c r="AP93" s="53">
        <v>11397998</v>
      </c>
      <c r="AQ93" s="53">
        <v>13037507</v>
      </c>
      <c r="AR93" s="53">
        <v>15098514</v>
      </c>
      <c r="AS93" s="53">
        <v>9172005</v>
      </c>
      <c r="AT93" s="53">
        <v>12086489</v>
      </c>
      <c r="AU93" s="53">
        <v>9146497</v>
      </c>
      <c r="AV93" s="53">
        <v>13494500</v>
      </c>
      <c r="AW93" s="53">
        <v>8427006</v>
      </c>
      <c r="AX93" s="53">
        <v>10480004</v>
      </c>
      <c r="AY93" s="53">
        <v>7253501</v>
      </c>
      <c r="AZ93" s="53">
        <v>9158019</v>
      </c>
      <c r="BA93" s="53">
        <v>14627037</v>
      </c>
      <c r="BB93" s="53">
        <v>11692052</v>
      </c>
      <c r="BC93" s="53">
        <v>34360532</v>
      </c>
      <c r="BD93" s="53">
        <v>16371289</v>
      </c>
      <c r="BE93" s="53">
        <v>13025540</v>
      </c>
      <c r="BF93" s="53">
        <v>10176517</v>
      </c>
      <c r="BG93" s="53">
        <v>11275528</v>
      </c>
      <c r="BH93" s="53">
        <v>15790528</v>
      </c>
      <c r="BI93" s="53">
        <v>5037006</v>
      </c>
    </row>
    <row r="94" spans="1:61" ht="15.75" x14ac:dyDescent="0.25">
      <c r="A94" s="53" t="s">
        <v>28</v>
      </c>
      <c r="B94" s="52" t="s">
        <v>140</v>
      </c>
      <c r="C94" s="49" t="s">
        <v>40</v>
      </c>
      <c r="D94" s="49" t="str">
        <f>VLOOKUP(A94,PARAMETER!D:E,2,0)</f>
        <v>NINA</v>
      </c>
      <c r="E94" s="49" t="str">
        <f t="shared" si="5"/>
        <v>NINAFBI</v>
      </c>
      <c r="F94" s="49" t="str">
        <f t="shared" si="6"/>
        <v>PIZZA HUTFBI</v>
      </c>
      <c r="G94" s="81">
        <f t="shared" si="7"/>
        <v>1356513</v>
      </c>
      <c r="H94" s="81">
        <f>SUMIF(I$1:BI$1,"&lt;="&amp;PARAMETER!X$2,I94:BI94)</f>
        <v>383275</v>
      </c>
      <c r="I94" s="53">
        <v>31683</v>
      </c>
      <c r="J94" s="53">
        <v>21667</v>
      </c>
      <c r="K94" s="53">
        <v>20653</v>
      </c>
      <c r="L94" s="53">
        <v>33434</v>
      </c>
      <c r="M94" s="53">
        <v>41675</v>
      </c>
      <c r="N94" s="53">
        <v>83964</v>
      </c>
      <c r="O94" s="53">
        <v>44098</v>
      </c>
      <c r="P94" s="53">
        <v>21283</v>
      </c>
      <c r="Q94" s="53">
        <v>26393</v>
      </c>
      <c r="R94" s="53">
        <v>29163</v>
      </c>
      <c r="S94" s="53">
        <v>29262</v>
      </c>
      <c r="T94" s="53">
        <v>33570</v>
      </c>
      <c r="U94" s="53">
        <v>41412</v>
      </c>
      <c r="V94" s="53">
        <v>38527</v>
      </c>
      <c r="W94" s="53">
        <v>22464</v>
      </c>
      <c r="X94" s="53">
        <v>25972</v>
      </c>
      <c r="Y94" s="53">
        <v>19402</v>
      </c>
      <c r="Z94" s="53">
        <v>17141</v>
      </c>
      <c r="AA94" s="53">
        <v>28618</v>
      </c>
      <c r="AB94" s="53">
        <v>20625</v>
      </c>
      <c r="AC94" s="53">
        <v>29383</v>
      </c>
      <c r="AD94" s="53">
        <v>11022</v>
      </c>
      <c r="AE94" s="53">
        <v>38123</v>
      </c>
      <c r="AF94" s="53">
        <v>29489</v>
      </c>
      <c r="AG94" s="53">
        <v>29218</v>
      </c>
      <c r="AH94" s="53">
        <v>33018</v>
      </c>
      <c r="AI94" s="53">
        <v>33818</v>
      </c>
      <c r="AJ94" s="53">
        <v>22102</v>
      </c>
      <c r="AK94" s="53">
        <v>22144</v>
      </c>
      <c r="AL94" s="53">
        <v>26516</v>
      </c>
      <c r="AM94" s="53">
        <v>16462</v>
      </c>
      <c r="AN94" s="53">
        <v>17775</v>
      </c>
      <c r="AO94" s="53">
        <v>67955</v>
      </c>
      <c r="AP94" s="53">
        <v>17097</v>
      </c>
      <c r="AQ94" s="53">
        <v>19556</v>
      </c>
      <c r="AR94" s="53">
        <v>22648</v>
      </c>
      <c r="AS94" s="53">
        <v>12820</v>
      </c>
      <c r="AT94" s="53">
        <v>18130</v>
      </c>
      <c r="AU94" s="53">
        <v>13720</v>
      </c>
      <c r="AV94" s="53">
        <v>20242</v>
      </c>
      <c r="AW94" s="53">
        <v>12640</v>
      </c>
      <c r="AX94" s="53">
        <v>15720</v>
      </c>
      <c r="AY94" s="53">
        <v>10100</v>
      </c>
      <c r="AZ94" s="53">
        <v>13047</v>
      </c>
      <c r="BA94" s="53">
        <v>16404</v>
      </c>
      <c r="BB94" s="53">
        <v>16425</v>
      </c>
      <c r="BC94" s="53">
        <v>39078</v>
      </c>
      <c r="BD94" s="53">
        <v>23142</v>
      </c>
      <c r="BE94" s="53">
        <v>17830</v>
      </c>
      <c r="BF94" s="53">
        <v>14864</v>
      </c>
      <c r="BG94" s="53">
        <v>15337</v>
      </c>
      <c r="BH94" s="53">
        <v>22370</v>
      </c>
      <c r="BI94" s="53">
        <v>7312</v>
      </c>
    </row>
    <row r="95" spans="1:61" ht="15.75" x14ac:dyDescent="0.25">
      <c r="A95" s="53" t="s">
        <v>29</v>
      </c>
      <c r="B95" s="52" t="s">
        <v>140</v>
      </c>
      <c r="C95" s="49" t="s">
        <v>42</v>
      </c>
      <c r="D95" s="49" t="str">
        <f>VLOOKUP(A95,PARAMETER!D:E,2,0)</f>
        <v>RIFALDI</v>
      </c>
      <c r="E95" s="49" t="str">
        <f t="shared" si="5"/>
        <v>RIFALDITRX</v>
      </c>
      <c r="F95" s="49" t="str">
        <f t="shared" si="6"/>
        <v>PLATINUM CINEPLEXTRX</v>
      </c>
      <c r="G95" s="81">
        <f t="shared" si="7"/>
        <v>21840</v>
      </c>
      <c r="H95" s="81">
        <f>SUMIF(I$1:BI$1,"&lt;="&amp;PARAMETER!X$2,I95:BI95)</f>
        <v>6632</v>
      </c>
      <c r="I95" s="53">
        <v>747</v>
      </c>
      <c r="J95" s="53">
        <v>421</v>
      </c>
      <c r="K95" s="53">
        <v>355</v>
      </c>
      <c r="L95" s="53">
        <v>536</v>
      </c>
      <c r="M95" s="53">
        <v>715</v>
      </c>
      <c r="N95" s="53">
        <v>1011</v>
      </c>
      <c r="O95" s="53">
        <v>1068</v>
      </c>
      <c r="P95" s="53">
        <v>785</v>
      </c>
      <c r="Q95" s="53">
        <v>518</v>
      </c>
      <c r="R95" s="53">
        <v>293</v>
      </c>
      <c r="S95" s="53">
        <v>183</v>
      </c>
      <c r="T95" s="53">
        <v>447</v>
      </c>
      <c r="U95" s="53">
        <v>998</v>
      </c>
      <c r="V95" s="53">
        <v>2023</v>
      </c>
      <c r="W95" s="53">
        <v>1432</v>
      </c>
      <c r="X95" s="53">
        <v>1161</v>
      </c>
      <c r="Y95" s="53">
        <v>754</v>
      </c>
      <c r="Z95" s="53">
        <v>720</v>
      </c>
      <c r="AA95" s="53">
        <v>412</v>
      </c>
      <c r="AB95" s="53">
        <v>306</v>
      </c>
      <c r="AC95" s="53">
        <v>395</v>
      </c>
      <c r="AD95" s="53">
        <v>396</v>
      </c>
      <c r="AE95" s="53">
        <v>416</v>
      </c>
      <c r="AF95" s="53">
        <v>539</v>
      </c>
      <c r="AG95" s="53">
        <v>377</v>
      </c>
      <c r="AH95" s="53">
        <v>314</v>
      </c>
      <c r="AI95" s="53">
        <v>153</v>
      </c>
      <c r="AJ95" s="53">
        <v>138</v>
      </c>
      <c r="AK95" s="53">
        <v>172</v>
      </c>
      <c r="AL95" s="53">
        <v>183</v>
      </c>
      <c r="AM95" s="53">
        <v>293</v>
      </c>
      <c r="AN95" s="53">
        <v>281</v>
      </c>
      <c r="AO95" s="53">
        <v>566</v>
      </c>
      <c r="AP95" s="53">
        <v>359</v>
      </c>
      <c r="AQ95" s="53">
        <v>188</v>
      </c>
      <c r="AR95" s="53">
        <v>214</v>
      </c>
      <c r="AS95" s="53">
        <v>121</v>
      </c>
      <c r="AT95" s="53">
        <v>71</v>
      </c>
      <c r="AU95" s="53">
        <v>64</v>
      </c>
      <c r="AV95" s="53">
        <v>44</v>
      </c>
      <c r="AW95" s="53">
        <v>46</v>
      </c>
      <c r="AX95" s="53">
        <v>61</v>
      </c>
      <c r="AY95" s="53">
        <v>218</v>
      </c>
      <c r="AZ95" s="53">
        <v>237</v>
      </c>
      <c r="BA95" s="53">
        <v>257</v>
      </c>
      <c r="BB95" s="53">
        <v>105</v>
      </c>
      <c r="BC95" s="53">
        <v>109</v>
      </c>
      <c r="BD95" s="53">
        <v>168</v>
      </c>
      <c r="BE95" s="53">
        <v>241</v>
      </c>
      <c r="BF95" s="53">
        <v>55</v>
      </c>
      <c r="BG95" s="53">
        <v>118</v>
      </c>
      <c r="BH95" s="53">
        <v>56</v>
      </c>
      <c r="BI95" s="53">
        <v>0</v>
      </c>
    </row>
    <row r="96" spans="1:61" ht="15.75" x14ac:dyDescent="0.25">
      <c r="A96" s="53" t="s">
        <v>29</v>
      </c>
      <c r="B96" s="52" t="s">
        <v>140</v>
      </c>
      <c r="C96" s="49" t="s">
        <v>41</v>
      </c>
      <c r="D96" s="49" t="str">
        <f>VLOOKUP(A96,PARAMETER!D:E,2,0)</f>
        <v>RIFALDI</v>
      </c>
      <c r="E96" s="49" t="str">
        <f t="shared" si="5"/>
        <v>RIFALDIVOL</v>
      </c>
      <c r="F96" s="49" t="str">
        <f t="shared" si="6"/>
        <v>PLATINUM CINEPLEXVOL</v>
      </c>
      <c r="G96" s="81">
        <f t="shared" si="7"/>
        <v>2427049250</v>
      </c>
      <c r="H96" s="81">
        <f>SUMIF(I$1:BI$1,"&lt;="&amp;PARAMETER!X$2,I96:BI96)</f>
        <v>659079004</v>
      </c>
      <c r="I96" s="53">
        <v>93917000</v>
      </c>
      <c r="J96" s="53">
        <v>40376000</v>
      </c>
      <c r="K96" s="53">
        <v>35696000</v>
      </c>
      <c r="L96" s="53">
        <v>65589000</v>
      </c>
      <c r="M96" s="53">
        <v>68421000</v>
      </c>
      <c r="N96" s="53">
        <v>90771000</v>
      </c>
      <c r="O96" s="53">
        <v>99126004</v>
      </c>
      <c r="P96" s="53">
        <v>70554000</v>
      </c>
      <c r="Q96" s="53">
        <v>45664000</v>
      </c>
      <c r="R96" s="53">
        <v>30953000</v>
      </c>
      <c r="S96" s="53">
        <v>18012000</v>
      </c>
      <c r="T96" s="53">
        <v>46540000</v>
      </c>
      <c r="U96" s="53">
        <v>131487000</v>
      </c>
      <c r="V96" s="53">
        <v>258768000</v>
      </c>
      <c r="W96" s="53">
        <v>149149000</v>
      </c>
      <c r="X96" s="53">
        <v>130760000</v>
      </c>
      <c r="Y96" s="53">
        <v>88225000</v>
      </c>
      <c r="Z96" s="53">
        <v>85990000</v>
      </c>
      <c r="AA96" s="53">
        <v>58028000</v>
      </c>
      <c r="AB96" s="53">
        <v>32780000</v>
      </c>
      <c r="AC96" s="53">
        <v>39361000</v>
      </c>
      <c r="AD96" s="53">
        <v>50751000</v>
      </c>
      <c r="AE96" s="53">
        <v>46495000</v>
      </c>
      <c r="AF96" s="53">
        <v>53323000</v>
      </c>
      <c r="AG96" s="53">
        <v>39406000</v>
      </c>
      <c r="AH96" s="53">
        <v>38720000</v>
      </c>
      <c r="AI96" s="53">
        <v>25605000</v>
      </c>
      <c r="AJ96" s="53">
        <v>19560000</v>
      </c>
      <c r="AK96" s="53">
        <v>27632000</v>
      </c>
      <c r="AL96" s="53">
        <v>24813000</v>
      </c>
      <c r="AM96" s="53">
        <v>32204000</v>
      </c>
      <c r="AN96" s="53">
        <v>33362000</v>
      </c>
      <c r="AO96" s="53">
        <v>56241000</v>
      </c>
      <c r="AP96" s="53">
        <v>37067000</v>
      </c>
      <c r="AQ96" s="53">
        <v>20530245</v>
      </c>
      <c r="AR96" s="53">
        <v>26831000</v>
      </c>
      <c r="AS96" s="53">
        <v>15070000</v>
      </c>
      <c r="AT96" s="53">
        <v>8388000</v>
      </c>
      <c r="AU96" s="53">
        <v>8729000</v>
      </c>
      <c r="AV96" s="53">
        <v>6003000</v>
      </c>
      <c r="AW96" s="53">
        <v>8121000</v>
      </c>
      <c r="AX96" s="53">
        <v>7251000</v>
      </c>
      <c r="AY96" s="53">
        <v>23565000</v>
      </c>
      <c r="AZ96" s="53">
        <v>29433001</v>
      </c>
      <c r="BA96" s="53">
        <v>24446000</v>
      </c>
      <c r="BB96" s="53">
        <v>12053000</v>
      </c>
      <c r="BC96" s="53">
        <v>12021000</v>
      </c>
      <c r="BD96" s="53">
        <v>15122000</v>
      </c>
      <c r="BE96" s="53">
        <v>19079000</v>
      </c>
      <c r="BF96" s="53">
        <v>6786000</v>
      </c>
      <c r="BG96" s="53">
        <v>9862000</v>
      </c>
      <c r="BH96" s="53">
        <v>8413000</v>
      </c>
      <c r="BI96" s="53">
        <v>0</v>
      </c>
    </row>
    <row r="97" spans="1:61" ht="15.75" x14ac:dyDescent="0.25">
      <c r="A97" s="53" t="s">
        <v>29</v>
      </c>
      <c r="B97" s="52" t="s">
        <v>140</v>
      </c>
      <c r="C97" s="49" t="s">
        <v>40</v>
      </c>
      <c r="D97" s="49" t="str">
        <f>VLOOKUP(A97,PARAMETER!D:E,2,0)</f>
        <v>RIFALDI</v>
      </c>
      <c r="E97" s="49" t="str">
        <f t="shared" si="5"/>
        <v>RIFALDIFBI</v>
      </c>
      <c r="F97" s="49" t="str">
        <f t="shared" si="6"/>
        <v>PLATINUM CINEPLEXFBI</v>
      </c>
      <c r="G97" s="81">
        <f t="shared" si="7"/>
        <v>19931425</v>
      </c>
      <c r="H97" s="81">
        <f>SUMIF(I$1:BI$1,"&lt;="&amp;PARAMETER!X$2,I97:BI97)</f>
        <v>5166463</v>
      </c>
      <c r="I97" s="53">
        <v>723188</v>
      </c>
      <c r="J97" s="53">
        <v>317077</v>
      </c>
      <c r="K97" s="53">
        <v>290373</v>
      </c>
      <c r="L97" s="53">
        <v>527238</v>
      </c>
      <c r="M97" s="53">
        <v>520623</v>
      </c>
      <c r="N97" s="53">
        <v>689278</v>
      </c>
      <c r="O97" s="53">
        <v>752424</v>
      </c>
      <c r="P97" s="53">
        <v>543898</v>
      </c>
      <c r="Q97" s="53">
        <v>369535</v>
      </c>
      <c r="R97" s="53">
        <v>275335</v>
      </c>
      <c r="S97" s="53">
        <v>157494</v>
      </c>
      <c r="T97" s="53">
        <v>405717</v>
      </c>
      <c r="U97" s="53">
        <v>1179080</v>
      </c>
      <c r="V97" s="53">
        <v>2105578</v>
      </c>
      <c r="W97" s="53">
        <v>1251000</v>
      </c>
      <c r="X97" s="53">
        <v>1053036</v>
      </c>
      <c r="Y97" s="53">
        <v>749284</v>
      </c>
      <c r="Z97" s="53">
        <v>697684</v>
      </c>
      <c r="AA97" s="53">
        <v>505179</v>
      </c>
      <c r="AB97" s="53">
        <v>284127</v>
      </c>
      <c r="AC97" s="53">
        <v>377586</v>
      </c>
      <c r="AD97" s="53">
        <v>409516</v>
      </c>
      <c r="AE97" s="53">
        <v>447376</v>
      </c>
      <c r="AF97" s="53">
        <v>471583</v>
      </c>
      <c r="AG97" s="53">
        <v>312681</v>
      </c>
      <c r="AH97" s="53">
        <v>296062</v>
      </c>
      <c r="AI97" s="53">
        <v>198691</v>
      </c>
      <c r="AJ97" s="53">
        <v>177495</v>
      </c>
      <c r="AK97" s="53">
        <v>270301</v>
      </c>
      <c r="AL97" s="53">
        <v>224240</v>
      </c>
      <c r="AM97" s="53">
        <v>247023</v>
      </c>
      <c r="AN97" s="53">
        <v>300686</v>
      </c>
      <c r="AO97" s="53">
        <v>444340</v>
      </c>
      <c r="AP97" s="53">
        <v>295729</v>
      </c>
      <c r="AQ97" s="53">
        <v>187166</v>
      </c>
      <c r="AR97" s="53">
        <v>229210</v>
      </c>
      <c r="AS97" s="53">
        <v>119030</v>
      </c>
      <c r="AT97" s="53">
        <v>70368</v>
      </c>
      <c r="AU97" s="53">
        <v>67255</v>
      </c>
      <c r="AV97" s="53">
        <v>46472</v>
      </c>
      <c r="AW97" s="53">
        <v>56060</v>
      </c>
      <c r="AX97" s="53">
        <v>73766</v>
      </c>
      <c r="AY97" s="53">
        <v>181517</v>
      </c>
      <c r="AZ97" s="53">
        <v>254774</v>
      </c>
      <c r="BA97" s="53">
        <v>175394</v>
      </c>
      <c r="BB97" s="53">
        <v>88179</v>
      </c>
      <c r="BC97" s="53">
        <v>86505</v>
      </c>
      <c r="BD97" s="53">
        <v>107210</v>
      </c>
      <c r="BE97" s="53">
        <v>137925</v>
      </c>
      <c r="BF97" s="53">
        <v>49902</v>
      </c>
      <c r="BG97" s="53">
        <v>69874</v>
      </c>
      <c r="BH97" s="53">
        <v>60361</v>
      </c>
      <c r="BI97" s="53">
        <v>0</v>
      </c>
    </row>
    <row r="98" spans="1:61" ht="15.75" x14ac:dyDescent="0.25">
      <c r="A98" s="53" t="s">
        <v>49</v>
      </c>
      <c r="B98" s="52" t="s">
        <v>140</v>
      </c>
      <c r="C98" s="49" t="s">
        <v>42</v>
      </c>
      <c r="D98" s="49" t="str">
        <f>VLOOKUP(A98,PARAMETER!D:E,2,0)</f>
        <v>NINA</v>
      </c>
      <c r="E98" s="49" t="str">
        <f t="shared" ref="E98:E129" si="8">CONCATENATE(D98,C98)</f>
        <v>NINATRX</v>
      </c>
      <c r="F98" s="49" t="str">
        <f t="shared" ref="F98:F130" si="9">CONCATENATE(A98,C98)</f>
        <v>POPEYESTRX</v>
      </c>
      <c r="G98" s="81">
        <f t="shared" si="7"/>
        <v>1122</v>
      </c>
      <c r="H98" s="81">
        <f>SUMIF(I$1:BI$1,"&lt;="&amp;PARAMETER!X$2,I98:BI98)</f>
        <v>1058</v>
      </c>
      <c r="I98" s="53">
        <v>0</v>
      </c>
      <c r="J98" s="53">
        <v>0</v>
      </c>
      <c r="K98" s="53">
        <v>0</v>
      </c>
      <c r="L98" s="53">
        <v>0</v>
      </c>
      <c r="M98" s="53">
        <v>27</v>
      </c>
      <c r="N98" s="53">
        <v>980</v>
      </c>
      <c r="O98" s="53">
        <v>33</v>
      </c>
      <c r="P98" s="53">
        <v>12</v>
      </c>
      <c r="Q98" s="53">
        <v>5</v>
      </c>
      <c r="R98" s="53">
        <v>1</v>
      </c>
      <c r="S98" s="53">
        <v>0</v>
      </c>
      <c r="T98" s="53">
        <v>1</v>
      </c>
      <c r="U98" s="53">
        <v>0</v>
      </c>
      <c r="V98" s="53">
        <v>1</v>
      </c>
      <c r="W98" s="53">
        <v>0</v>
      </c>
      <c r="X98" s="53">
        <v>1</v>
      </c>
      <c r="Y98" s="53">
        <v>0</v>
      </c>
      <c r="Z98" s="53">
        <v>1</v>
      </c>
      <c r="AA98" s="53">
        <v>0</v>
      </c>
      <c r="AB98" s="53">
        <v>1</v>
      </c>
      <c r="AC98" s="53">
        <v>0</v>
      </c>
      <c r="AD98" s="53">
        <v>1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7</v>
      </c>
      <c r="AO98" s="53">
        <v>13</v>
      </c>
      <c r="AP98" s="53">
        <v>1</v>
      </c>
      <c r="AQ98" s="53">
        <v>2</v>
      </c>
      <c r="AR98" s="53">
        <v>1</v>
      </c>
      <c r="AS98" s="53">
        <v>0</v>
      </c>
      <c r="AT98" s="53">
        <v>2</v>
      </c>
      <c r="AU98" s="53">
        <v>0</v>
      </c>
      <c r="AV98" s="53">
        <v>0</v>
      </c>
      <c r="AW98" s="53">
        <v>2</v>
      </c>
      <c r="AX98" s="53">
        <v>0</v>
      </c>
      <c r="AY98" s="53">
        <v>0</v>
      </c>
      <c r="AZ98" s="53">
        <v>0</v>
      </c>
      <c r="BA98" s="53">
        <v>16</v>
      </c>
      <c r="BB98" s="53">
        <v>11</v>
      </c>
      <c r="BC98" s="53">
        <v>3</v>
      </c>
      <c r="BD98" s="53">
        <v>0</v>
      </c>
      <c r="BE98" s="53">
        <v>0</v>
      </c>
      <c r="BF98" s="53">
        <v>0</v>
      </c>
      <c r="BG98" s="53">
        <v>0</v>
      </c>
      <c r="BH98" s="53">
        <v>0</v>
      </c>
      <c r="BI98" s="53">
        <v>0</v>
      </c>
    </row>
    <row r="99" spans="1:61" ht="15.75" x14ac:dyDescent="0.25">
      <c r="A99" s="53" t="s">
        <v>49</v>
      </c>
      <c r="B99" s="52" t="s">
        <v>140</v>
      </c>
      <c r="C99" s="49" t="s">
        <v>41</v>
      </c>
      <c r="D99" s="49" t="str">
        <f>VLOOKUP(A99,PARAMETER!D:E,2,0)</f>
        <v>NINA</v>
      </c>
      <c r="E99" s="49" t="str">
        <f t="shared" si="8"/>
        <v>NINAVOL</v>
      </c>
      <c r="F99" s="49" t="str">
        <f t="shared" si="9"/>
        <v>POPEYESVOL</v>
      </c>
      <c r="G99" s="81">
        <f t="shared" si="7"/>
        <v>45862710</v>
      </c>
      <c r="H99" s="81">
        <f>SUMIF(I$1:BI$1,"&lt;="&amp;PARAMETER!X$2,I99:BI99)</f>
        <v>24700233</v>
      </c>
      <c r="I99" s="53">
        <v>0</v>
      </c>
      <c r="J99" s="53">
        <v>0</v>
      </c>
      <c r="K99" s="53">
        <v>0</v>
      </c>
      <c r="L99" s="53">
        <v>0</v>
      </c>
      <c r="M99" s="53">
        <v>955159</v>
      </c>
      <c r="N99" s="53">
        <v>20395672</v>
      </c>
      <c r="O99" s="53">
        <v>2204249</v>
      </c>
      <c r="P99" s="53">
        <v>1028958</v>
      </c>
      <c r="Q99" s="53">
        <v>90896</v>
      </c>
      <c r="R99" s="53">
        <v>25299</v>
      </c>
      <c r="S99" s="53">
        <v>0</v>
      </c>
      <c r="T99" s="53">
        <v>65999</v>
      </c>
      <c r="U99" s="53">
        <v>0</v>
      </c>
      <c r="V99" s="53">
        <v>99000</v>
      </c>
      <c r="W99" s="53">
        <v>0</v>
      </c>
      <c r="X99" s="53">
        <v>116596</v>
      </c>
      <c r="Y99" s="53">
        <v>0</v>
      </c>
      <c r="Z99" s="53">
        <v>1</v>
      </c>
      <c r="AA99" s="53">
        <v>0</v>
      </c>
      <c r="AB99" s="53">
        <v>959277</v>
      </c>
      <c r="AC99" s="53">
        <v>0</v>
      </c>
      <c r="AD99" s="53">
        <v>1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797692</v>
      </c>
      <c r="AO99" s="53">
        <v>15679337</v>
      </c>
      <c r="AP99" s="53">
        <v>100999</v>
      </c>
      <c r="AQ99" s="53">
        <v>604638</v>
      </c>
      <c r="AR99" s="53">
        <v>25749</v>
      </c>
      <c r="AS99" s="53">
        <v>0</v>
      </c>
      <c r="AT99" s="53">
        <v>85798</v>
      </c>
      <c r="AU99" s="53">
        <v>0</v>
      </c>
      <c r="AV99" s="53">
        <v>272795</v>
      </c>
      <c r="AW99" s="53">
        <v>180196</v>
      </c>
      <c r="AX99" s="53">
        <v>0</v>
      </c>
      <c r="AY99" s="53">
        <v>0</v>
      </c>
      <c r="AZ99" s="53">
        <v>0</v>
      </c>
      <c r="BA99" s="53">
        <v>874600</v>
      </c>
      <c r="BB99" s="53">
        <v>813299</v>
      </c>
      <c r="BC99" s="53">
        <v>170000</v>
      </c>
      <c r="BD99" s="53">
        <v>0</v>
      </c>
      <c r="BE99" s="53">
        <v>88801</v>
      </c>
      <c r="BF99" s="53">
        <v>0</v>
      </c>
      <c r="BG99" s="53">
        <v>170500</v>
      </c>
      <c r="BH99" s="53">
        <v>57199</v>
      </c>
      <c r="BI99" s="53">
        <v>0</v>
      </c>
    </row>
    <row r="100" spans="1:61" ht="15.75" x14ac:dyDescent="0.25">
      <c r="A100" s="53" t="s">
        <v>49</v>
      </c>
      <c r="B100" s="52" t="s">
        <v>140</v>
      </c>
      <c r="C100" s="49" t="s">
        <v>40</v>
      </c>
      <c r="D100" s="49" t="str">
        <f>VLOOKUP(A100,PARAMETER!D:E,2,0)</f>
        <v>NINA</v>
      </c>
      <c r="E100" s="49" t="str">
        <f t="shared" si="8"/>
        <v>NINAFBI</v>
      </c>
      <c r="F100" s="49" t="str">
        <f t="shared" si="9"/>
        <v>POPEYESFBI</v>
      </c>
      <c r="G100" s="81">
        <f t="shared" si="7"/>
        <v>316106</v>
      </c>
      <c r="H100" s="81">
        <f>SUMIF(I$1:BI$1,"&lt;="&amp;PARAMETER!X$2,I100:BI100)</f>
        <v>167547</v>
      </c>
      <c r="I100" s="53">
        <v>0</v>
      </c>
      <c r="J100" s="53">
        <v>0</v>
      </c>
      <c r="K100" s="53">
        <v>0</v>
      </c>
      <c r="L100" s="53">
        <v>0</v>
      </c>
      <c r="M100" s="53">
        <v>7213</v>
      </c>
      <c r="N100" s="53">
        <v>139387</v>
      </c>
      <c r="O100" s="53">
        <v>13759</v>
      </c>
      <c r="P100" s="53">
        <v>6375</v>
      </c>
      <c r="Q100" s="53">
        <v>636</v>
      </c>
      <c r="R100" s="53">
        <v>177</v>
      </c>
      <c r="S100" s="53">
        <v>0</v>
      </c>
      <c r="T100" s="53">
        <v>462</v>
      </c>
      <c r="U100" s="53">
        <v>0</v>
      </c>
      <c r="V100" s="53">
        <v>148</v>
      </c>
      <c r="W100" s="53">
        <v>0</v>
      </c>
      <c r="X100" s="53">
        <v>175</v>
      </c>
      <c r="Y100" s="53">
        <v>0</v>
      </c>
      <c r="Z100" s="53">
        <v>0</v>
      </c>
      <c r="AA100" s="53">
        <v>0</v>
      </c>
      <c r="AB100" s="53">
        <v>6715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7615</v>
      </c>
      <c r="AO100" s="53">
        <v>108486</v>
      </c>
      <c r="AP100" s="53">
        <v>151</v>
      </c>
      <c r="AQ100" s="53">
        <v>1605</v>
      </c>
      <c r="AR100" s="53">
        <v>180</v>
      </c>
      <c r="AS100" s="53">
        <v>0</v>
      </c>
      <c r="AT100" s="53">
        <v>601</v>
      </c>
      <c r="AU100" s="53">
        <v>0</v>
      </c>
      <c r="AV100" s="53">
        <v>1909</v>
      </c>
      <c r="AW100" s="53">
        <v>1261</v>
      </c>
      <c r="AX100" s="53">
        <v>0</v>
      </c>
      <c r="AY100" s="53">
        <v>0</v>
      </c>
      <c r="AZ100" s="53">
        <v>0</v>
      </c>
      <c r="BA100" s="53">
        <v>9642</v>
      </c>
      <c r="BB100" s="53">
        <v>5693</v>
      </c>
      <c r="BC100" s="53">
        <v>1700</v>
      </c>
      <c r="BD100" s="53">
        <v>0</v>
      </c>
      <c r="BE100" s="53">
        <v>622</v>
      </c>
      <c r="BF100" s="53">
        <v>0</v>
      </c>
      <c r="BG100" s="53">
        <v>1194</v>
      </c>
      <c r="BH100" s="53">
        <v>400</v>
      </c>
      <c r="BI100" s="53">
        <v>0</v>
      </c>
    </row>
    <row r="101" spans="1:61" ht="15.75" x14ac:dyDescent="0.25">
      <c r="A101" s="53" t="s">
        <v>31</v>
      </c>
      <c r="B101" s="52" t="s">
        <v>140</v>
      </c>
      <c r="C101" s="49" t="s">
        <v>42</v>
      </c>
      <c r="D101" s="49" t="str">
        <f>VLOOKUP(A101,PARAMETER!D:E,2,0)</f>
        <v>ADISTI</v>
      </c>
      <c r="E101" s="49" t="str">
        <f t="shared" si="8"/>
        <v>ADISTITRX</v>
      </c>
      <c r="F101" s="49" t="str">
        <f t="shared" si="9"/>
        <v>SARINAHTRX</v>
      </c>
      <c r="G101" s="81">
        <f t="shared" si="7"/>
        <v>13115</v>
      </c>
      <c r="H101" s="81">
        <f>SUMIF(I$1:BI$1,"&lt;="&amp;PARAMETER!X$2,I101:BI101)</f>
        <v>2830</v>
      </c>
      <c r="I101" s="53">
        <v>344</v>
      </c>
      <c r="J101" s="53">
        <v>308</v>
      </c>
      <c r="K101" s="53">
        <v>353</v>
      </c>
      <c r="L101" s="53">
        <v>364</v>
      </c>
      <c r="M101" s="53">
        <v>279</v>
      </c>
      <c r="N101" s="53">
        <v>205</v>
      </c>
      <c r="O101" s="53">
        <v>183</v>
      </c>
      <c r="P101" s="53">
        <v>188</v>
      </c>
      <c r="Q101" s="53">
        <v>166</v>
      </c>
      <c r="R101" s="53">
        <v>186</v>
      </c>
      <c r="S101" s="53">
        <v>254</v>
      </c>
      <c r="T101" s="53">
        <v>201</v>
      </c>
      <c r="U101" s="53">
        <v>177</v>
      </c>
      <c r="V101" s="53">
        <v>167</v>
      </c>
      <c r="W101" s="53">
        <v>253</v>
      </c>
      <c r="X101" s="53">
        <v>163</v>
      </c>
      <c r="Y101" s="53">
        <v>206</v>
      </c>
      <c r="Z101" s="53">
        <v>392</v>
      </c>
      <c r="AA101" s="53">
        <v>349</v>
      </c>
      <c r="AB101" s="53">
        <v>259</v>
      </c>
      <c r="AC101" s="53">
        <v>165</v>
      </c>
      <c r="AD101" s="53">
        <v>70</v>
      </c>
      <c r="AE101" s="53">
        <v>138</v>
      </c>
      <c r="AF101" s="53">
        <v>129</v>
      </c>
      <c r="AG101" s="53">
        <v>356</v>
      </c>
      <c r="AH101" s="53">
        <v>543</v>
      </c>
      <c r="AI101" s="53">
        <v>517</v>
      </c>
      <c r="AJ101" s="53">
        <v>332</v>
      </c>
      <c r="AK101" s="53">
        <v>119</v>
      </c>
      <c r="AL101" s="53">
        <v>141</v>
      </c>
      <c r="AM101" s="53">
        <v>88</v>
      </c>
      <c r="AN101" s="53">
        <v>125</v>
      </c>
      <c r="AO101" s="53">
        <v>166</v>
      </c>
      <c r="AP101" s="53">
        <v>144</v>
      </c>
      <c r="AQ101" s="53">
        <v>79</v>
      </c>
      <c r="AR101" s="53">
        <v>244</v>
      </c>
      <c r="AS101" s="53">
        <v>593</v>
      </c>
      <c r="AT101" s="53">
        <v>316</v>
      </c>
      <c r="AU101" s="53">
        <v>318</v>
      </c>
      <c r="AV101" s="53">
        <v>342</v>
      </c>
      <c r="AW101" s="53">
        <v>326</v>
      </c>
      <c r="AX101" s="53">
        <v>241</v>
      </c>
      <c r="AY101" s="53">
        <v>308</v>
      </c>
      <c r="AZ101" s="53">
        <v>285</v>
      </c>
      <c r="BA101" s="53">
        <v>311</v>
      </c>
      <c r="BB101" s="53">
        <v>297</v>
      </c>
      <c r="BC101" s="53">
        <v>449</v>
      </c>
      <c r="BD101" s="53">
        <v>332</v>
      </c>
      <c r="BE101" s="53">
        <v>286</v>
      </c>
      <c r="BF101" s="53">
        <v>215</v>
      </c>
      <c r="BG101" s="53">
        <v>81</v>
      </c>
      <c r="BH101" s="53">
        <v>49</v>
      </c>
      <c r="BI101" s="53">
        <v>13</v>
      </c>
    </row>
    <row r="102" spans="1:61" ht="15.75" x14ac:dyDescent="0.25">
      <c r="A102" s="53" t="s">
        <v>31</v>
      </c>
      <c r="B102" s="52" t="s">
        <v>140</v>
      </c>
      <c r="C102" s="49" t="s">
        <v>41</v>
      </c>
      <c r="D102" s="49" t="str">
        <f>VLOOKUP(A102,PARAMETER!D:E,2,0)</f>
        <v>ADISTI</v>
      </c>
      <c r="E102" s="49" t="str">
        <f t="shared" si="8"/>
        <v>ADISTIVOL</v>
      </c>
      <c r="F102" s="49" t="str">
        <f t="shared" si="9"/>
        <v>SARINAHVOL</v>
      </c>
      <c r="G102" s="81">
        <f t="shared" si="7"/>
        <v>7858189536</v>
      </c>
      <c r="H102" s="81">
        <f>SUMIF(I$1:BI$1,"&lt;="&amp;PARAMETER!X$2,I102:BI102)</f>
        <v>2043782808</v>
      </c>
      <c r="I102" s="53">
        <v>165159150</v>
      </c>
      <c r="J102" s="53">
        <v>173144829</v>
      </c>
      <c r="K102" s="53">
        <v>208939740</v>
      </c>
      <c r="L102" s="53">
        <v>202559506</v>
      </c>
      <c r="M102" s="53">
        <v>174354996</v>
      </c>
      <c r="N102" s="53">
        <v>144825462</v>
      </c>
      <c r="O102" s="53">
        <v>160205356</v>
      </c>
      <c r="P102" s="53">
        <v>241782483</v>
      </c>
      <c r="Q102" s="53">
        <v>124641748</v>
      </c>
      <c r="R102" s="53">
        <v>173025039</v>
      </c>
      <c r="S102" s="53">
        <v>275144499</v>
      </c>
      <c r="T102" s="53">
        <v>176672695</v>
      </c>
      <c r="U102" s="53">
        <v>127965094</v>
      </c>
      <c r="V102" s="53">
        <v>139907621</v>
      </c>
      <c r="W102" s="53">
        <v>152472665</v>
      </c>
      <c r="X102" s="53">
        <v>178281230</v>
      </c>
      <c r="Y102" s="53">
        <v>201759607</v>
      </c>
      <c r="Z102" s="53">
        <v>189043197</v>
      </c>
      <c r="AA102" s="53">
        <v>209986561</v>
      </c>
      <c r="AB102" s="53">
        <v>174366559</v>
      </c>
      <c r="AC102" s="53">
        <v>184240785</v>
      </c>
      <c r="AD102" s="53">
        <v>70341876</v>
      </c>
      <c r="AE102" s="53">
        <v>145445775</v>
      </c>
      <c r="AF102" s="53">
        <v>129527084</v>
      </c>
      <c r="AG102" s="53">
        <v>129276228</v>
      </c>
      <c r="AH102" s="53">
        <v>159700423</v>
      </c>
      <c r="AI102" s="53">
        <v>204928693</v>
      </c>
      <c r="AJ102" s="53">
        <v>96693964</v>
      </c>
      <c r="AK102" s="53">
        <v>149692653</v>
      </c>
      <c r="AL102" s="53">
        <v>179263764</v>
      </c>
      <c r="AM102" s="53">
        <v>88010982</v>
      </c>
      <c r="AN102" s="53">
        <v>137370350</v>
      </c>
      <c r="AO102" s="53">
        <v>120308579</v>
      </c>
      <c r="AP102" s="53">
        <v>134487144</v>
      </c>
      <c r="AQ102" s="53">
        <v>73990615</v>
      </c>
      <c r="AR102" s="53">
        <v>106406670</v>
      </c>
      <c r="AS102" s="53">
        <v>147483021</v>
      </c>
      <c r="AT102" s="53">
        <v>153613502</v>
      </c>
      <c r="AU102" s="53">
        <v>124504826</v>
      </c>
      <c r="AV102" s="53">
        <v>131803013</v>
      </c>
      <c r="AW102" s="53">
        <v>144752750</v>
      </c>
      <c r="AX102" s="53">
        <v>128149850</v>
      </c>
      <c r="AY102" s="53">
        <v>158381366</v>
      </c>
      <c r="AZ102" s="53">
        <v>117980066</v>
      </c>
      <c r="BA102" s="53">
        <v>143882832</v>
      </c>
      <c r="BB102" s="53">
        <v>147593110</v>
      </c>
      <c r="BC102" s="53">
        <v>181360688</v>
      </c>
      <c r="BD102" s="53">
        <v>150424717</v>
      </c>
      <c r="BE102" s="53">
        <v>121435804</v>
      </c>
      <c r="BF102" s="53">
        <v>168532348</v>
      </c>
      <c r="BG102" s="53">
        <v>50239446</v>
      </c>
      <c r="BH102" s="53">
        <v>64247985</v>
      </c>
      <c r="BI102" s="53">
        <v>19880590</v>
      </c>
    </row>
    <row r="103" spans="1:61" ht="15.75" x14ac:dyDescent="0.25">
      <c r="A103" s="53" t="s">
        <v>31</v>
      </c>
      <c r="B103" s="52" t="s">
        <v>140</v>
      </c>
      <c r="C103" s="49" t="s">
        <v>40</v>
      </c>
      <c r="D103" s="49" t="str">
        <f>VLOOKUP(A103,PARAMETER!D:E,2,0)</f>
        <v>ADISTI</v>
      </c>
      <c r="E103" s="49" t="str">
        <f t="shared" si="8"/>
        <v>ADISTIFBI</v>
      </c>
      <c r="F103" s="49" t="str">
        <f t="shared" si="9"/>
        <v>SARINAHFBI</v>
      </c>
      <c r="G103" s="81">
        <f t="shared" si="7"/>
        <v>109806733</v>
      </c>
      <c r="H103" s="81">
        <f>SUMIF(I$1:BI$1,"&lt;="&amp;PARAMETER!X$2,I103:BI103)</f>
        <v>31177671</v>
      </c>
      <c r="I103" s="53">
        <v>2462360</v>
      </c>
      <c r="J103" s="53">
        <v>2501679</v>
      </c>
      <c r="K103" s="53">
        <v>3160832</v>
      </c>
      <c r="L103" s="53">
        <v>2934940</v>
      </c>
      <c r="M103" s="53">
        <v>2706334</v>
      </c>
      <c r="N103" s="53">
        <v>2181086</v>
      </c>
      <c r="O103" s="53">
        <v>2623995</v>
      </c>
      <c r="P103" s="53">
        <v>3897837</v>
      </c>
      <c r="Q103" s="53">
        <v>1990376</v>
      </c>
      <c r="R103" s="53">
        <v>2561188</v>
      </c>
      <c r="S103" s="53">
        <v>4157044</v>
      </c>
      <c r="T103" s="53">
        <v>2536023</v>
      </c>
      <c r="U103" s="53">
        <v>1928048</v>
      </c>
      <c r="V103" s="53">
        <v>2002821</v>
      </c>
      <c r="W103" s="53">
        <v>2336066</v>
      </c>
      <c r="X103" s="53">
        <v>2775728</v>
      </c>
      <c r="Y103" s="53">
        <v>3189623</v>
      </c>
      <c r="Z103" s="53">
        <v>2873245</v>
      </c>
      <c r="AA103" s="53">
        <v>3046934</v>
      </c>
      <c r="AB103" s="53">
        <v>2619760</v>
      </c>
      <c r="AC103" s="53">
        <v>2859547</v>
      </c>
      <c r="AD103" s="53">
        <v>1138564</v>
      </c>
      <c r="AE103" s="53">
        <v>2251738</v>
      </c>
      <c r="AF103" s="53">
        <v>1959876</v>
      </c>
      <c r="AG103" s="53">
        <v>1867857</v>
      </c>
      <c r="AH103" s="53">
        <v>2223705</v>
      </c>
      <c r="AI103" s="53">
        <v>2575502</v>
      </c>
      <c r="AJ103" s="53">
        <v>1312873</v>
      </c>
      <c r="AK103" s="53">
        <v>2332552</v>
      </c>
      <c r="AL103" s="53">
        <v>2638914</v>
      </c>
      <c r="AM103" s="53">
        <v>1351152</v>
      </c>
      <c r="AN103" s="53">
        <v>2100371</v>
      </c>
      <c r="AO103" s="53">
        <v>1878899</v>
      </c>
      <c r="AP103" s="53">
        <v>2202928</v>
      </c>
      <c r="AQ103" s="53">
        <v>1282793</v>
      </c>
      <c r="AR103" s="53">
        <v>1632816</v>
      </c>
      <c r="AS103" s="53">
        <v>1614406</v>
      </c>
      <c r="AT103" s="53">
        <v>1619737</v>
      </c>
      <c r="AU103" s="53">
        <v>1180472</v>
      </c>
      <c r="AV103" s="53">
        <v>1192197</v>
      </c>
      <c r="AW103" s="53">
        <v>1627805</v>
      </c>
      <c r="AX103" s="53">
        <v>1325520</v>
      </c>
      <c r="AY103" s="53">
        <v>1788863</v>
      </c>
      <c r="AZ103" s="53">
        <v>1195095</v>
      </c>
      <c r="BA103" s="53">
        <v>1510097</v>
      </c>
      <c r="BB103" s="53">
        <v>1557354</v>
      </c>
      <c r="BC103" s="53">
        <v>2153492</v>
      </c>
      <c r="BD103" s="53">
        <v>1569197</v>
      </c>
      <c r="BE103" s="53">
        <v>1320439</v>
      </c>
      <c r="BF103" s="53">
        <v>2171962</v>
      </c>
      <c r="BG103" s="53">
        <v>648088</v>
      </c>
      <c r="BH103" s="53">
        <v>974226</v>
      </c>
      <c r="BI103" s="53">
        <v>261777</v>
      </c>
    </row>
    <row r="104" spans="1:61" ht="15.75" x14ac:dyDescent="0.25">
      <c r="A104" s="53" t="s">
        <v>32</v>
      </c>
      <c r="B104" s="52" t="s">
        <v>140</v>
      </c>
      <c r="C104" s="49" t="s">
        <v>42</v>
      </c>
      <c r="D104" s="49" t="str">
        <f>VLOOKUP(A104,PARAMETER!D:E,2,0)</f>
        <v>NINA</v>
      </c>
      <c r="E104" s="49" t="str">
        <f t="shared" si="8"/>
        <v>NINATRX</v>
      </c>
      <c r="F104" s="49" t="str">
        <f t="shared" si="9"/>
        <v>SHIHLINTRX</v>
      </c>
      <c r="G104" s="81">
        <f t="shared" si="7"/>
        <v>26131</v>
      </c>
      <c r="H104" s="81">
        <f>SUMIF(I$1:BI$1,"&lt;="&amp;PARAMETER!X$2,I104:BI104)</f>
        <v>11334</v>
      </c>
      <c r="I104" s="53">
        <v>262</v>
      </c>
      <c r="J104" s="53">
        <v>213</v>
      </c>
      <c r="K104" s="53">
        <v>178</v>
      </c>
      <c r="L104" s="53">
        <v>513</v>
      </c>
      <c r="M104" s="53">
        <v>1060</v>
      </c>
      <c r="N104" s="53">
        <v>5920</v>
      </c>
      <c r="O104" s="53">
        <v>978</v>
      </c>
      <c r="P104" s="53">
        <v>936</v>
      </c>
      <c r="Q104" s="53">
        <v>632</v>
      </c>
      <c r="R104" s="53">
        <v>323</v>
      </c>
      <c r="S104" s="53">
        <v>319</v>
      </c>
      <c r="T104" s="53">
        <v>332</v>
      </c>
      <c r="U104" s="53">
        <v>418</v>
      </c>
      <c r="V104" s="53">
        <v>471</v>
      </c>
      <c r="W104" s="53">
        <v>309</v>
      </c>
      <c r="X104" s="53">
        <v>347</v>
      </c>
      <c r="Y104" s="53">
        <v>228</v>
      </c>
      <c r="Z104" s="53">
        <v>305</v>
      </c>
      <c r="AA104" s="53">
        <v>377</v>
      </c>
      <c r="AB104" s="53">
        <v>295</v>
      </c>
      <c r="AC104" s="53">
        <v>323</v>
      </c>
      <c r="AD104" s="53">
        <v>294</v>
      </c>
      <c r="AE104" s="53">
        <v>256</v>
      </c>
      <c r="AF104" s="53">
        <v>60</v>
      </c>
      <c r="AG104" s="53">
        <v>75</v>
      </c>
      <c r="AH104" s="53">
        <v>331</v>
      </c>
      <c r="AI104" s="53">
        <v>139</v>
      </c>
      <c r="AJ104" s="53">
        <v>421</v>
      </c>
      <c r="AK104" s="53">
        <v>458</v>
      </c>
      <c r="AL104" s="53">
        <v>106</v>
      </c>
      <c r="AM104" s="53">
        <v>76</v>
      </c>
      <c r="AN104" s="53">
        <v>80</v>
      </c>
      <c r="AO104" s="53">
        <v>61</v>
      </c>
      <c r="AP104" s="53">
        <v>93</v>
      </c>
      <c r="AQ104" s="53">
        <v>356</v>
      </c>
      <c r="AR104" s="53">
        <v>594</v>
      </c>
      <c r="AS104" s="53">
        <v>535</v>
      </c>
      <c r="AT104" s="53">
        <v>491</v>
      </c>
      <c r="AU104" s="53">
        <v>600</v>
      </c>
      <c r="AV104" s="53">
        <v>627</v>
      </c>
      <c r="AW104" s="53">
        <v>659</v>
      </c>
      <c r="AX104" s="53">
        <v>495</v>
      </c>
      <c r="AY104" s="53">
        <v>635</v>
      </c>
      <c r="AZ104" s="53">
        <v>479</v>
      </c>
      <c r="BA104" s="53">
        <v>535</v>
      </c>
      <c r="BB104" s="53">
        <v>412</v>
      </c>
      <c r="BC104" s="53">
        <v>947</v>
      </c>
      <c r="BD104" s="53">
        <v>412</v>
      </c>
      <c r="BE104" s="53">
        <v>412</v>
      </c>
      <c r="BF104" s="53">
        <v>447</v>
      </c>
      <c r="BG104" s="53">
        <v>124</v>
      </c>
      <c r="BH104" s="53">
        <v>166</v>
      </c>
      <c r="BI104" s="53">
        <v>16</v>
      </c>
    </row>
    <row r="105" spans="1:61" ht="15.75" x14ac:dyDescent="0.25">
      <c r="A105" s="53" t="s">
        <v>32</v>
      </c>
      <c r="B105" s="52" t="s">
        <v>140</v>
      </c>
      <c r="C105" s="49" t="s">
        <v>41</v>
      </c>
      <c r="D105" s="49" t="str">
        <f>VLOOKUP(A105,PARAMETER!D:E,2,0)</f>
        <v>NINA</v>
      </c>
      <c r="E105" s="49" t="str">
        <f t="shared" si="8"/>
        <v>NINAVOL</v>
      </c>
      <c r="F105" s="49" t="str">
        <f t="shared" si="9"/>
        <v>SHIHLINVOL</v>
      </c>
      <c r="G105" s="81">
        <f t="shared" si="7"/>
        <v>1535697805</v>
      </c>
      <c r="H105" s="81">
        <f>SUMIF(I$1:BI$1,"&lt;="&amp;PARAMETER!X$2,I105:BI105)</f>
        <v>402304783</v>
      </c>
      <c r="I105" s="53">
        <v>17419001</v>
      </c>
      <c r="J105" s="53">
        <v>13734000</v>
      </c>
      <c r="K105" s="53">
        <v>11906600</v>
      </c>
      <c r="L105" s="53">
        <v>31554001</v>
      </c>
      <c r="M105" s="53">
        <v>59380553</v>
      </c>
      <c r="N105" s="53">
        <v>81773578</v>
      </c>
      <c r="O105" s="53">
        <v>56223140</v>
      </c>
      <c r="P105" s="53">
        <v>52168015</v>
      </c>
      <c r="Q105" s="53">
        <v>36466401</v>
      </c>
      <c r="R105" s="53">
        <v>19132123</v>
      </c>
      <c r="S105" s="53">
        <v>22547371</v>
      </c>
      <c r="T105" s="53">
        <v>20924319</v>
      </c>
      <c r="U105" s="53">
        <v>26863004</v>
      </c>
      <c r="V105" s="53">
        <v>28684000</v>
      </c>
      <c r="W105" s="53">
        <v>16729400</v>
      </c>
      <c r="X105" s="53">
        <v>18901039</v>
      </c>
      <c r="Y105" s="53">
        <v>14216400</v>
      </c>
      <c r="Z105" s="53">
        <v>21408210</v>
      </c>
      <c r="AA105" s="53">
        <v>26196291</v>
      </c>
      <c r="AB105" s="53">
        <v>18669001</v>
      </c>
      <c r="AC105" s="53">
        <v>18715008</v>
      </c>
      <c r="AD105" s="53">
        <v>21386424</v>
      </c>
      <c r="AE105" s="53">
        <v>20216017</v>
      </c>
      <c r="AF105" s="53">
        <v>11714000</v>
      </c>
      <c r="AG105" s="53">
        <v>18236002</v>
      </c>
      <c r="AH105" s="53">
        <v>32845704</v>
      </c>
      <c r="AI105" s="53">
        <v>24268000</v>
      </c>
      <c r="AJ105" s="53">
        <v>36679203</v>
      </c>
      <c r="AK105" s="53">
        <v>33863500</v>
      </c>
      <c r="AL105" s="53">
        <v>13160000</v>
      </c>
      <c r="AM105" s="53">
        <v>8170001</v>
      </c>
      <c r="AN105" s="53">
        <v>6761003</v>
      </c>
      <c r="AO105" s="53">
        <v>6957000</v>
      </c>
      <c r="AP105" s="53">
        <v>8094100</v>
      </c>
      <c r="AQ105" s="53">
        <v>22526446</v>
      </c>
      <c r="AR105" s="53">
        <v>37242001</v>
      </c>
      <c r="AS105" s="53">
        <v>30356001</v>
      </c>
      <c r="AT105" s="53">
        <v>28549261</v>
      </c>
      <c r="AU105" s="53">
        <v>35817000</v>
      </c>
      <c r="AV105" s="53">
        <v>41921000</v>
      </c>
      <c r="AW105" s="53">
        <v>40337000</v>
      </c>
      <c r="AX105" s="53">
        <v>32846000</v>
      </c>
      <c r="AY105" s="53">
        <v>46195000</v>
      </c>
      <c r="AZ105" s="53">
        <v>36402085</v>
      </c>
      <c r="BA105" s="53">
        <v>41342000</v>
      </c>
      <c r="BB105" s="53">
        <v>35026001</v>
      </c>
      <c r="BC105" s="53">
        <v>77104000</v>
      </c>
      <c r="BD105" s="53">
        <v>39557000</v>
      </c>
      <c r="BE105" s="53">
        <v>39974500</v>
      </c>
      <c r="BF105" s="53">
        <v>40299600</v>
      </c>
      <c r="BG105" s="53">
        <v>23548500</v>
      </c>
      <c r="BH105" s="53">
        <v>27038001</v>
      </c>
      <c r="BI105" s="53">
        <v>3654000</v>
      </c>
    </row>
    <row r="106" spans="1:61" ht="15.75" x14ac:dyDescent="0.25">
      <c r="A106" s="53" t="s">
        <v>32</v>
      </c>
      <c r="B106" s="52" t="s">
        <v>140</v>
      </c>
      <c r="C106" s="49" t="s">
        <v>40</v>
      </c>
      <c r="D106" s="49" t="str">
        <f>VLOOKUP(A106,PARAMETER!D:E,2,0)</f>
        <v>NINA</v>
      </c>
      <c r="E106" s="49" t="str">
        <f t="shared" si="8"/>
        <v>NINAFBI</v>
      </c>
      <c r="F106" s="49" t="str">
        <f t="shared" si="9"/>
        <v>SHIHLINFBI</v>
      </c>
      <c r="G106" s="81">
        <f t="shared" si="7"/>
        <v>5988490</v>
      </c>
      <c r="H106" s="81">
        <f>SUMIF(I$1:BI$1,"&lt;="&amp;PARAMETER!X$2,I106:BI106)</f>
        <v>2400584</v>
      </c>
      <c r="I106" s="53">
        <v>87634</v>
      </c>
      <c r="J106" s="53">
        <v>63330</v>
      </c>
      <c r="K106" s="53">
        <v>55148</v>
      </c>
      <c r="L106" s="53">
        <v>180309</v>
      </c>
      <c r="M106" s="53">
        <v>366430</v>
      </c>
      <c r="N106" s="53">
        <v>542498</v>
      </c>
      <c r="O106" s="53">
        <v>334578</v>
      </c>
      <c r="P106" s="53">
        <v>334707</v>
      </c>
      <c r="Q106" s="53">
        <v>223746</v>
      </c>
      <c r="R106" s="53">
        <v>109662</v>
      </c>
      <c r="S106" s="53">
        <v>102542</v>
      </c>
      <c r="T106" s="53">
        <v>101416</v>
      </c>
      <c r="U106" s="53">
        <v>135961</v>
      </c>
      <c r="V106" s="53">
        <v>161054</v>
      </c>
      <c r="W106" s="53">
        <v>97627</v>
      </c>
      <c r="X106" s="53">
        <v>107674</v>
      </c>
      <c r="Y106" s="53">
        <v>74656</v>
      </c>
      <c r="Z106" s="53">
        <v>108215</v>
      </c>
      <c r="AA106" s="53">
        <v>136493</v>
      </c>
      <c r="AB106" s="53">
        <v>91404</v>
      </c>
      <c r="AC106" s="53">
        <v>96676</v>
      </c>
      <c r="AD106" s="53">
        <v>121290</v>
      </c>
      <c r="AE106" s="53">
        <v>109958</v>
      </c>
      <c r="AF106" s="53">
        <v>67106</v>
      </c>
      <c r="AG106" s="53">
        <v>94578</v>
      </c>
      <c r="AH106" s="53">
        <v>202094</v>
      </c>
      <c r="AI106" s="53">
        <v>128900</v>
      </c>
      <c r="AJ106" s="53">
        <v>107567</v>
      </c>
      <c r="AK106" s="53">
        <v>76992</v>
      </c>
      <c r="AL106" s="53">
        <v>74768</v>
      </c>
      <c r="AM106" s="53">
        <v>46934</v>
      </c>
      <c r="AN106" s="53">
        <v>35776</v>
      </c>
      <c r="AO106" s="53">
        <v>25414</v>
      </c>
      <c r="AP106" s="53">
        <v>19900</v>
      </c>
      <c r="AQ106" s="53">
        <v>21429</v>
      </c>
      <c r="AR106" s="53">
        <v>19138</v>
      </c>
      <c r="AS106" s="53">
        <v>11399</v>
      </c>
      <c r="AT106" s="53">
        <v>14702</v>
      </c>
      <c r="AU106" s="53">
        <v>10360</v>
      </c>
      <c r="AV106" s="53">
        <v>51565</v>
      </c>
      <c r="AW106" s="53">
        <v>41838</v>
      </c>
      <c r="AX106" s="53">
        <v>46754</v>
      </c>
      <c r="AY106" s="53">
        <v>75098</v>
      </c>
      <c r="AZ106" s="53">
        <v>84910</v>
      </c>
      <c r="BA106" s="53">
        <v>100150</v>
      </c>
      <c r="BB106" s="53">
        <v>98184</v>
      </c>
      <c r="BC106" s="53">
        <v>95431</v>
      </c>
      <c r="BD106" s="53">
        <v>121642</v>
      </c>
      <c r="BE106" s="53">
        <v>121461</v>
      </c>
      <c r="BF106" s="53">
        <v>119804</v>
      </c>
      <c r="BG106" s="53">
        <v>142302</v>
      </c>
      <c r="BH106" s="53">
        <v>166606</v>
      </c>
      <c r="BI106" s="53">
        <v>22680</v>
      </c>
    </row>
    <row r="107" spans="1:61" ht="15.75" x14ac:dyDescent="0.25">
      <c r="A107" s="53" t="s">
        <v>33</v>
      </c>
      <c r="B107" s="52" t="s">
        <v>140</v>
      </c>
      <c r="C107" s="49" t="s">
        <v>42</v>
      </c>
      <c r="D107" s="49" t="str">
        <f>VLOOKUP(A107,PARAMETER!D:E,2,0)</f>
        <v>NINA</v>
      </c>
      <c r="E107" s="49" t="str">
        <f t="shared" si="8"/>
        <v>NINATRX</v>
      </c>
      <c r="F107" s="49" t="str">
        <f t="shared" si="9"/>
        <v>SOLARIATRX</v>
      </c>
      <c r="G107" s="81">
        <f t="shared" si="7"/>
        <v>26333</v>
      </c>
      <c r="H107" s="81">
        <f>SUMIF(I$1:BI$1,"&lt;="&amp;PARAMETER!X$2,I107:BI107)</f>
        <v>4409</v>
      </c>
      <c r="I107" s="53">
        <v>449</v>
      </c>
      <c r="J107" s="53">
        <v>331</v>
      </c>
      <c r="K107" s="53">
        <v>368</v>
      </c>
      <c r="L107" s="53">
        <v>522</v>
      </c>
      <c r="M107" s="53">
        <v>415</v>
      </c>
      <c r="N107" s="53">
        <v>427</v>
      </c>
      <c r="O107" s="53">
        <v>462</v>
      </c>
      <c r="P107" s="53">
        <v>405</v>
      </c>
      <c r="Q107" s="53">
        <v>344</v>
      </c>
      <c r="R107" s="53">
        <v>297</v>
      </c>
      <c r="S107" s="53">
        <v>389</v>
      </c>
      <c r="T107" s="53">
        <v>439</v>
      </c>
      <c r="U107" s="53">
        <v>530</v>
      </c>
      <c r="V107" s="53">
        <v>615</v>
      </c>
      <c r="W107" s="53">
        <v>398</v>
      </c>
      <c r="X107" s="53">
        <v>467</v>
      </c>
      <c r="Y107" s="53">
        <v>433</v>
      </c>
      <c r="Z107" s="53">
        <v>429</v>
      </c>
      <c r="AA107" s="53">
        <v>523</v>
      </c>
      <c r="AB107" s="53">
        <v>341</v>
      </c>
      <c r="AC107" s="53">
        <v>373</v>
      </c>
      <c r="AD107" s="53">
        <v>167</v>
      </c>
      <c r="AE107" s="53">
        <v>486</v>
      </c>
      <c r="AF107" s="53">
        <v>424</v>
      </c>
      <c r="AG107" s="53">
        <v>489</v>
      </c>
      <c r="AH107" s="53">
        <v>502</v>
      </c>
      <c r="AI107" s="53">
        <v>499</v>
      </c>
      <c r="AJ107" s="53">
        <v>1055</v>
      </c>
      <c r="AK107" s="53">
        <v>579</v>
      </c>
      <c r="AL107" s="53">
        <v>596</v>
      </c>
      <c r="AM107" s="53">
        <v>601</v>
      </c>
      <c r="AN107" s="53">
        <v>516</v>
      </c>
      <c r="AO107" s="53">
        <v>566</v>
      </c>
      <c r="AP107" s="53">
        <v>491</v>
      </c>
      <c r="AQ107" s="53">
        <v>640</v>
      </c>
      <c r="AR107" s="53">
        <v>496</v>
      </c>
      <c r="AS107" s="53">
        <v>491</v>
      </c>
      <c r="AT107" s="53">
        <v>425</v>
      </c>
      <c r="AU107" s="53">
        <v>484</v>
      </c>
      <c r="AV107" s="53">
        <v>679</v>
      </c>
      <c r="AW107" s="53">
        <v>525</v>
      </c>
      <c r="AX107" s="53">
        <v>528</v>
      </c>
      <c r="AY107" s="53">
        <v>599</v>
      </c>
      <c r="AZ107" s="53">
        <v>690</v>
      </c>
      <c r="BA107" s="53">
        <v>514</v>
      </c>
      <c r="BB107" s="53">
        <v>471</v>
      </c>
      <c r="BC107" s="53">
        <v>453</v>
      </c>
      <c r="BD107" s="53">
        <v>739</v>
      </c>
      <c r="BE107" s="53">
        <v>538</v>
      </c>
      <c r="BF107" s="53">
        <v>621</v>
      </c>
      <c r="BG107" s="53">
        <v>676</v>
      </c>
      <c r="BH107" s="53">
        <v>733</v>
      </c>
      <c r="BI107" s="53">
        <v>103</v>
      </c>
    </row>
    <row r="108" spans="1:61" ht="15.75" x14ac:dyDescent="0.25">
      <c r="A108" s="53" t="s">
        <v>33</v>
      </c>
      <c r="B108" s="52" t="s">
        <v>140</v>
      </c>
      <c r="C108" s="49" t="s">
        <v>41</v>
      </c>
      <c r="D108" s="49" t="str">
        <f>VLOOKUP(A108,PARAMETER!D:E,2,0)</f>
        <v>NINA</v>
      </c>
      <c r="E108" s="49" t="str">
        <f t="shared" si="8"/>
        <v>NINAVOL</v>
      </c>
      <c r="F108" s="49" t="str">
        <f t="shared" si="9"/>
        <v>SOLARIAVOL</v>
      </c>
      <c r="G108" s="81">
        <f t="shared" si="7"/>
        <v>4256666494</v>
      </c>
      <c r="H108" s="81">
        <f>SUMIF(I$1:BI$1,"&lt;="&amp;PARAMETER!X$2,I108:BI108)</f>
        <v>725632900</v>
      </c>
      <c r="I108" s="53">
        <v>79673700</v>
      </c>
      <c r="J108" s="53">
        <v>57447700</v>
      </c>
      <c r="K108" s="53">
        <v>62227500</v>
      </c>
      <c r="L108" s="53">
        <v>86680700</v>
      </c>
      <c r="M108" s="53">
        <v>71109600</v>
      </c>
      <c r="N108" s="53">
        <v>62255900</v>
      </c>
      <c r="O108" s="53">
        <v>73190000</v>
      </c>
      <c r="P108" s="53">
        <v>65544600</v>
      </c>
      <c r="Q108" s="53">
        <v>56365900</v>
      </c>
      <c r="R108" s="53">
        <v>47595300</v>
      </c>
      <c r="S108" s="53">
        <v>63542000</v>
      </c>
      <c r="T108" s="53">
        <v>76753400</v>
      </c>
      <c r="U108" s="53">
        <v>101588100</v>
      </c>
      <c r="V108" s="53">
        <v>118595500</v>
      </c>
      <c r="W108" s="53">
        <v>64211600</v>
      </c>
      <c r="X108" s="53">
        <v>74673400</v>
      </c>
      <c r="Y108" s="53">
        <v>67751700</v>
      </c>
      <c r="Z108" s="53">
        <v>70137900</v>
      </c>
      <c r="AA108" s="53">
        <v>85223400</v>
      </c>
      <c r="AB108" s="53">
        <v>56170000</v>
      </c>
      <c r="AC108" s="53">
        <v>58655600</v>
      </c>
      <c r="AD108" s="53">
        <v>28020200</v>
      </c>
      <c r="AE108" s="53">
        <v>78466400</v>
      </c>
      <c r="AF108" s="53">
        <v>68242200</v>
      </c>
      <c r="AG108" s="53">
        <v>86237400</v>
      </c>
      <c r="AH108" s="53">
        <v>91138100</v>
      </c>
      <c r="AI108" s="53">
        <v>89934700</v>
      </c>
      <c r="AJ108" s="53">
        <v>162982100</v>
      </c>
      <c r="AK108" s="53">
        <v>91286800</v>
      </c>
      <c r="AL108" s="53">
        <v>99281800</v>
      </c>
      <c r="AM108" s="53">
        <v>89378400</v>
      </c>
      <c r="AN108" s="53">
        <v>82346400</v>
      </c>
      <c r="AO108" s="53">
        <v>87461600</v>
      </c>
      <c r="AP108" s="53">
        <v>71296300</v>
      </c>
      <c r="AQ108" s="53">
        <v>92893900</v>
      </c>
      <c r="AR108" s="53">
        <v>79595000</v>
      </c>
      <c r="AS108" s="53">
        <v>73280900</v>
      </c>
      <c r="AT108" s="53">
        <v>65218100</v>
      </c>
      <c r="AU108" s="53">
        <v>76593100</v>
      </c>
      <c r="AV108" s="53">
        <v>103920800</v>
      </c>
      <c r="AW108" s="53">
        <v>78922800</v>
      </c>
      <c r="AX108" s="53">
        <v>79817600</v>
      </c>
      <c r="AY108" s="53">
        <v>91767400</v>
      </c>
      <c r="AZ108" s="53">
        <v>103072200</v>
      </c>
      <c r="BA108" s="53">
        <v>80554200</v>
      </c>
      <c r="BB108" s="53">
        <v>71125500</v>
      </c>
      <c r="BC108" s="53">
        <v>72647300</v>
      </c>
      <c r="BD108" s="53">
        <v>112817800</v>
      </c>
      <c r="BE108" s="53">
        <v>80826300</v>
      </c>
      <c r="BF108" s="53">
        <v>98004388</v>
      </c>
      <c r="BG108" s="53">
        <v>114853606</v>
      </c>
      <c r="BH108" s="53">
        <v>136262300</v>
      </c>
      <c r="BI108" s="53">
        <v>19027400</v>
      </c>
    </row>
    <row r="109" spans="1:61" ht="15.75" x14ac:dyDescent="0.25">
      <c r="A109" s="53" t="s">
        <v>33</v>
      </c>
      <c r="B109" s="52" t="s">
        <v>140</v>
      </c>
      <c r="C109" s="49" t="s">
        <v>40</v>
      </c>
      <c r="D109" s="49" t="str">
        <f>VLOOKUP(A109,PARAMETER!D:E,2,0)</f>
        <v>NINA</v>
      </c>
      <c r="E109" s="49" t="str">
        <f t="shared" si="8"/>
        <v>NINAFBI</v>
      </c>
      <c r="F109" s="49" t="str">
        <f t="shared" si="9"/>
        <v>SOLARIAFBI</v>
      </c>
      <c r="G109" s="81">
        <f t="shared" si="7"/>
        <v>12315533</v>
      </c>
      <c r="H109" s="81">
        <f>SUMIF(I$1:BI$1,"&lt;="&amp;PARAMETER!X$2,I109:BI109)</f>
        <v>1100749</v>
      </c>
      <c r="I109" s="53">
        <v>124050</v>
      </c>
      <c r="J109" s="53">
        <v>86172</v>
      </c>
      <c r="K109" s="53">
        <v>93341</v>
      </c>
      <c r="L109" s="53">
        <v>130021</v>
      </c>
      <c r="M109" s="53">
        <v>108942</v>
      </c>
      <c r="N109" s="53">
        <v>93384</v>
      </c>
      <c r="O109" s="53">
        <v>109785</v>
      </c>
      <c r="P109" s="53">
        <v>101802</v>
      </c>
      <c r="Q109" s="53">
        <v>86546</v>
      </c>
      <c r="R109" s="53">
        <v>71393</v>
      </c>
      <c r="S109" s="53">
        <v>95313</v>
      </c>
      <c r="T109" s="53">
        <v>117799</v>
      </c>
      <c r="U109" s="53">
        <v>152382</v>
      </c>
      <c r="V109" s="53">
        <v>178803</v>
      </c>
      <c r="W109" s="53">
        <v>96317</v>
      </c>
      <c r="X109" s="53">
        <v>112010</v>
      </c>
      <c r="Y109" s="53">
        <v>101628</v>
      </c>
      <c r="Z109" s="53">
        <v>107842</v>
      </c>
      <c r="AA109" s="53">
        <v>127835</v>
      </c>
      <c r="AB109" s="53">
        <v>84255</v>
      </c>
      <c r="AC109" s="53">
        <v>87983</v>
      </c>
      <c r="AD109" s="53">
        <v>42413</v>
      </c>
      <c r="AE109" s="53">
        <v>117700</v>
      </c>
      <c r="AF109" s="53">
        <v>102363</v>
      </c>
      <c r="AG109" s="53">
        <v>129356</v>
      </c>
      <c r="AH109" s="53">
        <v>136707</v>
      </c>
      <c r="AI109" s="53">
        <v>138925</v>
      </c>
      <c r="AJ109" s="53">
        <v>723672</v>
      </c>
      <c r="AK109" s="53">
        <v>309444</v>
      </c>
      <c r="AL109" s="53">
        <v>330543</v>
      </c>
      <c r="AM109" s="53">
        <v>387390</v>
      </c>
      <c r="AN109" s="53">
        <v>315383</v>
      </c>
      <c r="AO109" s="53">
        <v>320667</v>
      </c>
      <c r="AP109" s="53">
        <v>258574</v>
      </c>
      <c r="AQ109" s="53">
        <v>422415</v>
      </c>
      <c r="AR109" s="53">
        <v>284584</v>
      </c>
      <c r="AS109" s="53">
        <v>301538</v>
      </c>
      <c r="AT109" s="53">
        <v>245156</v>
      </c>
      <c r="AU109" s="53">
        <v>331163</v>
      </c>
      <c r="AV109" s="53">
        <v>432247</v>
      </c>
      <c r="AW109" s="53">
        <v>309827</v>
      </c>
      <c r="AX109" s="53">
        <v>305352</v>
      </c>
      <c r="AY109" s="53">
        <v>382253</v>
      </c>
      <c r="AZ109" s="53">
        <v>450741</v>
      </c>
      <c r="BA109" s="53">
        <v>334236</v>
      </c>
      <c r="BB109" s="53">
        <v>285909</v>
      </c>
      <c r="BC109" s="53">
        <v>289080</v>
      </c>
      <c r="BD109" s="53">
        <v>533393</v>
      </c>
      <c r="BE109" s="53">
        <v>307898</v>
      </c>
      <c r="BF109" s="53">
        <v>380998</v>
      </c>
      <c r="BG109" s="53">
        <v>465458</v>
      </c>
      <c r="BH109" s="53">
        <v>590118</v>
      </c>
      <c r="BI109" s="53">
        <v>82427</v>
      </c>
    </row>
    <row r="110" spans="1:61" ht="15.75" x14ac:dyDescent="0.25">
      <c r="A110" s="53" t="s">
        <v>34</v>
      </c>
      <c r="B110" s="52" t="s">
        <v>140</v>
      </c>
      <c r="C110" s="49" t="s">
        <v>42</v>
      </c>
      <c r="D110" s="49" t="str">
        <f>VLOOKUP(A110,PARAMETER!D:E,2,0)</f>
        <v>NINA</v>
      </c>
      <c r="E110" s="49" t="str">
        <f t="shared" si="8"/>
        <v>NINATRX</v>
      </c>
      <c r="F110" s="49" t="str">
        <f t="shared" si="9"/>
        <v>SOUR SALLYTRX</v>
      </c>
      <c r="G110" s="81">
        <f t="shared" si="7"/>
        <v>12217</v>
      </c>
      <c r="H110" s="81">
        <f>SUMIF(I$1:BI$1,"&lt;="&amp;PARAMETER!X$2,I110:BI110)</f>
        <v>5503</v>
      </c>
      <c r="I110" s="53">
        <v>735</v>
      </c>
      <c r="J110" s="53">
        <v>415</v>
      </c>
      <c r="K110" s="53">
        <v>491</v>
      </c>
      <c r="L110" s="53">
        <v>639</v>
      </c>
      <c r="M110" s="53">
        <v>552</v>
      </c>
      <c r="N110" s="53">
        <v>564</v>
      </c>
      <c r="O110" s="53">
        <v>483</v>
      </c>
      <c r="P110" s="53">
        <v>481</v>
      </c>
      <c r="Q110" s="53">
        <v>423</v>
      </c>
      <c r="R110" s="53">
        <v>315</v>
      </c>
      <c r="S110" s="53">
        <v>405</v>
      </c>
      <c r="T110" s="53">
        <v>379</v>
      </c>
      <c r="U110" s="53">
        <v>536</v>
      </c>
      <c r="V110" s="53">
        <v>869</v>
      </c>
      <c r="W110" s="53">
        <v>447</v>
      </c>
      <c r="X110" s="53">
        <v>389</v>
      </c>
      <c r="Y110" s="53">
        <v>255</v>
      </c>
      <c r="Z110" s="53">
        <v>102</v>
      </c>
      <c r="AA110" s="53">
        <v>98</v>
      </c>
      <c r="AB110" s="53">
        <v>136</v>
      </c>
      <c r="AC110" s="53">
        <v>80</v>
      </c>
      <c r="AD110" s="53">
        <v>209</v>
      </c>
      <c r="AE110" s="53">
        <v>255</v>
      </c>
      <c r="AF110" s="53">
        <v>127</v>
      </c>
      <c r="AG110" s="53">
        <v>201</v>
      </c>
      <c r="AH110" s="53">
        <v>104</v>
      </c>
      <c r="AI110" s="53">
        <v>123</v>
      </c>
      <c r="AJ110" s="53">
        <v>168</v>
      </c>
      <c r="AK110" s="53">
        <v>106</v>
      </c>
      <c r="AL110" s="53">
        <v>99</v>
      </c>
      <c r="AM110" s="53">
        <v>13</v>
      </c>
      <c r="AN110" s="53">
        <v>41</v>
      </c>
      <c r="AO110" s="53">
        <v>119</v>
      </c>
      <c r="AP110" s="53">
        <v>39</v>
      </c>
      <c r="AQ110" s="53">
        <v>77</v>
      </c>
      <c r="AR110" s="53">
        <v>139</v>
      </c>
      <c r="AS110" s="53">
        <v>74</v>
      </c>
      <c r="AT110" s="53">
        <v>65</v>
      </c>
      <c r="AU110" s="53">
        <v>87</v>
      </c>
      <c r="AV110" s="53">
        <v>47</v>
      </c>
      <c r="AW110" s="53">
        <v>129</v>
      </c>
      <c r="AX110" s="53">
        <v>137</v>
      </c>
      <c r="AY110" s="53">
        <v>91</v>
      </c>
      <c r="AZ110" s="53">
        <v>76</v>
      </c>
      <c r="BA110" s="53">
        <v>188</v>
      </c>
      <c r="BB110" s="53">
        <v>140</v>
      </c>
      <c r="BC110" s="53">
        <v>82</v>
      </c>
      <c r="BD110" s="53">
        <v>151</v>
      </c>
      <c r="BE110" s="53">
        <v>88</v>
      </c>
      <c r="BF110" s="53">
        <v>93</v>
      </c>
      <c r="BG110" s="53">
        <v>115</v>
      </c>
      <c r="BH110" s="53">
        <v>38</v>
      </c>
      <c r="BI110" s="53">
        <v>2</v>
      </c>
    </row>
    <row r="111" spans="1:61" ht="15.75" x14ac:dyDescent="0.25">
      <c r="A111" s="53" t="s">
        <v>34</v>
      </c>
      <c r="B111" s="52" t="s">
        <v>140</v>
      </c>
      <c r="C111" s="49" t="s">
        <v>41</v>
      </c>
      <c r="D111" s="49" t="str">
        <f>VLOOKUP(A111,PARAMETER!D:E,2,0)</f>
        <v>NINA</v>
      </c>
      <c r="E111" s="49" t="str">
        <f t="shared" si="8"/>
        <v>NINAVOL</v>
      </c>
      <c r="F111" s="49" t="str">
        <f t="shared" si="9"/>
        <v>SOUR SALLYVOL</v>
      </c>
      <c r="G111" s="81">
        <f t="shared" si="7"/>
        <v>945709040</v>
      </c>
      <c r="H111" s="81">
        <f>SUMIF(I$1:BI$1,"&lt;="&amp;PARAMETER!X$2,I111:BI111)</f>
        <v>428292120</v>
      </c>
      <c r="I111" s="53">
        <v>60078600</v>
      </c>
      <c r="J111" s="53">
        <v>32776000</v>
      </c>
      <c r="K111" s="53">
        <v>37276008</v>
      </c>
      <c r="L111" s="53">
        <v>50309000</v>
      </c>
      <c r="M111" s="53">
        <v>43522610</v>
      </c>
      <c r="N111" s="53">
        <v>42943800</v>
      </c>
      <c r="O111" s="53">
        <v>35353402</v>
      </c>
      <c r="P111" s="53">
        <v>35073500</v>
      </c>
      <c r="Q111" s="53">
        <v>32879200</v>
      </c>
      <c r="R111" s="53">
        <v>24214000</v>
      </c>
      <c r="S111" s="53">
        <v>33866000</v>
      </c>
      <c r="T111" s="53">
        <v>30063000</v>
      </c>
      <c r="U111" s="53">
        <v>44328200</v>
      </c>
      <c r="V111" s="53">
        <v>73281000</v>
      </c>
      <c r="W111" s="53">
        <v>33652000</v>
      </c>
      <c r="X111" s="53">
        <v>28736147</v>
      </c>
      <c r="Y111" s="53">
        <v>20217213</v>
      </c>
      <c r="Z111" s="53">
        <v>7398700</v>
      </c>
      <c r="AA111" s="53">
        <v>6362000</v>
      </c>
      <c r="AB111" s="53">
        <v>8632213</v>
      </c>
      <c r="AC111" s="53">
        <v>4771000</v>
      </c>
      <c r="AD111" s="53">
        <v>12760400</v>
      </c>
      <c r="AE111" s="53">
        <v>17104900</v>
      </c>
      <c r="AF111" s="53">
        <v>8711000</v>
      </c>
      <c r="AG111" s="53">
        <v>14104000</v>
      </c>
      <c r="AH111" s="53">
        <v>7645000</v>
      </c>
      <c r="AI111" s="53">
        <v>8714000</v>
      </c>
      <c r="AJ111" s="53">
        <v>12885000</v>
      </c>
      <c r="AK111" s="53">
        <v>7042000</v>
      </c>
      <c r="AL111" s="53">
        <v>7733000</v>
      </c>
      <c r="AM111" s="53">
        <v>906000</v>
      </c>
      <c r="AN111" s="53">
        <v>3245000</v>
      </c>
      <c r="AO111" s="53">
        <v>9530600</v>
      </c>
      <c r="AP111" s="53">
        <v>2853000</v>
      </c>
      <c r="AQ111" s="53">
        <v>5573400</v>
      </c>
      <c r="AR111" s="53">
        <v>10708000</v>
      </c>
      <c r="AS111" s="53">
        <v>5578490</v>
      </c>
      <c r="AT111" s="53">
        <v>5021400</v>
      </c>
      <c r="AU111" s="53">
        <v>6226000</v>
      </c>
      <c r="AV111" s="53">
        <v>3768000</v>
      </c>
      <c r="AW111" s="53">
        <v>9884002</v>
      </c>
      <c r="AX111" s="53">
        <v>10443000</v>
      </c>
      <c r="AY111" s="53">
        <v>6981800</v>
      </c>
      <c r="AZ111" s="53">
        <v>5565000</v>
      </c>
      <c r="BA111" s="53">
        <v>14315041</v>
      </c>
      <c r="BB111" s="53">
        <v>10429000</v>
      </c>
      <c r="BC111" s="53">
        <v>6187000</v>
      </c>
      <c r="BD111" s="53">
        <v>11873800</v>
      </c>
      <c r="BE111" s="53">
        <v>7049600</v>
      </c>
      <c r="BF111" s="53">
        <v>7421014</v>
      </c>
      <c r="BG111" s="53">
        <v>11103000</v>
      </c>
      <c r="BH111" s="53">
        <v>8451000</v>
      </c>
      <c r="BI111" s="53">
        <v>163000</v>
      </c>
    </row>
    <row r="112" spans="1:61" ht="15.75" x14ac:dyDescent="0.25">
      <c r="A112" s="53" t="s">
        <v>34</v>
      </c>
      <c r="B112" s="52" t="s">
        <v>140</v>
      </c>
      <c r="C112" s="49" t="s">
        <v>40</v>
      </c>
      <c r="D112" s="49" t="str">
        <f>VLOOKUP(A112,PARAMETER!D:E,2,0)</f>
        <v>NINA</v>
      </c>
      <c r="E112" s="49" t="str">
        <f t="shared" si="8"/>
        <v>NINAFBI</v>
      </c>
      <c r="F112" s="49" t="str">
        <f t="shared" si="9"/>
        <v>SOUR SALLYFBI</v>
      </c>
      <c r="G112" s="81">
        <f t="shared" si="7"/>
        <v>6614787</v>
      </c>
      <c r="H112" s="81">
        <f>SUMIF(I$1:BI$1,"&lt;="&amp;PARAMETER!X$2,I112:BI112)</f>
        <v>2995559</v>
      </c>
      <c r="I112" s="53">
        <v>419324</v>
      </c>
      <c r="J112" s="53">
        <v>228448</v>
      </c>
      <c r="K112" s="53">
        <v>260898</v>
      </c>
      <c r="L112" s="53">
        <v>351572</v>
      </c>
      <c r="M112" s="53">
        <v>303122</v>
      </c>
      <c r="N112" s="53">
        <v>298986</v>
      </c>
      <c r="O112" s="53">
        <v>246328</v>
      </c>
      <c r="P112" s="53">
        <v>247911</v>
      </c>
      <c r="Q112" s="53">
        <v>230154</v>
      </c>
      <c r="R112" s="53">
        <v>169585</v>
      </c>
      <c r="S112" s="53">
        <v>239231</v>
      </c>
      <c r="T112" s="53">
        <v>208571</v>
      </c>
      <c r="U112" s="53">
        <v>310114</v>
      </c>
      <c r="V112" s="53">
        <v>514964</v>
      </c>
      <c r="W112" s="53">
        <v>236666</v>
      </c>
      <c r="X112" s="53">
        <v>200145</v>
      </c>
      <c r="Y112" s="53">
        <v>138539</v>
      </c>
      <c r="Z112" s="53">
        <v>52997</v>
      </c>
      <c r="AA112" s="53">
        <v>44534</v>
      </c>
      <c r="AB112" s="53">
        <v>60691</v>
      </c>
      <c r="AC112" s="53">
        <v>33613</v>
      </c>
      <c r="AD112" s="53">
        <v>88742</v>
      </c>
      <c r="AE112" s="53">
        <v>120418</v>
      </c>
      <c r="AF112" s="53">
        <v>59696</v>
      </c>
      <c r="AG112" s="53">
        <v>98830</v>
      </c>
      <c r="AH112" s="53">
        <v>51430</v>
      </c>
      <c r="AI112" s="53">
        <v>59400</v>
      </c>
      <c r="AJ112" s="53">
        <v>90195</v>
      </c>
      <c r="AK112" s="53">
        <v>49024</v>
      </c>
      <c r="AL112" s="53">
        <v>54131</v>
      </c>
      <c r="AM112" s="53">
        <v>5946</v>
      </c>
      <c r="AN112" s="53">
        <v>22715</v>
      </c>
      <c r="AO112" s="53">
        <v>64854</v>
      </c>
      <c r="AP112" s="53">
        <v>20013</v>
      </c>
      <c r="AQ112" s="53">
        <v>39014</v>
      </c>
      <c r="AR112" s="53">
        <v>75568</v>
      </c>
      <c r="AS112" s="53">
        <v>39198</v>
      </c>
      <c r="AT112" s="53">
        <v>35582</v>
      </c>
      <c r="AU112" s="53">
        <v>43582</v>
      </c>
      <c r="AV112" s="53">
        <v>26376</v>
      </c>
      <c r="AW112" s="53">
        <v>69506</v>
      </c>
      <c r="AX112" s="53">
        <v>73101</v>
      </c>
      <c r="AY112" s="53">
        <v>48872</v>
      </c>
      <c r="AZ112" s="53">
        <v>38955</v>
      </c>
      <c r="BA112" s="53">
        <v>100399</v>
      </c>
      <c r="BB112" s="53">
        <v>73219</v>
      </c>
      <c r="BC112" s="53">
        <v>43309</v>
      </c>
      <c r="BD112" s="53">
        <v>83117</v>
      </c>
      <c r="BE112" s="53">
        <v>49347</v>
      </c>
      <c r="BF112" s="53">
        <v>53804</v>
      </c>
      <c r="BG112" s="53">
        <v>77431</v>
      </c>
      <c r="BH112" s="53">
        <v>61479</v>
      </c>
      <c r="BI112" s="53">
        <v>1141</v>
      </c>
    </row>
    <row r="113" spans="1:61" ht="15.75" x14ac:dyDescent="0.25">
      <c r="A113" s="53" t="s">
        <v>53</v>
      </c>
      <c r="B113" s="52" t="s">
        <v>140</v>
      </c>
      <c r="C113" s="49" t="s">
        <v>42</v>
      </c>
      <c r="D113" s="49" t="str">
        <f>VLOOKUP(A113,PARAMETER!D:E,2,0)</f>
        <v>NINA</v>
      </c>
      <c r="E113" s="49" t="str">
        <f t="shared" si="8"/>
        <v>NINATRX</v>
      </c>
      <c r="F113" s="49" t="str">
        <f t="shared" si="9"/>
        <v>STEVEN GROUPTRX</v>
      </c>
      <c r="G113" s="81">
        <f t="shared" si="7"/>
        <v>83246</v>
      </c>
      <c r="H113" s="81">
        <f>SUMIF(I$1:BI$1,"&lt;="&amp;PARAMETER!X$2,I113:BI113)</f>
        <v>23608</v>
      </c>
      <c r="I113" s="53">
        <v>950</v>
      </c>
      <c r="J113" s="53">
        <v>1761</v>
      </c>
      <c r="K113" s="53">
        <v>1261</v>
      </c>
      <c r="L113" s="53">
        <v>1451</v>
      </c>
      <c r="M113" s="53">
        <v>1833</v>
      </c>
      <c r="N113" s="53">
        <v>4296</v>
      </c>
      <c r="O113" s="53">
        <v>2368</v>
      </c>
      <c r="P113" s="53">
        <v>2044</v>
      </c>
      <c r="Q113" s="53">
        <v>2562</v>
      </c>
      <c r="R113" s="53">
        <v>3231</v>
      </c>
      <c r="S113" s="53">
        <v>1851</v>
      </c>
      <c r="T113" s="53">
        <v>2785</v>
      </c>
      <c r="U113" s="53">
        <v>3885</v>
      </c>
      <c r="V113" s="53">
        <v>2886</v>
      </c>
      <c r="W113" s="53">
        <v>2500</v>
      </c>
      <c r="X113" s="53">
        <v>2628</v>
      </c>
      <c r="Y113" s="53">
        <v>1810</v>
      </c>
      <c r="Z113" s="53">
        <v>1970</v>
      </c>
      <c r="AA113" s="53">
        <v>1968</v>
      </c>
      <c r="AB113" s="53">
        <v>1585</v>
      </c>
      <c r="AC113" s="53">
        <v>1469</v>
      </c>
      <c r="AD113" s="53">
        <v>1425</v>
      </c>
      <c r="AE113" s="53">
        <v>1898</v>
      </c>
      <c r="AF113" s="53">
        <v>1577</v>
      </c>
      <c r="AG113" s="53">
        <v>1712</v>
      </c>
      <c r="AH113" s="53">
        <v>1869</v>
      </c>
      <c r="AI113" s="53">
        <v>1761</v>
      </c>
      <c r="AJ113" s="53">
        <v>2083</v>
      </c>
      <c r="AK113" s="53">
        <v>1845</v>
      </c>
      <c r="AL113" s="53">
        <v>1534</v>
      </c>
      <c r="AM113" s="53">
        <v>1912</v>
      </c>
      <c r="AN113" s="53">
        <v>1768</v>
      </c>
      <c r="AO113" s="53">
        <v>1893</v>
      </c>
      <c r="AP113" s="53">
        <v>1529</v>
      </c>
      <c r="AQ113" s="53">
        <v>1667</v>
      </c>
      <c r="AR113" s="53">
        <v>2009</v>
      </c>
      <c r="AS113" s="53">
        <v>901</v>
      </c>
      <c r="AT113" s="53">
        <v>816</v>
      </c>
      <c r="AU113" s="53">
        <v>489</v>
      </c>
      <c r="AV113" s="53">
        <v>573</v>
      </c>
      <c r="AW113" s="53">
        <v>406</v>
      </c>
      <c r="AX113" s="53">
        <v>467</v>
      </c>
      <c r="AY113" s="53">
        <v>515</v>
      </c>
      <c r="AZ113" s="53">
        <v>533</v>
      </c>
      <c r="BA113" s="53">
        <v>560</v>
      </c>
      <c r="BB113" s="53">
        <v>650</v>
      </c>
      <c r="BC113" s="53">
        <v>716</v>
      </c>
      <c r="BD113" s="53">
        <v>712</v>
      </c>
      <c r="BE113" s="53">
        <v>755</v>
      </c>
      <c r="BF113" s="53">
        <v>743</v>
      </c>
      <c r="BG113" s="53">
        <v>601</v>
      </c>
      <c r="BH113" s="53">
        <v>203</v>
      </c>
      <c r="BI113" s="53">
        <v>30</v>
      </c>
    </row>
    <row r="114" spans="1:61" ht="15.75" x14ac:dyDescent="0.25">
      <c r="A114" s="53" t="s">
        <v>53</v>
      </c>
      <c r="B114" s="52" t="s">
        <v>140</v>
      </c>
      <c r="C114" s="49" t="s">
        <v>41</v>
      </c>
      <c r="D114" s="49" t="str">
        <f>VLOOKUP(A114,PARAMETER!D:E,2,0)</f>
        <v>NINA</v>
      </c>
      <c r="E114" s="49" t="str">
        <f t="shared" si="8"/>
        <v>NINAVOL</v>
      </c>
      <c r="F114" s="49" t="str">
        <f t="shared" si="9"/>
        <v>STEVEN GROUPVOL</v>
      </c>
      <c r="G114" s="81">
        <f t="shared" si="7"/>
        <v>5812863406</v>
      </c>
      <c r="H114" s="81">
        <f>SUMIF(I$1:BI$1,"&lt;="&amp;PARAMETER!X$2,I114:BI114)</f>
        <v>1513922539</v>
      </c>
      <c r="I114" s="53">
        <v>71095510</v>
      </c>
      <c r="J114" s="53">
        <v>124322208</v>
      </c>
      <c r="K114" s="53">
        <v>174040546</v>
      </c>
      <c r="L114" s="53">
        <v>95577700</v>
      </c>
      <c r="M114" s="53">
        <v>122455767</v>
      </c>
      <c r="N114" s="53">
        <v>233986648</v>
      </c>
      <c r="O114" s="53">
        <v>158838219</v>
      </c>
      <c r="P114" s="53">
        <v>139021744</v>
      </c>
      <c r="Q114" s="53">
        <v>141403407</v>
      </c>
      <c r="R114" s="53">
        <v>133571188</v>
      </c>
      <c r="S114" s="53">
        <v>119609602</v>
      </c>
      <c r="T114" s="53">
        <v>134061225</v>
      </c>
      <c r="U114" s="53">
        <v>245552053</v>
      </c>
      <c r="V114" s="53">
        <v>213585319</v>
      </c>
      <c r="W114" s="53">
        <v>170913649</v>
      </c>
      <c r="X114" s="53">
        <v>179660481</v>
      </c>
      <c r="Y114" s="53">
        <v>124587788</v>
      </c>
      <c r="Z114" s="53">
        <v>141028926</v>
      </c>
      <c r="AA114" s="53">
        <v>136893943</v>
      </c>
      <c r="AB114" s="53">
        <v>109317845</v>
      </c>
      <c r="AC114" s="53">
        <v>105073947</v>
      </c>
      <c r="AD114" s="53">
        <v>107690676</v>
      </c>
      <c r="AE114" s="53">
        <v>174553274</v>
      </c>
      <c r="AF114" s="53">
        <v>112782742</v>
      </c>
      <c r="AG114" s="53">
        <v>126929207</v>
      </c>
      <c r="AH114" s="53">
        <v>146579584</v>
      </c>
      <c r="AI114" s="53">
        <v>136329618</v>
      </c>
      <c r="AJ114" s="53">
        <v>155348916</v>
      </c>
      <c r="AK114" s="53">
        <v>133745554</v>
      </c>
      <c r="AL114" s="53">
        <v>103886099</v>
      </c>
      <c r="AM114" s="53">
        <v>126504072</v>
      </c>
      <c r="AN114" s="53">
        <v>125843408</v>
      </c>
      <c r="AO114" s="53">
        <v>205488667</v>
      </c>
      <c r="AP114" s="53">
        <v>101473290</v>
      </c>
      <c r="AQ114" s="53">
        <v>108142608</v>
      </c>
      <c r="AR114" s="53">
        <v>134607864</v>
      </c>
      <c r="AS114" s="53">
        <v>54050621</v>
      </c>
      <c r="AT114" s="53">
        <v>52823657</v>
      </c>
      <c r="AU114" s="53">
        <v>63810414</v>
      </c>
      <c r="AV114" s="53">
        <v>49108321</v>
      </c>
      <c r="AW114" s="53">
        <v>24974890</v>
      </c>
      <c r="AX114" s="53">
        <v>27524223</v>
      </c>
      <c r="AY114" s="53">
        <v>31278944</v>
      </c>
      <c r="AZ114" s="53">
        <v>34727071</v>
      </c>
      <c r="BA114" s="53">
        <v>34397656</v>
      </c>
      <c r="BB114" s="53">
        <v>47860701</v>
      </c>
      <c r="BC114" s="53">
        <v>48944811</v>
      </c>
      <c r="BD114" s="53">
        <v>44712889</v>
      </c>
      <c r="BE114" s="53">
        <v>47422591</v>
      </c>
      <c r="BF114" s="53">
        <v>47993116</v>
      </c>
      <c r="BG114" s="53">
        <v>48765666</v>
      </c>
      <c r="BH114" s="53">
        <v>71541507</v>
      </c>
      <c r="BI114" s="53">
        <v>8423034</v>
      </c>
    </row>
    <row r="115" spans="1:61" ht="15.75" x14ac:dyDescent="0.25">
      <c r="A115" s="53" t="s">
        <v>53</v>
      </c>
      <c r="B115" s="52" t="s">
        <v>140</v>
      </c>
      <c r="C115" s="49" t="s">
        <v>40</v>
      </c>
      <c r="D115" s="49" t="str">
        <f>VLOOKUP(A115,PARAMETER!D:E,2,0)</f>
        <v>NINA</v>
      </c>
      <c r="E115" s="49" t="str">
        <f t="shared" si="8"/>
        <v>NINAFBI</v>
      </c>
      <c r="F115" s="49" t="str">
        <f t="shared" si="9"/>
        <v>STEVEN GROUPFBI</v>
      </c>
      <c r="G115" s="81">
        <f t="shared" si="7"/>
        <v>4940388</v>
      </c>
      <c r="H115" s="81">
        <f>SUMIF(I$1:BI$1,"&lt;="&amp;PARAMETER!X$2,I115:BI115)</f>
        <v>1465565</v>
      </c>
      <c r="I115" s="53">
        <v>135</v>
      </c>
      <c r="J115" s="53">
        <v>16900</v>
      </c>
      <c r="K115" s="53">
        <v>135305</v>
      </c>
      <c r="L115" s="53">
        <v>0</v>
      </c>
      <c r="M115" s="53">
        <v>12058</v>
      </c>
      <c r="N115" s="53">
        <v>808722</v>
      </c>
      <c r="O115" s="53">
        <v>196487</v>
      </c>
      <c r="P115" s="53">
        <v>155442</v>
      </c>
      <c r="Q115" s="53">
        <v>78486</v>
      </c>
      <c r="R115" s="53">
        <v>44449</v>
      </c>
      <c r="S115" s="53">
        <v>17581</v>
      </c>
      <c r="T115" s="53">
        <v>23366</v>
      </c>
      <c r="U115" s="53">
        <v>166300</v>
      </c>
      <c r="V115" s="53">
        <v>33948</v>
      </c>
      <c r="W115" s="53">
        <v>59634</v>
      </c>
      <c r="X115" s="53">
        <v>37721</v>
      </c>
      <c r="Y115" s="53">
        <v>20373</v>
      </c>
      <c r="Z115" s="53">
        <v>87045</v>
      </c>
      <c r="AA115" s="53">
        <v>81368</v>
      </c>
      <c r="AB115" s="53">
        <v>26655</v>
      </c>
      <c r="AC115" s="53">
        <v>45626</v>
      </c>
      <c r="AD115" s="53">
        <v>67516</v>
      </c>
      <c r="AE115" s="53">
        <v>110619</v>
      </c>
      <c r="AF115" s="53">
        <v>23495</v>
      </c>
      <c r="AG115" s="53">
        <v>46067</v>
      </c>
      <c r="AH115" s="53">
        <v>104392</v>
      </c>
      <c r="AI115" s="53">
        <v>38792</v>
      </c>
      <c r="AJ115" s="53">
        <v>82987</v>
      </c>
      <c r="AK115" s="53">
        <v>75794</v>
      </c>
      <c r="AL115" s="53">
        <v>34491</v>
      </c>
      <c r="AM115" s="53">
        <v>34649</v>
      </c>
      <c r="AN115" s="53">
        <v>177644</v>
      </c>
      <c r="AO115" s="53">
        <v>625449</v>
      </c>
      <c r="AP115" s="53">
        <v>40720</v>
      </c>
      <c r="AQ115" s="53">
        <v>22005</v>
      </c>
      <c r="AR115" s="53">
        <v>33316</v>
      </c>
      <c r="AS115" s="53">
        <v>46746</v>
      </c>
      <c r="AT115" s="53">
        <v>52078</v>
      </c>
      <c r="AU115" s="53">
        <v>195386</v>
      </c>
      <c r="AV115" s="53">
        <v>297746</v>
      </c>
      <c r="AW115" s="53">
        <v>17803</v>
      </c>
      <c r="AX115" s="53">
        <v>25365</v>
      </c>
      <c r="AY115" s="53">
        <v>45980</v>
      </c>
      <c r="AZ115" s="53">
        <v>66473</v>
      </c>
      <c r="BA115" s="53">
        <v>44320</v>
      </c>
      <c r="BB115" s="53">
        <v>44890</v>
      </c>
      <c r="BC115" s="53">
        <v>156818</v>
      </c>
      <c r="BD115" s="53">
        <v>42719</v>
      </c>
      <c r="BE115" s="53">
        <v>52559</v>
      </c>
      <c r="BF115" s="53">
        <v>75898</v>
      </c>
      <c r="BG115" s="53">
        <v>70843</v>
      </c>
      <c r="BH115" s="53">
        <v>125463</v>
      </c>
      <c r="BI115" s="53">
        <v>13764</v>
      </c>
    </row>
    <row r="116" spans="1:61" ht="15.75" x14ac:dyDescent="0.25">
      <c r="A116" s="53" t="s">
        <v>50</v>
      </c>
      <c r="B116" s="52" t="s">
        <v>140</v>
      </c>
      <c r="C116" s="49" t="s">
        <v>42</v>
      </c>
      <c r="D116" s="49" t="str">
        <f>VLOOKUP(A116,PARAMETER!D:E,2,0)</f>
        <v>ADISTI</v>
      </c>
      <c r="E116" s="49" t="str">
        <f t="shared" si="8"/>
        <v>ADISTITRX</v>
      </c>
      <c r="F116" s="49" t="str">
        <f t="shared" si="9"/>
        <v>SUPRA BOGA LESTARITRX</v>
      </c>
      <c r="G116" s="81">
        <f t="shared" si="7"/>
        <v>47</v>
      </c>
      <c r="H116" s="81">
        <f>SUMIF(I$1:BI$1,"&lt;="&amp;PARAMETER!X$2,I116:BI116)</f>
        <v>8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8</v>
      </c>
      <c r="T116" s="53">
        <v>8</v>
      </c>
      <c r="U116" s="53">
        <v>1</v>
      </c>
      <c r="V116" s="53">
        <v>0</v>
      </c>
      <c r="W116" s="53">
        <v>0</v>
      </c>
      <c r="X116" s="53">
        <v>0</v>
      </c>
      <c r="Y116" s="53">
        <v>2</v>
      </c>
      <c r="Z116" s="53">
        <v>7</v>
      </c>
      <c r="AA116" s="53">
        <v>5</v>
      </c>
      <c r="AB116" s="53">
        <v>1</v>
      </c>
      <c r="AC116" s="53">
        <v>2</v>
      </c>
      <c r="AD116" s="53">
        <v>1</v>
      </c>
      <c r="AE116" s="53">
        <v>0</v>
      </c>
      <c r="AF116" s="53">
        <v>1</v>
      </c>
      <c r="AG116" s="53">
        <v>0</v>
      </c>
      <c r="AH116" s="53">
        <v>1</v>
      </c>
      <c r="AI116" s="53">
        <v>1</v>
      </c>
      <c r="AJ116" s="53">
        <v>0</v>
      </c>
      <c r="AK116" s="53">
        <v>1</v>
      </c>
      <c r="AL116" s="53">
        <v>0</v>
      </c>
      <c r="AM116" s="53">
        <v>0</v>
      </c>
      <c r="AN116" s="53">
        <v>1</v>
      </c>
      <c r="AO116" s="53">
        <v>1</v>
      </c>
      <c r="AP116" s="53">
        <v>0</v>
      </c>
      <c r="AQ116" s="53">
        <v>1</v>
      </c>
      <c r="AR116" s="53">
        <v>2</v>
      </c>
      <c r="AS116" s="53">
        <v>1</v>
      </c>
      <c r="AT116" s="53">
        <v>0</v>
      </c>
      <c r="AU116" s="53">
        <v>0</v>
      </c>
      <c r="AV116" s="53">
        <v>0</v>
      </c>
      <c r="AW116" s="53">
        <v>0</v>
      </c>
      <c r="AX116" s="53">
        <v>1</v>
      </c>
      <c r="AY116" s="53">
        <v>0</v>
      </c>
      <c r="AZ116" s="53">
        <v>0</v>
      </c>
      <c r="BA116" s="53">
        <v>0</v>
      </c>
      <c r="BB116" s="53">
        <v>0</v>
      </c>
      <c r="BC116" s="53">
        <v>0</v>
      </c>
      <c r="BD116" s="53">
        <v>0</v>
      </c>
      <c r="BE116" s="53">
        <v>0</v>
      </c>
      <c r="BF116" s="53">
        <v>0</v>
      </c>
      <c r="BG116" s="53">
        <v>1</v>
      </c>
      <c r="BH116" s="53">
        <v>0</v>
      </c>
      <c r="BI116" s="53">
        <v>0</v>
      </c>
    </row>
    <row r="117" spans="1:61" ht="15.75" x14ac:dyDescent="0.25">
      <c r="A117" s="53" t="s">
        <v>50</v>
      </c>
      <c r="B117" s="52" t="s">
        <v>140</v>
      </c>
      <c r="C117" s="49" t="s">
        <v>41</v>
      </c>
      <c r="D117" s="49" t="str">
        <f>VLOOKUP(A117,PARAMETER!D:E,2,0)</f>
        <v>ADISTI</v>
      </c>
      <c r="E117" s="49" t="str">
        <f t="shared" si="8"/>
        <v>ADISTIVOL</v>
      </c>
      <c r="F117" s="49" t="str">
        <f t="shared" si="9"/>
        <v>SUPRA BOGA LESTARIVOL</v>
      </c>
      <c r="G117" s="81">
        <f t="shared" si="7"/>
        <v>34478941</v>
      </c>
      <c r="H117" s="81">
        <f>SUMIF(I$1:BI$1,"&lt;="&amp;PARAMETER!X$2,I117:BI117)</f>
        <v>4435402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0</v>
      </c>
      <c r="P117" s="53">
        <v>0</v>
      </c>
      <c r="Q117" s="53">
        <v>0</v>
      </c>
      <c r="R117" s="53">
        <v>0</v>
      </c>
      <c r="S117" s="53">
        <v>4435402</v>
      </c>
      <c r="T117" s="53">
        <v>8035448</v>
      </c>
      <c r="U117" s="53">
        <v>857902</v>
      </c>
      <c r="V117" s="53">
        <v>0</v>
      </c>
      <c r="W117" s="53">
        <v>0</v>
      </c>
      <c r="X117" s="53">
        <v>0</v>
      </c>
      <c r="Y117" s="53">
        <v>130323</v>
      </c>
      <c r="Z117" s="53">
        <v>4320329</v>
      </c>
      <c r="AA117" s="53">
        <v>1176434</v>
      </c>
      <c r="AB117" s="53">
        <v>173900</v>
      </c>
      <c r="AC117" s="53">
        <v>3094433</v>
      </c>
      <c r="AD117" s="53">
        <v>1603133</v>
      </c>
      <c r="AE117" s="53">
        <v>0</v>
      </c>
      <c r="AF117" s="53">
        <v>1710804</v>
      </c>
      <c r="AG117" s="53">
        <v>0</v>
      </c>
      <c r="AH117" s="53">
        <v>758215</v>
      </c>
      <c r="AI117" s="53">
        <v>1517048</v>
      </c>
      <c r="AJ117" s="53">
        <v>0</v>
      </c>
      <c r="AK117" s="53">
        <v>443417</v>
      </c>
      <c r="AL117" s="53">
        <v>0</v>
      </c>
      <c r="AM117" s="53">
        <v>0</v>
      </c>
      <c r="AN117" s="53">
        <v>1059235</v>
      </c>
      <c r="AO117" s="53">
        <v>892208</v>
      </c>
      <c r="AP117" s="53">
        <v>0</v>
      </c>
      <c r="AQ117" s="53">
        <v>565558</v>
      </c>
      <c r="AR117" s="53">
        <v>1414740</v>
      </c>
      <c r="AS117" s="53">
        <v>1139300</v>
      </c>
      <c r="AT117" s="53">
        <v>0</v>
      </c>
      <c r="AU117" s="53">
        <v>0</v>
      </c>
      <c r="AV117" s="53">
        <v>0</v>
      </c>
      <c r="AW117" s="53">
        <v>0</v>
      </c>
      <c r="AX117" s="53">
        <v>472274</v>
      </c>
      <c r="AY117" s="53">
        <v>0</v>
      </c>
      <c r="AZ117" s="53">
        <v>0</v>
      </c>
      <c r="BA117" s="53">
        <v>0</v>
      </c>
      <c r="BB117" s="53">
        <v>0</v>
      </c>
      <c r="BC117" s="53">
        <v>0</v>
      </c>
      <c r="BD117" s="53">
        <v>0</v>
      </c>
      <c r="BE117" s="53">
        <v>0</v>
      </c>
      <c r="BF117" s="53">
        <v>0</v>
      </c>
      <c r="BG117" s="53">
        <v>678838</v>
      </c>
      <c r="BH117" s="53">
        <v>0</v>
      </c>
      <c r="BI117" s="53">
        <v>0</v>
      </c>
    </row>
    <row r="118" spans="1:61" ht="15.75" x14ac:dyDescent="0.25">
      <c r="A118" s="53" t="s">
        <v>50</v>
      </c>
      <c r="B118" s="52" t="s">
        <v>140</v>
      </c>
      <c r="C118" s="49" t="s">
        <v>40</v>
      </c>
      <c r="D118" s="49" t="str">
        <f>VLOOKUP(A118,PARAMETER!D:E,2,0)</f>
        <v>ADISTI</v>
      </c>
      <c r="E118" s="49" t="str">
        <f t="shared" si="8"/>
        <v>ADISTIFBI</v>
      </c>
      <c r="F118" s="49" t="str">
        <f t="shared" si="9"/>
        <v>SUPRA BOGA LESTARIFBI</v>
      </c>
      <c r="G118" s="81">
        <f t="shared" si="7"/>
        <v>51717</v>
      </c>
      <c r="H118" s="81">
        <f>SUMIF(I$1:BI$1,"&lt;="&amp;PARAMETER!X$2,I118:BI118)</f>
        <v>6653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6653</v>
      </c>
      <c r="T118" s="53">
        <v>12053</v>
      </c>
      <c r="U118" s="53">
        <v>1287</v>
      </c>
      <c r="V118" s="53">
        <v>0</v>
      </c>
      <c r="W118" s="53">
        <v>0</v>
      </c>
      <c r="X118" s="53">
        <v>0</v>
      </c>
      <c r="Y118" s="53">
        <v>195</v>
      </c>
      <c r="Z118" s="53">
        <v>6480</v>
      </c>
      <c r="AA118" s="53">
        <v>1765</v>
      </c>
      <c r="AB118" s="53">
        <v>261</v>
      </c>
      <c r="AC118" s="53">
        <v>4642</v>
      </c>
      <c r="AD118" s="53">
        <v>2405</v>
      </c>
      <c r="AE118" s="53">
        <v>0</v>
      </c>
      <c r="AF118" s="53">
        <v>2566</v>
      </c>
      <c r="AG118" s="53">
        <v>0</v>
      </c>
      <c r="AH118" s="53">
        <v>1137</v>
      </c>
      <c r="AI118" s="53">
        <v>2276</v>
      </c>
      <c r="AJ118" s="53">
        <v>0</v>
      </c>
      <c r="AK118" s="53">
        <v>665</v>
      </c>
      <c r="AL118" s="53">
        <v>0</v>
      </c>
      <c r="AM118" s="53">
        <v>0</v>
      </c>
      <c r="AN118" s="53">
        <v>1589</v>
      </c>
      <c r="AO118" s="53">
        <v>1338</v>
      </c>
      <c r="AP118" s="53">
        <v>0</v>
      </c>
      <c r="AQ118" s="53">
        <v>848</v>
      </c>
      <c r="AR118" s="53">
        <v>2122</v>
      </c>
      <c r="AS118" s="53">
        <v>1709</v>
      </c>
      <c r="AT118" s="53">
        <v>0</v>
      </c>
      <c r="AU118" s="53">
        <v>0</v>
      </c>
      <c r="AV118" s="53">
        <v>0</v>
      </c>
      <c r="AW118" s="53">
        <v>0</v>
      </c>
      <c r="AX118" s="53">
        <v>708</v>
      </c>
      <c r="AY118" s="53">
        <v>0</v>
      </c>
      <c r="AZ118" s="53">
        <v>0</v>
      </c>
      <c r="BA118" s="53">
        <v>0</v>
      </c>
      <c r="BB118" s="53">
        <v>0</v>
      </c>
      <c r="BC118" s="53">
        <v>0</v>
      </c>
      <c r="BD118" s="53">
        <v>0</v>
      </c>
      <c r="BE118" s="53">
        <v>0</v>
      </c>
      <c r="BF118" s="53">
        <v>0</v>
      </c>
      <c r="BG118" s="53">
        <v>1018</v>
      </c>
      <c r="BH118" s="53">
        <v>0</v>
      </c>
      <c r="BI118" s="53">
        <v>0</v>
      </c>
    </row>
    <row r="119" spans="1:61" ht="15.75" x14ac:dyDescent="0.25">
      <c r="A119" s="53" t="s">
        <v>35</v>
      </c>
      <c r="B119" s="52" t="s">
        <v>140</v>
      </c>
      <c r="C119" s="49" t="s">
        <v>42</v>
      </c>
      <c r="D119" s="49" t="str">
        <f>VLOOKUP(A119,PARAMETER!D:E,2,0)</f>
        <v>ADISTI</v>
      </c>
      <c r="E119" s="49" t="str">
        <f t="shared" si="8"/>
        <v>ADISTITRX</v>
      </c>
      <c r="F119" s="49" t="str">
        <f t="shared" si="9"/>
        <v>SURYA BUMI RETAILINDOTRX</v>
      </c>
      <c r="G119" s="81">
        <f t="shared" si="7"/>
        <v>55</v>
      </c>
      <c r="H119" s="81">
        <f>SUMIF(I$1:BI$1,"&lt;="&amp;PARAMETER!X$2,I119:BI119)</f>
        <v>33</v>
      </c>
      <c r="I119" s="53">
        <v>7</v>
      </c>
      <c r="J119" s="53">
        <v>3</v>
      </c>
      <c r="K119" s="53">
        <v>2</v>
      </c>
      <c r="L119" s="53">
        <v>4</v>
      </c>
      <c r="M119" s="53">
        <v>3</v>
      </c>
      <c r="N119" s="53">
        <v>14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0</v>
      </c>
      <c r="AF119" s="53">
        <v>0</v>
      </c>
      <c r="AG119" s="53">
        <v>0</v>
      </c>
      <c r="AH119" s="53">
        <v>2</v>
      </c>
      <c r="AI119" s="53">
        <v>0</v>
      </c>
      <c r="AJ119" s="53">
        <v>17</v>
      </c>
      <c r="AK119" s="53">
        <v>0</v>
      </c>
      <c r="AL119" s="53">
        <v>0</v>
      </c>
      <c r="AM119" s="53">
        <v>1</v>
      </c>
      <c r="AN119" s="53">
        <v>1</v>
      </c>
      <c r="AO119" s="53">
        <v>0</v>
      </c>
      <c r="AP119" s="53">
        <v>0</v>
      </c>
      <c r="AQ119" s="53">
        <v>0</v>
      </c>
      <c r="AR119" s="53">
        <v>0</v>
      </c>
      <c r="AS119" s="53">
        <v>0</v>
      </c>
      <c r="AT119" s="53">
        <v>0</v>
      </c>
      <c r="AU119" s="53">
        <v>0</v>
      </c>
      <c r="AV119" s="53">
        <v>0</v>
      </c>
      <c r="AW119" s="53">
        <v>0</v>
      </c>
      <c r="AX119" s="53">
        <v>0</v>
      </c>
      <c r="AY119" s="53">
        <v>0</v>
      </c>
      <c r="AZ119" s="53">
        <v>0</v>
      </c>
      <c r="BA119" s="53">
        <v>0</v>
      </c>
      <c r="BB119" s="53">
        <v>0</v>
      </c>
      <c r="BC119" s="53">
        <v>1</v>
      </c>
      <c r="BD119" s="53">
        <v>0</v>
      </c>
      <c r="BE119" s="53">
        <v>0</v>
      </c>
      <c r="BF119" s="53">
        <v>0</v>
      </c>
      <c r="BG119" s="53">
        <v>0</v>
      </c>
      <c r="BH119" s="53">
        <v>0</v>
      </c>
      <c r="BI119" s="53">
        <v>0</v>
      </c>
    </row>
    <row r="120" spans="1:61" ht="15.75" x14ac:dyDescent="0.25">
      <c r="A120" s="53" t="s">
        <v>35</v>
      </c>
      <c r="B120" s="52" t="s">
        <v>140</v>
      </c>
      <c r="C120" s="49" t="s">
        <v>41</v>
      </c>
      <c r="D120" s="49" t="str">
        <f>VLOOKUP(A120,PARAMETER!D:E,2,0)</f>
        <v>ADISTI</v>
      </c>
      <c r="E120" s="49" t="str">
        <f t="shared" si="8"/>
        <v>ADISTIVOL</v>
      </c>
      <c r="F120" s="49" t="str">
        <f t="shared" si="9"/>
        <v>SURYA BUMI RETAILINDOVOL</v>
      </c>
      <c r="G120" s="81">
        <f t="shared" si="7"/>
        <v>64378300</v>
      </c>
      <c r="H120" s="81">
        <f>SUMIF(I$1:BI$1,"&lt;="&amp;PARAMETER!X$2,I120:BI120)</f>
        <v>38145300</v>
      </c>
      <c r="I120" s="53">
        <v>9627300</v>
      </c>
      <c r="J120" s="53">
        <v>4837000</v>
      </c>
      <c r="K120" s="53">
        <v>4700000</v>
      </c>
      <c r="L120" s="53">
        <v>4925000</v>
      </c>
      <c r="M120" s="53">
        <v>7121000</v>
      </c>
      <c r="N120" s="53">
        <v>6935000</v>
      </c>
      <c r="O120" s="53">
        <v>0</v>
      </c>
      <c r="P120" s="53">
        <v>0</v>
      </c>
      <c r="Q120" s="53">
        <v>0</v>
      </c>
      <c r="R120" s="53">
        <v>0</v>
      </c>
      <c r="S120" s="53">
        <v>0</v>
      </c>
      <c r="T120" s="53">
        <v>0</v>
      </c>
      <c r="U120" s="53">
        <v>0</v>
      </c>
      <c r="V120" s="53">
        <v>0</v>
      </c>
      <c r="W120" s="53">
        <v>0</v>
      </c>
      <c r="X120" s="53">
        <v>0</v>
      </c>
      <c r="Y120" s="53">
        <v>0</v>
      </c>
      <c r="Z120" s="53">
        <v>0</v>
      </c>
      <c r="AA120" s="53">
        <v>0</v>
      </c>
      <c r="AB120" s="53">
        <v>0</v>
      </c>
      <c r="AC120" s="53">
        <v>0</v>
      </c>
      <c r="AD120" s="53">
        <v>0</v>
      </c>
      <c r="AE120" s="53">
        <v>0</v>
      </c>
      <c r="AF120" s="53">
        <v>0</v>
      </c>
      <c r="AG120" s="53">
        <v>0</v>
      </c>
      <c r="AH120" s="53">
        <v>7386000</v>
      </c>
      <c r="AI120" s="53">
        <v>0</v>
      </c>
      <c r="AJ120" s="53">
        <v>12600000</v>
      </c>
      <c r="AK120" s="53">
        <v>0</v>
      </c>
      <c r="AL120" s="53">
        <v>0</v>
      </c>
      <c r="AM120" s="53">
        <v>2726000</v>
      </c>
      <c r="AN120" s="53">
        <v>2615000</v>
      </c>
      <c r="AO120" s="53">
        <v>0</v>
      </c>
      <c r="AP120" s="53">
        <v>0</v>
      </c>
      <c r="AQ120" s="53">
        <v>0</v>
      </c>
      <c r="AR120" s="53">
        <v>0</v>
      </c>
      <c r="AS120" s="53">
        <v>0</v>
      </c>
      <c r="AT120" s="53">
        <v>0</v>
      </c>
      <c r="AU120" s="53">
        <v>0</v>
      </c>
      <c r="AV120" s="53">
        <v>0</v>
      </c>
      <c r="AW120" s="53">
        <v>0</v>
      </c>
      <c r="AX120" s="53">
        <v>0</v>
      </c>
      <c r="AY120" s="53">
        <v>0</v>
      </c>
      <c r="AZ120" s="53">
        <v>0</v>
      </c>
      <c r="BA120" s="53">
        <v>0</v>
      </c>
      <c r="BB120" s="53">
        <v>0</v>
      </c>
      <c r="BC120" s="53">
        <v>906000</v>
      </c>
      <c r="BD120" s="53">
        <v>0</v>
      </c>
      <c r="BE120" s="53">
        <v>0</v>
      </c>
      <c r="BF120" s="53">
        <v>0</v>
      </c>
      <c r="BG120" s="53">
        <v>0</v>
      </c>
      <c r="BH120" s="53">
        <v>0</v>
      </c>
      <c r="BI120" s="53">
        <v>0</v>
      </c>
    </row>
    <row r="121" spans="1:61" ht="15.75" x14ac:dyDescent="0.25">
      <c r="A121" s="53" t="s">
        <v>35</v>
      </c>
      <c r="B121" s="52" t="s">
        <v>140</v>
      </c>
      <c r="C121" s="49" t="s">
        <v>40</v>
      </c>
      <c r="D121" s="49" t="str">
        <f>VLOOKUP(A121,PARAMETER!D:E,2,0)</f>
        <v>ADISTI</v>
      </c>
      <c r="E121" s="49" t="str">
        <f t="shared" si="8"/>
        <v>ADISTIFBI</v>
      </c>
      <c r="F121" s="49" t="str">
        <f t="shared" si="9"/>
        <v>SURYA BUMI RETAILINDOFBI</v>
      </c>
      <c r="G121" s="81">
        <f t="shared" si="7"/>
        <v>204724</v>
      </c>
      <c r="H121" s="81">
        <f>SUMIF(I$1:BI$1,"&lt;="&amp;PARAMETER!X$2,I121:BI121)</f>
        <v>81969</v>
      </c>
      <c r="I121" s="53">
        <v>14441</v>
      </c>
      <c r="J121" s="53">
        <v>7256</v>
      </c>
      <c r="K121" s="53">
        <v>7050</v>
      </c>
      <c r="L121" s="53">
        <v>7388</v>
      </c>
      <c r="M121" s="53">
        <v>10682</v>
      </c>
      <c r="N121" s="53">
        <v>35152</v>
      </c>
      <c r="O121" s="53">
        <v>0</v>
      </c>
      <c r="P121" s="53">
        <v>0</v>
      </c>
      <c r="Q121" s="53">
        <v>0</v>
      </c>
      <c r="R121" s="53">
        <v>0</v>
      </c>
      <c r="S121" s="53">
        <v>0</v>
      </c>
      <c r="T121" s="53">
        <v>0</v>
      </c>
      <c r="U121" s="53">
        <v>0</v>
      </c>
      <c r="V121" s="53">
        <v>0</v>
      </c>
      <c r="W121" s="53">
        <v>0</v>
      </c>
      <c r="X121" s="53">
        <v>0</v>
      </c>
      <c r="Y121" s="53">
        <v>0</v>
      </c>
      <c r="Z121" s="53">
        <v>0</v>
      </c>
      <c r="AA121" s="53">
        <v>0</v>
      </c>
      <c r="AB121" s="53">
        <v>0</v>
      </c>
      <c r="AC121" s="53">
        <v>0</v>
      </c>
      <c r="AD121" s="53">
        <v>0</v>
      </c>
      <c r="AE121" s="53">
        <v>0</v>
      </c>
      <c r="AF121" s="53">
        <v>0</v>
      </c>
      <c r="AG121" s="53">
        <v>0</v>
      </c>
      <c r="AH121" s="53">
        <v>39809</v>
      </c>
      <c r="AI121" s="53">
        <v>0</v>
      </c>
      <c r="AJ121" s="53">
        <v>44200</v>
      </c>
      <c r="AK121" s="53">
        <v>0</v>
      </c>
      <c r="AL121" s="53">
        <v>0</v>
      </c>
      <c r="AM121" s="53">
        <v>19082</v>
      </c>
      <c r="AN121" s="53">
        <v>18305</v>
      </c>
      <c r="AO121" s="53">
        <v>0</v>
      </c>
      <c r="AP121" s="53">
        <v>0</v>
      </c>
      <c r="AQ121" s="53">
        <v>0</v>
      </c>
      <c r="AR121" s="53">
        <v>0</v>
      </c>
      <c r="AS121" s="53">
        <v>0</v>
      </c>
      <c r="AT121" s="53">
        <v>0</v>
      </c>
      <c r="AU121" s="53">
        <v>0</v>
      </c>
      <c r="AV121" s="53">
        <v>0</v>
      </c>
      <c r="AW121" s="53">
        <v>0</v>
      </c>
      <c r="AX121" s="53">
        <v>0</v>
      </c>
      <c r="AY121" s="53">
        <v>0</v>
      </c>
      <c r="AZ121" s="53">
        <v>0</v>
      </c>
      <c r="BA121" s="53">
        <v>0</v>
      </c>
      <c r="BB121" s="53">
        <v>0</v>
      </c>
      <c r="BC121" s="53">
        <v>1359</v>
      </c>
      <c r="BD121" s="53">
        <v>0</v>
      </c>
      <c r="BE121" s="53">
        <v>0</v>
      </c>
      <c r="BF121" s="53">
        <v>0</v>
      </c>
      <c r="BG121" s="53">
        <v>0</v>
      </c>
      <c r="BH121" s="53">
        <v>0</v>
      </c>
      <c r="BI121" s="53">
        <v>0</v>
      </c>
    </row>
    <row r="122" spans="1:61" ht="15.75" x14ac:dyDescent="0.25">
      <c r="A122" s="53" t="s">
        <v>36</v>
      </c>
      <c r="B122" s="52" t="s">
        <v>140</v>
      </c>
      <c r="C122" s="49" t="s">
        <v>42</v>
      </c>
      <c r="D122" s="49" t="str">
        <f>VLOOKUP(A122,PARAMETER!D:E,2,0)</f>
        <v>NINA</v>
      </c>
      <c r="E122" s="49" t="str">
        <f t="shared" si="8"/>
        <v>NINATRX</v>
      </c>
      <c r="F122" s="49" t="str">
        <f t="shared" si="9"/>
        <v>TAMANITRX</v>
      </c>
      <c r="G122" s="81">
        <f t="shared" si="7"/>
        <v>9</v>
      </c>
      <c r="H122" s="81">
        <f>SUMIF(I$1:BI$1,"&lt;="&amp;PARAMETER!X$2,I122:BI122)</f>
        <v>5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  <c r="N122" s="53">
        <v>0</v>
      </c>
      <c r="O122" s="53">
        <v>0</v>
      </c>
      <c r="P122" s="53">
        <v>3</v>
      </c>
      <c r="Q122" s="53">
        <v>2</v>
      </c>
      <c r="R122" s="53">
        <v>0</v>
      </c>
      <c r="S122" s="53">
        <v>0</v>
      </c>
      <c r="T122" s="53">
        <v>0</v>
      </c>
      <c r="U122" s="53">
        <v>0</v>
      </c>
      <c r="V122" s="53">
        <v>0</v>
      </c>
      <c r="W122" s="53">
        <v>1</v>
      </c>
      <c r="X122" s="53">
        <v>0</v>
      </c>
      <c r="Y122" s="53">
        <v>0</v>
      </c>
      <c r="Z122" s="53">
        <v>0</v>
      </c>
      <c r="AA122" s="53">
        <v>0</v>
      </c>
      <c r="AB122" s="53">
        <v>0</v>
      </c>
      <c r="AC122" s="53">
        <v>0</v>
      </c>
      <c r="AD122" s="53">
        <v>0</v>
      </c>
      <c r="AE122" s="53">
        <v>0</v>
      </c>
      <c r="AF122" s="53">
        <v>1</v>
      </c>
      <c r="AG122" s="53">
        <v>0</v>
      </c>
      <c r="AH122" s="53">
        <v>0</v>
      </c>
      <c r="AI122" s="53">
        <v>0</v>
      </c>
      <c r="AJ122" s="53">
        <v>0</v>
      </c>
      <c r="AK122" s="53">
        <v>0</v>
      </c>
      <c r="AL122" s="53">
        <v>0</v>
      </c>
      <c r="AM122" s="53">
        <v>0</v>
      </c>
      <c r="AN122" s="53">
        <v>1</v>
      </c>
      <c r="AO122" s="53">
        <v>0</v>
      </c>
      <c r="AP122" s="53">
        <v>0</v>
      </c>
      <c r="AQ122" s="53">
        <v>0</v>
      </c>
      <c r="AR122" s="53">
        <v>0</v>
      </c>
      <c r="AS122" s="53">
        <v>0</v>
      </c>
      <c r="AT122" s="53">
        <v>0</v>
      </c>
      <c r="AU122" s="53">
        <v>0</v>
      </c>
      <c r="AV122" s="53">
        <v>0</v>
      </c>
      <c r="AW122" s="53">
        <v>0</v>
      </c>
      <c r="AX122" s="53">
        <v>0</v>
      </c>
      <c r="AY122" s="53">
        <v>0</v>
      </c>
      <c r="AZ122" s="53">
        <v>0</v>
      </c>
      <c r="BA122" s="53">
        <v>1</v>
      </c>
      <c r="BB122" s="53">
        <v>0</v>
      </c>
      <c r="BC122" s="53">
        <v>0</v>
      </c>
      <c r="BD122" s="53">
        <v>0</v>
      </c>
      <c r="BE122" s="53">
        <v>0</v>
      </c>
      <c r="BF122" s="53">
        <v>0</v>
      </c>
      <c r="BG122" s="53">
        <v>0</v>
      </c>
      <c r="BH122" s="53">
        <v>0</v>
      </c>
      <c r="BI122" s="53">
        <v>0</v>
      </c>
    </row>
    <row r="123" spans="1:61" ht="15.75" x14ac:dyDescent="0.25">
      <c r="A123" s="53" t="s">
        <v>36</v>
      </c>
      <c r="B123" s="52" t="s">
        <v>140</v>
      </c>
      <c r="C123" s="49" t="s">
        <v>41</v>
      </c>
      <c r="D123" s="49" t="str">
        <f>VLOOKUP(A123,PARAMETER!D:E,2,0)</f>
        <v>NINA</v>
      </c>
      <c r="E123" s="49" t="str">
        <f t="shared" si="8"/>
        <v>NINAVOL</v>
      </c>
      <c r="F123" s="49" t="str">
        <f t="shared" si="9"/>
        <v>TAMANIVOL</v>
      </c>
      <c r="G123" s="81">
        <f t="shared" si="7"/>
        <v>2380400</v>
      </c>
      <c r="H123" s="81">
        <f>SUMIF(I$1:BI$1,"&lt;="&amp;PARAMETER!X$2,I123:BI123)</f>
        <v>1909600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  <c r="N123" s="53">
        <v>0</v>
      </c>
      <c r="O123" s="53">
        <v>0</v>
      </c>
      <c r="P123" s="53">
        <v>1468500</v>
      </c>
      <c r="Q123" s="53">
        <v>441100</v>
      </c>
      <c r="R123" s="53">
        <v>0</v>
      </c>
      <c r="S123" s="53">
        <v>0</v>
      </c>
      <c r="T123" s="53">
        <v>0</v>
      </c>
      <c r="U123" s="53">
        <v>0</v>
      </c>
      <c r="V123" s="53">
        <v>0</v>
      </c>
      <c r="W123" s="53">
        <v>149600</v>
      </c>
      <c r="X123" s="53">
        <v>0</v>
      </c>
      <c r="Y123" s="53">
        <v>0</v>
      </c>
      <c r="Z123" s="53">
        <v>0</v>
      </c>
      <c r="AA123" s="53">
        <v>0</v>
      </c>
      <c r="AB123" s="53">
        <v>0</v>
      </c>
      <c r="AC123" s="53">
        <v>0</v>
      </c>
      <c r="AD123" s="53">
        <v>0</v>
      </c>
      <c r="AE123" s="53">
        <v>0</v>
      </c>
      <c r="AF123" s="53">
        <v>31900</v>
      </c>
      <c r="AG123" s="53">
        <v>0</v>
      </c>
      <c r="AH123" s="53">
        <v>0</v>
      </c>
      <c r="AI123" s="53">
        <v>0</v>
      </c>
      <c r="AJ123" s="53">
        <v>0</v>
      </c>
      <c r="AK123" s="53">
        <v>0</v>
      </c>
      <c r="AL123" s="53">
        <v>0</v>
      </c>
      <c r="AM123" s="53">
        <v>0</v>
      </c>
      <c r="AN123" s="53">
        <v>173800</v>
      </c>
      <c r="AO123" s="53">
        <v>0</v>
      </c>
      <c r="AP123" s="53">
        <v>0</v>
      </c>
      <c r="AQ123" s="53">
        <v>0</v>
      </c>
      <c r="AR123" s="53">
        <v>0</v>
      </c>
      <c r="AS123" s="53">
        <v>0</v>
      </c>
      <c r="AT123" s="53">
        <v>0</v>
      </c>
      <c r="AU123" s="53">
        <v>0</v>
      </c>
      <c r="AV123" s="53">
        <v>0</v>
      </c>
      <c r="AW123" s="53">
        <v>0</v>
      </c>
      <c r="AX123" s="53">
        <v>0</v>
      </c>
      <c r="AY123" s="53">
        <v>0</v>
      </c>
      <c r="AZ123" s="53">
        <v>0</v>
      </c>
      <c r="BA123" s="53">
        <v>115500</v>
      </c>
      <c r="BB123" s="53">
        <v>0</v>
      </c>
      <c r="BC123" s="53">
        <v>0</v>
      </c>
      <c r="BD123" s="53">
        <v>0</v>
      </c>
      <c r="BE123" s="53">
        <v>0</v>
      </c>
      <c r="BF123" s="53">
        <v>0</v>
      </c>
      <c r="BG123" s="53">
        <v>0</v>
      </c>
      <c r="BH123" s="53">
        <v>0</v>
      </c>
      <c r="BI123" s="53">
        <v>0</v>
      </c>
    </row>
    <row r="124" spans="1:61" ht="15.75" x14ac:dyDescent="0.25">
      <c r="A124" s="53" t="s">
        <v>36</v>
      </c>
      <c r="B124" s="52" t="s">
        <v>140</v>
      </c>
      <c r="C124" s="49" t="s">
        <v>40</v>
      </c>
      <c r="D124" s="49" t="str">
        <f>VLOOKUP(A124,PARAMETER!D:E,2,0)</f>
        <v>NINA</v>
      </c>
      <c r="E124" s="49" t="str">
        <f t="shared" si="8"/>
        <v>NINAFBI</v>
      </c>
      <c r="F124" s="49" t="str">
        <f t="shared" si="9"/>
        <v>TAMANIFBI</v>
      </c>
      <c r="G124" s="81">
        <f t="shared" si="7"/>
        <v>29472</v>
      </c>
      <c r="H124" s="81">
        <f>SUMIF(I$1:BI$1,"&lt;="&amp;PARAMETER!X$2,I124:BI124)</f>
        <v>25746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  <c r="N124" s="53">
        <v>0</v>
      </c>
      <c r="O124" s="53">
        <v>0</v>
      </c>
      <c r="P124" s="53">
        <v>23124</v>
      </c>
      <c r="Q124" s="53">
        <v>2622</v>
      </c>
      <c r="R124" s="53">
        <v>0</v>
      </c>
      <c r="S124" s="53">
        <v>0</v>
      </c>
      <c r="T124" s="53">
        <v>0</v>
      </c>
      <c r="U124" s="53">
        <v>0</v>
      </c>
      <c r="V124" s="53">
        <v>0</v>
      </c>
      <c r="W124" s="53">
        <v>1496</v>
      </c>
      <c r="X124" s="53">
        <v>0</v>
      </c>
      <c r="Y124" s="53">
        <v>0</v>
      </c>
      <c r="Z124" s="53">
        <v>0</v>
      </c>
      <c r="AA124" s="53">
        <v>0</v>
      </c>
      <c r="AB124" s="53">
        <v>0</v>
      </c>
      <c r="AC124" s="53">
        <v>0</v>
      </c>
      <c r="AD124" s="53">
        <v>0</v>
      </c>
      <c r="AE124" s="53">
        <v>0</v>
      </c>
      <c r="AF124" s="53">
        <v>319</v>
      </c>
      <c r="AG124" s="53">
        <v>0</v>
      </c>
      <c r="AH124" s="53">
        <v>0</v>
      </c>
      <c r="AI124" s="53">
        <v>0</v>
      </c>
      <c r="AJ124" s="53">
        <v>0</v>
      </c>
      <c r="AK124" s="53">
        <v>0</v>
      </c>
      <c r="AL124" s="53">
        <v>0</v>
      </c>
      <c r="AM124" s="53">
        <v>0</v>
      </c>
      <c r="AN124" s="53">
        <v>1738</v>
      </c>
      <c r="AO124" s="53">
        <v>0</v>
      </c>
      <c r="AP124" s="53">
        <v>0</v>
      </c>
      <c r="AQ124" s="53">
        <v>0</v>
      </c>
      <c r="AR124" s="53">
        <v>0</v>
      </c>
      <c r="AS124" s="53">
        <v>0</v>
      </c>
      <c r="AT124" s="53">
        <v>0</v>
      </c>
      <c r="AU124" s="53">
        <v>0</v>
      </c>
      <c r="AV124" s="53">
        <v>0</v>
      </c>
      <c r="AW124" s="53">
        <v>0</v>
      </c>
      <c r="AX124" s="53">
        <v>0</v>
      </c>
      <c r="AY124" s="53">
        <v>0</v>
      </c>
      <c r="AZ124" s="53">
        <v>0</v>
      </c>
      <c r="BA124" s="53">
        <v>173</v>
      </c>
      <c r="BB124" s="53">
        <v>0</v>
      </c>
      <c r="BC124" s="53">
        <v>0</v>
      </c>
      <c r="BD124" s="53">
        <v>0</v>
      </c>
      <c r="BE124" s="53">
        <v>0</v>
      </c>
      <c r="BF124" s="53">
        <v>0</v>
      </c>
      <c r="BG124" s="53">
        <v>0</v>
      </c>
      <c r="BH124" s="53">
        <v>0</v>
      </c>
      <c r="BI124" s="53">
        <v>0</v>
      </c>
    </row>
    <row r="125" spans="1:61" ht="15.75" x14ac:dyDescent="0.25">
      <c r="A125" s="53" t="s">
        <v>38</v>
      </c>
      <c r="B125" s="52" t="s">
        <v>140</v>
      </c>
      <c r="C125" s="49" t="s">
        <v>42</v>
      </c>
      <c r="D125" s="49" t="str">
        <f>VLOOKUP(A125,PARAMETER!D:E,2,0)</f>
        <v>NINA</v>
      </c>
      <c r="E125" s="49" t="str">
        <f t="shared" si="8"/>
        <v>NINATRX</v>
      </c>
      <c r="F125" s="49" t="str">
        <f t="shared" si="9"/>
        <v>YOSHINOYATRX</v>
      </c>
      <c r="G125" s="81">
        <f t="shared" si="7"/>
        <v>8769872</v>
      </c>
      <c r="H125" s="81">
        <f>SUMIF(I$1:BI$1,"&lt;="&amp;PARAMETER!X$2,I125:BI125)</f>
        <v>3483045</v>
      </c>
      <c r="I125" s="53">
        <v>3716</v>
      </c>
      <c r="J125" s="53">
        <v>2675</v>
      </c>
      <c r="K125" s="53">
        <v>2622</v>
      </c>
      <c r="L125" s="53">
        <v>3532</v>
      </c>
      <c r="M125" s="53">
        <v>4387</v>
      </c>
      <c r="N125" s="53">
        <v>14743</v>
      </c>
      <c r="O125" s="53">
        <v>6364</v>
      </c>
      <c r="P125" s="53">
        <v>34671</v>
      </c>
      <c r="Q125" s="53">
        <v>1592172</v>
      </c>
      <c r="R125" s="53">
        <v>947675</v>
      </c>
      <c r="S125" s="53">
        <v>870488</v>
      </c>
      <c r="T125" s="53">
        <v>2774368</v>
      </c>
      <c r="U125" s="53">
        <v>1505950</v>
      </c>
      <c r="V125" s="53">
        <v>48844</v>
      </c>
      <c r="W125" s="53">
        <v>36597</v>
      </c>
      <c r="X125" s="53">
        <v>35434</v>
      </c>
      <c r="Y125" s="53">
        <v>37561</v>
      </c>
      <c r="Z125" s="53">
        <v>41655</v>
      </c>
      <c r="AA125" s="53">
        <v>39610</v>
      </c>
      <c r="AB125" s="53">
        <v>33514</v>
      </c>
      <c r="AC125" s="53">
        <v>33696</v>
      </c>
      <c r="AD125" s="53">
        <v>33440</v>
      </c>
      <c r="AE125" s="53">
        <v>32725</v>
      </c>
      <c r="AF125" s="53">
        <v>26843</v>
      </c>
      <c r="AG125" s="53">
        <v>30994</v>
      </c>
      <c r="AH125" s="53">
        <v>34306</v>
      </c>
      <c r="AI125" s="53">
        <v>33945</v>
      </c>
      <c r="AJ125" s="53">
        <v>32996</v>
      </c>
      <c r="AK125" s="53">
        <v>28692</v>
      </c>
      <c r="AL125" s="53">
        <v>29944</v>
      </c>
      <c r="AM125" s="53">
        <v>36488</v>
      </c>
      <c r="AN125" s="53">
        <v>38602</v>
      </c>
      <c r="AO125" s="53">
        <v>42101</v>
      </c>
      <c r="AP125" s="53">
        <v>38808</v>
      </c>
      <c r="AQ125" s="53">
        <v>34807</v>
      </c>
      <c r="AR125" s="53">
        <v>41496</v>
      </c>
      <c r="AS125" s="53">
        <v>37156</v>
      </c>
      <c r="AT125" s="53">
        <v>34241</v>
      </c>
      <c r="AU125" s="53">
        <v>38111</v>
      </c>
      <c r="AV125" s="53">
        <v>21803</v>
      </c>
      <c r="AW125" s="53">
        <v>6770</v>
      </c>
      <c r="AX125" s="53">
        <v>5081</v>
      </c>
      <c r="AY125" s="53">
        <v>4940</v>
      </c>
      <c r="AZ125" s="53">
        <v>4920</v>
      </c>
      <c r="BA125" s="53">
        <v>4849</v>
      </c>
      <c r="BB125" s="53">
        <v>4322</v>
      </c>
      <c r="BC125" s="53">
        <v>4775</v>
      </c>
      <c r="BD125" s="53">
        <v>5134</v>
      </c>
      <c r="BE125" s="53">
        <v>4696</v>
      </c>
      <c r="BF125" s="53">
        <v>4230</v>
      </c>
      <c r="BG125" s="53">
        <v>2235</v>
      </c>
      <c r="BH125" s="53">
        <v>133</v>
      </c>
      <c r="BI125" s="53">
        <v>15</v>
      </c>
    </row>
    <row r="126" spans="1:61" ht="15.75" x14ac:dyDescent="0.25">
      <c r="A126" s="53" t="s">
        <v>38</v>
      </c>
      <c r="B126" s="52" t="s">
        <v>140</v>
      </c>
      <c r="C126" s="49" t="s">
        <v>41</v>
      </c>
      <c r="D126" s="49" t="str">
        <f>VLOOKUP(A126,PARAMETER!D:E,2,0)</f>
        <v>NINA</v>
      </c>
      <c r="E126" s="49" t="str">
        <f t="shared" si="8"/>
        <v>NINAVOL</v>
      </c>
      <c r="F126" s="49" t="str">
        <f t="shared" si="9"/>
        <v>YOSHINOYAVOL</v>
      </c>
      <c r="G126" s="81">
        <f t="shared" si="7"/>
        <v>162885884420</v>
      </c>
      <c r="H126" s="81">
        <f>SUMIF(I$1:BI$1,"&lt;="&amp;PARAMETER!X$2,I126:BI126)</f>
        <v>20908275088</v>
      </c>
      <c r="I126" s="53">
        <v>618781000</v>
      </c>
      <c r="J126" s="53">
        <v>412561500</v>
      </c>
      <c r="K126" s="53">
        <v>389270400</v>
      </c>
      <c r="L126" s="53">
        <v>557027300</v>
      </c>
      <c r="M126" s="53">
        <v>617678207</v>
      </c>
      <c r="N126" s="53">
        <v>628271014</v>
      </c>
      <c r="O126" s="53">
        <v>794506503</v>
      </c>
      <c r="P126" s="53">
        <v>3959048202</v>
      </c>
      <c r="Q126" s="53">
        <v>4243762549</v>
      </c>
      <c r="R126" s="53">
        <v>3960784512</v>
      </c>
      <c r="S126" s="53">
        <v>4726583901</v>
      </c>
      <c r="T126" s="53">
        <v>5821989504</v>
      </c>
      <c r="U126" s="53">
        <v>7169964205</v>
      </c>
      <c r="V126" s="53">
        <v>7280733722</v>
      </c>
      <c r="W126" s="53">
        <v>4633647415</v>
      </c>
      <c r="X126" s="53">
        <v>4406872207</v>
      </c>
      <c r="Y126" s="53">
        <v>4915788000</v>
      </c>
      <c r="Z126" s="53">
        <v>5187929909</v>
      </c>
      <c r="AA126" s="53">
        <v>5116072715</v>
      </c>
      <c r="AB126" s="53">
        <v>4020862551</v>
      </c>
      <c r="AC126" s="53">
        <v>4132177805</v>
      </c>
      <c r="AD126" s="53">
        <v>4253688000</v>
      </c>
      <c r="AE126" s="53">
        <v>4217284408</v>
      </c>
      <c r="AF126" s="53">
        <v>3400359601</v>
      </c>
      <c r="AG126" s="53">
        <v>3992098802</v>
      </c>
      <c r="AH126" s="53">
        <v>4672465300</v>
      </c>
      <c r="AI126" s="53">
        <v>4543232458</v>
      </c>
      <c r="AJ126" s="53">
        <v>4480596800</v>
      </c>
      <c r="AK126" s="53">
        <v>3770018602</v>
      </c>
      <c r="AL126" s="53">
        <v>3912289016</v>
      </c>
      <c r="AM126" s="53">
        <v>4652075335</v>
      </c>
      <c r="AN126" s="53">
        <v>4746051109</v>
      </c>
      <c r="AO126" s="53">
        <v>5283225115</v>
      </c>
      <c r="AP126" s="53">
        <v>4585282500</v>
      </c>
      <c r="AQ126" s="53">
        <v>4208535000</v>
      </c>
      <c r="AR126" s="53">
        <v>5162801013</v>
      </c>
      <c r="AS126" s="53">
        <v>4386831600</v>
      </c>
      <c r="AT126" s="53">
        <v>4085616716</v>
      </c>
      <c r="AU126" s="53">
        <v>4644003595</v>
      </c>
      <c r="AV126" s="53">
        <v>2716656800</v>
      </c>
      <c r="AW126" s="53">
        <v>907376402</v>
      </c>
      <c r="AX126" s="53">
        <v>684623902</v>
      </c>
      <c r="AY126" s="53">
        <v>654336600</v>
      </c>
      <c r="AZ126" s="53">
        <v>676326402</v>
      </c>
      <c r="BA126" s="53">
        <v>662422396</v>
      </c>
      <c r="BB126" s="53">
        <v>600998602</v>
      </c>
      <c r="BC126" s="53">
        <v>670698909</v>
      </c>
      <c r="BD126" s="53">
        <v>730923700</v>
      </c>
      <c r="BE126" s="53">
        <v>663748102</v>
      </c>
      <c r="BF126" s="53">
        <v>621541401</v>
      </c>
      <c r="BG126" s="53">
        <v>391268200</v>
      </c>
      <c r="BH126" s="53">
        <v>281410413</v>
      </c>
      <c r="BI126" s="53">
        <v>32784500</v>
      </c>
    </row>
    <row r="127" spans="1:61" ht="15.75" x14ac:dyDescent="0.25">
      <c r="A127" s="53" t="s">
        <v>38</v>
      </c>
      <c r="B127" s="52" t="s">
        <v>140</v>
      </c>
      <c r="C127" s="49" t="s">
        <v>40</v>
      </c>
      <c r="D127" s="49" t="str">
        <f>VLOOKUP(A127,PARAMETER!D:E,2,0)</f>
        <v>NINA</v>
      </c>
      <c r="E127" s="49" t="str">
        <f t="shared" si="8"/>
        <v>NINAFBI</v>
      </c>
      <c r="F127" s="49" t="str">
        <f t="shared" si="9"/>
        <v>YOSHINOYAFBI</v>
      </c>
      <c r="G127" s="81">
        <f t="shared" si="7"/>
        <v>1199411203</v>
      </c>
      <c r="H127" s="81">
        <f>SUMIF(I$1:BI$1,"&lt;="&amp;PARAMETER!X$2,I127:BI127)</f>
        <v>159789395</v>
      </c>
      <c r="I127" s="53">
        <v>6056384</v>
      </c>
      <c r="J127" s="53">
        <v>4033680</v>
      </c>
      <c r="K127" s="53">
        <v>3782960</v>
      </c>
      <c r="L127" s="53">
        <v>5416775</v>
      </c>
      <c r="M127" s="53">
        <v>5597577</v>
      </c>
      <c r="N127" s="53">
        <v>5377839</v>
      </c>
      <c r="O127" s="53">
        <v>6677347</v>
      </c>
      <c r="P127" s="53">
        <v>28774973</v>
      </c>
      <c r="Q127" s="53">
        <v>30765515</v>
      </c>
      <c r="R127" s="53">
        <v>28824059</v>
      </c>
      <c r="S127" s="53">
        <v>34482286</v>
      </c>
      <c r="T127" s="53">
        <v>42792966</v>
      </c>
      <c r="U127" s="53">
        <v>52623227</v>
      </c>
      <c r="V127" s="53">
        <v>53636130</v>
      </c>
      <c r="W127" s="53">
        <v>33811261</v>
      </c>
      <c r="X127" s="53">
        <v>32241411</v>
      </c>
      <c r="Y127" s="53">
        <v>35764251</v>
      </c>
      <c r="Z127" s="53">
        <v>37833782</v>
      </c>
      <c r="AA127" s="53">
        <v>37301166</v>
      </c>
      <c r="AB127" s="53">
        <v>29313281</v>
      </c>
      <c r="AC127" s="53">
        <v>30046124</v>
      </c>
      <c r="AD127" s="53">
        <v>30285156</v>
      </c>
      <c r="AE127" s="53">
        <v>30864911</v>
      </c>
      <c r="AF127" s="53">
        <v>25020982</v>
      </c>
      <c r="AG127" s="53">
        <v>29215245</v>
      </c>
      <c r="AH127" s="53">
        <v>34233352</v>
      </c>
      <c r="AI127" s="53">
        <v>33415733</v>
      </c>
      <c r="AJ127" s="53">
        <v>32868473</v>
      </c>
      <c r="AK127" s="53">
        <v>27532867</v>
      </c>
      <c r="AL127" s="53">
        <v>28493516</v>
      </c>
      <c r="AM127" s="53">
        <v>33375252</v>
      </c>
      <c r="AN127" s="53">
        <v>34040536</v>
      </c>
      <c r="AO127" s="53">
        <v>37905998</v>
      </c>
      <c r="AP127" s="53">
        <v>33012198</v>
      </c>
      <c r="AQ127" s="53">
        <v>30290237</v>
      </c>
      <c r="AR127" s="53">
        <v>37119054</v>
      </c>
      <c r="AS127" s="53">
        <v>31506569</v>
      </c>
      <c r="AT127" s="53">
        <v>29337341</v>
      </c>
      <c r="AU127" s="53">
        <v>33354034</v>
      </c>
      <c r="AV127" s="53">
        <v>19900250</v>
      </c>
      <c r="AW127" s="53">
        <v>7301098</v>
      </c>
      <c r="AX127" s="53">
        <v>5677344</v>
      </c>
      <c r="AY127" s="53">
        <v>5393108</v>
      </c>
      <c r="AZ127" s="53">
        <v>5687738</v>
      </c>
      <c r="BA127" s="53">
        <v>5542884</v>
      </c>
      <c r="BB127" s="53">
        <v>5069440</v>
      </c>
      <c r="BC127" s="53">
        <v>5320276</v>
      </c>
      <c r="BD127" s="53">
        <v>6221299</v>
      </c>
      <c r="BE127" s="53">
        <v>5670086</v>
      </c>
      <c r="BF127" s="53">
        <v>5426811</v>
      </c>
      <c r="BG127" s="53">
        <v>3094065</v>
      </c>
      <c r="BH127" s="53">
        <v>1865736</v>
      </c>
      <c r="BI127" s="53">
        <v>216620</v>
      </c>
    </row>
    <row r="128" spans="1:61" ht="15.75" x14ac:dyDescent="0.25">
      <c r="A128" s="53" t="s">
        <v>52</v>
      </c>
      <c r="B128" s="52" t="s">
        <v>140</v>
      </c>
      <c r="C128" s="49" t="s">
        <v>42</v>
      </c>
      <c r="D128" s="49" t="str">
        <f>VLOOKUP(A128,PARAMETER!D:E,2,0)</f>
        <v>NINA</v>
      </c>
      <c r="E128" s="49" t="str">
        <f t="shared" si="8"/>
        <v>NINATRX</v>
      </c>
      <c r="F128" s="49" t="str">
        <f t="shared" si="9"/>
        <v>ZENBUTRX</v>
      </c>
      <c r="G128" s="81">
        <f t="shared" si="7"/>
        <v>38402</v>
      </c>
      <c r="H128" s="81">
        <f>SUMIF(I$1:BI$1,"&lt;="&amp;PARAMETER!X$2,I128:BI128)</f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  <c r="N128" s="53">
        <v>0</v>
      </c>
      <c r="O128" s="53">
        <v>0</v>
      </c>
      <c r="P128" s="53">
        <v>0</v>
      </c>
      <c r="Q128" s="53">
        <v>0</v>
      </c>
      <c r="R128" s="53">
        <v>0</v>
      </c>
      <c r="S128" s="53">
        <v>0</v>
      </c>
      <c r="T128" s="53">
        <v>0</v>
      </c>
      <c r="U128" s="53">
        <v>0</v>
      </c>
      <c r="V128" s="53">
        <v>0</v>
      </c>
      <c r="W128" s="53">
        <v>0</v>
      </c>
      <c r="X128" s="53">
        <v>0</v>
      </c>
      <c r="Y128" s="53">
        <v>0</v>
      </c>
      <c r="Z128" s="53">
        <v>0</v>
      </c>
      <c r="AA128" s="53">
        <v>0</v>
      </c>
      <c r="AB128" s="53">
        <v>1680</v>
      </c>
      <c r="AC128" s="53">
        <v>2170</v>
      </c>
      <c r="AD128" s="53">
        <v>2306</v>
      </c>
      <c r="AE128" s="53">
        <v>1576</v>
      </c>
      <c r="AF128" s="53">
        <v>1485</v>
      </c>
      <c r="AG128" s="53">
        <v>1506</v>
      </c>
      <c r="AH128" s="53">
        <v>1736</v>
      </c>
      <c r="AI128" s="53">
        <v>1980</v>
      </c>
      <c r="AJ128" s="53">
        <v>2027</v>
      </c>
      <c r="AK128" s="53">
        <v>1774</v>
      </c>
      <c r="AL128" s="53">
        <v>1719</v>
      </c>
      <c r="AM128" s="53">
        <v>1849</v>
      </c>
      <c r="AN128" s="53">
        <v>1536</v>
      </c>
      <c r="AO128" s="53">
        <v>1744</v>
      </c>
      <c r="AP128" s="53">
        <v>1413</v>
      </c>
      <c r="AQ128" s="53">
        <v>1143</v>
      </c>
      <c r="AR128" s="53">
        <v>1408</v>
      </c>
      <c r="AS128" s="53">
        <v>1253</v>
      </c>
      <c r="AT128" s="53">
        <v>1206</v>
      </c>
      <c r="AU128" s="53">
        <v>1333</v>
      </c>
      <c r="AV128" s="53">
        <v>1097</v>
      </c>
      <c r="AW128" s="53">
        <v>913</v>
      </c>
      <c r="AX128" s="53">
        <v>978</v>
      </c>
      <c r="AY128" s="53">
        <v>1155</v>
      </c>
      <c r="AZ128" s="53">
        <v>1086</v>
      </c>
      <c r="BA128" s="53">
        <v>329</v>
      </c>
      <c r="BB128" s="53">
        <v>0</v>
      </c>
      <c r="BC128" s="53">
        <v>0</v>
      </c>
      <c r="BD128" s="53">
        <v>0</v>
      </c>
      <c r="BE128" s="53">
        <v>0</v>
      </c>
      <c r="BF128" s="53">
        <v>0</v>
      </c>
      <c r="BG128" s="53">
        <v>0</v>
      </c>
      <c r="BH128" s="53">
        <v>0</v>
      </c>
      <c r="BI128" s="53">
        <v>0</v>
      </c>
    </row>
    <row r="129" spans="1:61" ht="15.75" x14ac:dyDescent="0.25">
      <c r="A129" s="53" t="s">
        <v>52</v>
      </c>
      <c r="B129" s="52" t="s">
        <v>140</v>
      </c>
      <c r="C129" s="49" t="s">
        <v>41</v>
      </c>
      <c r="D129" s="49" t="str">
        <f>VLOOKUP(A129,PARAMETER!D:E,2,0)</f>
        <v>NINA</v>
      </c>
      <c r="E129" s="49" t="str">
        <f t="shared" si="8"/>
        <v>NINAVOL</v>
      </c>
      <c r="F129" s="49" t="str">
        <f t="shared" si="9"/>
        <v>ZENBUVOL</v>
      </c>
      <c r="G129" s="81">
        <f t="shared" si="7"/>
        <v>10205885438</v>
      </c>
      <c r="H129" s="81">
        <f>SUMIF(I$1:BI$1,"&lt;="&amp;PARAMETER!X$2,I129:BI129)</f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  <c r="N129" s="53">
        <v>0</v>
      </c>
      <c r="O129" s="53">
        <v>0</v>
      </c>
      <c r="P129" s="53">
        <v>0</v>
      </c>
      <c r="Q129" s="53">
        <v>0</v>
      </c>
      <c r="R129" s="53">
        <v>0</v>
      </c>
      <c r="S129" s="53">
        <v>0</v>
      </c>
      <c r="T129" s="53">
        <v>0</v>
      </c>
      <c r="U129" s="53">
        <v>0</v>
      </c>
      <c r="V129" s="53">
        <v>0</v>
      </c>
      <c r="W129" s="53">
        <v>0</v>
      </c>
      <c r="X129" s="53">
        <v>0</v>
      </c>
      <c r="Y129" s="53">
        <v>0</v>
      </c>
      <c r="Z129" s="53">
        <v>0</v>
      </c>
      <c r="AA129" s="53">
        <v>0</v>
      </c>
      <c r="AB129" s="53">
        <v>389145955</v>
      </c>
      <c r="AC129" s="53">
        <v>512962556</v>
      </c>
      <c r="AD129" s="53">
        <v>575300432</v>
      </c>
      <c r="AE129" s="53">
        <v>423272636</v>
      </c>
      <c r="AF129" s="53">
        <v>391821380</v>
      </c>
      <c r="AG129" s="53">
        <v>374594517</v>
      </c>
      <c r="AH129" s="53">
        <v>469717302</v>
      </c>
      <c r="AI129" s="53">
        <v>574904974</v>
      </c>
      <c r="AJ129" s="53">
        <v>555408629</v>
      </c>
      <c r="AK129" s="53">
        <v>507328037</v>
      </c>
      <c r="AL129" s="53">
        <v>476388146</v>
      </c>
      <c r="AM129" s="53">
        <v>513639612</v>
      </c>
      <c r="AN129" s="53">
        <v>435987646</v>
      </c>
      <c r="AO129" s="53">
        <v>473284469</v>
      </c>
      <c r="AP129" s="53">
        <v>369019561</v>
      </c>
      <c r="AQ129" s="53">
        <v>310029399</v>
      </c>
      <c r="AR129" s="53">
        <v>392688369</v>
      </c>
      <c r="AS129" s="53">
        <v>339219147</v>
      </c>
      <c r="AT129" s="53">
        <v>335916919</v>
      </c>
      <c r="AU129" s="53">
        <v>348416269</v>
      </c>
      <c r="AV129" s="53">
        <v>288166087</v>
      </c>
      <c r="AW129" s="53">
        <v>256738342</v>
      </c>
      <c r="AX129" s="53">
        <v>233478029</v>
      </c>
      <c r="AY129" s="53">
        <v>298111485</v>
      </c>
      <c r="AZ129" s="53">
        <v>275440330</v>
      </c>
      <c r="BA129" s="53">
        <v>84905210</v>
      </c>
      <c r="BB129" s="53">
        <v>0</v>
      </c>
      <c r="BC129" s="53">
        <v>0</v>
      </c>
      <c r="BD129" s="53">
        <v>0</v>
      </c>
      <c r="BE129" s="53">
        <v>0</v>
      </c>
      <c r="BF129" s="53">
        <v>0</v>
      </c>
      <c r="BG129" s="53">
        <v>0</v>
      </c>
      <c r="BH129" s="53">
        <v>0</v>
      </c>
      <c r="BI129" s="53">
        <v>0</v>
      </c>
    </row>
    <row r="130" spans="1:61" ht="15.75" x14ac:dyDescent="0.25">
      <c r="A130" s="53" t="s">
        <v>52</v>
      </c>
      <c r="B130" s="52" t="s">
        <v>140</v>
      </c>
      <c r="C130" s="49" t="s">
        <v>40</v>
      </c>
      <c r="D130" s="49" t="str">
        <f>VLOOKUP(A130,PARAMETER!D:E,2,0)</f>
        <v>NINA</v>
      </c>
      <c r="E130" s="49" t="str">
        <f t="shared" ref="E130" si="10">CONCATENATE(D130,C130)</f>
        <v>NINAFBI</v>
      </c>
      <c r="F130" s="49" t="str">
        <f t="shared" si="9"/>
        <v>ZENBUFBI</v>
      </c>
      <c r="G130" s="81">
        <f t="shared" si="7"/>
        <v>72190569</v>
      </c>
      <c r="H130" s="81">
        <f>SUMIF(I$1:BI$1,"&lt;="&amp;PARAMETER!X$2,I130:BI130)</f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2724014</v>
      </c>
      <c r="AC130" s="53">
        <v>4340253</v>
      </c>
      <c r="AD130" s="53">
        <v>4027099</v>
      </c>
      <c r="AE130" s="53">
        <v>2962903</v>
      </c>
      <c r="AF130" s="53">
        <v>2742744</v>
      </c>
      <c r="AG130" s="53">
        <v>2622155</v>
      </c>
      <c r="AH130" s="53">
        <v>3288017</v>
      </c>
      <c r="AI130" s="53">
        <v>4024323</v>
      </c>
      <c r="AJ130" s="53">
        <v>3887848</v>
      </c>
      <c r="AK130" s="53">
        <v>3551289</v>
      </c>
      <c r="AL130" s="53">
        <v>3334709</v>
      </c>
      <c r="AM130" s="53">
        <v>3595475</v>
      </c>
      <c r="AN130" s="53">
        <v>3051908</v>
      </c>
      <c r="AO130" s="53">
        <v>3312986</v>
      </c>
      <c r="AP130" s="53">
        <v>2583135</v>
      </c>
      <c r="AQ130" s="53">
        <v>2170197</v>
      </c>
      <c r="AR130" s="53">
        <v>2748816</v>
      </c>
      <c r="AS130" s="53">
        <v>2374526</v>
      </c>
      <c r="AT130" s="53">
        <v>2351409</v>
      </c>
      <c r="AU130" s="53">
        <v>2438909</v>
      </c>
      <c r="AV130" s="53">
        <v>2017157</v>
      </c>
      <c r="AW130" s="53">
        <v>1797163</v>
      </c>
      <c r="AX130" s="53">
        <v>1634341</v>
      </c>
      <c r="AY130" s="53">
        <v>2086776</v>
      </c>
      <c r="AZ130" s="53">
        <v>1928081</v>
      </c>
      <c r="BA130" s="53">
        <v>594336</v>
      </c>
      <c r="BB130" s="53">
        <v>0</v>
      </c>
      <c r="BC130" s="53">
        <v>0</v>
      </c>
      <c r="BD130" s="53">
        <v>0</v>
      </c>
      <c r="BE130" s="53">
        <v>0</v>
      </c>
      <c r="BF130" s="53">
        <v>0</v>
      </c>
      <c r="BG130" s="53">
        <v>0</v>
      </c>
      <c r="BH130" s="53">
        <v>0</v>
      </c>
      <c r="BI130" s="53">
        <v>0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0949-A762-C442-B409-EC3705F0B95A}">
  <sheetPr codeName="Sheet5"/>
  <dimension ref="A1:BI138"/>
  <sheetViews>
    <sheetView workbookViewId="0">
      <pane xSplit="8" ySplit="1" topLeftCell="I2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10.875" defaultRowHeight="13.5" x14ac:dyDescent="0.25"/>
  <cols>
    <col min="1" max="1" width="22.375" style="43" bestFit="1" customWidth="1"/>
    <col min="2" max="2" width="7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4.5" style="43" bestFit="1" customWidth="1"/>
    <col min="7" max="8" width="16" style="43" bestFit="1" customWidth="1"/>
    <col min="9" max="9" width="15" style="43" bestFit="1" customWidth="1"/>
    <col min="10" max="18" width="14" style="43" bestFit="1" customWidth="1"/>
    <col min="19" max="19" width="15" style="43" bestFit="1" customWidth="1"/>
    <col min="20" max="45" width="14" style="43" bestFit="1" customWidth="1"/>
    <col min="46" max="48" width="15" style="43" bestFit="1" customWidth="1"/>
    <col min="49" max="54" width="14" style="43" bestFit="1" customWidth="1"/>
    <col min="55" max="55" width="15" style="43" bestFit="1" customWidth="1"/>
    <col min="56" max="61" width="14" style="43" bestFit="1" customWidth="1"/>
    <col min="62" max="16384" width="10.875" style="43"/>
  </cols>
  <sheetData>
    <row r="1" spans="1:61" x14ac:dyDescent="0.25">
      <c r="A1" s="46" t="s">
        <v>133</v>
      </c>
      <c r="B1" s="46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46">
        <v>52</v>
      </c>
      <c r="BI1" s="46">
        <v>53</v>
      </c>
    </row>
    <row r="2" spans="1:61" x14ac:dyDescent="0.25">
      <c r="A2" s="48" t="s">
        <v>1</v>
      </c>
      <c r="B2" s="48" t="s">
        <v>136</v>
      </c>
      <c r="C2" s="49" t="s">
        <v>41</v>
      </c>
      <c r="D2" s="49" t="str">
        <f>VLOOKUP(A2,PARAMETER!D:E,2,0)</f>
        <v>NINA</v>
      </c>
      <c r="E2" s="49" t="str">
        <f>CONCATENATE(D2,C2)</f>
        <v>NINAVOL</v>
      </c>
      <c r="F2" s="49" t="str">
        <f t="shared" ref="F2:F65" si="0">CONCATENATE(A2,C2)</f>
        <v>ALFA GROUPVOL</v>
      </c>
      <c r="G2" s="50">
        <f>SUM(I2:BI2)</f>
        <v>169999999999.99997</v>
      </c>
      <c r="H2" s="50">
        <f>SUMIF(I$1:BI$1,"&lt;="&amp;PARAMETER!X$2,I2:BI2)</f>
        <v>36492298048.093216</v>
      </c>
      <c r="I2" s="51">
        <v>3231954111.6133471</v>
      </c>
      <c r="J2" s="51">
        <v>2851302429.5452709</v>
      </c>
      <c r="K2" s="51">
        <v>2802585932.2279534</v>
      </c>
      <c r="L2" s="51">
        <v>3417858751.8955402</v>
      </c>
      <c r="M2" s="51">
        <v>3418440614.3597417</v>
      </c>
      <c r="N2" s="51">
        <v>3238306381.6438847</v>
      </c>
      <c r="O2" s="51">
        <v>3114037971.5309935</v>
      </c>
      <c r="P2" s="51">
        <v>3216356830.2774215</v>
      </c>
      <c r="Q2" s="51">
        <v>4263991931.4823246</v>
      </c>
      <c r="R2" s="51">
        <v>3409315532.525661</v>
      </c>
      <c r="S2" s="51">
        <v>3528147560.9910812</v>
      </c>
      <c r="T2" s="51">
        <v>4305955303.1167669</v>
      </c>
      <c r="U2" s="51">
        <v>4797454355.5141239</v>
      </c>
      <c r="V2" s="51">
        <v>3368464005.1736264</v>
      </c>
      <c r="W2" s="51">
        <v>2925019907.073225</v>
      </c>
      <c r="X2" s="51">
        <v>2944140213.8046951</v>
      </c>
      <c r="Y2" s="51">
        <v>3183845967.353169</v>
      </c>
      <c r="Z2" s="51">
        <v>3184819897.9367781</v>
      </c>
      <c r="AA2" s="51">
        <v>3071258017.1401987</v>
      </c>
      <c r="AB2" s="51">
        <v>2930049146.667057</v>
      </c>
      <c r="AC2" s="51">
        <v>3307993866.7754059</v>
      </c>
      <c r="AD2" s="51">
        <v>1623109197.8774137</v>
      </c>
      <c r="AE2" s="51">
        <v>3636842321.4752121</v>
      </c>
      <c r="AF2" s="51">
        <v>3192515883.0982938</v>
      </c>
      <c r="AG2" s="51">
        <v>3170821575.1518645</v>
      </c>
      <c r="AH2" s="51">
        <v>3779086080.2714267</v>
      </c>
      <c r="AI2" s="51">
        <v>3565150303.1428351</v>
      </c>
      <c r="AJ2" s="51">
        <v>3269053342.4713383</v>
      </c>
      <c r="AK2" s="51">
        <v>3232166053.1429687</v>
      </c>
      <c r="AL2" s="51">
        <v>3509537136.7994213</v>
      </c>
      <c r="AM2" s="51">
        <v>3076252582.9084225</v>
      </c>
      <c r="AN2" s="51">
        <v>2708818503.361517</v>
      </c>
      <c r="AO2" s="51">
        <v>3091025373.1280131</v>
      </c>
      <c r="AP2" s="51">
        <v>3149083537.2690063</v>
      </c>
      <c r="AQ2" s="51">
        <v>3835301433.9209032</v>
      </c>
      <c r="AR2" s="51">
        <v>3245652337.4210029</v>
      </c>
      <c r="AS2" s="51">
        <v>3008917144.5426741</v>
      </c>
      <c r="AT2" s="51">
        <v>3032235488.4517188</v>
      </c>
      <c r="AU2" s="51">
        <v>3432886580.9543481</v>
      </c>
      <c r="AV2" s="51">
        <v>3692749939.4144735</v>
      </c>
      <c r="AW2" s="51">
        <v>3097318114.3374066</v>
      </c>
      <c r="AX2" s="51">
        <v>3097314211.5649023</v>
      </c>
      <c r="AY2" s="51">
        <v>3128659744.3881903</v>
      </c>
      <c r="AZ2" s="51">
        <v>3524392637.4695244</v>
      </c>
      <c r="BA2" s="51">
        <v>3089731317.6297531</v>
      </c>
      <c r="BB2" s="51">
        <v>2973748833.4620094</v>
      </c>
      <c r="BC2" s="51">
        <v>3112956095.7154088</v>
      </c>
      <c r="BD2" s="51">
        <v>2635457706.7173352</v>
      </c>
      <c r="BE2" s="51">
        <v>2661812283.7845082</v>
      </c>
      <c r="BF2" s="51">
        <v>2688430406.6223536</v>
      </c>
      <c r="BG2" s="51">
        <v>2715314710.6885777</v>
      </c>
      <c r="BH2" s="51">
        <v>2742467857.7954636</v>
      </c>
      <c r="BI2" s="51">
        <v>2769892536.3734179</v>
      </c>
    </row>
    <row r="3" spans="1:61" x14ac:dyDescent="0.25">
      <c r="A3" s="48" t="s">
        <v>2</v>
      </c>
      <c r="B3" s="48" t="s">
        <v>136</v>
      </c>
      <c r="C3" s="49" t="s">
        <v>41</v>
      </c>
      <c r="D3" s="49" t="str">
        <f>VLOOKUP(A3,PARAMETER!D:E,2,0)</f>
        <v>RIFALDI</v>
      </c>
      <c r="E3" s="49" t="str">
        <f t="shared" ref="E3:E66" si="1">CONCATENATE(D3,C3)</f>
        <v>RIFALDIVOL</v>
      </c>
      <c r="F3" s="49" t="str">
        <f t="shared" si="0"/>
        <v>ANCOLVOL</v>
      </c>
      <c r="G3" s="50">
        <f t="shared" ref="G3:G66" si="2">SUM(I3:BI3)</f>
        <v>500000000</v>
      </c>
      <c r="H3" s="50">
        <f>SUMIF(I$1:BI$1,"&lt;="&amp;PARAMETER!X$2,I3:BI3)</f>
        <v>12262646.217353357</v>
      </c>
      <c r="I3" s="51">
        <v>654081.1847005391</v>
      </c>
      <c r="J3" s="51">
        <v>404631.29241316358</v>
      </c>
      <c r="K3" s="51">
        <v>346648.68810742517</v>
      </c>
      <c r="L3" s="51">
        <v>346025.21924392262</v>
      </c>
      <c r="M3" s="51">
        <v>678951.35766565648</v>
      </c>
      <c r="N3" s="51">
        <v>789358.34135900775</v>
      </c>
      <c r="O3" s="51">
        <v>531195.47170418384</v>
      </c>
      <c r="P3" s="51">
        <v>236294.6992674715</v>
      </c>
      <c r="Q3" s="51">
        <v>2279402.1649653716</v>
      </c>
      <c r="R3" s="51">
        <v>2411833.1862619505</v>
      </c>
      <c r="S3" s="51">
        <v>3584224.6116646663</v>
      </c>
      <c r="T3" s="51">
        <v>670852.49712875811</v>
      </c>
      <c r="U3" s="51">
        <v>4028731.1021808633</v>
      </c>
      <c r="V3" s="51">
        <v>13138982.829453019</v>
      </c>
      <c r="W3" s="51">
        <v>895550.67553508189</v>
      </c>
      <c r="X3" s="51">
        <v>962199.49704350589</v>
      </c>
      <c r="Y3" s="51">
        <v>754397.32483810163</v>
      </c>
      <c r="Z3" s="51">
        <v>392161.9151431123</v>
      </c>
      <c r="AA3" s="51">
        <v>6754469.6387768118</v>
      </c>
      <c r="AB3" s="51">
        <v>968315.10312560259</v>
      </c>
      <c r="AC3" s="51">
        <v>2502741.1812492595</v>
      </c>
      <c r="AD3" s="51">
        <v>2970835.369278349</v>
      </c>
      <c r="AE3" s="51">
        <v>2678980.8657087102</v>
      </c>
      <c r="AF3" s="51">
        <v>2574731.2605113103</v>
      </c>
      <c r="AG3" s="51">
        <v>1947959.8824387738</v>
      </c>
      <c r="AH3" s="51">
        <v>23456517.170136083</v>
      </c>
      <c r="AI3" s="51">
        <v>17793759.591949303</v>
      </c>
      <c r="AJ3" s="51">
        <v>17701933.850794915</v>
      </c>
      <c r="AK3" s="51">
        <v>15656328.145360963</v>
      </c>
      <c r="AL3" s="51">
        <v>1082452.9244981534</v>
      </c>
      <c r="AM3" s="51">
        <v>2671193.7396035627</v>
      </c>
      <c r="AN3" s="51">
        <v>3359331.9109729296</v>
      </c>
      <c r="AO3" s="51">
        <v>11797761.64703358</v>
      </c>
      <c r="AP3" s="51">
        <v>18902720.542116992</v>
      </c>
      <c r="AQ3" s="51">
        <v>14881494.758114973</v>
      </c>
      <c r="AR3" s="51">
        <v>2973587.3608418494</v>
      </c>
      <c r="AS3" s="51">
        <v>3746830.9024859061</v>
      </c>
      <c r="AT3" s="51">
        <v>16853238.10728978</v>
      </c>
      <c r="AU3" s="51">
        <v>19869633.463768575</v>
      </c>
      <c r="AV3" s="51">
        <v>8091161.9433717672</v>
      </c>
      <c r="AW3" s="51">
        <v>6584132.9575170036</v>
      </c>
      <c r="AX3" s="51">
        <v>6368238.7829321995</v>
      </c>
      <c r="AY3" s="51">
        <v>8436599.8549462706</v>
      </c>
      <c r="AZ3" s="51">
        <v>8217217.37207017</v>
      </c>
      <c r="BA3" s="51">
        <v>8537084.3316769786</v>
      </c>
      <c r="BB3" s="51">
        <v>11477018.090204686</v>
      </c>
      <c r="BC3" s="51">
        <v>17257356.908297144</v>
      </c>
      <c r="BD3" s="51">
        <v>32636599.280527119</v>
      </c>
      <c r="BE3" s="51">
        <v>32962965.273332387</v>
      </c>
      <c r="BF3" s="51">
        <v>33292594.926065713</v>
      </c>
      <c r="BG3" s="51">
        <v>33625520.875326365</v>
      </c>
      <c r="BH3" s="51">
        <v>33961776.084079631</v>
      </c>
      <c r="BI3" s="51">
        <v>34301393.844920427</v>
      </c>
    </row>
    <row r="4" spans="1:61" x14ac:dyDescent="0.25">
      <c r="A4" s="48" t="s">
        <v>3</v>
      </c>
      <c r="B4" s="48" t="s">
        <v>136</v>
      </c>
      <c r="C4" s="49" t="s">
        <v>41</v>
      </c>
      <c r="D4" s="49" t="str">
        <f>VLOOKUP(A4,PARAMETER!D:E,2,0)</f>
        <v>NINA</v>
      </c>
      <c r="E4" s="49" t="str">
        <f t="shared" si="1"/>
        <v>NINAVOL</v>
      </c>
      <c r="F4" s="49" t="str">
        <f t="shared" si="0"/>
        <v>BANBAN TEAVOL</v>
      </c>
      <c r="G4" s="50">
        <f t="shared" si="2"/>
        <v>199999999.99999991</v>
      </c>
      <c r="H4" s="50">
        <f>SUMIF(I$1:BI$1,"&lt;="&amp;PARAMETER!X$2,I4:BI4)</f>
        <v>52063370.046782032</v>
      </c>
      <c r="I4" s="51">
        <v>3052862.9093274204</v>
      </c>
      <c r="J4" s="51">
        <v>1400092.1013821729</v>
      </c>
      <c r="K4" s="51">
        <v>890658.27626143722</v>
      </c>
      <c r="L4" s="51">
        <v>2415092.0448183236</v>
      </c>
      <c r="M4" s="51">
        <v>5364604.8105019722</v>
      </c>
      <c r="N4" s="51">
        <v>19876448.339118928</v>
      </c>
      <c r="O4" s="51">
        <v>7322885.601378032</v>
      </c>
      <c r="P4" s="51">
        <v>4818825.1986974869</v>
      </c>
      <c r="Q4" s="51">
        <v>3153333.3654129263</v>
      </c>
      <c r="R4" s="51">
        <v>1794639.2704823029</v>
      </c>
      <c r="S4" s="51">
        <v>1973928.1294010272</v>
      </c>
      <c r="T4" s="51">
        <v>2887845.9329256876</v>
      </c>
      <c r="U4" s="51">
        <v>2983038.8120443467</v>
      </c>
      <c r="V4" s="51">
        <v>1755120.7208681263</v>
      </c>
      <c r="W4" s="51">
        <v>1183624.855290608</v>
      </c>
      <c r="X4" s="51">
        <v>1735472.4594595833</v>
      </c>
      <c r="Y4" s="51">
        <v>810508.82277965953</v>
      </c>
      <c r="Z4" s="51">
        <v>1059066.7119887308</v>
      </c>
      <c r="AA4" s="51">
        <v>16444616.770909248</v>
      </c>
      <c r="AB4" s="51">
        <v>2866587.9772382374</v>
      </c>
      <c r="AC4" s="51">
        <v>1164642.6742733372</v>
      </c>
      <c r="AD4" s="51">
        <v>3159663.349397982</v>
      </c>
      <c r="AE4" s="51">
        <v>815169.16525059368</v>
      </c>
      <c r="AF4" s="51">
        <v>1087708.1688134333</v>
      </c>
      <c r="AG4" s="51">
        <v>27282078.887236726</v>
      </c>
      <c r="AH4" s="51">
        <v>22604536.000331979</v>
      </c>
      <c r="AI4" s="51">
        <v>8296581.8997513959</v>
      </c>
      <c r="AJ4" s="51">
        <v>3534440.1423511696</v>
      </c>
      <c r="AK4" s="51">
        <v>3707735.3878824296</v>
      </c>
      <c r="AL4" s="51">
        <v>1778545.6580951824</v>
      </c>
      <c r="AM4" s="51">
        <v>3002854.7036846932</v>
      </c>
      <c r="AN4" s="51">
        <v>2175527.3510254119</v>
      </c>
      <c r="AO4" s="51">
        <v>4796440.457014801</v>
      </c>
      <c r="AP4" s="51">
        <v>860683.54852020508</v>
      </c>
      <c r="AQ4" s="51">
        <v>477246.60034649447</v>
      </c>
      <c r="AR4" s="51">
        <v>5496270.0315787233</v>
      </c>
      <c r="AS4" s="51">
        <v>2018555.5156162612</v>
      </c>
      <c r="AT4" s="51">
        <v>1643994.0886562518</v>
      </c>
      <c r="AU4" s="51">
        <v>1921973.8588817995</v>
      </c>
      <c r="AV4" s="51">
        <v>3135015.0445189564</v>
      </c>
      <c r="AW4" s="51">
        <v>1668864.4203323682</v>
      </c>
      <c r="AX4" s="51">
        <v>725361.54609536985</v>
      </c>
      <c r="AY4" s="51">
        <v>2412764.0938508278</v>
      </c>
      <c r="AZ4" s="51">
        <v>1442394.8670318669</v>
      </c>
      <c r="BA4" s="51">
        <v>852138.84723416879</v>
      </c>
      <c r="BB4" s="51">
        <v>542189.438495529</v>
      </c>
      <c r="BC4" s="51">
        <v>1971928.7780932251</v>
      </c>
      <c r="BD4" s="51">
        <v>1241128.6856031183</v>
      </c>
      <c r="BE4" s="51">
        <v>1253539.9724591493</v>
      </c>
      <c r="BF4" s="51">
        <v>1266075.3721837408</v>
      </c>
      <c r="BG4" s="51">
        <v>1278736.1259055783</v>
      </c>
      <c r="BH4" s="51">
        <v>1291523.487164634</v>
      </c>
      <c r="BI4" s="51">
        <v>1304438.7220362804</v>
      </c>
    </row>
    <row r="5" spans="1:61" x14ac:dyDescent="0.25">
      <c r="A5" s="48" t="s">
        <v>4</v>
      </c>
      <c r="B5" s="48" t="s">
        <v>136</v>
      </c>
      <c r="C5" s="49" t="s">
        <v>41</v>
      </c>
      <c r="D5" s="49" t="str">
        <f>VLOOKUP(A5,PARAMETER!D:E,2,0)</f>
        <v>NINA</v>
      </c>
      <c r="E5" s="49" t="str">
        <f t="shared" si="1"/>
        <v>NINAVOL</v>
      </c>
      <c r="F5" s="49" t="str">
        <f t="shared" si="0"/>
        <v>BEARD PAPAVOL</v>
      </c>
      <c r="G5" s="50">
        <f t="shared" si="2"/>
        <v>99999999.999999985</v>
      </c>
      <c r="H5" s="50">
        <f>SUMIF(I$1:BI$1,"&lt;="&amp;PARAMETER!X$2,I5:BI5)</f>
        <v>0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1">
        <v>0</v>
      </c>
      <c r="T5" s="51">
        <v>0</v>
      </c>
      <c r="U5" s="51">
        <v>0</v>
      </c>
      <c r="V5" s="51">
        <v>0</v>
      </c>
      <c r="W5" s="51">
        <v>0</v>
      </c>
      <c r="X5" s="51">
        <v>0</v>
      </c>
      <c r="Y5" s="51">
        <v>0</v>
      </c>
      <c r="Z5" s="51">
        <v>0</v>
      </c>
      <c r="AA5" s="51">
        <v>0</v>
      </c>
      <c r="AB5" s="51">
        <v>0</v>
      </c>
      <c r="AC5" s="51">
        <v>0</v>
      </c>
      <c r="AD5" s="51">
        <v>0</v>
      </c>
      <c r="AE5" s="51">
        <v>0</v>
      </c>
      <c r="AF5" s="51">
        <v>0</v>
      </c>
      <c r="AG5" s="51">
        <v>0</v>
      </c>
      <c r="AH5" s="51">
        <v>0</v>
      </c>
      <c r="AI5" s="51">
        <v>411140.75342356454</v>
      </c>
      <c r="AJ5" s="51">
        <v>827369.88250831177</v>
      </c>
      <c r="AK5" s="51">
        <v>2400695.6369460113</v>
      </c>
      <c r="AL5" s="51">
        <v>1734118.425331074</v>
      </c>
      <c r="AM5" s="51">
        <v>2176812.1962296329</v>
      </c>
      <c r="AN5" s="51">
        <v>1432886.5861890565</v>
      </c>
      <c r="AO5" s="51">
        <v>23266598.728433162</v>
      </c>
      <c r="AP5" s="51">
        <v>13312208.404786255</v>
      </c>
      <c r="AQ5" s="51">
        <v>2008890.7110349413</v>
      </c>
      <c r="AR5" s="51">
        <v>5049707.0591831366</v>
      </c>
      <c r="AS5" s="51">
        <v>4707461.8945368547</v>
      </c>
      <c r="AT5" s="51">
        <v>7351431.7541688802</v>
      </c>
      <c r="AU5" s="51">
        <v>3981705.856307229</v>
      </c>
      <c r="AV5" s="51">
        <v>1517355.6575149542</v>
      </c>
      <c r="AW5" s="51">
        <v>2811838.4257198405</v>
      </c>
      <c r="AX5" s="51">
        <v>1544830.8507350765</v>
      </c>
      <c r="AY5" s="51">
        <v>2029245.2313548045</v>
      </c>
      <c r="AZ5" s="51">
        <v>1505141.5205778512</v>
      </c>
      <c r="BA5" s="51">
        <v>1847082.400359595</v>
      </c>
      <c r="BB5" s="51">
        <v>2415960.7639295598</v>
      </c>
      <c r="BC5" s="51">
        <v>1783987.5598360617</v>
      </c>
      <c r="BD5" s="51">
        <v>2581841.8104841164</v>
      </c>
      <c r="BE5" s="51">
        <v>2607660.2285889578</v>
      </c>
      <c r="BF5" s="51">
        <v>2633736.8308748477</v>
      </c>
      <c r="BG5" s="51">
        <v>2660074.1991835963</v>
      </c>
      <c r="BH5" s="51">
        <v>2686674.9411754319</v>
      </c>
      <c r="BI5" s="51">
        <v>2713541.6905871867</v>
      </c>
    </row>
    <row r="6" spans="1:61" x14ac:dyDescent="0.25">
      <c r="A6" s="48" t="s">
        <v>6</v>
      </c>
      <c r="B6" s="48" t="s">
        <v>136</v>
      </c>
      <c r="C6" s="49" t="s">
        <v>41</v>
      </c>
      <c r="D6" s="49" t="str">
        <f>VLOOKUP(A6,PARAMETER!D:E,2,0)</f>
        <v>NINA</v>
      </c>
      <c r="E6" s="49" t="str">
        <f t="shared" si="1"/>
        <v>NINAVOL</v>
      </c>
      <c r="F6" s="49" t="str">
        <f t="shared" si="0"/>
        <v>CHAMP RESTOVOL</v>
      </c>
      <c r="G6" s="50">
        <f t="shared" si="2"/>
        <v>2200000000.0000005</v>
      </c>
      <c r="H6" s="50">
        <f>SUMIF(I$1:BI$1,"&lt;="&amp;PARAMETER!X$2,I6:BI6)</f>
        <v>294450638.68513203</v>
      </c>
      <c r="I6" s="51">
        <v>17012115.675858829</v>
      </c>
      <c r="J6" s="51">
        <v>9647186.550733516</v>
      </c>
      <c r="K6" s="51">
        <v>13205117.925132185</v>
      </c>
      <c r="L6" s="51">
        <v>11118807.399905462</v>
      </c>
      <c r="M6" s="51">
        <v>13232322.883965097</v>
      </c>
      <c r="N6" s="51">
        <v>65118854.076876223</v>
      </c>
      <c r="O6" s="51">
        <v>42605635.411759242</v>
      </c>
      <c r="P6" s="51">
        <v>12345683.740059424</v>
      </c>
      <c r="Q6" s="51">
        <v>2425140.4725310905</v>
      </c>
      <c r="R6" s="51">
        <v>53768773.934522666</v>
      </c>
      <c r="S6" s="51">
        <v>53971000.613788292</v>
      </c>
      <c r="T6" s="51">
        <v>42966464.053028882</v>
      </c>
      <c r="U6" s="51">
        <v>18923754.902326621</v>
      </c>
      <c r="V6" s="51">
        <v>34305464.212799408</v>
      </c>
      <c r="W6" s="51">
        <v>23776444.301114965</v>
      </c>
      <c r="X6" s="51">
        <v>25515887.429535467</v>
      </c>
      <c r="Y6" s="51">
        <v>34368868.286759004</v>
      </c>
      <c r="Z6" s="51">
        <v>130656962.65631446</v>
      </c>
      <c r="AA6" s="51">
        <v>30456204.495764758</v>
      </c>
      <c r="AB6" s="51">
        <v>14230201.441426158</v>
      </c>
      <c r="AC6" s="51">
        <v>18663669.711145245</v>
      </c>
      <c r="AD6" s="51">
        <v>7005707.9737560404</v>
      </c>
      <c r="AE6" s="51">
        <v>6904374.9252960142</v>
      </c>
      <c r="AF6" s="51">
        <v>22765856.005168274</v>
      </c>
      <c r="AG6" s="51">
        <v>15412468.546282645</v>
      </c>
      <c r="AH6" s="51">
        <v>75902980.967074826</v>
      </c>
      <c r="AI6" s="51">
        <v>18616902.323317163</v>
      </c>
      <c r="AJ6" s="51">
        <v>10085046.775498763</v>
      </c>
      <c r="AK6" s="51">
        <v>28825536.704685584</v>
      </c>
      <c r="AL6" s="51">
        <v>22992706.759828158</v>
      </c>
      <c r="AM6" s="51">
        <v>10276199.017423082</v>
      </c>
      <c r="AN6" s="51">
        <v>12097390.516313288</v>
      </c>
      <c r="AO6" s="51">
        <v>224141750.38259009</v>
      </c>
      <c r="AP6" s="51">
        <v>107947491.16713253</v>
      </c>
      <c r="AQ6" s="51">
        <v>18961466.949124239</v>
      </c>
      <c r="AR6" s="51">
        <v>22140264.321484685</v>
      </c>
      <c r="AS6" s="51">
        <v>41153615.927323997</v>
      </c>
      <c r="AT6" s="51">
        <v>69688069.028320372</v>
      </c>
      <c r="AU6" s="51">
        <v>37262628.219865195</v>
      </c>
      <c r="AV6" s="51">
        <v>32155632.806388505</v>
      </c>
      <c r="AW6" s="51">
        <v>44739836.899069667</v>
      </c>
      <c r="AX6" s="51">
        <v>34933314.169491827</v>
      </c>
      <c r="AY6" s="51">
        <v>38266853.303195879</v>
      </c>
      <c r="AZ6" s="51">
        <v>21881369.451544411</v>
      </c>
      <c r="BA6" s="51">
        <v>37985509.197138324</v>
      </c>
      <c r="BB6" s="51">
        <v>58661444.777615033</v>
      </c>
      <c r="BC6" s="51">
        <v>55429249.816868581</v>
      </c>
      <c r="BD6" s="51">
        <v>74032941.799309</v>
      </c>
      <c r="BE6" s="51">
        <v>74773271.217302084</v>
      </c>
      <c r="BF6" s="51">
        <v>75521003.929475099</v>
      </c>
      <c r="BG6" s="51">
        <v>76276213.968769848</v>
      </c>
      <c r="BH6" s="51">
        <v>77038976.10845755</v>
      </c>
      <c r="BI6" s="51">
        <v>77809365.869542137</v>
      </c>
    </row>
    <row r="7" spans="1:61" x14ac:dyDescent="0.25">
      <c r="A7" s="48" t="s">
        <v>7</v>
      </c>
      <c r="B7" s="48" t="s">
        <v>136</v>
      </c>
      <c r="C7" s="49" t="s">
        <v>41</v>
      </c>
      <c r="D7" s="49" t="e">
        <f>VLOOKUP(A7,PARAMETER!D:E,2,0)</f>
        <v>#N/A</v>
      </c>
      <c r="E7" s="49" t="e">
        <f t="shared" si="1"/>
        <v>#N/A</v>
      </c>
      <c r="F7" s="49" t="str">
        <f t="shared" si="0"/>
        <v>DAMRIVOL</v>
      </c>
      <c r="G7" s="50">
        <f t="shared" si="2"/>
        <v>300000000</v>
      </c>
      <c r="H7" s="50">
        <f>SUMIF(I$1:BI$1,"&lt;="&amp;PARAMETER!X$2,I7:BI7)</f>
        <v>77578003.46524182</v>
      </c>
      <c r="I7" s="51">
        <v>0</v>
      </c>
      <c r="J7" s="51">
        <v>2695403.8080402603</v>
      </c>
      <c r="K7" s="51">
        <v>3951273.3539595711</v>
      </c>
      <c r="L7" s="51">
        <v>1935925.3869902424</v>
      </c>
      <c r="M7" s="51">
        <v>10826300.361221777</v>
      </c>
      <c r="N7" s="51">
        <v>5043335.8142365161</v>
      </c>
      <c r="O7" s="51">
        <v>8096139.2466181666</v>
      </c>
      <c r="P7" s="51">
        <v>8850653.7564194929</v>
      </c>
      <c r="Q7" s="51">
        <v>9371865.4303144999</v>
      </c>
      <c r="R7" s="51">
        <v>15199496.24349775</v>
      </c>
      <c r="S7" s="51">
        <v>11607610.063943544</v>
      </c>
      <c r="T7" s="51">
        <v>11297862.002025107</v>
      </c>
      <c r="U7" s="51">
        <v>4025732.0226899656</v>
      </c>
      <c r="V7" s="51">
        <v>11431887.605739815</v>
      </c>
      <c r="W7" s="51">
        <v>5465266.2848109147</v>
      </c>
      <c r="X7" s="51">
        <v>6582146.3157668235</v>
      </c>
      <c r="Y7" s="51">
        <v>6636749.3395024464</v>
      </c>
      <c r="Z7" s="51">
        <v>10458961.000996001</v>
      </c>
      <c r="AA7" s="51">
        <v>12653009.772918276</v>
      </c>
      <c r="AB7" s="51">
        <v>13616008.555164706</v>
      </c>
      <c r="AC7" s="51">
        <v>11606617.281693807</v>
      </c>
      <c r="AD7" s="51">
        <v>10027100.722359717</v>
      </c>
      <c r="AE7" s="51">
        <v>11625480.144438839</v>
      </c>
      <c r="AF7" s="51">
        <v>2923743.7254801351</v>
      </c>
      <c r="AG7" s="51">
        <v>2923744.7182623851</v>
      </c>
      <c r="AH7" s="51">
        <v>10664466.92669189</v>
      </c>
      <c r="AI7" s="51">
        <v>15085326.284777811</v>
      </c>
      <c r="AJ7" s="51">
        <v>4740535.2425017478</v>
      </c>
      <c r="AK7" s="51">
        <v>4685932.2187661249</v>
      </c>
      <c r="AL7" s="51">
        <v>3638546.9452919173</v>
      </c>
      <c r="AM7" s="51">
        <v>3459846.1403389713</v>
      </c>
      <c r="AN7" s="51">
        <v>4025732.0226899656</v>
      </c>
      <c r="AO7" s="51">
        <v>5132684.2311484888</v>
      </c>
      <c r="AP7" s="51">
        <v>5043333.8286720151</v>
      </c>
      <c r="AQ7" s="51">
        <v>4472484.0350723295</v>
      </c>
      <c r="AR7" s="51">
        <v>4924199.9587033857</v>
      </c>
      <c r="AS7" s="51">
        <v>3653438.6790379956</v>
      </c>
      <c r="AT7" s="51">
        <v>3385387.4716085778</v>
      </c>
      <c r="AU7" s="51">
        <v>4214360.6501402967</v>
      </c>
      <c r="AV7" s="51">
        <v>3474737.8740850505</v>
      </c>
      <c r="AW7" s="51">
        <v>3544232.6315667513</v>
      </c>
      <c r="AX7" s="51">
        <v>3504521.3415772081</v>
      </c>
      <c r="AY7" s="51">
        <v>2377713.4881239128</v>
      </c>
      <c r="AZ7" s="51">
        <v>1767152.4045346829</v>
      </c>
      <c r="BA7" s="51">
        <v>1648018.5345660525</v>
      </c>
      <c r="BB7" s="51">
        <v>1057313.0959715939</v>
      </c>
      <c r="BC7" s="51">
        <v>1181410.8771889172</v>
      </c>
      <c r="BD7" s="51">
        <v>888540.11351603433</v>
      </c>
      <c r="BE7" s="51">
        <v>897425.51465119468</v>
      </c>
      <c r="BF7" s="51">
        <v>906399.76979770663</v>
      </c>
      <c r="BG7" s="51">
        <v>915463.76749568374</v>
      </c>
      <c r="BH7" s="51">
        <v>924618.40517064044</v>
      </c>
      <c r="BI7" s="51">
        <v>933864.58922234701</v>
      </c>
    </row>
    <row r="8" spans="1:61" x14ac:dyDescent="0.25">
      <c r="A8" s="48" t="s">
        <v>44</v>
      </c>
      <c r="B8" s="48" t="s">
        <v>136</v>
      </c>
      <c r="C8" s="49" t="s">
        <v>41</v>
      </c>
      <c r="D8" s="49" t="e">
        <f>VLOOKUP(A8,PARAMETER!D:E,2,0)</f>
        <v>#N/A</v>
      </c>
      <c r="E8" s="49" t="e">
        <f t="shared" si="1"/>
        <v>#N/A</v>
      </c>
      <c r="F8" s="49" t="str">
        <f t="shared" si="0"/>
        <v>DELTA WIBAWA BERSAMAVOL</v>
      </c>
      <c r="G8" s="50">
        <f t="shared" si="2"/>
        <v>499999999.99999994</v>
      </c>
      <c r="H8" s="50">
        <f>SUMIF(I$1:BI$1,"&lt;="&amp;PARAMETER!X$2,I8:BI8)</f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1">
        <v>0</v>
      </c>
      <c r="V8" s="51">
        <v>0</v>
      </c>
      <c r="W8" s="51">
        <v>0</v>
      </c>
      <c r="X8" s="51">
        <v>0</v>
      </c>
      <c r="Y8" s="51">
        <v>0</v>
      </c>
      <c r="Z8" s="51">
        <v>0</v>
      </c>
      <c r="AA8" s="51">
        <v>0</v>
      </c>
      <c r="AB8" s="51">
        <v>0</v>
      </c>
      <c r="AC8" s="51">
        <v>0</v>
      </c>
      <c r="AD8" s="51">
        <v>0</v>
      </c>
      <c r="AE8" s="51">
        <v>0</v>
      </c>
      <c r="AF8" s="51">
        <v>0</v>
      </c>
      <c r="AG8" s="51">
        <v>0</v>
      </c>
      <c r="AH8" s="51">
        <v>0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  <c r="AO8" s="51">
        <v>0</v>
      </c>
      <c r="AP8" s="51">
        <v>0</v>
      </c>
      <c r="AQ8" s="51">
        <v>0</v>
      </c>
      <c r="AR8" s="51">
        <v>0</v>
      </c>
      <c r="AS8" s="51">
        <v>0</v>
      </c>
      <c r="AT8" s="51">
        <v>0</v>
      </c>
      <c r="AU8" s="51">
        <v>0</v>
      </c>
      <c r="AV8" s="51">
        <v>0</v>
      </c>
      <c r="AW8" s="51">
        <v>11488933.461108599</v>
      </c>
      <c r="AX8" s="51">
        <v>63405248.257328168</v>
      </c>
      <c r="AY8" s="51">
        <v>50664671.28648255</v>
      </c>
      <c r="AZ8" s="51">
        <v>55397396.72408998</v>
      </c>
      <c r="BA8" s="51">
        <v>71734738.564535603</v>
      </c>
      <c r="BB8" s="51">
        <v>60453814.123935536</v>
      </c>
      <c r="BC8" s="51">
        <v>38910358.625642374</v>
      </c>
      <c r="BD8" s="51">
        <v>24048191.935744762</v>
      </c>
      <c r="BE8" s="51">
        <v>24288673.855102211</v>
      </c>
      <c r="BF8" s="51">
        <v>24531560.593653236</v>
      </c>
      <c r="BG8" s="51">
        <v>24776876.199589767</v>
      </c>
      <c r="BH8" s="51">
        <v>25024644.961585667</v>
      </c>
      <c r="BI8" s="51">
        <v>25274891.411201522</v>
      </c>
    </row>
    <row r="9" spans="1:61" x14ac:dyDescent="0.25">
      <c r="A9" s="48" t="s">
        <v>8</v>
      </c>
      <c r="B9" s="48" t="s">
        <v>136</v>
      </c>
      <c r="C9" s="49" t="s">
        <v>41</v>
      </c>
      <c r="D9" s="49" t="str">
        <f>VLOOKUP(A9,PARAMETER!D:E,2,0)</f>
        <v>RIFALDI</v>
      </c>
      <c r="E9" s="49" t="str">
        <f t="shared" si="1"/>
        <v>RIFALDIVOL</v>
      </c>
      <c r="F9" s="49" t="str">
        <f t="shared" si="0"/>
        <v>DWIDAYAVOL</v>
      </c>
      <c r="G9" s="50">
        <f t="shared" si="2"/>
        <v>5999999999.9999962</v>
      </c>
      <c r="H9" s="50">
        <f>SUMIF(I$1:BI$1,"&lt;="&amp;PARAMETER!X$2,I9:BI9)</f>
        <v>509360021.37615502</v>
      </c>
      <c r="I9" s="51">
        <v>11733967.454836134</v>
      </c>
      <c r="J9" s="51">
        <v>43265510.470087402</v>
      </c>
      <c r="K9" s="51">
        <v>14151982.137234151</v>
      </c>
      <c r="L9" s="51">
        <v>44203278.038502723</v>
      </c>
      <c r="M9" s="51">
        <v>81514557.972930342</v>
      </c>
      <c r="N9" s="51">
        <v>83971744.037594363</v>
      </c>
      <c r="O9" s="51">
        <v>35423873.134999864</v>
      </c>
      <c r="P9" s="51">
        <v>29106406.047523517</v>
      </c>
      <c r="Q9" s="51">
        <v>9497847.6304267067</v>
      </c>
      <c r="R9" s="51">
        <v>96156788.376266241</v>
      </c>
      <c r="S9" s="51">
        <v>60334066.07575357</v>
      </c>
      <c r="T9" s="51">
        <v>27168254.152168944</v>
      </c>
      <c r="U9" s="51">
        <v>25945891.932452902</v>
      </c>
      <c r="V9" s="51">
        <v>54801237.422103204</v>
      </c>
      <c r="W9" s="51">
        <v>51693461.455804184</v>
      </c>
      <c r="X9" s="51">
        <v>32738771.565689176</v>
      </c>
      <c r="Y9" s="51">
        <v>117455387.94401848</v>
      </c>
      <c r="Z9" s="51">
        <v>333079841.34422702</v>
      </c>
      <c r="AA9" s="51">
        <v>83993110.893583551</v>
      </c>
      <c r="AB9" s="51">
        <v>134289597.80843276</v>
      </c>
      <c r="AC9" s="51">
        <v>92243589.960501522</v>
      </c>
      <c r="AD9" s="51">
        <v>48879626.953253612</v>
      </c>
      <c r="AE9" s="51">
        <v>76910472.952182502</v>
      </c>
      <c r="AF9" s="51">
        <v>64383892.478046201</v>
      </c>
      <c r="AG9" s="51">
        <v>145771220.31994122</v>
      </c>
      <c r="AH9" s="51">
        <v>56819218.265528567</v>
      </c>
      <c r="AI9" s="51">
        <v>11659182.271826347</v>
      </c>
      <c r="AJ9" s="51">
        <v>154837976.1991674</v>
      </c>
      <c r="AK9" s="51">
        <v>125201894.10100429</v>
      </c>
      <c r="AL9" s="51">
        <v>245858491.71141994</v>
      </c>
      <c r="AM9" s="51">
        <v>110847687.72935537</v>
      </c>
      <c r="AN9" s="51">
        <v>191913539.3524172</v>
      </c>
      <c r="AO9" s="51">
        <v>220668282.56178495</v>
      </c>
      <c r="AP9" s="51">
        <v>84085700.602870136</v>
      </c>
      <c r="AQ9" s="51">
        <v>122997063.66309594</v>
      </c>
      <c r="AR9" s="51">
        <v>88108604.766616344</v>
      </c>
      <c r="AS9" s="51">
        <v>143188822.10508534</v>
      </c>
      <c r="AT9" s="51">
        <v>166316366.38018373</v>
      </c>
      <c r="AU9" s="51">
        <v>332555200.7493155</v>
      </c>
      <c r="AV9" s="51">
        <v>119652021.81855984</v>
      </c>
      <c r="AW9" s="51">
        <v>148453791.10386476</v>
      </c>
      <c r="AX9" s="51">
        <v>428901132.09594089</v>
      </c>
      <c r="AY9" s="51">
        <v>160668673.06987804</v>
      </c>
      <c r="AZ9" s="51">
        <v>285761208.04078686</v>
      </c>
      <c r="BA9" s="51">
        <v>384213086.38989764</v>
      </c>
      <c r="BB9" s="51">
        <v>101459160.05645478</v>
      </c>
      <c r="BC9" s="51">
        <v>143002704.91894376</v>
      </c>
      <c r="BD9" s="51">
        <v>60811914.443096273</v>
      </c>
      <c r="BE9" s="51">
        <v>61420033.58752723</v>
      </c>
      <c r="BF9" s="51">
        <v>62034233.923402496</v>
      </c>
      <c r="BG9" s="51">
        <v>62654576.26263652</v>
      </c>
      <c r="BH9" s="51">
        <v>63281122.025262885</v>
      </c>
      <c r="BI9" s="51">
        <v>63913933.245515518</v>
      </c>
    </row>
    <row r="10" spans="1:61" x14ac:dyDescent="0.25">
      <c r="A10" s="48" t="s">
        <v>45</v>
      </c>
      <c r="B10" s="48" t="s">
        <v>136</v>
      </c>
      <c r="C10" s="49" t="s">
        <v>41</v>
      </c>
      <c r="D10" s="49" t="str">
        <f>VLOOKUP(A10,PARAMETER!D:E,2,0)</f>
        <v>NINA</v>
      </c>
      <c r="E10" s="49" t="str">
        <f t="shared" si="1"/>
        <v>NINAVOL</v>
      </c>
      <c r="F10" s="49" t="str">
        <f t="shared" si="0"/>
        <v>EKA HOSPITALVOL</v>
      </c>
      <c r="G10" s="50">
        <f t="shared" si="2"/>
        <v>200000000</v>
      </c>
      <c r="H10" s="50">
        <f>SUMIF(I$1:BI$1,"&lt;="&amp;PARAMETER!X$2,I10:BI10)</f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10862598.690873871</v>
      </c>
      <c r="V10" s="51">
        <v>17541528.270240154</v>
      </c>
      <c r="W10" s="51">
        <v>135147.90949884194</v>
      </c>
      <c r="X10" s="51">
        <v>20383826.484404743</v>
      </c>
      <c r="Y10" s="51">
        <v>0</v>
      </c>
      <c r="Z10" s="51">
        <v>7515003.5103587667</v>
      </c>
      <c r="AA10" s="51">
        <v>295956.18422281515</v>
      </c>
      <c r="AB10" s="51">
        <v>1396200.9123483205</v>
      </c>
      <c r="AC10" s="51">
        <v>44459.532347551678</v>
      </c>
      <c r="AD10" s="51">
        <v>0</v>
      </c>
      <c r="AE10" s="51">
        <v>31446919.395125378</v>
      </c>
      <c r="AF10" s="51">
        <v>53350.549715325236</v>
      </c>
      <c r="AG10" s="51">
        <v>0</v>
      </c>
      <c r="AH10" s="51">
        <v>72454829.880755529</v>
      </c>
      <c r="AI10" s="51">
        <v>0</v>
      </c>
      <c r="AJ10" s="51">
        <v>0</v>
      </c>
      <c r="AK10" s="51">
        <v>0</v>
      </c>
      <c r="AL10" s="51">
        <v>44459.532347551678</v>
      </c>
      <c r="AM10" s="51">
        <v>64815.516611069237</v>
      </c>
      <c r="AN10" s="51">
        <v>0</v>
      </c>
      <c r="AO10" s="51">
        <v>44459.532347551678</v>
      </c>
      <c r="AP10" s="51">
        <v>0</v>
      </c>
      <c r="AQ10" s="51">
        <v>2469631.2211943581</v>
      </c>
      <c r="AR10" s="51">
        <v>0</v>
      </c>
      <c r="AS10" s="51">
        <v>44459.532347551678</v>
      </c>
      <c r="AT10" s="51">
        <v>0</v>
      </c>
      <c r="AU10" s="51">
        <v>0</v>
      </c>
      <c r="AV10" s="51">
        <v>756794.50732751749</v>
      </c>
      <c r="AW10" s="51">
        <v>1343614.9901266238</v>
      </c>
      <c r="AX10" s="51">
        <v>0</v>
      </c>
      <c r="AY10" s="51">
        <v>0</v>
      </c>
      <c r="AZ10" s="51">
        <v>712708.39770941227</v>
      </c>
      <c r="BA10" s="51">
        <v>0</v>
      </c>
      <c r="BB10" s="51">
        <v>1127052.0345910795</v>
      </c>
      <c r="BC10" s="51">
        <v>1808361.8044661996</v>
      </c>
      <c r="BD10" s="51">
        <v>4787670.596268177</v>
      </c>
      <c r="BE10" s="51">
        <v>4835547.3022308582</v>
      </c>
      <c r="BF10" s="51">
        <v>4883902.7752531664</v>
      </c>
      <c r="BG10" s="51">
        <v>4932741.8030056981</v>
      </c>
      <c r="BH10" s="51">
        <v>4982069.2210357562</v>
      </c>
      <c r="BI10" s="51">
        <v>5031889.9132461129</v>
      </c>
    </row>
    <row r="11" spans="1:61" x14ac:dyDescent="0.25">
      <c r="A11" s="52" t="s">
        <v>9</v>
      </c>
      <c r="B11" s="48" t="s">
        <v>136</v>
      </c>
      <c r="C11" s="49" t="s">
        <v>41</v>
      </c>
      <c r="D11" s="49" t="e">
        <f>VLOOKUP(A11,PARAMETER!D:E,2,0)</f>
        <v>#N/A</v>
      </c>
      <c r="E11" s="49" t="e">
        <f t="shared" si="1"/>
        <v>#N/A</v>
      </c>
      <c r="F11" s="49" t="str">
        <f t="shared" si="0"/>
        <v>ES TELLER 77VOL</v>
      </c>
      <c r="G11" s="50">
        <f t="shared" si="2"/>
        <v>0</v>
      </c>
      <c r="H11" s="50">
        <f>SUMIF(I$1:BI$1,"&lt;="&amp;PARAMETER!X$2,I11:BI11)</f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0</v>
      </c>
      <c r="AV11" s="51">
        <v>0</v>
      </c>
      <c r="AW11" s="51">
        <v>0</v>
      </c>
      <c r="AX11" s="51">
        <v>0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</row>
    <row r="12" spans="1:61" x14ac:dyDescent="0.25">
      <c r="A12" s="48" t="s">
        <v>10</v>
      </c>
      <c r="B12" s="48" t="s">
        <v>136</v>
      </c>
      <c r="C12" s="49" t="s">
        <v>41</v>
      </c>
      <c r="D12" s="49" t="str">
        <f>VLOOKUP(A12,PARAMETER!D:E,2,0)</f>
        <v>RIFALDI</v>
      </c>
      <c r="E12" s="49" t="str">
        <f t="shared" si="1"/>
        <v>RIFALDIVOL</v>
      </c>
      <c r="F12" s="49" t="str">
        <f t="shared" si="0"/>
        <v>GRAMEDIAVOL</v>
      </c>
      <c r="G12" s="50">
        <f t="shared" si="2"/>
        <v>0</v>
      </c>
      <c r="H12" s="50">
        <f>SUMIF(I$1:BI$1,"&lt;="&amp;PARAMETER!X$2,I12:BI12)</f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0</v>
      </c>
      <c r="AV12" s="51">
        <v>0</v>
      </c>
      <c r="AW12" s="51">
        <v>0</v>
      </c>
      <c r="AX12" s="51">
        <v>0</v>
      </c>
      <c r="AY12" s="51">
        <v>0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</row>
    <row r="13" spans="1:61" x14ac:dyDescent="0.25">
      <c r="A13" s="48" t="s">
        <v>11</v>
      </c>
      <c r="B13" s="48" t="s">
        <v>136</v>
      </c>
      <c r="C13" s="49" t="s">
        <v>41</v>
      </c>
      <c r="D13" s="49" t="str">
        <f>VLOOKUP(A13,PARAMETER!D:E,2,0)</f>
        <v>NINA</v>
      </c>
      <c r="E13" s="49" t="str">
        <f t="shared" si="1"/>
        <v>NINAVOL</v>
      </c>
      <c r="F13" s="49" t="str">
        <f t="shared" si="0"/>
        <v>HAUSVOL</v>
      </c>
      <c r="G13" s="50">
        <f t="shared" si="2"/>
        <v>8999999999.9999981</v>
      </c>
      <c r="H13" s="50">
        <f>SUMIF(I$1:BI$1,"&lt;="&amp;PARAMETER!X$2,I13:BI13)</f>
        <v>2768543294.5421977</v>
      </c>
      <c r="I13" s="51">
        <v>656706867.31821561</v>
      </c>
      <c r="J13" s="51">
        <v>530255027.6368466</v>
      </c>
      <c r="K13" s="51">
        <v>527487758.45972466</v>
      </c>
      <c r="L13" s="51">
        <v>547603756.9560951</v>
      </c>
      <c r="M13" s="51">
        <v>446611794.0081073</v>
      </c>
      <c r="N13" s="51">
        <v>312913.47552127682</v>
      </c>
      <c r="O13" s="51">
        <v>537150.12601380248</v>
      </c>
      <c r="P13" s="51">
        <v>434205.66961584345</v>
      </c>
      <c r="Q13" s="51">
        <v>8780938.1988547966</v>
      </c>
      <c r="R13" s="51">
        <v>47651005.280573852</v>
      </c>
      <c r="S13" s="51">
        <v>2161877.4126289566</v>
      </c>
      <c r="T13" s="51">
        <v>14149396.961519105</v>
      </c>
      <c r="U13" s="51">
        <v>5050436.7453211667</v>
      </c>
      <c r="V13" s="51">
        <v>16118610.387556992</v>
      </c>
      <c r="W13" s="51">
        <v>285829703.21918291</v>
      </c>
      <c r="X13" s="51">
        <v>108045.86338487762</v>
      </c>
      <c r="Y13" s="51">
        <v>1541124.3484956697</v>
      </c>
      <c r="Z13" s="51">
        <v>13364055.486310167</v>
      </c>
      <c r="AA13" s="51">
        <v>7867686.4605071237</v>
      </c>
      <c r="AB13" s="51">
        <v>261844365.49678808</v>
      </c>
      <c r="AC13" s="51">
        <v>282264265.15288001</v>
      </c>
      <c r="AD13" s="51">
        <v>323016402.8251217</v>
      </c>
      <c r="AE13" s="51">
        <v>283382904.32705301</v>
      </c>
      <c r="AF13" s="51">
        <v>207795962.44358942</v>
      </c>
      <c r="AG13" s="51">
        <v>185983308.35098141</v>
      </c>
      <c r="AH13" s="51">
        <v>253083817.63694894</v>
      </c>
      <c r="AI13" s="51">
        <v>284359292.2198444</v>
      </c>
      <c r="AJ13" s="51">
        <v>303406152.00764018</v>
      </c>
      <c r="AK13" s="51">
        <v>285098851.49772441</v>
      </c>
      <c r="AL13" s="51">
        <v>248602817.16503769</v>
      </c>
      <c r="AM13" s="51">
        <v>298451294.53052765</v>
      </c>
      <c r="AN13" s="51">
        <v>253316220.61566907</v>
      </c>
      <c r="AO13" s="51">
        <v>226709401.8371433</v>
      </c>
      <c r="AP13" s="51">
        <v>213262839.11950904</v>
      </c>
      <c r="AQ13" s="51">
        <v>221324207.80948034</v>
      </c>
      <c r="AR13" s="51">
        <v>222990361.98632053</v>
      </c>
      <c r="AS13" s="51">
        <v>205096202.05547139</v>
      </c>
      <c r="AT13" s="51">
        <v>192536956.97041556</v>
      </c>
      <c r="AU13" s="51">
        <v>200066060.85778731</v>
      </c>
      <c r="AV13" s="51">
        <v>191855838.10632217</v>
      </c>
      <c r="AW13" s="51">
        <v>179370282.61585838</v>
      </c>
      <c r="AX13" s="51">
        <v>157834389.79009655</v>
      </c>
      <c r="AY13" s="51">
        <v>168882678.64733583</v>
      </c>
      <c r="AZ13" s="51">
        <v>158398144.69636461</v>
      </c>
      <c r="BA13" s="51">
        <v>63287014.413071275</v>
      </c>
      <c r="BB13" s="51">
        <v>9478118.5956754182</v>
      </c>
      <c r="BC13" s="51">
        <v>415858.95118137117</v>
      </c>
      <c r="BD13" s="51">
        <v>863722.73340954399</v>
      </c>
      <c r="BE13" s="51">
        <v>872359.96074363939</v>
      </c>
      <c r="BF13" s="51">
        <v>881083.56035107584</v>
      </c>
      <c r="BG13" s="51">
        <v>889894.39595458645</v>
      </c>
      <c r="BH13" s="51">
        <v>898793.33991413238</v>
      </c>
      <c r="BI13" s="51">
        <v>907781.27331327379</v>
      </c>
    </row>
    <row r="14" spans="1:61" x14ac:dyDescent="0.25">
      <c r="A14" s="48" t="s">
        <v>12</v>
      </c>
      <c r="B14" s="48" t="s">
        <v>136</v>
      </c>
      <c r="C14" s="49" t="s">
        <v>41</v>
      </c>
      <c r="D14" s="49" t="e">
        <f>VLOOKUP(A14,PARAMETER!D:E,2,0)</f>
        <v>#N/A</v>
      </c>
      <c r="E14" s="49" t="e">
        <f t="shared" si="1"/>
        <v>#N/A</v>
      </c>
      <c r="F14" s="49" t="str">
        <f t="shared" si="0"/>
        <v>HEAVENLY WANGVOL</v>
      </c>
      <c r="G14" s="50">
        <f t="shared" si="2"/>
        <v>0</v>
      </c>
      <c r="H14" s="50">
        <f>SUMIF(I$1:BI$1,"&lt;="&amp;PARAMETER!X$2,I14:BI14)</f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</row>
    <row r="15" spans="1:61" x14ac:dyDescent="0.25">
      <c r="A15" s="48" t="s">
        <v>13</v>
      </c>
      <c r="B15" s="48" t="s">
        <v>136</v>
      </c>
      <c r="C15" s="49" t="s">
        <v>41</v>
      </c>
      <c r="D15" s="49" t="str">
        <f>VLOOKUP(A15,PARAMETER!D:E,2,0)</f>
        <v>ADISTI</v>
      </c>
      <c r="E15" s="49" t="str">
        <f t="shared" si="1"/>
        <v>ADISTIVOL</v>
      </c>
      <c r="F15" s="49" t="str">
        <f t="shared" si="0"/>
        <v>HERO GROUPVOL</v>
      </c>
      <c r="G15" s="50">
        <f t="shared" si="2"/>
        <v>199999999.99999997</v>
      </c>
      <c r="H15" s="50">
        <f>SUMIF(I$1:BI$1,"&lt;="&amp;PARAMETER!X$2,I15:BI15)</f>
        <v>1150049.8515694027</v>
      </c>
      <c r="I15" s="51">
        <v>0</v>
      </c>
      <c r="J15" s="51">
        <v>47758.123249253695</v>
      </c>
      <c r="K15" s="51">
        <v>0</v>
      </c>
      <c r="L15" s="51">
        <v>0</v>
      </c>
      <c r="M15" s="51">
        <v>306807.96201986622</v>
      </c>
      <c r="N15" s="51">
        <v>0</v>
      </c>
      <c r="O15" s="51">
        <v>96496.052570764383</v>
      </c>
      <c r="P15" s="51">
        <v>0</v>
      </c>
      <c r="Q15" s="51">
        <v>698987.71372951847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128661.40342768584</v>
      </c>
      <c r="Z15" s="51">
        <v>44175.398015344283</v>
      </c>
      <c r="AA15" s="51">
        <v>185074.48031520963</v>
      </c>
      <c r="AB15" s="51">
        <v>1182348.8123452684</v>
      </c>
      <c r="AC15" s="51">
        <v>463675.903891314</v>
      </c>
      <c r="AD15" s="51">
        <v>840078.79843142198</v>
      </c>
      <c r="AE15" s="51">
        <v>12571896.661644982</v>
      </c>
      <c r="AF15" s="51">
        <v>10632318.087347792</v>
      </c>
      <c r="AG15" s="51">
        <v>3626507.7197927437</v>
      </c>
      <c r="AH15" s="51">
        <v>17392849.345111404</v>
      </c>
      <c r="AI15" s="51">
        <v>8564063.264076367</v>
      </c>
      <c r="AJ15" s="51">
        <v>1346081.3349411348</v>
      </c>
      <c r="AK15" s="51">
        <v>3428996.6302815937</v>
      </c>
      <c r="AL15" s="51">
        <v>594520.59236485732</v>
      </c>
      <c r="AM15" s="51">
        <v>1661127.5855927861</v>
      </c>
      <c r="AN15" s="51">
        <v>2251027.2541683828</v>
      </c>
      <c r="AO15" s="51">
        <v>487334.7565754588</v>
      </c>
      <c r="AP15" s="51">
        <v>825006.60987142043</v>
      </c>
      <c r="AQ15" s="51">
        <v>1229428.9889687684</v>
      </c>
      <c r="AR15" s="51">
        <v>2443035.5944252415</v>
      </c>
      <c r="AS15" s="51">
        <v>2664309.4554463821</v>
      </c>
      <c r="AT15" s="51">
        <v>517466.26755511959</v>
      </c>
      <c r="AU15" s="51">
        <v>2388881.0200194255</v>
      </c>
      <c r="AV15" s="51">
        <v>7199364.6240592459</v>
      </c>
      <c r="AW15" s="51">
        <v>5959064.7362039415</v>
      </c>
      <c r="AX15" s="51">
        <v>5459494.2801625095</v>
      </c>
      <c r="AY15" s="51">
        <v>6765941.9646292971</v>
      </c>
      <c r="AZ15" s="51">
        <v>7654811.1466467045</v>
      </c>
      <c r="BA15" s="51">
        <v>5361544.3537330125</v>
      </c>
      <c r="BB15" s="51">
        <v>4130711.9657637789</v>
      </c>
      <c r="BC15" s="51">
        <v>7801973.0701841889</v>
      </c>
      <c r="BD15" s="51">
        <v>11873862.032003934</v>
      </c>
      <c r="BE15" s="51">
        <v>11992600.652323972</v>
      </c>
      <c r="BF15" s="51">
        <v>12112526.658847213</v>
      </c>
      <c r="BG15" s="51">
        <v>12233651.925435685</v>
      </c>
      <c r="BH15" s="51">
        <v>12355988.444690043</v>
      </c>
      <c r="BI15" s="51">
        <v>12479548.329136943</v>
      </c>
    </row>
    <row r="16" spans="1:61" x14ac:dyDescent="0.25">
      <c r="A16" s="48" t="s">
        <v>46</v>
      </c>
      <c r="B16" s="48" t="s">
        <v>136</v>
      </c>
      <c r="C16" s="49" t="s">
        <v>41</v>
      </c>
      <c r="D16" s="49" t="str">
        <f>VLOOKUP(A16,PARAMETER!D:E,2,0)</f>
        <v>NINA</v>
      </c>
      <c r="E16" s="49" t="str">
        <f t="shared" si="1"/>
        <v>NINAVOL</v>
      </c>
      <c r="F16" s="49" t="str">
        <f t="shared" si="0"/>
        <v>HOKBENVOL</v>
      </c>
      <c r="G16" s="50">
        <f t="shared" si="2"/>
        <v>2000000000.0000002</v>
      </c>
      <c r="H16" s="50">
        <f>SUMIF(I$1:BI$1,"&lt;="&amp;PARAMETER!X$2,I16:BI16)</f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36295400.092182823</v>
      </c>
      <c r="X16" s="51">
        <v>46998841.208680958</v>
      </c>
      <c r="Y16" s="51">
        <v>0</v>
      </c>
      <c r="Z16" s="51">
        <v>5087217.3715072684</v>
      </c>
      <c r="AA16" s="51">
        <v>61228268.88655559</v>
      </c>
      <c r="AB16" s="51">
        <v>58557315.306630313</v>
      </c>
      <c r="AC16" s="51">
        <v>65013139.06753657</v>
      </c>
      <c r="AD16" s="51">
        <v>68056793.345688581</v>
      </c>
      <c r="AE16" s="51">
        <v>37588150.662864842</v>
      </c>
      <c r="AF16" s="51">
        <v>61307476.43522685</v>
      </c>
      <c r="AG16" s="51">
        <v>34959293.810649171</v>
      </c>
      <c r="AH16" s="51">
        <v>58906237.06498228</v>
      </c>
      <c r="AI16" s="51">
        <v>76805642.290081054</v>
      </c>
      <c r="AJ16" s="51">
        <v>61777885.897967122</v>
      </c>
      <c r="AK16" s="51">
        <v>66563772.741418809</v>
      </c>
      <c r="AL16" s="51">
        <v>66874516.461311221</v>
      </c>
      <c r="AM16" s="51">
        <v>57441814.554601185</v>
      </c>
      <c r="AN16" s="51">
        <v>51075862.179708369</v>
      </c>
      <c r="AO16" s="51">
        <v>53166191.077326477</v>
      </c>
      <c r="AP16" s="51">
        <v>49579339.768023655</v>
      </c>
      <c r="AQ16" s="51">
        <v>51451972.971346319</v>
      </c>
      <c r="AR16" s="51">
        <v>59642033.503954791</v>
      </c>
      <c r="AS16" s="51">
        <v>49291783.015800156</v>
      </c>
      <c r="AT16" s="51">
        <v>46323084.091601267</v>
      </c>
      <c r="AU16" s="51">
        <v>49238330.426902115</v>
      </c>
      <c r="AV16" s="51">
        <v>50193823.592978597</v>
      </c>
      <c r="AW16" s="51">
        <v>52114825.09433829</v>
      </c>
      <c r="AX16" s="51">
        <v>52502515.195828319</v>
      </c>
      <c r="AY16" s="51">
        <v>57343356.236548126</v>
      </c>
      <c r="AZ16" s="51">
        <v>55043409.980835378</v>
      </c>
      <c r="BA16" s="51">
        <v>35438707.921027862</v>
      </c>
      <c r="BB16" s="51">
        <v>49044480.373575076</v>
      </c>
      <c r="BC16" s="51">
        <v>43203132.099987075</v>
      </c>
      <c r="BD16" s="51">
        <v>53947427.636326179</v>
      </c>
      <c r="BE16" s="51">
        <v>54486901.91268944</v>
      </c>
      <c r="BF16" s="51">
        <v>55031770.931816339</v>
      </c>
      <c r="BG16" s="51">
        <v>55582088.641134501</v>
      </c>
      <c r="BH16" s="51">
        <v>56137909.527545854</v>
      </c>
      <c r="BI16" s="51">
        <v>56699288.622821316</v>
      </c>
    </row>
    <row r="17" spans="1:61" x14ac:dyDescent="0.25">
      <c r="A17" s="48" t="s">
        <v>14</v>
      </c>
      <c r="B17" s="48" t="s">
        <v>136</v>
      </c>
      <c r="C17" s="49" t="s">
        <v>41</v>
      </c>
      <c r="D17" s="49" t="str">
        <f>VLOOKUP(A17,PARAMETER!D:E,2,0)</f>
        <v>NINA</v>
      </c>
      <c r="E17" s="49" t="str">
        <f t="shared" si="1"/>
        <v>NINAVOL</v>
      </c>
      <c r="F17" s="49" t="str">
        <f t="shared" si="0"/>
        <v>HOKKAIDO BAKED CHEESEVOL</v>
      </c>
      <c r="G17" s="50">
        <f t="shared" si="2"/>
        <v>2000000000.0000005</v>
      </c>
      <c r="H17" s="50">
        <f>SUMIF(I$1:BI$1,"&lt;="&amp;PARAMETER!X$2,I17:BI17)</f>
        <v>411050950.96816236</v>
      </c>
      <c r="I17" s="51">
        <v>37303302.956596993</v>
      </c>
      <c r="J17" s="51">
        <v>20411340.233878791</v>
      </c>
      <c r="K17" s="51">
        <v>19093318.72457397</v>
      </c>
      <c r="L17" s="51">
        <v>18342938.197372049</v>
      </c>
      <c r="M17" s="51">
        <v>21291820.85630279</v>
      </c>
      <c r="N17" s="51">
        <v>38761077.648498684</v>
      </c>
      <c r="O17" s="51">
        <v>24622716.860884592</v>
      </c>
      <c r="P17" s="51">
        <v>21733733.955069475</v>
      </c>
      <c r="Q17" s="51">
        <v>54184033.912756912</v>
      </c>
      <c r="R17" s="51">
        <v>67698473.310068905</v>
      </c>
      <c r="S17" s="51">
        <v>87608194.312159196</v>
      </c>
      <c r="T17" s="51">
        <v>113872223.30494271</v>
      </c>
      <c r="U17" s="51">
        <v>172837478.49364349</v>
      </c>
      <c r="V17" s="51">
        <v>102694270.5249134</v>
      </c>
      <c r="W17" s="51">
        <v>59396412.01583723</v>
      </c>
      <c r="X17" s="51">
        <v>75758199.694884583</v>
      </c>
      <c r="Y17" s="51">
        <v>72367834.404186428</v>
      </c>
      <c r="Z17" s="51">
        <v>74579291.971587762</v>
      </c>
      <c r="AA17" s="51">
        <v>60767922.201756038</v>
      </c>
      <c r="AB17" s="51">
        <v>50998756.428776629</v>
      </c>
      <c r="AC17" s="51">
        <v>33277948.410699259</v>
      </c>
      <c r="AD17" s="51">
        <v>37036695.291885488</v>
      </c>
      <c r="AE17" s="51">
        <v>38786395.952300772</v>
      </c>
      <c r="AF17" s="51">
        <v>23918405.30819004</v>
      </c>
      <c r="AG17" s="51">
        <v>36157105.321893029</v>
      </c>
      <c r="AH17" s="51">
        <v>42051039.663572751</v>
      </c>
      <c r="AI17" s="51">
        <v>32199818.595394094</v>
      </c>
      <c r="AJ17" s="51">
        <v>20030180.617757656</v>
      </c>
      <c r="AK17" s="51">
        <v>41524122.840829402</v>
      </c>
      <c r="AL17" s="51">
        <v>28124816.255208477</v>
      </c>
      <c r="AM17" s="51">
        <v>34940008.511627726</v>
      </c>
      <c r="AN17" s="51">
        <v>41042359.124521755</v>
      </c>
      <c r="AO17" s="51">
        <v>98235601.413531423</v>
      </c>
      <c r="AP17" s="51">
        <v>25235406.484628394</v>
      </c>
      <c r="AQ17" s="51">
        <v>18198694.829715881</v>
      </c>
      <c r="AR17" s="51">
        <v>17223814.955693137</v>
      </c>
      <c r="AS17" s="51">
        <v>26665893.351122554</v>
      </c>
      <c r="AT17" s="51">
        <v>22714172.076622508</v>
      </c>
      <c r="AU17" s="51">
        <v>12921269.380700244</v>
      </c>
      <c r="AV17" s="51">
        <v>16517302.437839145</v>
      </c>
      <c r="AW17" s="51">
        <v>6217737.3821034944</v>
      </c>
      <c r="AX17" s="51">
        <v>17918078.075798098</v>
      </c>
      <c r="AY17" s="51">
        <v>16546207.666448945</v>
      </c>
      <c r="AZ17" s="51">
        <v>10748894.254374649</v>
      </c>
      <c r="BA17" s="51">
        <v>19146650.703995749</v>
      </c>
      <c r="BB17" s="51">
        <v>21293734.543276519</v>
      </c>
      <c r="BC17" s="51">
        <v>17671045.852850348</v>
      </c>
      <c r="BD17" s="51">
        <v>8019040.9494748842</v>
      </c>
      <c r="BE17" s="51">
        <v>8099231.3589696316</v>
      </c>
      <c r="BF17" s="51">
        <v>8180223.6725593284</v>
      </c>
      <c r="BG17" s="51">
        <v>8262025.9092849204</v>
      </c>
      <c r="BH17" s="51">
        <v>8344646.1683777692</v>
      </c>
      <c r="BI17" s="51">
        <v>8428092.6300615482</v>
      </c>
    </row>
    <row r="18" spans="1:61" x14ac:dyDescent="0.25">
      <c r="A18" s="48" t="s">
        <v>15</v>
      </c>
      <c r="B18" s="48" t="s">
        <v>136</v>
      </c>
      <c r="C18" s="49" t="s">
        <v>41</v>
      </c>
      <c r="D18" s="49" t="str">
        <f>VLOOKUP(A18,PARAMETER!D:E,2,0)</f>
        <v>NINA</v>
      </c>
      <c r="E18" s="49" t="str">
        <f t="shared" si="1"/>
        <v>NINAVOL</v>
      </c>
      <c r="F18" s="49" t="str">
        <f t="shared" si="0"/>
        <v>HOP HOPVOL</v>
      </c>
      <c r="G18" s="50">
        <f t="shared" si="2"/>
        <v>3500000000</v>
      </c>
      <c r="H18" s="50">
        <f>SUMIF(I$1:BI$1,"&lt;="&amp;PARAMETER!X$2,I18:BI18)</f>
        <v>470350974.34612155</v>
      </c>
      <c r="I18" s="51">
        <v>943486.14611788036</v>
      </c>
      <c r="J18" s="51">
        <v>579300.49371637846</v>
      </c>
      <c r="K18" s="51">
        <v>2681387.6272670161</v>
      </c>
      <c r="L18" s="51">
        <v>8076241.4107690556</v>
      </c>
      <c r="M18" s="51">
        <v>26496864.927574553</v>
      </c>
      <c r="N18" s="51">
        <v>87818157.315664858</v>
      </c>
      <c r="O18" s="51">
        <v>64190552.637689196</v>
      </c>
      <c r="P18" s="51">
        <v>64166117.289990887</v>
      </c>
      <c r="Q18" s="51">
        <v>40191338.958314374</v>
      </c>
      <c r="R18" s="51">
        <v>45755306.029105023</v>
      </c>
      <c r="S18" s="51">
        <v>129452221.50991237</v>
      </c>
      <c r="T18" s="51">
        <v>109948687.23826027</v>
      </c>
      <c r="U18" s="51">
        <v>127551446.01535891</v>
      </c>
      <c r="V18" s="51">
        <v>98497915.724631086</v>
      </c>
      <c r="W18" s="51">
        <v>78194248.591902271</v>
      </c>
      <c r="X18" s="51">
        <v>94886487.572314531</v>
      </c>
      <c r="Y18" s="51">
        <v>79587773.855773792</v>
      </c>
      <c r="Z18" s="51">
        <v>79648156.969125345</v>
      </c>
      <c r="AA18" s="51">
        <v>102222008.38811404</v>
      </c>
      <c r="AB18" s="51">
        <v>102688447.1820595</v>
      </c>
      <c r="AC18" s="51">
        <v>84996779.931467608</v>
      </c>
      <c r="AD18" s="51">
        <v>74694880.176132411</v>
      </c>
      <c r="AE18" s="51">
        <v>101435976.87097719</v>
      </c>
      <c r="AF18" s="51">
        <v>82647738.129629046</v>
      </c>
      <c r="AG18" s="51">
        <v>73501378.692668617</v>
      </c>
      <c r="AH18" s="51">
        <v>88832522.858509853</v>
      </c>
      <c r="AI18" s="51">
        <v>58900896.61599315</v>
      </c>
      <c r="AJ18" s="51">
        <v>58665025.079463683</v>
      </c>
      <c r="AK18" s="51">
        <v>101379585.64750987</v>
      </c>
      <c r="AL18" s="51">
        <v>54850888.928653687</v>
      </c>
      <c r="AM18" s="51">
        <v>61642384.310767882</v>
      </c>
      <c r="AN18" s="51">
        <v>42091825.746107124</v>
      </c>
      <c r="AO18" s="51">
        <v>109814969.77722943</v>
      </c>
      <c r="AP18" s="51">
        <v>47549814.792048939</v>
      </c>
      <c r="AQ18" s="51">
        <v>64541058.684458129</v>
      </c>
      <c r="AR18" s="51">
        <v>61643139.099684775</v>
      </c>
      <c r="AS18" s="51">
        <v>98849607.733485714</v>
      </c>
      <c r="AT18" s="51">
        <v>72232993.657273591</v>
      </c>
      <c r="AU18" s="51">
        <v>70432187.124304324</v>
      </c>
      <c r="AV18" s="51">
        <v>57201678.066834852</v>
      </c>
      <c r="AW18" s="51">
        <v>71531345.654073223</v>
      </c>
      <c r="AX18" s="51">
        <v>59156582.305077247</v>
      </c>
      <c r="AY18" s="51">
        <v>88760346.168331832</v>
      </c>
      <c r="AZ18" s="51">
        <v>50517079.665075816</v>
      </c>
      <c r="BA18" s="51">
        <v>48925417.593088806</v>
      </c>
      <c r="BB18" s="51">
        <v>58136588.867370673</v>
      </c>
      <c r="BC18" s="51">
        <v>56236965.369401619</v>
      </c>
      <c r="BD18" s="51">
        <v>41816249.482090577</v>
      </c>
      <c r="BE18" s="51">
        <v>42234411.976911485</v>
      </c>
      <c r="BF18" s="51">
        <v>42656756.096680596</v>
      </c>
      <c r="BG18" s="51">
        <v>43083323.657647401</v>
      </c>
      <c r="BH18" s="51">
        <v>43514156.894223884</v>
      </c>
      <c r="BI18" s="51">
        <v>43949298.463166118</v>
      </c>
    </row>
    <row r="19" spans="1:61" x14ac:dyDescent="0.25">
      <c r="A19" s="48" t="s">
        <v>16</v>
      </c>
      <c r="B19" s="48" t="s">
        <v>136</v>
      </c>
      <c r="C19" s="49" t="s">
        <v>41</v>
      </c>
      <c r="D19" s="49" t="str">
        <f>VLOOKUP(A19,PARAMETER!D:E,2,0)</f>
        <v>ADISTI</v>
      </c>
      <c r="E19" s="49" t="str">
        <f t="shared" si="1"/>
        <v>ADISTIVOL</v>
      </c>
      <c r="F19" s="49" t="str">
        <f t="shared" si="0"/>
        <v>IKEAVOL</v>
      </c>
      <c r="G19" s="50">
        <f t="shared" si="2"/>
        <v>199999999.99999997</v>
      </c>
      <c r="H19" s="50">
        <f>SUMIF(I$1:BI$1,"&lt;="&amp;PARAMETER!X$2,I19:BI19)</f>
        <v>35578924.529981144</v>
      </c>
      <c r="I19" s="51">
        <v>13389836.725849418</v>
      </c>
      <c r="J19" s="51">
        <v>1544461.8151977786</v>
      </c>
      <c r="K19" s="51">
        <v>4395732.9552475587</v>
      </c>
      <c r="L19" s="51">
        <v>2725767.9028871595</v>
      </c>
      <c r="M19" s="51">
        <v>3347715.2725079861</v>
      </c>
      <c r="N19" s="51">
        <v>1656210.6351095869</v>
      </c>
      <c r="O19" s="51">
        <v>2128628.7712867549</v>
      </c>
      <c r="P19" s="51">
        <v>2093986.6371140943</v>
      </c>
      <c r="Q19" s="51">
        <v>2659528.7898844355</v>
      </c>
      <c r="R19" s="51">
        <v>467296.31526454352</v>
      </c>
      <c r="S19" s="51">
        <v>1169758.7096318274</v>
      </c>
      <c r="T19" s="51">
        <v>5608766.395390233</v>
      </c>
      <c r="U19" s="51">
        <v>6091390.9237860134</v>
      </c>
      <c r="V19" s="51">
        <v>2550666.8144870158</v>
      </c>
      <c r="W19" s="51">
        <v>2638669.0101675647</v>
      </c>
      <c r="X19" s="51">
        <v>12990930.688370902</v>
      </c>
      <c r="Y19" s="51">
        <v>2622279.1832471658</v>
      </c>
      <c r="Z19" s="51">
        <v>18302128.601139307</v>
      </c>
      <c r="AA19" s="51">
        <v>27240357.961785268</v>
      </c>
      <c r="AB19" s="51">
        <v>663881.11429273221</v>
      </c>
      <c r="AC19" s="51">
        <v>737262.83936815278</v>
      </c>
      <c r="AD19" s="51">
        <v>306098.64254176058</v>
      </c>
      <c r="AE19" s="51">
        <v>7638963.0811380036</v>
      </c>
      <c r="AF19" s="51">
        <v>1121865.0278979584</v>
      </c>
      <c r="AG19" s="51">
        <v>390282.75354198919</v>
      </c>
      <c r="AH19" s="51">
        <v>4268432.4245646903</v>
      </c>
      <c r="AI19" s="51">
        <v>365046.14504523925</v>
      </c>
      <c r="AJ19" s="51">
        <v>2894573.8077656045</v>
      </c>
      <c r="AK19" s="51">
        <v>451092.73637733131</v>
      </c>
      <c r="AL19" s="51">
        <v>1344245.1795224561</v>
      </c>
      <c r="AM19" s="51">
        <v>2538374.4442967172</v>
      </c>
      <c r="AN19" s="51">
        <v>947536.86883553804</v>
      </c>
      <c r="AO19" s="51">
        <v>2403344.6202366157</v>
      </c>
      <c r="AP19" s="51">
        <v>435634.14962286456</v>
      </c>
      <c r="AQ19" s="51">
        <v>2033083.530262159</v>
      </c>
      <c r="AR19" s="51">
        <v>4186958.2224473227</v>
      </c>
      <c r="AS19" s="51">
        <v>1398163.9851299035</v>
      </c>
      <c r="AT19" s="51">
        <v>7716442.2629435239</v>
      </c>
      <c r="AU19" s="51">
        <v>8465159.3563526366</v>
      </c>
      <c r="AV19" s="51">
        <v>422317.41525004077</v>
      </c>
      <c r="AW19" s="51">
        <v>3566305.2766571417</v>
      </c>
      <c r="AX19" s="51">
        <v>1521646.4311324512</v>
      </c>
      <c r="AY19" s="51">
        <v>1871699.6095061896</v>
      </c>
      <c r="AZ19" s="51">
        <v>969793.50880130648</v>
      </c>
      <c r="BA19" s="51">
        <v>6454937.7721641017</v>
      </c>
      <c r="BB19" s="51">
        <v>1285809.8591102399</v>
      </c>
      <c r="BC19" s="51">
        <v>2694822.7921732483</v>
      </c>
      <c r="BD19" s="51">
        <v>2809179.084549665</v>
      </c>
      <c r="BE19" s="51">
        <v>2837270.8753951616</v>
      </c>
      <c r="BF19" s="51">
        <v>2865643.5841491134</v>
      </c>
      <c r="BG19" s="51">
        <v>2894300.0199906044</v>
      </c>
      <c r="BH19" s="51">
        <v>2923243.0201905104</v>
      </c>
      <c r="BI19" s="51">
        <v>2952475.4503924157</v>
      </c>
    </row>
    <row r="20" spans="1:61" x14ac:dyDescent="0.25">
      <c r="A20" s="48" t="s">
        <v>17</v>
      </c>
      <c r="B20" s="48" t="s">
        <v>136</v>
      </c>
      <c r="C20" s="49" t="s">
        <v>41</v>
      </c>
      <c r="D20" s="49" t="str">
        <f>VLOOKUP(A20,PARAMETER!D:E,2,0)</f>
        <v>ADISTI</v>
      </c>
      <c r="E20" s="49" t="str">
        <f t="shared" si="1"/>
        <v>ADISTIVOL</v>
      </c>
      <c r="F20" s="49" t="str">
        <f t="shared" si="0"/>
        <v>INDOMARETVOL</v>
      </c>
      <c r="G20" s="50">
        <f t="shared" si="2"/>
        <v>160000000000.00003</v>
      </c>
      <c r="H20" s="50">
        <f>SUMIF(I$1:BI$1,"&lt;="&amp;PARAMETER!X$2,I20:BI20)</f>
        <v>34890552792.315918</v>
      </c>
      <c r="I20" s="51">
        <v>3363669777.1314301</v>
      </c>
      <c r="J20" s="51">
        <v>2800633679.7787647</v>
      </c>
      <c r="K20" s="51">
        <v>2823283388.9232755</v>
      </c>
      <c r="L20" s="51">
        <v>3424634699.8989339</v>
      </c>
      <c r="M20" s="51">
        <v>3175009241.605989</v>
      </c>
      <c r="N20" s="51">
        <v>2977564256.3694134</v>
      </c>
      <c r="O20" s="51">
        <v>2981282861.0548153</v>
      </c>
      <c r="P20" s="51">
        <v>3001113633.8775859</v>
      </c>
      <c r="Q20" s="51">
        <v>3812080817.1827984</v>
      </c>
      <c r="R20" s="51">
        <v>3110969187.5137358</v>
      </c>
      <c r="S20" s="51">
        <v>3420311248.979177</v>
      </c>
      <c r="T20" s="51">
        <v>4049862359.1637874</v>
      </c>
      <c r="U20" s="51">
        <v>4289348096.415894</v>
      </c>
      <c r="V20" s="51">
        <v>3216575219.3525004</v>
      </c>
      <c r="W20" s="51">
        <v>2713150673.8188105</v>
      </c>
      <c r="X20" s="51">
        <v>2708298927.6688957</v>
      </c>
      <c r="Y20" s="51">
        <v>2836484140.8900056</v>
      </c>
      <c r="Z20" s="51">
        <v>2970285866.2554536</v>
      </c>
      <c r="AA20" s="51">
        <v>2936459750.2236929</v>
      </c>
      <c r="AB20" s="51">
        <v>2780909418.4894009</v>
      </c>
      <c r="AC20" s="51">
        <v>2970750685.5333667</v>
      </c>
      <c r="AD20" s="51">
        <v>1453699343.7647057</v>
      </c>
      <c r="AE20" s="51">
        <v>3321822203.6938605</v>
      </c>
      <c r="AF20" s="51">
        <v>2957315534.9694157</v>
      </c>
      <c r="AG20" s="51">
        <v>3192268422.9167886</v>
      </c>
      <c r="AH20" s="51">
        <v>3622857603.4855251</v>
      </c>
      <c r="AI20" s="51">
        <v>3680244644.2568388</v>
      </c>
      <c r="AJ20" s="51">
        <v>3402420608.5819349</v>
      </c>
      <c r="AK20" s="51">
        <v>3249189565.380199</v>
      </c>
      <c r="AL20" s="51">
        <v>3357912668.9899592</v>
      </c>
      <c r="AM20" s="51">
        <v>3012412882.69241</v>
      </c>
      <c r="AN20" s="51">
        <v>2769170245.3900614</v>
      </c>
      <c r="AO20" s="51">
        <v>3179245244.9291482</v>
      </c>
      <c r="AP20" s="51">
        <v>3090645885.2787266</v>
      </c>
      <c r="AQ20" s="51">
        <v>3520791695.108953</v>
      </c>
      <c r="AR20" s="51">
        <v>3272809458.8402596</v>
      </c>
      <c r="AS20" s="51">
        <v>2989078644.4382234</v>
      </c>
      <c r="AT20" s="51">
        <v>2937016185.0528493</v>
      </c>
      <c r="AU20" s="51">
        <v>3140707046.8062658</v>
      </c>
      <c r="AV20" s="51">
        <v>3386755374.6661963</v>
      </c>
      <c r="AW20" s="51">
        <v>2899782407.4951334</v>
      </c>
      <c r="AX20" s="51">
        <v>2805170237.5109448</v>
      </c>
      <c r="AY20" s="51">
        <v>2885257513.9454794</v>
      </c>
      <c r="AZ20" s="51">
        <v>3152319185.3291655</v>
      </c>
      <c r="BA20" s="51">
        <v>2971464870.2523336</v>
      </c>
      <c r="BB20" s="51">
        <v>2843296427.6266813</v>
      </c>
      <c r="BC20" s="51">
        <v>2949751520.7857718</v>
      </c>
      <c r="BD20" s="51">
        <v>2209668948.2849731</v>
      </c>
      <c r="BE20" s="51">
        <v>2231765637.7678232</v>
      </c>
      <c r="BF20" s="51">
        <v>2254083294.1455016</v>
      </c>
      <c r="BG20" s="51">
        <v>2276624127.0869565</v>
      </c>
      <c r="BH20" s="51">
        <v>2299390368.3578262</v>
      </c>
      <c r="BI20" s="51">
        <v>2322384272.0414042</v>
      </c>
    </row>
    <row r="21" spans="1:61" x14ac:dyDescent="0.25">
      <c r="A21" s="48" t="s">
        <v>18</v>
      </c>
      <c r="B21" s="48" t="s">
        <v>136</v>
      </c>
      <c r="C21" s="49" t="s">
        <v>41</v>
      </c>
      <c r="D21" s="49" t="str">
        <f>VLOOKUP(A21,PARAMETER!D:E,2,0)</f>
        <v>ADISTI</v>
      </c>
      <c r="E21" s="49" t="str">
        <f t="shared" si="1"/>
        <v>ADISTIVOL</v>
      </c>
      <c r="F21" s="49" t="str">
        <f t="shared" si="0"/>
        <v>KAWAN LAMAVOL</v>
      </c>
      <c r="G21" s="50">
        <f t="shared" si="2"/>
        <v>45000000000.000008</v>
      </c>
      <c r="H21" s="50">
        <f>SUMIF(I$1:BI$1,"&lt;="&amp;PARAMETER!X$2,I21:BI21)</f>
        <v>10716031848.581907</v>
      </c>
      <c r="I21" s="51">
        <v>866413374.6688832</v>
      </c>
      <c r="J21" s="51">
        <v>886877753.1314944</v>
      </c>
      <c r="K21" s="51">
        <v>813895531.31240058</v>
      </c>
      <c r="L21" s="51">
        <v>1108192888.9966774</v>
      </c>
      <c r="M21" s="51">
        <v>906550672.25531065</v>
      </c>
      <c r="N21" s="51">
        <v>985894392.71895576</v>
      </c>
      <c r="O21" s="51">
        <v>967263692.05998421</v>
      </c>
      <c r="P21" s="51">
        <v>901135741.56027651</v>
      </c>
      <c r="Q21" s="51">
        <v>972908665.81802797</v>
      </c>
      <c r="R21" s="51">
        <v>1037783402.3293742</v>
      </c>
      <c r="S21" s="51">
        <v>1269115733.7305219</v>
      </c>
      <c r="T21" s="51">
        <v>1321925487.376528</v>
      </c>
      <c r="U21" s="51">
        <v>1116334686.2465634</v>
      </c>
      <c r="V21" s="51">
        <v>1203454993.2376513</v>
      </c>
      <c r="W21" s="51">
        <v>867903254.05817461</v>
      </c>
      <c r="X21" s="51">
        <v>1095906441.0538626</v>
      </c>
      <c r="Y21" s="51">
        <v>673774822.75948167</v>
      </c>
      <c r="Z21" s="51">
        <v>711823868.23977757</v>
      </c>
      <c r="AA21" s="51">
        <v>550180820.22740984</v>
      </c>
      <c r="AB21" s="51">
        <v>900487783.87260723</v>
      </c>
      <c r="AC21" s="51">
        <v>515187188.8688817</v>
      </c>
      <c r="AD21" s="51">
        <v>329049796.20058036</v>
      </c>
      <c r="AE21" s="51">
        <v>819605586.11483979</v>
      </c>
      <c r="AF21" s="51">
        <v>737482224.95347488</v>
      </c>
      <c r="AG21" s="51">
        <v>622646285.26989353</v>
      </c>
      <c r="AH21" s="51">
        <v>796093176.19262719</v>
      </c>
      <c r="AI21" s="51">
        <v>867749137.4426192</v>
      </c>
      <c r="AJ21" s="51">
        <v>963027373.61990011</v>
      </c>
      <c r="AK21" s="51">
        <v>1009811707.9577849</v>
      </c>
      <c r="AL21" s="51">
        <v>762019961.07997942</v>
      </c>
      <c r="AM21" s="51">
        <v>758020812.0483073</v>
      </c>
      <c r="AN21" s="51">
        <v>795141654.42873716</v>
      </c>
      <c r="AO21" s="51">
        <v>1152613302.5492141</v>
      </c>
      <c r="AP21" s="51">
        <v>918714419.63819695</v>
      </c>
      <c r="AQ21" s="51">
        <v>936398287.40484285</v>
      </c>
      <c r="AR21" s="51">
        <v>1290841479.0262434</v>
      </c>
      <c r="AS21" s="51">
        <v>1078654225.5045695</v>
      </c>
      <c r="AT21" s="51">
        <v>928166736.1574837</v>
      </c>
      <c r="AU21" s="51">
        <v>1233557893.7222362</v>
      </c>
      <c r="AV21" s="51">
        <v>911438991.53355074</v>
      </c>
      <c r="AW21" s="51">
        <v>842712249.06490982</v>
      </c>
      <c r="AX21" s="51">
        <v>955104843.03832459</v>
      </c>
      <c r="AY21" s="51">
        <v>495944846.17138684</v>
      </c>
      <c r="AZ21" s="51">
        <v>659603878.51777351</v>
      </c>
      <c r="BA21" s="51">
        <v>640651584.11638999</v>
      </c>
      <c r="BB21" s="51">
        <v>857627146.55141163</v>
      </c>
      <c r="BC21" s="51">
        <v>527045786.2155726</v>
      </c>
      <c r="BD21" s="51">
        <v>558721880.12823725</v>
      </c>
      <c r="BE21" s="51">
        <v>564309098.92951965</v>
      </c>
      <c r="BF21" s="51">
        <v>569952189.9188149</v>
      </c>
      <c r="BG21" s="51">
        <v>575651711.81800294</v>
      </c>
      <c r="BH21" s="51">
        <v>581408228.93618309</v>
      </c>
      <c r="BI21" s="51">
        <v>587222311.22554493</v>
      </c>
    </row>
    <row r="22" spans="1:61" x14ac:dyDescent="0.25">
      <c r="A22" s="48" t="s">
        <v>19</v>
      </c>
      <c r="B22" s="48" t="s">
        <v>136</v>
      </c>
      <c r="C22" s="49" t="s">
        <v>41</v>
      </c>
      <c r="D22" s="49" t="str">
        <f>VLOOKUP(A22,PARAMETER!D:E,2,0)</f>
        <v>RIFALDI</v>
      </c>
      <c r="E22" s="49" t="str">
        <f t="shared" si="1"/>
        <v>RIFALDIVOL</v>
      </c>
      <c r="F22" s="49" t="str">
        <f t="shared" si="0"/>
        <v>KCICVOL</v>
      </c>
      <c r="G22" s="50">
        <f t="shared" si="2"/>
        <v>30000000000.000008</v>
      </c>
      <c r="H22" s="50">
        <f>SUMIF(I$1:BI$1,"&lt;="&amp;PARAMETER!X$2,I22:BI22)</f>
        <v>4950530040.7098923</v>
      </c>
      <c r="I22" s="51">
        <v>373140339.27437246</v>
      </c>
      <c r="J22" s="51">
        <v>379864606.7648927</v>
      </c>
      <c r="K22" s="51">
        <v>524379851.36157745</v>
      </c>
      <c r="L22" s="51">
        <v>491012792.93172711</v>
      </c>
      <c r="M22" s="51">
        <v>503754997.29401535</v>
      </c>
      <c r="N22" s="51">
        <v>616005059.22610307</v>
      </c>
      <c r="O22" s="51">
        <v>595351951.93379104</v>
      </c>
      <c r="P22" s="51">
        <v>482960623.87795287</v>
      </c>
      <c r="Q22" s="51">
        <v>315899305.9307003</v>
      </c>
      <c r="R22" s="51">
        <v>335083245.536008</v>
      </c>
      <c r="S22" s="51">
        <v>333077266.57875198</v>
      </c>
      <c r="T22" s="51">
        <v>259195083.85727969</v>
      </c>
      <c r="U22" s="51">
        <v>270270347.95931304</v>
      </c>
      <c r="V22" s="51">
        <v>345084887.09753811</v>
      </c>
      <c r="W22" s="51">
        <v>354945262.53531778</v>
      </c>
      <c r="X22" s="51">
        <v>486831324.70974642</v>
      </c>
      <c r="Y22" s="51">
        <v>492481960.61873156</v>
      </c>
      <c r="Z22" s="51">
        <v>488272230.13096887</v>
      </c>
      <c r="AA22" s="51">
        <v>523221469.146824</v>
      </c>
      <c r="AB22" s="51">
        <v>476518888.63493353</v>
      </c>
      <c r="AC22" s="51">
        <v>382492156.66665059</v>
      </c>
      <c r="AD22" s="51">
        <v>167739395.34125459</v>
      </c>
      <c r="AE22" s="51">
        <v>405518534.8379699</v>
      </c>
      <c r="AF22" s="51">
        <v>559244330.70318234</v>
      </c>
      <c r="AG22" s="51">
        <v>539947378.19887424</v>
      </c>
      <c r="AH22" s="51">
        <v>556828114.92255509</v>
      </c>
      <c r="AI22" s="51">
        <v>645021121.04444039</v>
      </c>
      <c r="AJ22" s="51">
        <v>680535424.55529714</v>
      </c>
      <c r="AK22" s="51">
        <v>608755281.75523126</v>
      </c>
      <c r="AL22" s="51">
        <v>607122245.36467636</v>
      </c>
      <c r="AM22" s="51">
        <v>532234247.8421011</v>
      </c>
      <c r="AN22" s="51">
        <v>560430966.14268589</v>
      </c>
      <c r="AO22" s="51">
        <v>717592354.13750863</v>
      </c>
      <c r="AP22" s="51">
        <v>662119972.6631918</v>
      </c>
      <c r="AQ22" s="51">
        <v>674008929.63802755</v>
      </c>
      <c r="AR22" s="51">
        <v>609902362.68008471</v>
      </c>
      <c r="AS22" s="51">
        <v>770889237.30606902</v>
      </c>
      <c r="AT22" s="51">
        <v>773138193.99617577</v>
      </c>
      <c r="AU22" s="51">
        <v>616807450.8090055</v>
      </c>
      <c r="AV22" s="51">
        <v>1569873481.3036225</v>
      </c>
      <c r="AW22" s="51">
        <v>1598929097.63661</v>
      </c>
      <c r="AX22" s="51">
        <v>841269150.28752077</v>
      </c>
      <c r="AY22" s="51">
        <v>599188739.85485256</v>
      </c>
      <c r="AZ22" s="51">
        <v>563211083.45809436</v>
      </c>
      <c r="BA22" s="51">
        <v>574773433.15481901</v>
      </c>
      <c r="BB22" s="51">
        <v>660379574.01858664</v>
      </c>
      <c r="BC22" s="51">
        <v>587034202.56736588</v>
      </c>
      <c r="BD22" s="51">
        <v>534404095.50290763</v>
      </c>
      <c r="BE22" s="51">
        <v>539748136.45793676</v>
      </c>
      <c r="BF22" s="51">
        <v>545145617.82251608</v>
      </c>
      <c r="BG22" s="51">
        <v>550597074.00074124</v>
      </c>
      <c r="BH22" s="51">
        <v>556103044.74074864</v>
      </c>
      <c r="BI22" s="51">
        <v>561664075.18815613</v>
      </c>
    </row>
    <row r="23" spans="1:61" x14ac:dyDescent="0.25">
      <c r="A23" s="48" t="s">
        <v>20</v>
      </c>
      <c r="B23" s="48" t="s">
        <v>136</v>
      </c>
      <c r="C23" s="49" t="s">
        <v>41</v>
      </c>
      <c r="D23" s="49" t="e">
        <f>VLOOKUP(A23,PARAMETER!D:E,2,0)</f>
        <v>#N/A</v>
      </c>
      <c r="E23" s="49" t="e">
        <f t="shared" si="1"/>
        <v>#N/A</v>
      </c>
      <c r="F23" s="49" t="str">
        <f t="shared" si="0"/>
        <v>KIMIA FARMAVOL</v>
      </c>
      <c r="G23" s="50">
        <f t="shared" si="2"/>
        <v>0</v>
      </c>
      <c r="H23" s="50">
        <f>SUMIF(I$1:BI$1,"&lt;="&amp;PARAMETER!X$2,I23:BI23)</f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</row>
    <row r="24" spans="1:61" x14ac:dyDescent="0.25">
      <c r="A24" s="48" t="s">
        <v>47</v>
      </c>
      <c r="B24" s="48" t="s">
        <v>136</v>
      </c>
      <c r="C24" s="49" t="s">
        <v>41</v>
      </c>
      <c r="D24" s="49" t="str">
        <f>VLOOKUP(A24,PARAMETER!D:E,2,0)</f>
        <v>ADISTI</v>
      </c>
      <c r="E24" s="49" t="str">
        <f t="shared" si="1"/>
        <v>ADISTIVOL</v>
      </c>
      <c r="F24" s="49" t="str">
        <f t="shared" si="0"/>
        <v>LOTTE GROUPVOL</v>
      </c>
      <c r="G24" s="50">
        <f t="shared" si="2"/>
        <v>3000000000.0000005</v>
      </c>
      <c r="H24" s="50">
        <f>SUMIF(I$1:BI$1,"&lt;="&amp;PARAMETER!X$2,I24:BI24)</f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955598.59142054722</v>
      </c>
      <c r="AJ24" s="51">
        <v>25591876.941273548</v>
      </c>
      <c r="AK24" s="51">
        <v>74750085.751048863</v>
      </c>
      <c r="AL24" s="51">
        <v>118939432.30877839</v>
      </c>
      <c r="AM24" s="51">
        <v>113719670.79357125</v>
      </c>
      <c r="AN24" s="51">
        <v>121267757.06023587</v>
      </c>
      <c r="AO24" s="51">
        <v>111644148.0124002</v>
      </c>
      <c r="AP24" s="51">
        <v>116525217.84652059</v>
      </c>
      <c r="AQ24" s="51">
        <v>105219991.53140384</v>
      </c>
      <c r="AR24" s="51">
        <v>113500707.37537378</v>
      </c>
      <c r="AS24" s="51">
        <v>150681751.64547461</v>
      </c>
      <c r="AT24" s="51">
        <v>122397476.41374208</v>
      </c>
      <c r="AU24" s="51">
        <v>146765441.65791634</v>
      </c>
      <c r="AV24" s="51">
        <v>128563099.25229245</v>
      </c>
      <c r="AW24" s="51">
        <v>105155551.67880183</v>
      </c>
      <c r="AX24" s="51">
        <v>150452950.868366</v>
      </c>
      <c r="AY24" s="51">
        <v>157606399.58425802</v>
      </c>
      <c r="AZ24" s="51">
        <v>192193989.27825081</v>
      </c>
      <c r="BA24" s="51">
        <v>105891097.62824522</v>
      </c>
      <c r="BB24" s="51">
        <v>115125724.25741854</v>
      </c>
      <c r="BC24" s="51">
        <v>118457151.49504845</v>
      </c>
      <c r="BD24" s="51">
        <v>98275910.270338506</v>
      </c>
      <c r="BE24" s="51">
        <v>99258669.373041898</v>
      </c>
      <c r="BF24" s="51">
        <v>100251256.06677231</v>
      </c>
      <c r="BG24" s="51">
        <v>101253768.62744004</v>
      </c>
      <c r="BH24" s="51">
        <v>102266306.31371444</v>
      </c>
      <c r="BI24" s="51">
        <v>103288969.3768516</v>
      </c>
    </row>
    <row r="25" spans="1:61" x14ac:dyDescent="0.25">
      <c r="A25" s="48" t="s">
        <v>48</v>
      </c>
      <c r="B25" s="48" t="s">
        <v>136</v>
      </c>
      <c r="C25" s="49" t="s">
        <v>41</v>
      </c>
      <c r="D25" s="49" t="str">
        <f>VLOOKUP(A25,PARAMETER!D:E,2,0)</f>
        <v>NINA</v>
      </c>
      <c r="E25" s="49" t="str">
        <f t="shared" si="1"/>
        <v>NINAVOL</v>
      </c>
      <c r="F25" s="49" t="str">
        <f t="shared" si="0"/>
        <v>MAMA ROZVOL</v>
      </c>
      <c r="G25" s="50">
        <f t="shared" si="2"/>
        <v>150000000</v>
      </c>
      <c r="H25" s="50">
        <f>SUMIF(I$1:BI$1,"&lt;="&amp;PARAMETER!X$2,I25:BI25)</f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17973521.037101194</v>
      </c>
      <c r="AP25" s="51">
        <v>16857474.733561631</v>
      </c>
      <c r="AQ25" s="51">
        <v>11546940.469517801</v>
      </c>
      <c r="AR25" s="51">
        <v>7625422.0657886853</v>
      </c>
      <c r="AS25" s="51">
        <v>9355178.8338044826</v>
      </c>
      <c r="AT25" s="51">
        <v>11810479.384769334</v>
      </c>
      <c r="AU25" s="51">
        <v>7015216.5430190424</v>
      </c>
      <c r="AV25" s="51">
        <v>6191928.341588065</v>
      </c>
      <c r="AW25" s="51">
        <v>12187331.946096126</v>
      </c>
      <c r="AX25" s="51">
        <v>7256633.942972145</v>
      </c>
      <c r="AY25" s="51">
        <v>8391668.8223698344</v>
      </c>
      <c r="AZ25" s="51">
        <v>5400068.2962237103</v>
      </c>
      <c r="BA25" s="51">
        <v>5643032.9622401483</v>
      </c>
      <c r="BB25" s="51">
        <v>3617640.8356490554</v>
      </c>
      <c r="BC25" s="51">
        <v>4034216.4354344951</v>
      </c>
      <c r="BD25" s="51">
        <v>2453382.3799870424</v>
      </c>
      <c r="BE25" s="51">
        <v>2477916.2037869128</v>
      </c>
      <c r="BF25" s="51">
        <v>2502695.3658247818</v>
      </c>
      <c r="BG25" s="51">
        <v>2527722.3194830292</v>
      </c>
      <c r="BH25" s="51">
        <v>2552999.5426778598</v>
      </c>
      <c r="BI25" s="51">
        <v>2578529.5381046389</v>
      </c>
    </row>
    <row r="26" spans="1:61" x14ac:dyDescent="0.25">
      <c r="A26" s="48" t="s">
        <v>21</v>
      </c>
      <c r="B26" s="48" t="s">
        <v>136</v>
      </c>
      <c r="C26" s="49" t="s">
        <v>41</v>
      </c>
      <c r="D26" s="49" t="str">
        <f>VLOOKUP(A26,PARAMETER!D:E,2,0)</f>
        <v>ADISTI</v>
      </c>
      <c r="E26" s="49" t="str">
        <f t="shared" si="1"/>
        <v>ADISTIVOL</v>
      </c>
      <c r="F26" s="49" t="str">
        <f t="shared" si="0"/>
        <v>MAP GROUPVOL</v>
      </c>
      <c r="G26" s="50">
        <f t="shared" si="2"/>
        <v>150000000000</v>
      </c>
      <c r="H26" s="50">
        <f>SUMIF(I$1:BI$1,"&lt;="&amp;PARAMETER!X$2,I26:BI26)</f>
        <v>493077.51146819454</v>
      </c>
      <c r="I26" s="51">
        <v>88858.741656028738</v>
      </c>
      <c r="J26" s="51">
        <v>35472.692884199518</v>
      </c>
      <c r="K26" s="51">
        <v>0</v>
      </c>
      <c r="L26" s="51">
        <v>172902.82639364319</v>
      </c>
      <c r="M26" s="51">
        <v>0</v>
      </c>
      <c r="N26" s="51">
        <v>86593.020753245539</v>
      </c>
      <c r="O26" s="51">
        <v>0</v>
      </c>
      <c r="P26" s="51">
        <v>50058.271195866393</v>
      </c>
      <c r="Q26" s="51">
        <v>0</v>
      </c>
      <c r="R26" s="51">
        <v>59191.958585211178</v>
      </c>
      <c r="S26" s="51">
        <v>0</v>
      </c>
      <c r="T26" s="51">
        <v>0</v>
      </c>
      <c r="U26" s="51">
        <v>42553.070705397025</v>
      </c>
      <c r="V26" s="51">
        <v>140120.6770814987</v>
      </c>
      <c r="W26" s="51">
        <v>0</v>
      </c>
      <c r="X26" s="51">
        <v>59404.3699198471</v>
      </c>
      <c r="Y26" s="51">
        <v>111869.96957492064</v>
      </c>
      <c r="Z26" s="51">
        <v>2332276.4543024595</v>
      </c>
      <c r="AA26" s="51">
        <v>93956.613687290956</v>
      </c>
      <c r="AB26" s="51">
        <v>91690.892784507741</v>
      </c>
      <c r="AC26" s="51">
        <v>106842.90132187042</v>
      </c>
      <c r="AD26" s="51">
        <v>0</v>
      </c>
      <c r="AE26" s="51">
        <v>0</v>
      </c>
      <c r="AF26" s="51">
        <v>306934.37854891201</v>
      </c>
      <c r="AG26" s="51">
        <v>235351.75877660522</v>
      </c>
      <c r="AH26" s="51">
        <v>153715.00249819792</v>
      </c>
      <c r="AI26" s="51">
        <v>0</v>
      </c>
      <c r="AJ26" s="51">
        <v>154706.25539316557</v>
      </c>
      <c r="AK26" s="51">
        <v>0</v>
      </c>
      <c r="AL26" s="51">
        <v>82061.578947679125</v>
      </c>
      <c r="AM26" s="51">
        <v>102311.45951630401</v>
      </c>
      <c r="AN26" s="51">
        <v>43632193.213239089</v>
      </c>
      <c r="AO26" s="51">
        <v>65005730.450125791</v>
      </c>
      <c r="AP26" s="51">
        <v>355550606.89487964</v>
      </c>
      <c r="AQ26" s="51">
        <v>210913923.93950254</v>
      </c>
      <c r="AR26" s="51">
        <v>760249059.55975151</v>
      </c>
      <c r="AS26" s="51">
        <v>6099575284.9270592</v>
      </c>
      <c r="AT26" s="51">
        <v>11040361979.50421</v>
      </c>
      <c r="AU26" s="51">
        <v>14879455558.72868</v>
      </c>
      <c r="AV26" s="51">
        <v>11149570558.962755</v>
      </c>
      <c r="AW26" s="51">
        <v>9841427656.1126041</v>
      </c>
      <c r="AX26" s="51">
        <v>8516967315.2437592</v>
      </c>
      <c r="AY26" s="51">
        <v>7892805427.0266695</v>
      </c>
      <c r="AZ26" s="51">
        <v>7764850834.2924585</v>
      </c>
      <c r="BA26" s="51">
        <v>7756329824.7406616</v>
      </c>
      <c r="BB26" s="51">
        <v>8093165056.5707817</v>
      </c>
      <c r="BC26" s="51">
        <v>7597797726.1338902</v>
      </c>
      <c r="BD26" s="51">
        <v>7790591200.2148705</v>
      </c>
      <c r="BE26" s="51">
        <v>7868497112.2170181</v>
      </c>
      <c r="BF26" s="51">
        <v>7947182083.3391895</v>
      </c>
      <c r="BG26" s="51">
        <v>8026653904.1725817</v>
      </c>
      <c r="BH26" s="51">
        <v>8106920443.2143078</v>
      </c>
      <c r="BI26" s="51">
        <v>8187989647.646451</v>
      </c>
    </row>
    <row r="27" spans="1:61" x14ac:dyDescent="0.25">
      <c r="A27" s="48" t="s">
        <v>23</v>
      </c>
      <c r="B27" s="48" t="s">
        <v>136</v>
      </c>
      <c r="C27" s="49" t="s">
        <v>41</v>
      </c>
      <c r="D27" s="49" t="str">
        <f>VLOOKUP(A27,PARAMETER!D:E,2,0)</f>
        <v>ADISTI</v>
      </c>
      <c r="E27" s="49" t="str">
        <f t="shared" si="1"/>
        <v>ADISTIVOL</v>
      </c>
      <c r="F27" s="49" t="str">
        <f t="shared" si="0"/>
        <v>MITRA10VOL</v>
      </c>
      <c r="G27" s="50">
        <f t="shared" si="2"/>
        <v>23000000000</v>
      </c>
      <c r="H27" s="50">
        <f>SUMIF(I$1:BI$1,"&lt;="&amp;PARAMETER!X$2,I27:BI27)</f>
        <v>4899572606.7645912</v>
      </c>
      <c r="I27" s="51">
        <v>499241360.34628743</v>
      </c>
      <c r="J27" s="51">
        <v>334721873.51651448</v>
      </c>
      <c r="K27" s="51">
        <v>310003651.93110955</v>
      </c>
      <c r="L27" s="51">
        <v>477793606.3612228</v>
      </c>
      <c r="M27" s="51">
        <v>443588221.07677764</v>
      </c>
      <c r="N27" s="51">
        <v>391852809.52274454</v>
      </c>
      <c r="O27" s="51">
        <v>488359791.29881912</v>
      </c>
      <c r="P27" s="51">
        <v>607474032.05007732</v>
      </c>
      <c r="Q27" s="51">
        <v>312235808.8760469</v>
      </c>
      <c r="R27" s="51">
        <v>512436307.54764712</v>
      </c>
      <c r="S27" s="51">
        <v>521865144.23734355</v>
      </c>
      <c r="T27" s="51">
        <v>318630090.95177191</v>
      </c>
      <c r="U27" s="51">
        <v>85505805.211411461</v>
      </c>
      <c r="V27" s="51">
        <v>220930462.63027716</v>
      </c>
      <c r="W27" s="51">
        <v>448227488.47761661</v>
      </c>
      <c r="X27" s="51">
        <v>382853424.35732454</v>
      </c>
      <c r="Y27" s="51">
        <v>440844679.62381423</v>
      </c>
      <c r="Z27" s="51">
        <v>352963788.31888872</v>
      </c>
      <c r="AA27" s="51">
        <v>495298206.86105126</v>
      </c>
      <c r="AB27" s="51">
        <v>485727488.5057891</v>
      </c>
      <c r="AC27" s="51">
        <v>548143495.45792305</v>
      </c>
      <c r="AD27" s="51">
        <v>151290440.479186</v>
      </c>
      <c r="AE27" s="51">
        <v>437042099.82623333</v>
      </c>
      <c r="AF27" s="51">
        <v>391968931.54480636</v>
      </c>
      <c r="AG27" s="51">
        <v>618758357.39804566</v>
      </c>
      <c r="AH27" s="51">
        <v>348821447.95915848</v>
      </c>
      <c r="AI27" s="51">
        <v>301984510.90664828</v>
      </c>
      <c r="AJ27" s="51">
        <v>530324409.73907268</v>
      </c>
      <c r="AK27" s="51">
        <v>370695433.97167945</v>
      </c>
      <c r="AL27" s="51">
        <v>519783030.5199964</v>
      </c>
      <c r="AM27" s="51">
        <v>479589819.58858073</v>
      </c>
      <c r="AN27" s="51">
        <v>302789368.60145777</v>
      </c>
      <c r="AO27" s="51">
        <v>654146374.8500526</v>
      </c>
      <c r="AP27" s="51">
        <v>370612525.04929262</v>
      </c>
      <c r="AQ27" s="51">
        <v>715790036.43908334</v>
      </c>
      <c r="AR27" s="51">
        <v>551371394.15586305</v>
      </c>
      <c r="AS27" s="51">
        <v>461606563.38002479</v>
      </c>
      <c r="AT27" s="51">
        <v>368366372.92416078</v>
      </c>
      <c r="AU27" s="51">
        <v>712945784.35595918</v>
      </c>
      <c r="AV27" s="51">
        <v>415344984.34699982</v>
      </c>
      <c r="AW27" s="51">
        <v>584946851.40833843</v>
      </c>
      <c r="AX27" s="51">
        <v>467329667.50611687</v>
      </c>
      <c r="AY27" s="51">
        <v>366859529.17168498</v>
      </c>
      <c r="AZ27" s="51">
        <v>461030451.39290822</v>
      </c>
      <c r="BA27" s="51">
        <v>349272781.05498558</v>
      </c>
      <c r="BB27" s="51">
        <v>537344345.5290519</v>
      </c>
      <c r="BC27" s="51">
        <v>349544834.95694131</v>
      </c>
      <c r="BD27" s="51">
        <v>406654094.85238642</v>
      </c>
      <c r="BE27" s="51">
        <v>410720635.80091029</v>
      </c>
      <c r="BF27" s="51">
        <v>414827842.15891933</v>
      </c>
      <c r="BG27" s="51">
        <v>418976120.58050853</v>
      </c>
      <c r="BH27" s="51">
        <v>423165881.78631359</v>
      </c>
      <c r="BI27" s="51">
        <v>427397540.60417682</v>
      </c>
    </row>
    <row r="28" spans="1:61" x14ac:dyDescent="0.25">
      <c r="A28" s="48" t="s">
        <v>25</v>
      </c>
      <c r="B28" s="48" t="s">
        <v>136</v>
      </c>
      <c r="C28" s="49" t="s">
        <v>41</v>
      </c>
      <c r="D28" s="49" t="str">
        <f>VLOOKUP(A28,PARAMETER!D:E,2,0)</f>
        <v>RIFALDI</v>
      </c>
      <c r="E28" s="49" t="str">
        <f t="shared" si="1"/>
        <v>RIFALDIVOL</v>
      </c>
      <c r="F28" s="49" t="str">
        <f t="shared" si="0"/>
        <v>OPTIK MELAWAIVOL</v>
      </c>
      <c r="G28" s="50">
        <f t="shared" si="2"/>
        <v>15000000000.000004</v>
      </c>
      <c r="H28" s="50">
        <f>SUMIF(I$1:BI$1,"&lt;="&amp;PARAMETER!X$2,I28:BI28)</f>
        <v>11341108551.063614</v>
      </c>
      <c r="I28" s="51">
        <v>1944520013.9852772</v>
      </c>
      <c r="J28" s="51">
        <v>1907472581.963001</v>
      </c>
      <c r="K28" s="51">
        <v>1745523746.3283722</v>
      </c>
      <c r="L28" s="51">
        <v>2188840428.8759742</v>
      </c>
      <c r="M28" s="51">
        <v>1348090533.1026638</v>
      </c>
      <c r="N28" s="51">
        <v>342741794.84746838</v>
      </c>
      <c r="O28" s="51">
        <v>444814592.8434065</v>
      </c>
      <c r="P28" s="51">
        <v>456989675.72634995</v>
      </c>
      <c r="Q28" s="51">
        <v>482747856.84461236</v>
      </c>
      <c r="R28" s="51">
        <v>408123043.16870511</v>
      </c>
      <c r="S28" s="51">
        <v>71244283.377782404</v>
      </c>
      <c r="T28" s="51">
        <v>49753571.362290896</v>
      </c>
      <c r="U28" s="51">
        <v>30852535.877448238</v>
      </c>
      <c r="V28" s="51">
        <v>33799759.613720015</v>
      </c>
      <c r="W28" s="51">
        <v>1423076144.2453551</v>
      </c>
      <c r="X28" s="51">
        <v>58066780.410038836</v>
      </c>
      <c r="Y28" s="51">
        <v>39797683.280138955</v>
      </c>
      <c r="Z28" s="51">
        <v>208484204.97793657</v>
      </c>
      <c r="AA28" s="51">
        <v>69514752.708722606</v>
      </c>
      <c r="AB28" s="51">
        <v>74748615.550722495</v>
      </c>
      <c r="AC28" s="51">
        <v>31220245.923541076</v>
      </c>
      <c r="AD28" s="51">
        <v>40241152.682461977</v>
      </c>
      <c r="AE28" s="51">
        <v>30634496.754639409</v>
      </c>
      <c r="AF28" s="51">
        <v>80746539.21714142</v>
      </c>
      <c r="AG28" s="51">
        <v>46507929.674039252</v>
      </c>
      <c r="AH28" s="51">
        <v>59895162.256665617</v>
      </c>
      <c r="AI28" s="51">
        <v>36483673.392362498</v>
      </c>
      <c r="AJ28" s="51">
        <v>55783831.339295894</v>
      </c>
      <c r="AK28" s="51">
        <v>32303050.380879804</v>
      </c>
      <c r="AL28" s="51">
        <v>40260554.468813613</v>
      </c>
      <c r="AM28" s="51">
        <v>15936257.751395598</v>
      </c>
      <c r="AN28" s="51">
        <v>79448467.320758402</v>
      </c>
      <c r="AO28" s="51">
        <v>52095644.143309385</v>
      </c>
      <c r="AP28" s="51">
        <v>46619720.919208176</v>
      </c>
      <c r="AQ28" s="51">
        <v>66595245.810096011</v>
      </c>
      <c r="AR28" s="51">
        <v>48865708.663056672</v>
      </c>
      <c r="AS28" s="51">
        <v>95624013.770490795</v>
      </c>
      <c r="AT28" s="51">
        <v>39205466.849120073</v>
      </c>
      <c r="AU28" s="51">
        <v>35001746.472933054</v>
      </c>
      <c r="AV28" s="51">
        <v>62219311.482673548</v>
      </c>
      <c r="AW28" s="51">
        <v>72551594.220047161</v>
      </c>
      <c r="AX28" s="51">
        <v>158276077.47826457</v>
      </c>
      <c r="AY28" s="51">
        <v>41601125.516252592</v>
      </c>
      <c r="AZ28" s="51">
        <v>56090564.342569314</v>
      </c>
      <c r="BA28" s="51">
        <v>55873449.114348672</v>
      </c>
      <c r="BB28" s="51">
        <v>47668341.276784502</v>
      </c>
      <c r="BC28" s="51">
        <v>51088599.042200848</v>
      </c>
      <c r="BD28" s="51">
        <v>31202691.926365793</v>
      </c>
      <c r="BE28" s="51">
        <v>31514718.845629446</v>
      </c>
      <c r="BF28" s="51">
        <v>31829866.034085743</v>
      </c>
      <c r="BG28" s="51">
        <v>32148164.6944266</v>
      </c>
      <c r="BH28" s="51">
        <v>32469646.341370869</v>
      </c>
      <c r="BI28" s="51">
        <v>32794342.804784581</v>
      </c>
    </row>
    <row r="29" spans="1:61" x14ac:dyDescent="0.25">
      <c r="A29" s="48" t="s">
        <v>26</v>
      </c>
      <c r="B29" s="48" t="s">
        <v>136</v>
      </c>
      <c r="C29" s="49" t="s">
        <v>41</v>
      </c>
      <c r="D29" s="49" t="str">
        <f>VLOOKUP(A29,PARAMETER!D:E,2,0)</f>
        <v>RIFALDI</v>
      </c>
      <c r="E29" s="49" t="str">
        <f t="shared" si="1"/>
        <v>RIFALDIVOL</v>
      </c>
      <c r="F29" s="49" t="str">
        <f t="shared" si="0"/>
        <v>PATRA JASAVOL</v>
      </c>
      <c r="G29" s="50">
        <f t="shared" si="2"/>
        <v>50000000.000000007</v>
      </c>
      <c r="H29" s="50">
        <f>SUMIF(I$1:BI$1,"&lt;="&amp;PARAMETER!X$2,I29:BI29)</f>
        <v>8741965.545076387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5379671.1046623923</v>
      </c>
      <c r="P29" s="51">
        <v>0</v>
      </c>
      <c r="Q29" s="51">
        <v>3362294.4404139952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1681147.2202069976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1344917.7761655981</v>
      </c>
      <c r="AG29" s="51">
        <v>0</v>
      </c>
      <c r="AH29" s="51">
        <v>7060818.3248693906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5379671.1046623923</v>
      </c>
      <c r="AW29" s="51">
        <v>0</v>
      </c>
      <c r="AX29" s="51">
        <v>0</v>
      </c>
      <c r="AY29" s="51">
        <v>2.2415296269426634</v>
      </c>
      <c r="AZ29" s="51">
        <v>0</v>
      </c>
      <c r="BA29" s="51">
        <v>2947611.4594296026</v>
      </c>
      <c r="BB29" s="51">
        <v>0</v>
      </c>
      <c r="BC29" s="51">
        <v>10759342.209324785</v>
      </c>
      <c r="BD29" s="51">
        <v>1964319.6579786644</v>
      </c>
      <c r="BE29" s="51">
        <v>1983962.8545584509</v>
      </c>
      <c r="BF29" s="51">
        <v>2003802.4831040357</v>
      </c>
      <c r="BG29" s="51">
        <v>2023840.507935076</v>
      </c>
      <c r="BH29" s="51">
        <v>2044078.9130144268</v>
      </c>
      <c r="BI29" s="51">
        <v>2064519.7021445711</v>
      </c>
    </row>
    <row r="30" spans="1:61" x14ac:dyDescent="0.25">
      <c r="A30" s="48" t="s">
        <v>27</v>
      </c>
      <c r="B30" s="48" t="s">
        <v>136</v>
      </c>
      <c r="C30" s="49" t="s">
        <v>41</v>
      </c>
      <c r="D30" s="49" t="str">
        <f>VLOOKUP(A30,PARAMETER!D:E,2,0)</f>
        <v>RIFALDI</v>
      </c>
      <c r="E30" s="49" t="str">
        <f t="shared" si="1"/>
        <v>RIFALDIVOL</v>
      </c>
      <c r="F30" s="49" t="str">
        <f t="shared" si="0"/>
        <v>PERTAMINA RETAILVOL</v>
      </c>
      <c r="G30" s="50">
        <f>SUM(I30:BI30)</f>
        <v>1870000000</v>
      </c>
      <c r="H30" s="50">
        <f>SUMIF(I$1:BI$1,"&lt;="&amp;PARAMETER!X$2,I30:BI30)</f>
        <v>490288303.83891755</v>
      </c>
      <c r="I30" s="51">
        <v>52973900.250807002</v>
      </c>
      <c r="J30" s="51">
        <v>67894116.868623257</v>
      </c>
      <c r="K30" s="51">
        <v>36783720.230990514</v>
      </c>
      <c r="L30" s="51">
        <v>57109587.491661772</v>
      </c>
      <c r="M30" s="51">
        <v>35250820.460467629</v>
      </c>
      <c r="N30" s="51">
        <v>15989710.882432688</v>
      </c>
      <c r="O30" s="51">
        <v>13959127.38757039</v>
      </c>
      <c r="P30" s="51">
        <v>48017942.194012225</v>
      </c>
      <c r="Q30" s="51">
        <v>11624474.001427993</v>
      </c>
      <c r="R30" s="51">
        <v>50152833.297939055</v>
      </c>
      <c r="S30" s="51">
        <v>100532070.77298498</v>
      </c>
      <c r="T30" s="51">
        <v>54228299.5863095</v>
      </c>
      <c r="U30" s="51">
        <v>50461722.243963271</v>
      </c>
      <c r="V30" s="51">
        <v>41535711.181354478</v>
      </c>
      <c r="W30" s="51">
        <v>25786616.533166215</v>
      </c>
      <c r="X30" s="51">
        <v>29946707.084586076</v>
      </c>
      <c r="Y30" s="51">
        <v>46431264.265159704</v>
      </c>
      <c r="Z30" s="51">
        <v>26497107.222390562</v>
      </c>
      <c r="AA30" s="51">
        <v>38715255.533431396</v>
      </c>
      <c r="AB30" s="51">
        <v>15939920.907339547</v>
      </c>
      <c r="AC30" s="51">
        <v>46664635.299857825</v>
      </c>
      <c r="AD30" s="51">
        <v>33034960.92812483</v>
      </c>
      <c r="AE30" s="51">
        <v>29087963.992260039</v>
      </c>
      <c r="AF30" s="51">
        <v>29132685.651156798</v>
      </c>
      <c r="AG30" s="51">
        <v>52298318.01358784</v>
      </c>
      <c r="AH30" s="51">
        <v>32940366.206984177</v>
      </c>
      <c r="AI30" s="51">
        <v>9244691.8293501064</v>
      </c>
      <c r="AJ30" s="51">
        <v>30195511.557537943</v>
      </c>
      <c r="AK30" s="51">
        <v>6007200.9999731518</v>
      </c>
      <c r="AL30" s="51">
        <v>6441065.4838135364</v>
      </c>
      <c r="AM30" s="51">
        <v>0</v>
      </c>
      <c r="AN30" s="51">
        <v>9037181.6703261398</v>
      </c>
      <c r="AO30" s="51">
        <v>21616975.113766458</v>
      </c>
      <c r="AP30" s="51">
        <v>8113460.271747971</v>
      </c>
      <c r="AQ30" s="51">
        <v>12306594.583025221</v>
      </c>
      <c r="AR30" s="51">
        <v>18023464.152096491</v>
      </c>
      <c r="AS30" s="51">
        <v>7187038.540770093</v>
      </c>
      <c r="AT30" s="51">
        <v>10801329.598845225</v>
      </c>
      <c r="AU30" s="51">
        <v>4554488.6386490772</v>
      </c>
      <c r="AV30" s="51">
        <v>4220794.0237653684</v>
      </c>
      <c r="AW30" s="51">
        <v>27974700.031009827</v>
      </c>
      <c r="AX30" s="51">
        <v>1038589.3845043486</v>
      </c>
      <c r="AY30" s="51">
        <v>0</v>
      </c>
      <c r="AZ30" s="51">
        <v>0</v>
      </c>
      <c r="BA30" s="51">
        <v>0</v>
      </c>
      <c r="BB30" s="51">
        <v>16219858.135681313</v>
      </c>
      <c r="BC30" s="51">
        <v>137964979.99336886</v>
      </c>
      <c r="BD30" s="51">
        <v>80634106.493087068</v>
      </c>
      <c r="BE30" s="51">
        <v>81440447.558017924</v>
      </c>
      <c r="BF30" s="51">
        <v>82254852.033598125</v>
      </c>
      <c r="BG30" s="51">
        <v>83077400.553934082</v>
      </c>
      <c r="BH30" s="51">
        <v>83908174.55947344</v>
      </c>
      <c r="BI30" s="51">
        <v>84747256.30506818</v>
      </c>
    </row>
    <row r="31" spans="1:61" x14ac:dyDescent="0.25">
      <c r="A31" s="48" t="s">
        <v>28</v>
      </c>
      <c r="B31" s="48" t="s">
        <v>136</v>
      </c>
      <c r="C31" s="49" t="s">
        <v>41</v>
      </c>
      <c r="D31" s="49" t="str">
        <f>VLOOKUP(A31,PARAMETER!D:E,2,0)</f>
        <v>NINA</v>
      </c>
      <c r="E31" s="49" t="str">
        <f t="shared" si="1"/>
        <v>NINAVOL</v>
      </c>
      <c r="F31" s="49" t="str">
        <f t="shared" si="0"/>
        <v>PIZZA HUTVOL</v>
      </c>
      <c r="G31" s="50">
        <f t="shared" si="2"/>
        <v>1000000000.0000002</v>
      </c>
      <c r="H31" s="50">
        <f>SUMIF(I$1:BI$1,"&lt;="&amp;PARAMETER!X$2,I31:BI31)</f>
        <v>246024123.19843721</v>
      </c>
      <c r="I31" s="51">
        <v>22988507.492983587</v>
      </c>
      <c r="J31" s="51">
        <v>16344205.613902297</v>
      </c>
      <c r="K31" s="51">
        <v>15579319.63254628</v>
      </c>
      <c r="L31" s="51">
        <v>25220352.562063854</v>
      </c>
      <c r="M31" s="51">
        <v>31436714.716251273</v>
      </c>
      <c r="N31" s="51">
        <v>29868050.456966203</v>
      </c>
      <c r="O31" s="51">
        <v>24553093.905212853</v>
      </c>
      <c r="P31" s="51">
        <v>16053979.219477126</v>
      </c>
      <c r="Q31" s="51">
        <v>19908927.353446241</v>
      </c>
      <c r="R31" s="51">
        <v>21998197.130681895</v>
      </c>
      <c r="S31" s="51">
        <v>22072775.114905611</v>
      </c>
      <c r="T31" s="51">
        <v>30131277.521079037</v>
      </c>
      <c r="U31" s="51">
        <v>31237721.663614046</v>
      </c>
      <c r="V31" s="51">
        <v>29061986.593284447</v>
      </c>
      <c r="W31" s="51">
        <v>15611578.073046008</v>
      </c>
      <c r="X31" s="51">
        <v>19590983.140118163</v>
      </c>
      <c r="Y31" s="51">
        <v>14635558.279089164</v>
      </c>
      <c r="Z31" s="51">
        <v>12929967.06661169</v>
      </c>
      <c r="AA31" s="51">
        <v>21586910.500396058</v>
      </c>
      <c r="AB31" s="51">
        <v>15557814.759865189</v>
      </c>
      <c r="AC31" s="51">
        <v>22164525.542183146</v>
      </c>
      <c r="AD31" s="51">
        <v>15983253.918168232</v>
      </c>
      <c r="AE31" s="51">
        <v>28757077.007615328</v>
      </c>
      <c r="AF31" s="51">
        <v>22244313.98303616</v>
      </c>
      <c r="AG31" s="51">
        <v>22039500.607076216</v>
      </c>
      <c r="AH31" s="51">
        <v>24710350.125345226</v>
      </c>
      <c r="AI31" s="51">
        <v>25509742.79417653</v>
      </c>
      <c r="AJ31" s="51">
        <v>16671778.705822194</v>
      </c>
      <c r="AK31" s="51">
        <v>16482244.810062472</v>
      </c>
      <c r="AL31" s="51">
        <v>20001722.135005824</v>
      </c>
      <c r="AM31" s="51">
        <v>12417981.148791835</v>
      </c>
      <c r="AN31" s="51">
        <v>13408008.641569676</v>
      </c>
      <c r="AO31" s="51">
        <v>27902237.386197258</v>
      </c>
      <c r="AP31" s="51">
        <v>12896585.068363233</v>
      </c>
      <c r="AQ31" s="51">
        <v>14751653.589067232</v>
      </c>
      <c r="AR31" s="51">
        <v>16881103.284948479</v>
      </c>
      <c r="AS31" s="51">
        <v>10377922.748359222</v>
      </c>
      <c r="AT31" s="51">
        <v>13675597.553740269</v>
      </c>
      <c r="AU31" s="51">
        <v>10349061.005101871</v>
      </c>
      <c r="AV31" s="51">
        <v>15268731.158316368</v>
      </c>
      <c r="AW31" s="51">
        <v>9534972.6987675708</v>
      </c>
      <c r="AX31" s="51">
        <v>11857894.965658614</v>
      </c>
      <c r="AY31" s="51">
        <v>8207177.4964303179</v>
      </c>
      <c r="AZ31" s="51">
        <v>10362097.895717019</v>
      </c>
      <c r="BA31" s="51">
        <v>16550171.966041451</v>
      </c>
      <c r="BB31" s="51">
        <v>13229300.728226701</v>
      </c>
      <c r="BC31" s="51">
        <v>38878189.304140702</v>
      </c>
      <c r="BD31" s="51">
        <v>15038793.311248163</v>
      </c>
      <c r="BE31" s="51">
        <v>15189181.244360646</v>
      </c>
      <c r="BF31" s="51">
        <v>15341073.056804253</v>
      </c>
      <c r="BG31" s="51">
        <v>15494483.787372295</v>
      </c>
      <c r="BH31" s="51">
        <v>15649428.625246018</v>
      </c>
      <c r="BI31" s="51">
        <v>15805922.911498478</v>
      </c>
    </row>
    <row r="32" spans="1:61" x14ac:dyDescent="0.25">
      <c r="A32" s="48" t="s">
        <v>29</v>
      </c>
      <c r="B32" s="48" t="s">
        <v>136</v>
      </c>
      <c r="C32" s="49" t="s">
        <v>41</v>
      </c>
      <c r="D32" s="49" t="str">
        <f>VLOOKUP(A32,PARAMETER!D:E,2,0)</f>
        <v>RIFALDI</v>
      </c>
      <c r="E32" s="49" t="str">
        <f t="shared" si="1"/>
        <v>RIFALDIVOL</v>
      </c>
      <c r="F32" s="49" t="str">
        <f t="shared" si="0"/>
        <v>PLATINUM CINEPLEXVOL</v>
      </c>
      <c r="G32" s="50">
        <f t="shared" si="2"/>
        <v>1999999999.9999998</v>
      </c>
      <c r="H32" s="50">
        <f>SUMIF(I$1:BI$1,"&lt;="&amp;PARAMETER!X$2,I32:BI32)</f>
        <v>553975579.79744184</v>
      </c>
      <c r="I32" s="51">
        <v>78940042.410812929</v>
      </c>
      <c r="J32" s="51">
        <v>33937233.433552854</v>
      </c>
      <c r="K32" s="51">
        <v>30003553.711217124</v>
      </c>
      <c r="L32" s="51">
        <v>55129512.672708981</v>
      </c>
      <c r="M32" s="51">
        <v>57509893.222635217</v>
      </c>
      <c r="N32" s="51">
        <v>76295735.486353919</v>
      </c>
      <c r="O32" s="51">
        <v>83318365.788668841</v>
      </c>
      <c r="P32" s="51">
        <v>59302743.40377669</v>
      </c>
      <c r="Q32" s="51">
        <v>38381955.307850145</v>
      </c>
      <c r="R32" s="51">
        <v>26016920.608003799</v>
      </c>
      <c r="S32" s="51">
        <v>15139623.751861352</v>
      </c>
      <c r="T32" s="51">
        <v>39118259.461005293</v>
      </c>
      <c r="U32" s="51">
        <v>110518749.07067475</v>
      </c>
      <c r="V32" s="51">
        <v>217502229.57037854</v>
      </c>
      <c r="W32" s="51">
        <v>125364187.37321611</v>
      </c>
      <c r="X32" s="51">
        <v>109907683.86594439</v>
      </c>
      <c r="Y32" s="51">
        <v>74155746.475014865</v>
      </c>
      <c r="Z32" s="51">
        <v>72277162.248642996</v>
      </c>
      <c r="AA32" s="51">
        <v>48774266.437542222</v>
      </c>
      <c r="AB32" s="51">
        <v>27552568.653454091</v>
      </c>
      <c r="AC32" s="51">
        <v>33084095.630524911</v>
      </c>
      <c r="AD32" s="51">
        <v>42657730.681252249</v>
      </c>
      <c r="AE32" s="51">
        <v>39080435.617521293</v>
      </c>
      <c r="AF32" s="51">
        <v>44819573.468826495</v>
      </c>
      <c r="AG32" s="51">
        <v>33121919.474008907</v>
      </c>
      <c r="AH32" s="51">
        <v>32545315.993341748</v>
      </c>
      <c r="AI32" s="51">
        <v>21521766.94239451</v>
      </c>
      <c r="AJ32" s="51">
        <v>16440763.96771086</v>
      </c>
      <c r="AK32" s="51">
        <v>23225520.958884791</v>
      </c>
      <c r="AL32" s="51">
        <v>20856067.297076155</v>
      </c>
      <c r="AM32" s="51">
        <v>27068423.456858926</v>
      </c>
      <c r="AN32" s="51">
        <v>28041757.029180456</v>
      </c>
      <c r="AO32" s="51">
        <v>47272239.586299926</v>
      </c>
      <c r="AP32" s="51">
        <v>31155920.142696243</v>
      </c>
      <c r="AQ32" s="51">
        <v>17256283.857069328</v>
      </c>
      <c r="AR32" s="51">
        <v>22552256.544869639</v>
      </c>
      <c r="AS32" s="51">
        <v>12666784.917863123</v>
      </c>
      <c r="AT32" s="51">
        <v>7050364.4254171122</v>
      </c>
      <c r="AU32" s="51">
        <v>7336985.1060402915</v>
      </c>
      <c r="AV32" s="51">
        <v>5045700.7207652507</v>
      </c>
      <c r="AW32" s="51">
        <v>6825942.9540787274</v>
      </c>
      <c r="AX32" s="51">
        <v>6094681.980054778</v>
      </c>
      <c r="AY32" s="51">
        <v>19807086.037786629</v>
      </c>
      <c r="AZ32" s="51">
        <v>24739316.068629742</v>
      </c>
      <c r="BA32" s="51">
        <v>20547592.840217777</v>
      </c>
      <c r="BB32" s="51">
        <v>10130906.344724897</v>
      </c>
      <c r="BC32" s="51">
        <v>10104009.3893585</v>
      </c>
      <c r="BD32" s="51">
        <v>1593644.6054590896</v>
      </c>
      <c r="BE32" s="51">
        <v>1609581.0515136805</v>
      </c>
      <c r="BF32" s="51">
        <v>1625676.8620288174</v>
      </c>
      <c r="BG32" s="51">
        <v>1641933.6306491056</v>
      </c>
      <c r="BH32" s="51">
        <v>1658352.9669555963</v>
      </c>
      <c r="BI32" s="51">
        <v>1674936.4966251524</v>
      </c>
    </row>
    <row r="33" spans="1:61" x14ac:dyDescent="0.25">
      <c r="A33" s="48" t="s">
        <v>49</v>
      </c>
      <c r="B33" s="48" t="s">
        <v>136</v>
      </c>
      <c r="C33" s="49" t="s">
        <v>41</v>
      </c>
      <c r="D33" s="49" t="str">
        <f>VLOOKUP(A33,PARAMETER!D:E,2,0)</f>
        <v>NINA</v>
      </c>
      <c r="E33" s="49" t="str">
        <f t="shared" si="1"/>
        <v>NINAVOL</v>
      </c>
      <c r="F33" s="49" t="str">
        <f t="shared" si="0"/>
        <v>POPEYESVOL</v>
      </c>
      <c r="G33" s="50">
        <f t="shared" si="2"/>
        <v>0</v>
      </c>
      <c r="H33" s="50">
        <f>SUMIF(I$1:BI$1,"&lt;="&amp;PARAMETER!X$2,I33:BI33)</f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</row>
    <row r="34" spans="1:61" x14ac:dyDescent="0.25">
      <c r="A34" s="48" t="s">
        <v>31</v>
      </c>
      <c r="B34" s="48" t="s">
        <v>136</v>
      </c>
      <c r="C34" s="49" t="s">
        <v>41</v>
      </c>
      <c r="D34" s="49" t="str">
        <f>VLOOKUP(A34,PARAMETER!D:E,2,0)</f>
        <v>ADISTI</v>
      </c>
      <c r="E34" s="49" t="str">
        <f t="shared" si="1"/>
        <v>ADISTIVOL</v>
      </c>
      <c r="F34" s="49" t="str">
        <f t="shared" si="0"/>
        <v>SARINAHVOL</v>
      </c>
      <c r="G34" s="50">
        <f t="shared" si="2"/>
        <v>11000000000.000002</v>
      </c>
      <c r="H34" s="50">
        <f>SUMIF(I$1:BI$1,"&lt;="&amp;PARAMETER!X$2,I34:BI34)</f>
        <v>3240550287.0058122</v>
      </c>
      <c r="I34" s="51">
        <v>247237887.6210888</v>
      </c>
      <c r="J34" s="51">
        <v>269757296.58543557</v>
      </c>
      <c r="K34" s="51">
        <v>324488599.08054042</v>
      </c>
      <c r="L34" s="51">
        <v>313952651.25847244</v>
      </c>
      <c r="M34" s="51">
        <v>273267261.53077692</v>
      </c>
      <c r="N34" s="51">
        <v>234560849.62120786</v>
      </c>
      <c r="O34" s="51">
        <v>259629862.89434674</v>
      </c>
      <c r="P34" s="51">
        <v>391769881.99893272</v>
      </c>
      <c r="Q34" s="51">
        <v>201823625.65259415</v>
      </c>
      <c r="R34" s="51">
        <v>278896300.19411176</v>
      </c>
      <c r="S34" s="51">
        <v>445166070.56830472</v>
      </c>
      <c r="T34" s="51">
        <v>284630898.84792399</v>
      </c>
      <c r="U34" s="51">
        <v>207207501.35560268</v>
      </c>
      <c r="V34" s="51">
        <v>226803945.5735707</v>
      </c>
      <c r="W34" s="51">
        <v>235952404.03400761</v>
      </c>
      <c r="X34" s="51">
        <v>288540357.62921023</v>
      </c>
      <c r="Y34" s="51">
        <v>324316501.64502788</v>
      </c>
      <c r="Z34" s="51">
        <v>290967666.6491161</v>
      </c>
      <c r="AA34" s="51">
        <v>323580276.61198235</v>
      </c>
      <c r="AB34" s="51">
        <v>274486715.2651034</v>
      </c>
      <c r="AC34" s="51">
        <v>298742807.48594087</v>
      </c>
      <c r="AD34" s="51">
        <v>114057967.78421198</v>
      </c>
      <c r="AE34" s="51">
        <v>235837462.15838403</v>
      </c>
      <c r="AF34" s="51">
        <v>210025617.94136563</v>
      </c>
      <c r="AG34" s="51">
        <v>185896602.75488558</v>
      </c>
      <c r="AH34" s="51">
        <v>209325584.34911916</v>
      </c>
      <c r="AI34" s="51">
        <v>294980823.96146953</v>
      </c>
      <c r="AJ34" s="51">
        <v>133340754.47006911</v>
      </c>
      <c r="AK34" s="51">
        <v>241794823.0218668</v>
      </c>
      <c r="AL34" s="51">
        <v>289190331.25945914</v>
      </c>
      <c r="AM34" s="51">
        <v>141379593.4087871</v>
      </c>
      <c r="AN34" s="51">
        <v>221989644.02049851</v>
      </c>
      <c r="AO34" s="51">
        <v>192713314.13822523</v>
      </c>
      <c r="AP34" s="51">
        <v>214711730.12457919</v>
      </c>
      <c r="AQ34" s="51">
        <v>119161964.63318864</v>
      </c>
      <c r="AR34" s="51">
        <v>157820414.77629739</v>
      </c>
      <c r="AS34" s="51">
        <v>145869328.11013839</v>
      </c>
      <c r="AT34" s="51">
        <v>131091141.85722956</v>
      </c>
      <c r="AU34" s="51">
        <v>94143381.019560933</v>
      </c>
      <c r="AV34" s="51">
        <v>78834228.063195348</v>
      </c>
      <c r="AW34" s="51">
        <v>126042447.21613328</v>
      </c>
      <c r="AX34" s="51">
        <v>122092879.49758878</v>
      </c>
      <c r="AY34" s="51">
        <v>135067738.03127038</v>
      </c>
      <c r="AZ34" s="51">
        <v>93616377.214012459</v>
      </c>
      <c r="BA34" s="51">
        <v>120681635.4492325</v>
      </c>
      <c r="BB34" s="51">
        <v>134862782.91850194</v>
      </c>
      <c r="BC34" s="51">
        <v>161176914.71651238</v>
      </c>
      <c r="BD34" s="51">
        <v>113542497.5681977</v>
      </c>
      <c r="BE34" s="51">
        <v>114677922.54387969</v>
      </c>
      <c r="BF34" s="51">
        <v>115824701.76931846</v>
      </c>
      <c r="BG34" s="51">
        <v>116982948.78701165</v>
      </c>
      <c r="BH34" s="51">
        <v>118152778.27488177</v>
      </c>
      <c r="BI34" s="51">
        <v>119334306.0576306</v>
      </c>
    </row>
    <row r="35" spans="1:61" x14ac:dyDescent="0.25">
      <c r="A35" s="48" t="s">
        <v>32</v>
      </c>
      <c r="B35" s="48" t="s">
        <v>136</v>
      </c>
      <c r="C35" s="49" t="s">
        <v>41</v>
      </c>
      <c r="D35" s="49" t="str">
        <f>VLOOKUP(A35,PARAMETER!D:E,2,0)</f>
        <v>NINA</v>
      </c>
      <c r="E35" s="49" t="str">
        <f t="shared" si="1"/>
        <v>NINAVOL</v>
      </c>
      <c r="F35" s="49" t="str">
        <f t="shared" si="0"/>
        <v>SHIHLINVOL</v>
      </c>
      <c r="G35" s="50">
        <f t="shared" si="2"/>
        <v>1999999999.9999998</v>
      </c>
      <c r="H35" s="50">
        <f>SUMIF(I$1:BI$1,"&lt;="&amp;PARAMETER!X$2,I35:BI35)</f>
        <v>517285625.13401204</v>
      </c>
      <c r="I35" s="51">
        <v>22397443.933682937</v>
      </c>
      <c r="J35" s="51">
        <v>17659250.090473127</v>
      </c>
      <c r="K35" s="51">
        <v>15309569.471911119</v>
      </c>
      <c r="L35" s="51">
        <v>40572301.952383801</v>
      </c>
      <c r="M35" s="51">
        <v>76351830.197873458</v>
      </c>
      <c r="N35" s="51">
        <v>105144900.58939938</v>
      </c>
      <c r="O35" s="51">
        <v>72292011.805132017</v>
      </c>
      <c r="P35" s="51">
        <v>67077910.558362707</v>
      </c>
      <c r="Q35" s="51">
        <v>46888691.943969652</v>
      </c>
      <c r="R35" s="51">
        <v>24600185.293337192</v>
      </c>
      <c r="S35" s="51">
        <v>28991529.297486611</v>
      </c>
      <c r="T35" s="51">
        <v>26904600.421860967</v>
      </c>
      <c r="U35" s="51">
        <v>34540593.113250323</v>
      </c>
      <c r="V35" s="51">
        <v>36882039.434624366</v>
      </c>
      <c r="W35" s="51">
        <v>21510751.307962798</v>
      </c>
      <c r="X35" s="51">
        <v>24303056.259704828</v>
      </c>
      <c r="Y35" s="51">
        <v>18279522.57071517</v>
      </c>
      <c r="Z35" s="51">
        <v>27526790.037816197</v>
      </c>
      <c r="AA35" s="51">
        <v>33683329.9994037</v>
      </c>
      <c r="AB35" s="51">
        <v>24004700.567809295</v>
      </c>
      <c r="AC35" s="51">
        <v>24063856.612582296</v>
      </c>
      <c r="AD35" s="51">
        <v>27498777.483391337</v>
      </c>
      <c r="AE35" s="51">
        <v>25993861.951088995</v>
      </c>
      <c r="AF35" s="51">
        <v>15061923.369724931</v>
      </c>
      <c r="AG35" s="51">
        <v>23447948.155553233</v>
      </c>
      <c r="AH35" s="51">
        <v>42233180.525240533</v>
      </c>
      <c r="AI35" s="51">
        <v>31203923.197582774</v>
      </c>
      <c r="AJ35" s="51">
        <v>47162313.884973943</v>
      </c>
      <c r="AK35" s="51">
        <v>43541868.023790352</v>
      </c>
      <c r="AL35" s="51">
        <v>16921197.844082303</v>
      </c>
      <c r="AM35" s="51">
        <v>10505030.646455187</v>
      </c>
      <c r="AN35" s="51">
        <v>8693333.5400785692</v>
      </c>
      <c r="AO35" s="51">
        <v>8945347.5228936598</v>
      </c>
      <c r="AP35" s="51">
        <v>10407436.737825727</v>
      </c>
      <c r="AQ35" s="51">
        <v>28964623.821431339</v>
      </c>
      <c r="AR35" s="51">
        <v>47885962.54031238</v>
      </c>
      <c r="AS35" s="51">
        <v>39031907.194237098</v>
      </c>
      <c r="AT35" s="51">
        <v>36708791.313323937</v>
      </c>
      <c r="AU35" s="51">
        <v>46053688.691603027</v>
      </c>
      <c r="AV35" s="51">
        <v>53902244.287368856</v>
      </c>
      <c r="AW35" s="51">
        <v>51865528.680603936</v>
      </c>
      <c r="AX35" s="51">
        <v>42233561.123611502</v>
      </c>
      <c r="AY35" s="51">
        <v>59397776.1707737</v>
      </c>
      <c r="AZ35" s="51">
        <v>46805994.08982528</v>
      </c>
      <c r="BA35" s="51">
        <v>53157763.014441527</v>
      </c>
      <c r="BB35" s="51">
        <v>45036617.97933317</v>
      </c>
      <c r="BC35" s="51">
        <v>99140732.414142996</v>
      </c>
      <c r="BD35" s="51">
        <v>40509296.206520736</v>
      </c>
      <c r="BE35" s="51">
        <v>40914389.168585949</v>
      </c>
      <c r="BF35" s="51">
        <v>41323533.060271807</v>
      </c>
      <c r="BG35" s="51">
        <v>41736768.39087452</v>
      </c>
      <c r="BH35" s="51">
        <v>42154136.074783266</v>
      </c>
      <c r="BI35" s="51">
        <v>42575677.435531095</v>
      </c>
    </row>
    <row r="36" spans="1:61" x14ac:dyDescent="0.25">
      <c r="A36" s="48" t="s">
        <v>33</v>
      </c>
      <c r="B36" s="48" t="s">
        <v>136</v>
      </c>
      <c r="C36" s="49" t="s">
        <v>41</v>
      </c>
      <c r="D36" s="49" t="str">
        <f>VLOOKUP(A36,PARAMETER!D:E,2,0)</f>
        <v>NINA</v>
      </c>
      <c r="E36" s="49" t="str">
        <f t="shared" si="1"/>
        <v>NINAVOL</v>
      </c>
      <c r="F36" s="49" t="str">
        <f t="shared" si="0"/>
        <v>SOLARIAVOL</v>
      </c>
      <c r="G36" s="50">
        <f t="shared" si="2"/>
        <v>3999999999.9999995</v>
      </c>
      <c r="H36" s="50">
        <f>SUMIF(I$1:BI$1,"&lt;="&amp;PARAMETER!X$2,I36:BI36)</f>
        <v>701025409.29506469</v>
      </c>
      <c r="I36" s="51">
        <v>76971824.392957091</v>
      </c>
      <c r="J36" s="51">
        <v>55499547.230507441</v>
      </c>
      <c r="K36" s="51">
        <v>60117255.787201263</v>
      </c>
      <c r="L36" s="51">
        <v>83741204.6717875</v>
      </c>
      <c r="M36" s="51">
        <v>68698148.11981146</v>
      </c>
      <c r="N36" s="51">
        <v>60144692.693140864</v>
      </c>
      <c r="O36" s="51">
        <v>70707998.088710949</v>
      </c>
      <c r="P36" s="51">
        <v>63321867.079181902</v>
      </c>
      <c r="Q36" s="51">
        <v>54454432.975385606</v>
      </c>
      <c r="R36" s="51">
        <v>45981259.481235474</v>
      </c>
      <c r="S36" s="51">
        <v>61387178.775145113</v>
      </c>
      <c r="T36" s="51">
        <v>74150556.913541019</v>
      </c>
      <c r="U36" s="51">
        <v>98143068.460660964</v>
      </c>
      <c r="V36" s="51">
        <v>114573717.54788521</v>
      </c>
      <c r="W36" s="51">
        <v>62034071.458847821</v>
      </c>
      <c r="X36" s="51">
        <v>72141093.379936442</v>
      </c>
      <c r="Y36" s="51">
        <v>65454120.427748561</v>
      </c>
      <c r="Z36" s="51">
        <v>67759400.179617435</v>
      </c>
      <c r="AA36" s="51">
        <v>82333324.283555791</v>
      </c>
      <c r="AB36" s="51">
        <v>54265176.289696597</v>
      </c>
      <c r="AC36" s="51">
        <v>56666485.212354064</v>
      </c>
      <c r="AD36" s="51">
        <v>27069985.627070621</v>
      </c>
      <c r="AE36" s="51">
        <v>75805466.064052865</v>
      </c>
      <c r="AF36" s="51">
        <v>65927986.708149076</v>
      </c>
      <c r="AG36" s="51">
        <v>83312937.75618802</v>
      </c>
      <c r="AH36" s="51">
        <v>88047446.380772606</v>
      </c>
      <c r="AI36" s="51">
        <v>86884855.795993894</v>
      </c>
      <c r="AJ36" s="51">
        <v>157455089.70206445</v>
      </c>
      <c r="AK36" s="51">
        <v>88191103.701660588</v>
      </c>
      <c r="AL36" s="51">
        <v>95914979.158953175</v>
      </c>
      <c r="AM36" s="51">
        <v>86347420.909578398</v>
      </c>
      <c r="AN36" s="51">
        <v>79553888.424815238</v>
      </c>
      <c r="AO36" s="51">
        <v>84495622.976302788</v>
      </c>
      <c r="AP36" s="51">
        <v>68878516.793717206</v>
      </c>
      <c r="AQ36" s="51">
        <v>89743704.107841313</v>
      </c>
      <c r="AR36" s="51">
        <v>76895793.2486808</v>
      </c>
      <c r="AS36" s="51">
        <v>70795815.509482414</v>
      </c>
      <c r="AT36" s="51">
        <v>63006439.269700229</v>
      </c>
      <c r="AU36" s="51">
        <v>73995692.969100252</v>
      </c>
      <c r="AV36" s="51">
        <v>100396662.49183375</v>
      </c>
      <c r="AW36" s="51">
        <v>76246388.735561103</v>
      </c>
      <c r="AX36" s="51">
        <v>77110844.49030599</v>
      </c>
      <c r="AY36" s="51">
        <v>88655405.708511725</v>
      </c>
      <c r="AZ36" s="51">
        <v>99576840.013652578</v>
      </c>
      <c r="BA36" s="51">
        <v>77822465.085908458</v>
      </c>
      <c r="BB36" s="51">
        <v>68713508.922784671</v>
      </c>
      <c r="BC36" s="51">
        <v>70183702.002322868</v>
      </c>
      <c r="BD36" s="51">
        <v>69964883.016572177</v>
      </c>
      <c r="BE36" s="51">
        <v>70664531.846737906</v>
      </c>
      <c r="BF36" s="51">
        <v>71371177.16520527</v>
      </c>
      <c r="BG36" s="51">
        <v>72084888.936857328</v>
      </c>
      <c r="BH36" s="51">
        <v>72805737.826225907</v>
      </c>
      <c r="BI36" s="51">
        <v>73533795.204488158</v>
      </c>
    </row>
    <row r="37" spans="1:61" x14ac:dyDescent="0.25">
      <c r="A37" s="48" t="s">
        <v>34</v>
      </c>
      <c r="B37" s="48" t="s">
        <v>136</v>
      </c>
      <c r="C37" s="49" t="s">
        <v>41</v>
      </c>
      <c r="D37" s="49" t="str">
        <f>VLOOKUP(A37,PARAMETER!D:E,2,0)</f>
        <v>NINA</v>
      </c>
      <c r="E37" s="49" t="str">
        <f t="shared" si="1"/>
        <v>NINAVOL</v>
      </c>
      <c r="F37" s="49" t="str">
        <f t="shared" si="0"/>
        <v>SOUR SALLYVOL</v>
      </c>
      <c r="G37" s="50">
        <f t="shared" si="2"/>
        <v>1000000000.0000001</v>
      </c>
      <c r="H37" s="50">
        <f>SUMIF(I$1:BI$1,"&lt;="&amp;PARAMETER!X$2,I37:BI37)</f>
        <v>443130581.73914242</v>
      </c>
      <c r="I37" s="51">
        <v>62160062.548134767</v>
      </c>
      <c r="J37" s="51">
        <v>33911546.042645223</v>
      </c>
      <c r="K37" s="51">
        <v>38567459.774774574</v>
      </c>
      <c r="L37" s="51">
        <v>52051988.340842031</v>
      </c>
      <c r="M37" s="51">
        <v>45030479.402950063</v>
      </c>
      <c r="N37" s="51">
        <v>44431616.150419451</v>
      </c>
      <c r="O37" s="51">
        <v>36578243.827408642</v>
      </c>
      <c r="P37" s="51">
        <v>36288644.438818559</v>
      </c>
      <c r="Q37" s="51">
        <v>34018321.474412397</v>
      </c>
      <c r="R37" s="51">
        <v>25052909.930333517</v>
      </c>
      <c r="S37" s="51">
        <v>35039309.808403187</v>
      </c>
      <c r="T37" s="51">
        <v>31104552.376130193</v>
      </c>
      <c r="U37" s="51">
        <v>45863979.597497739</v>
      </c>
      <c r="V37" s="51">
        <v>75819868.365605444</v>
      </c>
      <c r="W37" s="51">
        <v>34817895.637878232</v>
      </c>
      <c r="X37" s="51">
        <v>29731729.682655644</v>
      </c>
      <c r="Y37" s="51">
        <v>20917651.620193601</v>
      </c>
      <c r="Z37" s="51">
        <v>7655032.8199206488</v>
      </c>
      <c r="AA37" s="51">
        <v>6582415.6676625852</v>
      </c>
      <c r="AB37" s="51">
        <v>8931281.687802678</v>
      </c>
      <c r="AC37" s="51">
        <v>4936294.4279186092</v>
      </c>
      <c r="AD37" s="51">
        <v>13202492.437227545</v>
      </c>
      <c r="AE37" s="51">
        <v>17697510.492581226</v>
      </c>
      <c r="AF37" s="51">
        <v>9012798.3151538484</v>
      </c>
      <c r="AG37" s="51">
        <v>14592642.341514163</v>
      </c>
      <c r="AH37" s="51">
        <v>7909866.0451556845</v>
      </c>
      <c r="AI37" s="51">
        <v>9015902.2521238234</v>
      </c>
      <c r="AJ37" s="51">
        <v>13331409.28604722</v>
      </c>
      <c r="AK37" s="51">
        <v>7285974.7141904943</v>
      </c>
      <c r="AL37" s="51">
        <v>8000914.8629416479</v>
      </c>
      <c r="AM37" s="51">
        <v>937388.96493277303</v>
      </c>
      <c r="AN37" s="51">
        <v>3357425.1558574489</v>
      </c>
      <c r="AO37" s="51">
        <v>9860793.8953513093</v>
      </c>
      <c r="AP37" s="51">
        <v>2951844.0584472422</v>
      </c>
      <c r="AQ37" s="51">
        <v>5766494.1028215429</v>
      </c>
      <c r="AR37" s="51">
        <v>11078985.691501252</v>
      </c>
      <c r="AS37" s="51">
        <v>5771760.4492139351</v>
      </c>
      <c r="AT37" s="51">
        <v>5195369.7003459455</v>
      </c>
      <c r="AU37" s="51">
        <v>6441703.8583570039</v>
      </c>
      <c r="AV37" s="51">
        <v>3898544.8342899433</v>
      </c>
      <c r="AW37" s="51">
        <v>10226439.739705805</v>
      </c>
      <c r="AX37" s="51">
        <v>10804804.592486698</v>
      </c>
      <c r="AY37" s="51">
        <v>7223689.0456596408</v>
      </c>
      <c r="AZ37" s="51">
        <v>5757803.0793056097</v>
      </c>
      <c r="BA37" s="51">
        <v>14810994.99554107</v>
      </c>
      <c r="BB37" s="51">
        <v>10715825.066014051</v>
      </c>
      <c r="BC37" s="51">
        <v>6401352.6777473139</v>
      </c>
      <c r="BD37" s="51">
        <v>11257772.460971873</v>
      </c>
      <c r="BE37" s="51">
        <v>11370350.185581591</v>
      </c>
      <c r="BF37" s="51">
        <v>11484053.687437408</v>
      </c>
      <c r="BG37" s="51">
        <v>11598894.224311782</v>
      </c>
      <c r="BH37" s="51">
        <v>11714883.166554898</v>
      </c>
      <c r="BI37" s="51">
        <v>11832031.998220449</v>
      </c>
    </row>
    <row r="38" spans="1:61" x14ac:dyDescent="0.25">
      <c r="A38" s="48" t="s">
        <v>53</v>
      </c>
      <c r="B38" s="48" t="s">
        <v>136</v>
      </c>
      <c r="C38" s="49" t="s">
        <v>41</v>
      </c>
      <c r="D38" s="49" t="str">
        <f>VLOOKUP(A38,PARAMETER!D:E,2,0)</f>
        <v>NINA</v>
      </c>
      <c r="E38" s="49" t="str">
        <f t="shared" si="1"/>
        <v>NINAVOL</v>
      </c>
      <c r="F38" s="49" t="str">
        <f t="shared" si="0"/>
        <v>STEVEN GROUPVOL</v>
      </c>
      <c r="G38" s="50">
        <f t="shared" si="2"/>
        <v>699999999.99999988</v>
      </c>
      <c r="H38" s="50">
        <f>SUMIF(I$1:BI$1,"&lt;="&amp;PARAMETER!X$2,I38:BI38)</f>
        <v>242894068.78349814</v>
      </c>
      <c r="I38" s="51">
        <v>69524.211064410032</v>
      </c>
      <c r="J38" s="51">
        <v>1305510.1855428105</v>
      </c>
      <c r="K38" s="51">
        <v>69524211.836901262</v>
      </c>
      <c r="L38" s="51">
        <v>4619497.5796130216</v>
      </c>
      <c r="M38" s="51">
        <v>7093167.4643022623</v>
      </c>
      <c r="N38" s="51">
        <v>95369023.094335005</v>
      </c>
      <c r="O38" s="51">
        <v>22837324.437805917</v>
      </c>
      <c r="P38" s="51">
        <v>19091509.808954909</v>
      </c>
      <c r="Q38" s="51">
        <v>10747434.929497356</v>
      </c>
      <c r="R38" s="51">
        <v>8743244.2748276927</v>
      </c>
      <c r="S38" s="51">
        <v>3493620.9606534978</v>
      </c>
      <c r="T38" s="51">
        <v>4973394.3537204862</v>
      </c>
      <c r="U38" s="51">
        <v>20328399.598177146</v>
      </c>
      <c r="V38" s="51">
        <v>6507558.0820856299</v>
      </c>
      <c r="W38" s="51">
        <v>5208637.2467692578</v>
      </c>
      <c r="X38" s="51">
        <v>4260041.1860941071</v>
      </c>
      <c r="Y38" s="51">
        <v>3270023.3729580147</v>
      </c>
      <c r="Z38" s="51">
        <v>9687889.0428406838</v>
      </c>
      <c r="AA38" s="51">
        <v>8662741.4183449782</v>
      </c>
      <c r="AB38" s="51">
        <v>3716505.5389399538</v>
      </c>
      <c r="AC38" s="51">
        <v>5885032.1162850298</v>
      </c>
      <c r="AD38" s="51">
        <v>7938024.1321745049</v>
      </c>
      <c r="AE38" s="51">
        <v>32530786.232409026</v>
      </c>
      <c r="AF38" s="51">
        <v>4034629.7889810763</v>
      </c>
      <c r="AG38" s="51">
        <v>7649351.8829227332</v>
      </c>
      <c r="AH38" s="51">
        <v>13420029.804357788</v>
      </c>
      <c r="AI38" s="51">
        <v>4674764.6924618231</v>
      </c>
      <c r="AJ38" s="51">
        <v>10006649.825658664</v>
      </c>
      <c r="AK38" s="51">
        <v>8104571.6972530009</v>
      </c>
      <c r="AL38" s="51">
        <v>7491999.2810031231</v>
      </c>
      <c r="AM38" s="51">
        <v>7851063.24897514</v>
      </c>
      <c r="AN38" s="51">
        <v>20325924.536263254</v>
      </c>
      <c r="AO38" s="51">
        <v>73401511.426208511</v>
      </c>
      <c r="AP38" s="51">
        <v>7393634.8822067268</v>
      </c>
      <c r="AQ38" s="51">
        <v>5715378.363954423</v>
      </c>
      <c r="AR38" s="51">
        <v>8258254.9658108801</v>
      </c>
      <c r="AS38" s="51">
        <v>8096593.407787744</v>
      </c>
      <c r="AT38" s="51">
        <v>8352036.1741156625</v>
      </c>
      <c r="AU38" s="51">
        <v>32686368.284420196</v>
      </c>
      <c r="AV38" s="51">
        <v>18469894.610319253</v>
      </c>
      <c r="AW38" s="51">
        <v>4820646.5720470408</v>
      </c>
      <c r="AX38" s="51">
        <v>4809933.6636132495</v>
      </c>
      <c r="AY38" s="51">
        <v>6825676.1521968804</v>
      </c>
      <c r="AZ38" s="51">
        <v>9869248.3548408356</v>
      </c>
      <c r="BA38" s="51">
        <v>6655518.7355816737</v>
      </c>
      <c r="BB38" s="51">
        <v>6674366.7492012354</v>
      </c>
      <c r="BC38" s="51">
        <v>19986253.188230801</v>
      </c>
      <c r="BD38" s="51">
        <v>6268287.4197425265</v>
      </c>
      <c r="BE38" s="51">
        <v>6330970.2939399518</v>
      </c>
      <c r="BF38" s="51">
        <v>6394279.9968793513</v>
      </c>
      <c r="BG38" s="51">
        <v>6458222.7968481453</v>
      </c>
      <c r="BH38" s="51">
        <v>6522805.0248166276</v>
      </c>
      <c r="BI38" s="51">
        <v>6588033.0750647932</v>
      </c>
    </row>
    <row r="39" spans="1:61" x14ac:dyDescent="0.25">
      <c r="A39" s="48" t="s">
        <v>50</v>
      </c>
      <c r="B39" s="48" t="s">
        <v>136</v>
      </c>
      <c r="C39" s="49" t="s">
        <v>41</v>
      </c>
      <c r="D39" s="49" t="str">
        <f>VLOOKUP(A39,PARAMETER!D:E,2,0)</f>
        <v>ADISTI</v>
      </c>
      <c r="E39" s="49" t="str">
        <f t="shared" si="1"/>
        <v>ADISTIVOL</v>
      </c>
      <c r="F39" s="49" t="str">
        <f t="shared" si="0"/>
        <v>SUPRA BOGA LESTARIVOL</v>
      </c>
      <c r="G39" s="50">
        <f t="shared" si="2"/>
        <v>0</v>
      </c>
      <c r="H39" s="50">
        <f>SUMIF(I$1:BI$1,"&lt;="&amp;PARAMETER!X$2,I39:BI39)</f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</row>
    <row r="40" spans="1:61" x14ac:dyDescent="0.25">
      <c r="A40" s="48" t="s">
        <v>35</v>
      </c>
      <c r="B40" s="48" t="s">
        <v>136</v>
      </c>
      <c r="C40" s="49" t="s">
        <v>41</v>
      </c>
      <c r="D40" s="49" t="str">
        <f>VLOOKUP(A40,PARAMETER!D:E,2,0)</f>
        <v>ADISTI</v>
      </c>
      <c r="E40" s="49" t="str">
        <f t="shared" si="1"/>
        <v>ADISTIVOL</v>
      </c>
      <c r="F40" s="49" t="str">
        <f t="shared" si="0"/>
        <v>SURYA BUMI RETAILINDOVOL</v>
      </c>
      <c r="G40" s="50">
        <f t="shared" si="2"/>
        <v>99999999.999999985</v>
      </c>
      <c r="H40" s="50">
        <f>SUMIF(I$1:BI$1,"&lt;="&amp;PARAMETER!X$2,I40:BI40)</f>
        <v>59251797.577755235</v>
      </c>
      <c r="I40" s="51">
        <v>14954262.538774712</v>
      </c>
      <c r="J40" s="51">
        <v>7513401.25477063</v>
      </c>
      <c r="K40" s="51">
        <v>7300596.6296096668</v>
      </c>
      <c r="L40" s="51">
        <v>7650093.2767718313</v>
      </c>
      <c r="M40" s="51">
        <v>11061180.553074561</v>
      </c>
      <c r="N40" s="51">
        <v>10772263.324753838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11472809.937509999</v>
      </c>
      <c r="AI40" s="51">
        <v>0</v>
      </c>
      <c r="AJ40" s="51">
        <v>19571812.241081234</v>
      </c>
      <c r="AK40" s="51">
        <v>0</v>
      </c>
      <c r="AL40" s="51">
        <v>0</v>
      </c>
      <c r="AM40" s="51">
        <v>4234346.0451736068</v>
      </c>
      <c r="AN40" s="51">
        <v>4061927.6992402719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1407306.4992396506</v>
      </c>
      <c r="BD40" s="51">
        <v>0</v>
      </c>
      <c r="BE40" s="51">
        <v>0</v>
      </c>
      <c r="BF40" s="51">
        <v>0</v>
      </c>
      <c r="BG40" s="51">
        <v>0</v>
      </c>
      <c r="BH40" s="51">
        <v>0</v>
      </c>
      <c r="BI40" s="51">
        <v>0</v>
      </c>
    </row>
    <row r="41" spans="1:61" x14ac:dyDescent="0.25">
      <c r="A41" s="48" t="s">
        <v>51</v>
      </c>
      <c r="B41" s="48" t="s">
        <v>136</v>
      </c>
      <c r="C41" s="49" t="s">
        <v>41</v>
      </c>
      <c r="D41" s="49" t="str">
        <f>VLOOKUP(A41,PARAMETER!D:E,2,0)</f>
        <v>NINA</v>
      </c>
      <c r="E41" s="49" t="str">
        <f t="shared" si="1"/>
        <v>NINAVOL</v>
      </c>
      <c r="F41" s="49" t="str">
        <f t="shared" si="0"/>
        <v>SUSHI TEIVOL</v>
      </c>
      <c r="G41" s="50">
        <f t="shared" si="2"/>
        <v>99999999.999999985</v>
      </c>
      <c r="H41" s="50">
        <f>SUMIF(I$1:BI$1,"&lt;="&amp;PARAMETER!X$2,I41:BI41)</f>
        <v>161098.90374421937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161098.90374421937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6.4438272732233095</v>
      </c>
      <c r="Y41" s="51">
        <v>0</v>
      </c>
      <c r="Z41" s="51">
        <v>3.2219136366116548</v>
      </c>
      <c r="AA41" s="51">
        <v>0</v>
      </c>
      <c r="AB41" s="51">
        <v>0</v>
      </c>
      <c r="AC41" s="51">
        <v>3.2219136366116548</v>
      </c>
      <c r="AD41" s="51">
        <v>0</v>
      </c>
      <c r="AE41" s="51">
        <v>7080947.8072087178</v>
      </c>
      <c r="AF41" s="51">
        <v>1480466.0941094188</v>
      </c>
      <c r="AG41" s="51">
        <v>1582088.472121787</v>
      </c>
      <c r="AH41" s="51">
        <v>1450247.7661116382</v>
      </c>
      <c r="AI41" s="51">
        <v>7825300.0708478363</v>
      </c>
      <c r="AJ41" s="51">
        <v>8393864.7264734209</v>
      </c>
      <c r="AK41" s="51">
        <v>5663663.439513254</v>
      </c>
      <c r="AL41" s="51">
        <v>1381582.3426881705</v>
      </c>
      <c r="AM41" s="51">
        <v>10525888.749573905</v>
      </c>
      <c r="AN41" s="51">
        <v>1559744.5010518853</v>
      </c>
      <c r="AO41" s="51">
        <v>6699160.7070111465</v>
      </c>
      <c r="AP41" s="51">
        <v>6792544.6518546995</v>
      </c>
      <c r="AQ41" s="51">
        <v>0</v>
      </c>
      <c r="AR41" s="51">
        <v>0</v>
      </c>
      <c r="AS41" s="51">
        <v>0</v>
      </c>
      <c r="AT41" s="51">
        <v>3.2219136366116548</v>
      </c>
      <c r="AU41" s="51">
        <v>0</v>
      </c>
      <c r="AV41" s="51">
        <v>0</v>
      </c>
      <c r="AW41" s="51">
        <v>0</v>
      </c>
      <c r="AX41" s="51">
        <v>3.2219136366116548</v>
      </c>
      <c r="AY41" s="51">
        <v>0</v>
      </c>
      <c r="AZ41" s="51">
        <v>0</v>
      </c>
      <c r="BA41" s="51">
        <v>0</v>
      </c>
      <c r="BB41" s="51">
        <v>39403362.61494685</v>
      </c>
      <c r="BC41" s="51">
        <v>0</v>
      </c>
      <c r="BD41" s="51">
        <v>3.2219136366116548</v>
      </c>
      <c r="BE41" s="51">
        <v>3.2541327729777714</v>
      </c>
      <c r="BF41" s="51">
        <v>3.2866741007075491</v>
      </c>
      <c r="BG41" s="51">
        <v>3.3195408417146242</v>
      </c>
      <c r="BH41" s="51">
        <v>3.352736250131771</v>
      </c>
      <c r="BI41" s="51">
        <v>3.3862636126330883</v>
      </c>
    </row>
    <row r="42" spans="1:61" x14ac:dyDescent="0.25">
      <c r="A42" s="48" t="s">
        <v>36</v>
      </c>
      <c r="B42" s="48" t="s">
        <v>136</v>
      </c>
      <c r="C42" s="49" t="s">
        <v>41</v>
      </c>
      <c r="D42" s="49" t="str">
        <f>VLOOKUP(A42,PARAMETER!D:E,2,0)</f>
        <v>NINA</v>
      </c>
      <c r="E42" s="49" t="str">
        <f t="shared" si="1"/>
        <v>NINAVOL</v>
      </c>
      <c r="F42" s="49" t="str">
        <f t="shared" si="0"/>
        <v>TAMANIVOL</v>
      </c>
      <c r="G42" s="50">
        <f t="shared" si="2"/>
        <v>0</v>
      </c>
      <c r="H42" s="50">
        <f>SUMIF(I$1:BI$1,"&lt;="&amp;PARAMETER!X$2,I42:BI42)</f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</row>
    <row r="43" spans="1:61" x14ac:dyDescent="0.25">
      <c r="A43" s="48" t="s">
        <v>37</v>
      </c>
      <c r="B43" s="48" t="s">
        <v>136</v>
      </c>
      <c r="C43" s="49" t="s">
        <v>41</v>
      </c>
      <c r="D43" s="49" t="str">
        <f>VLOOKUP(A43,PARAMETER!D:E,2,0)</f>
        <v>NINA</v>
      </c>
      <c r="E43" s="49" t="str">
        <f t="shared" si="1"/>
        <v>NINAVOL</v>
      </c>
      <c r="F43" s="49" t="str">
        <f t="shared" si="0"/>
        <v>YOGURT REPUBLICVOL</v>
      </c>
      <c r="G43" s="50">
        <f t="shared" si="2"/>
        <v>4999999999.9999971</v>
      </c>
      <c r="H43" s="50">
        <f>SUMIF(I$1:BI$1,"&lt;="&amp;PARAMETER!X$2,I43:BI43)</f>
        <v>1241825037.3443527</v>
      </c>
      <c r="I43" s="51">
        <v>73514473.609029412</v>
      </c>
      <c r="J43" s="51">
        <v>126965389.28645124</v>
      </c>
      <c r="K43" s="51">
        <v>87010098.617571354</v>
      </c>
      <c r="L43" s="51">
        <v>92763614.430482015</v>
      </c>
      <c r="M43" s="51">
        <v>117276064.89765474</v>
      </c>
      <c r="N43" s="51">
        <v>114435760.61090495</v>
      </c>
      <c r="O43" s="51">
        <v>133842906.97813694</v>
      </c>
      <c r="P43" s="51">
        <v>118346565.85201214</v>
      </c>
      <c r="Q43" s="51">
        <v>131943799.65055451</v>
      </c>
      <c r="R43" s="51">
        <v>126572724.07893629</v>
      </c>
      <c r="S43" s="51">
        <v>119153639.3326191</v>
      </c>
      <c r="T43" s="51">
        <v>132132634.35988271</v>
      </c>
      <c r="U43" s="51">
        <v>226983352.20610887</v>
      </c>
      <c r="V43" s="51">
        <v>212410524.52122104</v>
      </c>
      <c r="W43" s="51">
        <v>169971945.09085235</v>
      </c>
      <c r="X43" s="51">
        <v>180299202.38898805</v>
      </c>
      <c r="Y43" s="51">
        <v>124607406.05725741</v>
      </c>
      <c r="Z43" s="51">
        <v>133027914.22184791</v>
      </c>
      <c r="AA43" s="51">
        <v>130120782.1814767</v>
      </c>
      <c r="AB43" s="51">
        <v>108199503.39452027</v>
      </c>
      <c r="AC43" s="51">
        <v>100899269.90352044</v>
      </c>
      <c r="AD43" s="51">
        <v>100856929.88796051</v>
      </c>
      <c r="AE43" s="51">
        <v>134846142.23226377</v>
      </c>
      <c r="AF43" s="51">
        <v>110884729.0268952</v>
      </c>
      <c r="AG43" s="51">
        <v>120653753.4865513</v>
      </c>
      <c r="AH43" s="51">
        <v>133306661.54424097</v>
      </c>
      <c r="AI43" s="51">
        <v>132366826.05030067</v>
      </c>
      <c r="AJ43" s="51">
        <v>144729380.68278697</v>
      </c>
      <c r="AK43" s="51">
        <v>125789264.513842</v>
      </c>
      <c r="AL43" s="51">
        <v>97071745.956254199</v>
      </c>
      <c r="AM43" s="51">
        <v>117069237.10529888</v>
      </c>
      <c r="AN43" s="51">
        <v>102546935.8280246</v>
      </c>
      <c r="AO43" s="51">
        <v>112220145.23107246</v>
      </c>
      <c r="AP43" s="51">
        <v>92966747.113031462</v>
      </c>
      <c r="AQ43" s="51">
        <v>104303741.56767119</v>
      </c>
      <c r="AR43" s="51">
        <v>128296039.84466633</v>
      </c>
      <c r="AS43" s="51">
        <v>45108992.528139956</v>
      </c>
      <c r="AT43" s="51">
        <v>43496314.706969529</v>
      </c>
      <c r="AU43" s="51">
        <v>22257091.691392098</v>
      </c>
      <c r="AV43" s="51">
        <v>26089194.924361277</v>
      </c>
      <c r="AW43" s="51">
        <v>19396479.313061219</v>
      </c>
      <c r="AX43" s="51">
        <v>22050249.404349409</v>
      </c>
      <c r="AY43" s="51">
        <v>23236034.885729641</v>
      </c>
      <c r="AZ43" s="51">
        <v>22726840.678794175</v>
      </c>
      <c r="BA43" s="51">
        <v>26693001.128898256</v>
      </c>
      <c r="BB43" s="51">
        <v>27944560.39310053</v>
      </c>
      <c r="BC43" s="51">
        <v>23887601.083365526</v>
      </c>
      <c r="BD43" s="51">
        <v>29051909.947379522</v>
      </c>
      <c r="BE43" s="51">
        <v>29342429.046853319</v>
      </c>
      <c r="BF43" s="51">
        <v>29635853.337321855</v>
      </c>
      <c r="BG43" s="51">
        <v>29932211.870695073</v>
      </c>
      <c r="BH43" s="51">
        <v>30231533.989402022</v>
      </c>
      <c r="BI43" s="51">
        <v>30533849.329296045</v>
      </c>
    </row>
    <row r="44" spans="1:61" x14ac:dyDescent="0.25">
      <c r="A44" s="48" t="s">
        <v>38</v>
      </c>
      <c r="B44" s="48" t="s">
        <v>136</v>
      </c>
      <c r="C44" s="49" t="s">
        <v>41</v>
      </c>
      <c r="D44" s="49" t="str">
        <f>VLOOKUP(A44,PARAMETER!D:E,2,0)</f>
        <v>NINA</v>
      </c>
      <c r="E44" s="49" t="str">
        <f t="shared" si="1"/>
        <v>NINAVOL</v>
      </c>
      <c r="F44" s="49" t="str">
        <f t="shared" si="0"/>
        <v>YOSHINOYAVOL</v>
      </c>
      <c r="G44" s="50">
        <f t="shared" si="2"/>
        <v>149999999999.99994</v>
      </c>
      <c r="H44" s="50">
        <f>SUMIF(I$1:BI$1,"&lt;="&amp;PARAMETER!X$2,I44:BI44)</f>
        <v>19150774082.081055</v>
      </c>
      <c r="I44" s="51">
        <v>566767707.39856052</v>
      </c>
      <c r="J44" s="51">
        <v>377882539.24395108</v>
      </c>
      <c r="K44" s="51">
        <v>356549234.97347307</v>
      </c>
      <c r="L44" s="51">
        <v>510204879.88385266</v>
      </c>
      <c r="M44" s="51">
        <v>565757612.61487269</v>
      </c>
      <c r="N44" s="51">
        <v>575460012.87975705</v>
      </c>
      <c r="O44" s="51">
        <v>727722133.0625174</v>
      </c>
      <c r="P44" s="51">
        <v>3626259812.3212147</v>
      </c>
      <c r="Q44" s="51">
        <v>3887041733.0858607</v>
      </c>
      <c r="R44" s="51">
        <v>3627850172.1383924</v>
      </c>
      <c r="S44" s="51">
        <v>4329278244.4786043</v>
      </c>
      <c r="T44" s="51">
        <v>5332606598.5874863</v>
      </c>
      <c r="U44" s="51">
        <v>6567273679.3754063</v>
      </c>
      <c r="V44" s="51">
        <v>6668732168.2426081</v>
      </c>
      <c r="W44" s="51">
        <v>4244153783.4756021</v>
      </c>
      <c r="X44" s="51">
        <v>4036440772.3569808</v>
      </c>
      <c r="Y44" s="51">
        <v>4502578286.6916656</v>
      </c>
      <c r="Z44" s="51">
        <v>4751844579.3719473</v>
      </c>
      <c r="AA44" s="51">
        <v>4686027534.0789061</v>
      </c>
      <c r="AB44" s="51">
        <v>3682878190.8219519</v>
      </c>
      <c r="AC44" s="51">
        <v>3784836543.3054128</v>
      </c>
      <c r="AD44" s="51">
        <v>3896132873.7449412</v>
      </c>
      <c r="AE44" s="51">
        <v>3862789283.0740695</v>
      </c>
      <c r="AF44" s="51">
        <v>3114533276.5379906</v>
      </c>
      <c r="AG44" s="51">
        <v>3656532255.7061062</v>
      </c>
      <c r="AH44" s="51">
        <v>4279708727.2885361</v>
      </c>
      <c r="AI44" s="51">
        <v>4161338897.6057563</v>
      </c>
      <c r="AJ44" s="51">
        <v>4103968247.4305563</v>
      </c>
      <c r="AK44" s="51">
        <v>3453119601.1278086</v>
      </c>
      <c r="AL44" s="51">
        <v>3583431094.8120427</v>
      </c>
      <c r="AM44" s="51">
        <v>4261032695.3531876</v>
      </c>
      <c r="AN44" s="51">
        <v>4347109084.2225695</v>
      </c>
      <c r="AO44" s="51">
        <v>4839129491.8542213</v>
      </c>
      <c r="AP44" s="51">
        <v>4199854310.8139071</v>
      </c>
      <c r="AQ44" s="51">
        <v>3854775329.9739347</v>
      </c>
      <c r="AR44" s="51">
        <v>4728827959.9615641</v>
      </c>
      <c r="AS44" s="51">
        <v>4018084732.2001796</v>
      </c>
      <c r="AT44" s="51">
        <v>3742189271.2228656</v>
      </c>
      <c r="AU44" s="51">
        <v>4253639447.0561047</v>
      </c>
      <c r="AV44" s="51">
        <v>2488300943.8310323</v>
      </c>
      <c r="AW44" s="51">
        <v>831104450.70080483</v>
      </c>
      <c r="AX44" s="51">
        <v>627076008.09785187</v>
      </c>
      <c r="AY44" s="51">
        <v>599334586.30592883</v>
      </c>
      <c r="AZ44" s="51">
        <v>619475976.66162539</v>
      </c>
      <c r="BA44" s="51">
        <v>606740709.08832276</v>
      </c>
      <c r="BB44" s="51">
        <v>550480056.44206917</v>
      </c>
      <c r="BC44" s="51">
        <v>614321517.6429882</v>
      </c>
      <c r="BD44" s="51">
        <v>536218283.05478764</v>
      </c>
      <c r="BE44" s="51">
        <v>541580465.88533545</v>
      </c>
      <c r="BF44" s="51">
        <v>546996270.54418886</v>
      </c>
      <c r="BG44" s="51">
        <v>552466233.24963069</v>
      </c>
      <c r="BH44" s="51">
        <v>557990895.58212698</v>
      </c>
      <c r="BI44" s="51">
        <v>563570804.53794825</v>
      </c>
    </row>
    <row r="45" spans="1:61" x14ac:dyDescent="0.25">
      <c r="A45" s="48" t="s">
        <v>52</v>
      </c>
      <c r="B45" s="48" t="s">
        <v>136</v>
      </c>
      <c r="C45" s="49" t="s">
        <v>41</v>
      </c>
      <c r="D45" s="49" t="str">
        <f>VLOOKUP(A45,PARAMETER!D:E,2,0)</f>
        <v>NINA</v>
      </c>
      <c r="E45" s="49" t="str">
        <f t="shared" si="1"/>
        <v>NINAVOL</v>
      </c>
      <c r="F45" s="49" t="str">
        <f t="shared" si="0"/>
        <v>ZENBUVOL</v>
      </c>
      <c r="G45" s="50">
        <f t="shared" si="2"/>
        <v>0</v>
      </c>
      <c r="H45" s="50">
        <f>SUMIF(I$1:BI$1,"&lt;="&amp;PARAMETER!X$2,I45:BI45)</f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0</v>
      </c>
      <c r="BG45" s="51">
        <v>0</v>
      </c>
      <c r="BH45" s="51">
        <v>0</v>
      </c>
      <c r="BI45" s="51">
        <v>0</v>
      </c>
    </row>
    <row r="46" spans="1:61" x14ac:dyDescent="0.25">
      <c r="A46" s="48" t="s">
        <v>1</v>
      </c>
      <c r="B46" s="48" t="s">
        <v>136</v>
      </c>
      <c r="C46" s="49" t="s">
        <v>42</v>
      </c>
      <c r="D46" s="49" t="str">
        <f>VLOOKUP(A46,PARAMETER!D:E,2,0)</f>
        <v>NINA</v>
      </c>
      <c r="E46" s="49" t="str">
        <f t="shared" si="1"/>
        <v>NINATRX</v>
      </c>
      <c r="F46" s="49" t="str">
        <f t="shared" si="0"/>
        <v>ALFA GROUPTRX</v>
      </c>
      <c r="G46" s="50">
        <f t="shared" si="2"/>
        <v>1699999.9999999995</v>
      </c>
      <c r="H46" s="50">
        <f>SUMIF(I$1:BI$1,"&lt;="&amp;PARAMETER!X$2,I46:BI46)</f>
        <v>364922.98048093216</v>
      </c>
      <c r="I46" s="50">
        <v>32319.54111613347</v>
      </c>
      <c r="J46" s="50">
        <v>28513.024295452706</v>
      </c>
      <c r="K46" s="50">
        <v>28025.859322279535</v>
      </c>
      <c r="L46" s="50">
        <v>34178.587518955399</v>
      </c>
      <c r="M46" s="50">
        <v>34184.406143597414</v>
      </c>
      <c r="N46" s="50">
        <v>32383.063816438847</v>
      </c>
      <c r="O46" s="50">
        <v>31140.379715309937</v>
      </c>
      <c r="P46" s="50">
        <v>32163.568302774212</v>
      </c>
      <c r="Q46" s="50">
        <v>42639.919314823244</v>
      </c>
      <c r="R46" s="50">
        <v>34093.155325256608</v>
      </c>
      <c r="S46" s="50">
        <v>35281.475609910813</v>
      </c>
      <c r="T46" s="50">
        <v>43059.55303116767</v>
      </c>
      <c r="U46" s="50">
        <v>47974.543555141237</v>
      </c>
      <c r="V46" s="50">
        <v>33684.640051736264</v>
      </c>
      <c r="W46" s="50">
        <v>29250.199070732251</v>
      </c>
      <c r="X46" s="50">
        <v>29441.402138046953</v>
      </c>
      <c r="Y46" s="50">
        <v>31838.459673531688</v>
      </c>
      <c r="Z46" s="50">
        <v>31848.198979367782</v>
      </c>
      <c r="AA46" s="50">
        <v>30712.580171401987</v>
      </c>
      <c r="AB46" s="50">
        <v>29300.49146667057</v>
      </c>
      <c r="AC46" s="50">
        <v>33079.938667754061</v>
      </c>
      <c r="AD46" s="50">
        <v>16231.091978774137</v>
      </c>
      <c r="AE46" s="50">
        <v>36368.423214752118</v>
      </c>
      <c r="AF46" s="50">
        <v>31925.158830982935</v>
      </c>
      <c r="AG46" s="50">
        <v>31708.215751518645</v>
      </c>
      <c r="AH46" s="50">
        <v>37790.860802714269</v>
      </c>
      <c r="AI46" s="50">
        <v>35651.50303142835</v>
      </c>
      <c r="AJ46" s="50">
        <v>32690.533424713383</v>
      </c>
      <c r="AK46" s="50">
        <v>32321.660531429687</v>
      </c>
      <c r="AL46" s="50">
        <v>35095.371367994216</v>
      </c>
      <c r="AM46" s="50">
        <v>30762.525829084225</v>
      </c>
      <c r="AN46" s="50">
        <v>27088.185033615169</v>
      </c>
      <c r="AO46" s="50">
        <v>30910.253731280129</v>
      </c>
      <c r="AP46" s="50">
        <v>31490.835372690064</v>
      </c>
      <c r="AQ46" s="50">
        <v>38353.014339209032</v>
      </c>
      <c r="AR46" s="50">
        <v>32456.523374210028</v>
      </c>
      <c r="AS46" s="50">
        <v>30089.171445426739</v>
      </c>
      <c r="AT46" s="50">
        <v>30322.354884517186</v>
      </c>
      <c r="AU46" s="50">
        <v>34328.86580954348</v>
      </c>
      <c r="AV46" s="50">
        <v>36927.499394144732</v>
      </c>
      <c r="AW46" s="50">
        <v>30973.181143374066</v>
      </c>
      <c r="AX46" s="50">
        <v>30973.142115649025</v>
      </c>
      <c r="AY46" s="50">
        <v>31286.597443881903</v>
      </c>
      <c r="AZ46" s="50">
        <v>35243.926374695242</v>
      </c>
      <c r="BA46" s="50">
        <v>30897.313176297532</v>
      </c>
      <c r="BB46" s="50">
        <v>29737.488334620095</v>
      </c>
      <c r="BC46" s="50">
        <v>31129.560957154088</v>
      </c>
      <c r="BD46" s="50">
        <v>26354.577067173352</v>
      </c>
      <c r="BE46" s="50">
        <v>26618.122837845083</v>
      </c>
      <c r="BF46" s="50">
        <v>26884.304066223536</v>
      </c>
      <c r="BG46" s="50">
        <v>27153.147106885775</v>
      </c>
      <c r="BH46" s="50">
        <v>27424.678577954634</v>
      </c>
      <c r="BI46" s="50">
        <v>27698.925363734179</v>
      </c>
    </row>
    <row r="47" spans="1:61" x14ac:dyDescent="0.25">
      <c r="A47" s="48" t="s">
        <v>2</v>
      </c>
      <c r="B47" s="48" t="s">
        <v>136</v>
      </c>
      <c r="C47" s="49" t="s">
        <v>42</v>
      </c>
      <c r="D47" s="49" t="str">
        <f>VLOOKUP(A47,PARAMETER!D:E,2,0)</f>
        <v>RIFALDI</v>
      </c>
      <c r="E47" s="49" t="str">
        <f t="shared" si="1"/>
        <v>RIFALDITRX</v>
      </c>
      <c r="F47" s="49" t="str">
        <f t="shared" si="0"/>
        <v>ANCOLTRX</v>
      </c>
      <c r="G47" s="50">
        <f t="shared" si="2"/>
        <v>6000</v>
      </c>
      <c r="H47" s="50">
        <f>SUMIF(I$1:BI$1,"&lt;="&amp;PARAMETER!X$2,I47:BI47)</f>
        <v>147.15175460824031</v>
      </c>
      <c r="I47" s="50">
        <v>7.8489742164064689</v>
      </c>
      <c r="J47" s="50">
        <v>4.8555755089579629</v>
      </c>
      <c r="K47" s="50">
        <v>4.1597842572891022</v>
      </c>
      <c r="L47" s="50">
        <v>4.1523026309270712</v>
      </c>
      <c r="M47" s="50">
        <v>8.1474162919878772</v>
      </c>
      <c r="N47" s="50">
        <v>9.4723000963080928</v>
      </c>
      <c r="O47" s="50">
        <v>6.3743456604502065</v>
      </c>
      <c r="P47" s="50">
        <v>2.8355363912096578</v>
      </c>
      <c r="Q47" s="50">
        <v>27.352825979584459</v>
      </c>
      <c r="R47" s="50">
        <v>28.941998235143409</v>
      </c>
      <c r="S47" s="50">
        <v>43.010695339975996</v>
      </c>
      <c r="T47" s="50">
        <v>8.0502299655450962</v>
      </c>
      <c r="U47" s="50">
        <v>48.344773226170361</v>
      </c>
      <c r="V47" s="50">
        <v>157.66779395343622</v>
      </c>
      <c r="W47" s="50">
        <v>10.746608106420982</v>
      </c>
      <c r="X47" s="50">
        <v>11.546393964522071</v>
      </c>
      <c r="Y47" s="50">
        <v>9.052767898057219</v>
      </c>
      <c r="Z47" s="50">
        <v>4.7059429817173477</v>
      </c>
      <c r="AA47" s="50">
        <v>81.053635665321735</v>
      </c>
      <c r="AB47" s="50">
        <v>11.619781237507231</v>
      </c>
      <c r="AC47" s="50">
        <v>30.032894174991117</v>
      </c>
      <c r="AD47" s="50">
        <v>35.650024431340185</v>
      </c>
      <c r="AE47" s="50">
        <v>32.147770388504519</v>
      </c>
      <c r="AF47" s="50">
        <v>30.896775126135722</v>
      </c>
      <c r="AG47" s="50">
        <v>23.375518589265283</v>
      </c>
      <c r="AH47" s="50">
        <v>281.47820604163297</v>
      </c>
      <c r="AI47" s="50">
        <v>213.52511510339161</v>
      </c>
      <c r="AJ47" s="50">
        <v>212.42320620953899</v>
      </c>
      <c r="AK47" s="50">
        <v>187.87593774433157</v>
      </c>
      <c r="AL47" s="50">
        <v>12.989435093977841</v>
      </c>
      <c r="AM47" s="50">
        <v>32.054324875242756</v>
      </c>
      <c r="AN47" s="50">
        <v>40.311982931675153</v>
      </c>
      <c r="AO47" s="50">
        <v>141.57313976440295</v>
      </c>
      <c r="AP47" s="50">
        <v>226.83264650540389</v>
      </c>
      <c r="AQ47" s="50">
        <v>178.57793709737967</v>
      </c>
      <c r="AR47" s="50">
        <v>35.683048330102189</v>
      </c>
      <c r="AS47" s="50">
        <v>44.961970829830875</v>
      </c>
      <c r="AT47" s="50">
        <v>202.23885728747737</v>
      </c>
      <c r="AU47" s="50">
        <v>238.43560156522292</v>
      </c>
      <c r="AV47" s="50">
        <v>97.093943320461207</v>
      </c>
      <c r="AW47" s="50">
        <v>79.009595490204049</v>
      </c>
      <c r="AX47" s="50">
        <v>76.418865395186387</v>
      </c>
      <c r="AY47" s="50">
        <v>101.23919825935525</v>
      </c>
      <c r="AZ47" s="50">
        <v>98.60660846484204</v>
      </c>
      <c r="BA47" s="50">
        <v>102.44501198012374</v>
      </c>
      <c r="BB47" s="50">
        <v>137.72421708245622</v>
      </c>
      <c r="BC47" s="50">
        <v>207.08828289956571</v>
      </c>
      <c r="BD47" s="50">
        <v>391.63919136632541</v>
      </c>
      <c r="BE47" s="50">
        <v>395.55558327998864</v>
      </c>
      <c r="BF47" s="50">
        <v>399.51113911278856</v>
      </c>
      <c r="BG47" s="50">
        <v>403.50625050391642</v>
      </c>
      <c r="BH47" s="50">
        <v>407.54131300895557</v>
      </c>
      <c r="BI47" s="50">
        <v>411.61672613904511</v>
      </c>
    </row>
    <row r="48" spans="1:61" x14ac:dyDescent="0.25">
      <c r="A48" s="48" t="s">
        <v>3</v>
      </c>
      <c r="B48" s="48" t="s">
        <v>136</v>
      </c>
      <c r="C48" s="49" t="s">
        <v>42</v>
      </c>
      <c r="D48" s="49" t="str">
        <f>VLOOKUP(A48,PARAMETER!D:E,2,0)</f>
        <v>NINA</v>
      </c>
      <c r="E48" s="49" t="str">
        <f t="shared" si="1"/>
        <v>NINATRX</v>
      </c>
      <c r="F48" s="49" t="str">
        <f t="shared" si="0"/>
        <v>BANBAN TEATRX</v>
      </c>
      <c r="G48" s="50">
        <f t="shared" si="2"/>
        <v>3499.9999999999977</v>
      </c>
      <c r="H48" s="50">
        <f>SUMIF(I$1:BI$1,"&lt;="&amp;PARAMETER!X$2,I48:BI48)</f>
        <v>911.10897581868539</v>
      </c>
      <c r="I48" s="50">
        <v>53.425100913229855</v>
      </c>
      <c r="J48" s="50">
        <v>24.501611774188028</v>
      </c>
      <c r="K48" s="50">
        <v>15.586519834575151</v>
      </c>
      <c r="L48" s="50">
        <v>42.264110784320664</v>
      </c>
      <c r="M48" s="50">
        <v>93.880584183784521</v>
      </c>
      <c r="N48" s="50">
        <v>347.8378459345812</v>
      </c>
      <c r="O48" s="50">
        <v>128.15049802411556</v>
      </c>
      <c r="P48" s="50">
        <v>84.329440977206019</v>
      </c>
      <c r="Q48" s="50">
        <v>55.183333894726211</v>
      </c>
      <c r="R48" s="50">
        <v>31.406187233440299</v>
      </c>
      <c r="S48" s="50">
        <v>34.543742264517974</v>
      </c>
      <c r="T48" s="50">
        <v>50.537303826199533</v>
      </c>
      <c r="U48" s="50">
        <v>52.203179210776071</v>
      </c>
      <c r="V48" s="50">
        <v>30.714612615192209</v>
      </c>
      <c r="W48" s="50">
        <v>20.713434967585641</v>
      </c>
      <c r="X48" s="50">
        <v>30.370768040542707</v>
      </c>
      <c r="Y48" s="50">
        <v>14.183904398644042</v>
      </c>
      <c r="Z48" s="50">
        <v>18.533667459802789</v>
      </c>
      <c r="AA48" s="50">
        <v>287.78079349091183</v>
      </c>
      <c r="AB48" s="50">
        <v>50.165289601669159</v>
      </c>
      <c r="AC48" s="50">
        <v>20.381246799783401</v>
      </c>
      <c r="AD48" s="50">
        <v>55.29410861446469</v>
      </c>
      <c r="AE48" s="50">
        <v>14.265460391885391</v>
      </c>
      <c r="AF48" s="50">
        <v>19.034892954235083</v>
      </c>
      <c r="AG48" s="50">
        <v>477.43638052664272</v>
      </c>
      <c r="AH48" s="50">
        <v>395.57938000580964</v>
      </c>
      <c r="AI48" s="50">
        <v>145.19018324564942</v>
      </c>
      <c r="AJ48" s="50">
        <v>61.852702491145465</v>
      </c>
      <c r="AK48" s="50">
        <v>64.885369287942524</v>
      </c>
      <c r="AL48" s="50">
        <v>31.124549016665689</v>
      </c>
      <c r="AM48" s="50">
        <v>52.549957314482128</v>
      </c>
      <c r="AN48" s="50">
        <v>38.071728642944706</v>
      </c>
      <c r="AO48" s="50">
        <v>83.93770799775902</v>
      </c>
      <c r="AP48" s="50">
        <v>15.061962099103589</v>
      </c>
      <c r="AQ48" s="50">
        <v>8.3518155060636534</v>
      </c>
      <c r="AR48" s="50">
        <v>96.184725552627654</v>
      </c>
      <c r="AS48" s="50">
        <v>35.324721523284573</v>
      </c>
      <c r="AT48" s="50">
        <v>28.769896551484408</v>
      </c>
      <c r="AU48" s="50">
        <v>33.634542530431489</v>
      </c>
      <c r="AV48" s="50">
        <v>54.86276327908174</v>
      </c>
      <c r="AW48" s="50">
        <v>29.205127355816447</v>
      </c>
      <c r="AX48" s="50">
        <v>12.693827056668972</v>
      </c>
      <c r="AY48" s="50">
        <v>42.223371642389488</v>
      </c>
      <c r="AZ48" s="50">
        <v>25.241910173057672</v>
      </c>
      <c r="BA48" s="50">
        <v>14.912429826597954</v>
      </c>
      <c r="BB48" s="50">
        <v>9.4883151736717579</v>
      </c>
      <c r="BC48" s="50">
        <v>34.508753616631438</v>
      </c>
      <c r="BD48" s="50">
        <v>21.719751998054569</v>
      </c>
      <c r="BE48" s="50">
        <v>21.936949518035114</v>
      </c>
      <c r="BF48" s="50">
        <v>22.156319013215462</v>
      </c>
      <c r="BG48" s="50">
        <v>22.377882203347621</v>
      </c>
      <c r="BH48" s="50">
        <v>22.601661025381098</v>
      </c>
      <c r="BI48" s="50">
        <v>22.827677635634906</v>
      </c>
    </row>
    <row r="49" spans="1:61" x14ac:dyDescent="0.25">
      <c r="A49" s="48" t="s">
        <v>4</v>
      </c>
      <c r="B49" s="48" t="s">
        <v>136</v>
      </c>
      <c r="C49" s="49" t="s">
        <v>42</v>
      </c>
      <c r="D49" s="49" t="str">
        <f>VLOOKUP(A49,PARAMETER!D:E,2,0)</f>
        <v>NINA</v>
      </c>
      <c r="E49" s="49" t="str">
        <f t="shared" si="1"/>
        <v>NINATRX</v>
      </c>
      <c r="F49" s="49" t="str">
        <f t="shared" si="0"/>
        <v>BEARD PAPATRX</v>
      </c>
      <c r="G49" s="50">
        <f t="shared" si="2"/>
        <v>599.99999999999977</v>
      </c>
      <c r="H49" s="50">
        <f>SUMIF(I$1:BI$1,"&lt;="&amp;PARAMETER!X$2,I49:BI49)</f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2.4668445205413874</v>
      </c>
      <c r="AJ49" s="50">
        <v>4.9642192950498707</v>
      </c>
      <c r="AK49" s="50">
        <v>14.40417382167607</v>
      </c>
      <c r="AL49" s="50">
        <v>10.404710551986444</v>
      </c>
      <c r="AM49" s="50">
        <v>13.060873177377799</v>
      </c>
      <c r="AN49" s="50">
        <v>8.5973195171343395</v>
      </c>
      <c r="AO49" s="50">
        <v>139.59959237059897</v>
      </c>
      <c r="AP49" s="50">
        <v>79.873250428717526</v>
      </c>
      <c r="AQ49" s="50">
        <v>12.053344266209647</v>
      </c>
      <c r="AR49" s="50">
        <v>30.298242355098822</v>
      </c>
      <c r="AS49" s="50">
        <v>28.244771367221126</v>
      </c>
      <c r="AT49" s="50">
        <v>44.108590525013284</v>
      </c>
      <c r="AU49" s="50">
        <v>23.890235137843376</v>
      </c>
      <c r="AV49" s="50">
        <v>9.1041339450897247</v>
      </c>
      <c r="AW49" s="50">
        <v>16.871030554319042</v>
      </c>
      <c r="AX49" s="50">
        <v>9.2689851044104596</v>
      </c>
      <c r="AY49" s="50">
        <v>12.175471388128827</v>
      </c>
      <c r="AZ49" s="50">
        <v>9.0308491234671067</v>
      </c>
      <c r="BA49" s="50">
        <v>11.08249440215757</v>
      </c>
      <c r="BB49" s="50">
        <v>14.49576458357736</v>
      </c>
      <c r="BC49" s="50">
        <v>10.70392535901637</v>
      </c>
      <c r="BD49" s="50">
        <v>15.491050862904698</v>
      </c>
      <c r="BE49" s="50">
        <v>15.645961371533746</v>
      </c>
      <c r="BF49" s="50">
        <v>15.802420985249087</v>
      </c>
      <c r="BG49" s="50">
        <v>15.960445195101578</v>
      </c>
      <c r="BH49" s="50">
        <v>16.120049647052593</v>
      </c>
      <c r="BI49" s="50">
        <v>16.28125014352312</v>
      </c>
    </row>
    <row r="50" spans="1:61" x14ac:dyDescent="0.25">
      <c r="A50" s="48" t="s">
        <v>6</v>
      </c>
      <c r="B50" s="48" t="s">
        <v>136</v>
      </c>
      <c r="C50" s="49" t="s">
        <v>42</v>
      </c>
      <c r="D50" s="49" t="str">
        <f>VLOOKUP(A50,PARAMETER!D:E,2,0)</f>
        <v>NINA</v>
      </c>
      <c r="E50" s="49" t="str">
        <f t="shared" si="1"/>
        <v>NINATRX</v>
      </c>
      <c r="F50" s="49" t="str">
        <f t="shared" si="0"/>
        <v>CHAMP RESTOTRX</v>
      </c>
      <c r="G50" s="50">
        <f t="shared" si="2"/>
        <v>17999.999999999996</v>
      </c>
      <c r="H50" s="50">
        <f>SUMIF(I$1:BI$1,"&lt;="&amp;PARAMETER!X$2,I50:BI50)</f>
        <v>2409.1415892419895</v>
      </c>
      <c r="I50" s="50">
        <v>139.19003734793588</v>
      </c>
      <c r="J50" s="50">
        <v>78.931526324183309</v>
      </c>
      <c r="K50" s="50">
        <v>108.04187393289969</v>
      </c>
      <c r="L50" s="50">
        <v>90.972060544681057</v>
      </c>
      <c r="M50" s="50">
        <v>108.26445995971444</v>
      </c>
      <c r="N50" s="50">
        <v>532.79062426535097</v>
      </c>
      <c r="O50" s="50">
        <v>348.59156245984832</v>
      </c>
      <c r="P50" s="50">
        <v>101.0101396913953</v>
      </c>
      <c r="Q50" s="50">
        <v>19.842058411618012</v>
      </c>
      <c r="R50" s="50">
        <v>439.92633219154908</v>
      </c>
      <c r="S50" s="50">
        <v>441.58091411281333</v>
      </c>
      <c r="T50" s="50">
        <v>351.54379679750906</v>
      </c>
      <c r="U50" s="50">
        <v>154.83072192812691</v>
      </c>
      <c r="V50" s="50">
        <v>280.68107083199516</v>
      </c>
      <c r="W50" s="50">
        <v>194.53454428184972</v>
      </c>
      <c r="X50" s="50">
        <v>208.76635169619928</v>
      </c>
      <c r="Y50" s="50">
        <v>281.19983143711909</v>
      </c>
      <c r="Z50" s="50">
        <v>1069.0115126425728</v>
      </c>
      <c r="AA50" s="50">
        <v>249.18712769262078</v>
      </c>
      <c r="AB50" s="50">
        <v>116.42892088439584</v>
      </c>
      <c r="AC50" s="50">
        <v>152.70275218209744</v>
      </c>
      <c r="AD50" s="50">
        <v>57.319428876185782</v>
      </c>
      <c r="AE50" s="50">
        <v>56.490340297876479</v>
      </c>
      <c r="AF50" s="50">
        <v>186.26609458774044</v>
      </c>
      <c r="AG50" s="50">
        <v>126.10201537867619</v>
      </c>
      <c r="AH50" s="50">
        <v>621.02438973061214</v>
      </c>
      <c r="AI50" s="50">
        <v>152.32010991804952</v>
      </c>
      <c r="AJ50" s="50">
        <v>82.514019072262613</v>
      </c>
      <c r="AK50" s="50">
        <v>235.84530031106385</v>
      </c>
      <c r="AL50" s="50">
        <v>188.12214621677583</v>
      </c>
      <c r="AM50" s="50">
        <v>84.077991960734309</v>
      </c>
      <c r="AN50" s="50">
        <v>98.978649678926899</v>
      </c>
      <c r="AO50" s="50">
        <v>1833.8870485848281</v>
      </c>
      <c r="AP50" s="50">
        <v>883.20674591290242</v>
      </c>
      <c r="AQ50" s="50">
        <v>155.13927503828921</v>
      </c>
      <c r="AR50" s="50">
        <v>181.14761717578378</v>
      </c>
      <c r="AS50" s="50">
        <v>336.71140304174179</v>
      </c>
      <c r="AT50" s="50">
        <v>570.1751102317121</v>
      </c>
      <c r="AU50" s="50">
        <v>304.87604907162432</v>
      </c>
      <c r="AV50" s="50">
        <v>263.09154114317869</v>
      </c>
      <c r="AW50" s="50">
        <v>366.05321099238813</v>
      </c>
      <c r="AX50" s="50">
        <v>285.81802502311496</v>
      </c>
      <c r="AY50" s="50">
        <v>313.09243611705722</v>
      </c>
      <c r="AZ50" s="50">
        <v>179.02938642172703</v>
      </c>
      <c r="BA50" s="50">
        <v>310.79052979476813</v>
      </c>
      <c r="BB50" s="50">
        <v>479.95727545321392</v>
      </c>
      <c r="BC50" s="50">
        <v>453.51204395619743</v>
      </c>
      <c r="BD50" s="50">
        <v>605.72406926707367</v>
      </c>
      <c r="BE50" s="50">
        <v>611.78130995974425</v>
      </c>
      <c r="BF50" s="50">
        <v>617.89912305934172</v>
      </c>
      <c r="BG50" s="50">
        <v>624.07811428993512</v>
      </c>
      <c r="BH50" s="50">
        <v>630.31889543283455</v>
      </c>
      <c r="BI50" s="50">
        <v>636.622084387163</v>
      </c>
    </row>
    <row r="51" spans="1:61" x14ac:dyDescent="0.25">
      <c r="A51" s="48" t="s">
        <v>7</v>
      </c>
      <c r="B51" s="48" t="s">
        <v>136</v>
      </c>
      <c r="C51" s="49" t="s">
        <v>42</v>
      </c>
      <c r="D51" s="49" t="e">
        <f>VLOOKUP(A51,PARAMETER!D:E,2,0)</f>
        <v>#N/A</v>
      </c>
      <c r="E51" s="49" t="e">
        <f t="shared" si="1"/>
        <v>#N/A</v>
      </c>
      <c r="F51" s="49" t="str">
        <f t="shared" si="0"/>
        <v>DAMRITRX</v>
      </c>
      <c r="G51" s="50">
        <f t="shared" si="2"/>
        <v>1000.0000000000005</v>
      </c>
      <c r="H51" s="50">
        <f>SUMIF(I$1:BI$1,"&lt;="&amp;PARAMETER!X$2,I51:BI51)</f>
        <v>258.59334488413941</v>
      </c>
      <c r="I51" s="50">
        <v>0</v>
      </c>
      <c r="J51" s="50">
        <v>8.9846793601342014</v>
      </c>
      <c r="K51" s="50">
        <v>13.170911179865238</v>
      </c>
      <c r="L51" s="50">
        <v>6.4530846233008079</v>
      </c>
      <c r="M51" s="50">
        <v>36.087667870739253</v>
      </c>
      <c r="N51" s="50">
        <v>16.811119380788387</v>
      </c>
      <c r="O51" s="50">
        <v>26.987130822060557</v>
      </c>
      <c r="P51" s="50">
        <v>29.502179188064975</v>
      </c>
      <c r="Q51" s="50">
        <v>31.239551434381667</v>
      </c>
      <c r="R51" s="50">
        <v>50.664987478325834</v>
      </c>
      <c r="S51" s="50">
        <v>38.692033546478484</v>
      </c>
      <c r="T51" s="50">
        <v>37.659540006750355</v>
      </c>
      <c r="U51" s="50">
        <v>13.419106742299885</v>
      </c>
      <c r="V51" s="50">
        <v>38.106292019132717</v>
      </c>
      <c r="W51" s="50">
        <v>18.217554282703048</v>
      </c>
      <c r="X51" s="50">
        <v>21.940487719222745</v>
      </c>
      <c r="Y51" s="50">
        <v>22.122497798341488</v>
      </c>
      <c r="Z51" s="50">
        <v>34.863203336653342</v>
      </c>
      <c r="AA51" s="50">
        <v>42.176699243060924</v>
      </c>
      <c r="AB51" s="50">
        <v>45.386695183882352</v>
      </c>
      <c r="AC51" s="50">
        <v>38.68872427231269</v>
      </c>
      <c r="AD51" s="50">
        <v>33.423669074532391</v>
      </c>
      <c r="AE51" s="50">
        <v>38.751600481462795</v>
      </c>
      <c r="AF51" s="50">
        <v>9.745812418267116</v>
      </c>
      <c r="AG51" s="50">
        <v>9.7458157275412844</v>
      </c>
      <c r="AH51" s="50">
        <v>35.548223088972968</v>
      </c>
      <c r="AI51" s="50">
        <v>50.284420949259371</v>
      </c>
      <c r="AJ51" s="50">
        <v>15.801784141672492</v>
      </c>
      <c r="AK51" s="50">
        <v>15.61977406255375</v>
      </c>
      <c r="AL51" s="50">
        <v>12.128489817639725</v>
      </c>
      <c r="AM51" s="50">
        <v>11.532820467796572</v>
      </c>
      <c r="AN51" s="50">
        <v>13.419106742299885</v>
      </c>
      <c r="AO51" s="50">
        <v>17.108947437161628</v>
      </c>
      <c r="AP51" s="50">
        <v>16.81111276224005</v>
      </c>
      <c r="AQ51" s="50">
        <v>14.908280116907765</v>
      </c>
      <c r="AR51" s="50">
        <v>16.413999862344617</v>
      </c>
      <c r="AS51" s="50">
        <v>12.178128930126652</v>
      </c>
      <c r="AT51" s="50">
        <v>11.284624905361927</v>
      </c>
      <c r="AU51" s="50">
        <v>14.047868833800988</v>
      </c>
      <c r="AV51" s="50">
        <v>11.582459580283501</v>
      </c>
      <c r="AW51" s="50">
        <v>11.81410877188917</v>
      </c>
      <c r="AX51" s="50">
        <v>11.681737805257359</v>
      </c>
      <c r="AY51" s="50">
        <v>7.9257116270797097</v>
      </c>
      <c r="AZ51" s="50">
        <v>5.8905080151156097</v>
      </c>
      <c r="BA51" s="50">
        <v>5.4933951152201752</v>
      </c>
      <c r="BB51" s="50">
        <v>3.5243769865719794</v>
      </c>
      <c r="BC51" s="50">
        <v>3.9380362572963907</v>
      </c>
      <c r="BD51" s="50">
        <v>2.9618003783867812</v>
      </c>
      <c r="BE51" s="50">
        <v>2.9914183821706488</v>
      </c>
      <c r="BF51" s="50">
        <v>3.0213325659923553</v>
      </c>
      <c r="BG51" s="50">
        <v>3.0515458916522791</v>
      </c>
      <c r="BH51" s="50">
        <v>3.0820613505688015</v>
      </c>
      <c r="BI51" s="50">
        <v>3.1128819640744898</v>
      </c>
    </row>
    <row r="52" spans="1:61" x14ac:dyDescent="0.25">
      <c r="A52" s="48" t="s">
        <v>44</v>
      </c>
      <c r="B52" s="48" t="s">
        <v>136</v>
      </c>
      <c r="C52" s="49" t="s">
        <v>42</v>
      </c>
      <c r="D52" s="49" t="e">
        <f>VLOOKUP(A52,PARAMETER!D:E,2,0)</f>
        <v>#N/A</v>
      </c>
      <c r="E52" s="49" t="e">
        <f t="shared" si="1"/>
        <v>#N/A</v>
      </c>
      <c r="F52" s="49" t="str">
        <f t="shared" si="0"/>
        <v>DELTA WIBAWA BERSAMATRX</v>
      </c>
      <c r="G52" s="50">
        <f t="shared" si="2"/>
        <v>1999.9999999999998</v>
      </c>
      <c r="H52" s="50">
        <f>SUMIF(I$1:BI$1,"&lt;="&amp;PARAMETER!X$2,I52:BI52)</f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45.955733844434398</v>
      </c>
      <c r="AX52" s="50">
        <v>253.62099302931267</v>
      </c>
      <c r="AY52" s="50">
        <v>202.65868514593018</v>
      </c>
      <c r="AZ52" s="50">
        <v>221.58958689635992</v>
      </c>
      <c r="BA52" s="50">
        <v>286.93895425814242</v>
      </c>
      <c r="BB52" s="50">
        <v>241.81525649574215</v>
      </c>
      <c r="BC52" s="50">
        <v>155.6414345025695</v>
      </c>
      <c r="BD52" s="50">
        <v>96.192767742979058</v>
      </c>
      <c r="BE52" s="50">
        <v>97.154695420408842</v>
      </c>
      <c r="BF52" s="50">
        <v>98.126242374612943</v>
      </c>
      <c r="BG52" s="50">
        <v>99.107504798359074</v>
      </c>
      <c r="BH52" s="50">
        <v>100.09857984634267</v>
      </c>
      <c r="BI52" s="50">
        <v>101.09956564480609</v>
      </c>
    </row>
    <row r="53" spans="1:61" x14ac:dyDescent="0.25">
      <c r="A53" s="48" t="s">
        <v>8</v>
      </c>
      <c r="B53" s="48" t="s">
        <v>136</v>
      </c>
      <c r="C53" s="49" t="s">
        <v>42</v>
      </c>
      <c r="D53" s="49" t="str">
        <f>VLOOKUP(A53,PARAMETER!D:E,2,0)</f>
        <v>RIFALDI</v>
      </c>
      <c r="E53" s="49" t="str">
        <f t="shared" si="1"/>
        <v>RIFALDITRX</v>
      </c>
      <c r="F53" s="49" t="str">
        <f t="shared" si="0"/>
        <v>DWIDAYATRX</v>
      </c>
      <c r="G53" s="50">
        <f t="shared" si="2"/>
        <v>1200</v>
      </c>
      <c r="H53" s="50">
        <f>SUMIF(I$1:BI$1,"&lt;="&amp;PARAMETER!X$2,I53:BI53)</f>
        <v>101.87200427523101</v>
      </c>
      <c r="I53" s="50">
        <v>2.3467934909672268</v>
      </c>
      <c r="J53" s="50">
        <v>8.6531020940174805</v>
      </c>
      <c r="K53" s="50">
        <v>2.8303964274468303</v>
      </c>
      <c r="L53" s="50">
        <v>8.840655607700544</v>
      </c>
      <c r="M53" s="50">
        <v>16.302911594586067</v>
      </c>
      <c r="N53" s="50">
        <v>16.794348807518872</v>
      </c>
      <c r="O53" s="50">
        <v>7.0847746269999723</v>
      </c>
      <c r="P53" s="50">
        <v>5.8212812095047033</v>
      </c>
      <c r="Q53" s="50">
        <v>1.8995695260853414</v>
      </c>
      <c r="R53" s="50">
        <v>19.23135767525325</v>
      </c>
      <c r="S53" s="50">
        <v>12.066813215150715</v>
      </c>
      <c r="T53" s="50">
        <v>5.4336508304337894</v>
      </c>
      <c r="U53" s="50">
        <v>5.1891783864905809</v>
      </c>
      <c r="V53" s="50">
        <v>10.960247484420641</v>
      </c>
      <c r="W53" s="50">
        <v>10.338692291160836</v>
      </c>
      <c r="X53" s="50">
        <v>6.5477543131378351</v>
      </c>
      <c r="Y53" s="50">
        <v>23.491077588803694</v>
      </c>
      <c r="Z53" s="50">
        <v>66.615968268845407</v>
      </c>
      <c r="AA53" s="50">
        <v>16.798622178716709</v>
      </c>
      <c r="AB53" s="50">
        <v>26.85791956168655</v>
      </c>
      <c r="AC53" s="50">
        <v>18.448717992100306</v>
      </c>
      <c r="AD53" s="50">
        <v>9.7759253906507215</v>
      </c>
      <c r="AE53" s="50">
        <v>15.3820945904365</v>
      </c>
      <c r="AF53" s="50">
        <v>12.876778495609239</v>
      </c>
      <c r="AG53" s="50">
        <v>29.154244063988244</v>
      </c>
      <c r="AH53" s="50">
        <v>11.363843653105715</v>
      </c>
      <c r="AI53" s="50">
        <v>2.3318364543652694</v>
      </c>
      <c r="AJ53" s="50">
        <v>30.967595239833482</v>
      </c>
      <c r="AK53" s="50">
        <v>25.040378820200857</v>
      </c>
      <c r="AL53" s="50">
        <v>49.171698342283989</v>
      </c>
      <c r="AM53" s="50">
        <v>22.169537545871073</v>
      </c>
      <c r="AN53" s="50">
        <v>38.382707870483436</v>
      </c>
      <c r="AO53" s="50">
        <v>44.133656512356993</v>
      </c>
      <c r="AP53" s="50">
        <v>16.817140120574027</v>
      </c>
      <c r="AQ53" s="50">
        <v>24.599412732619189</v>
      </c>
      <c r="AR53" s="50">
        <v>17.621720953323269</v>
      </c>
      <c r="AS53" s="50">
        <v>28.637764421017067</v>
      </c>
      <c r="AT53" s="50">
        <v>33.263273276036742</v>
      </c>
      <c r="AU53" s="50">
        <v>66.511040149863106</v>
      </c>
      <c r="AV53" s="50">
        <v>23.930404363711968</v>
      </c>
      <c r="AW53" s="50">
        <v>29.690758220772953</v>
      </c>
      <c r="AX53" s="50">
        <v>85.780226419188182</v>
      </c>
      <c r="AY53" s="50">
        <v>32.133734613975605</v>
      </c>
      <c r="AZ53" s="50">
        <v>57.152241608157368</v>
      </c>
      <c r="BA53" s="50">
        <v>76.842617277979528</v>
      </c>
      <c r="BB53" s="50">
        <v>20.291832011290953</v>
      </c>
      <c r="BC53" s="50">
        <v>28.600540983788751</v>
      </c>
      <c r="BD53" s="50">
        <v>12.162382888619254</v>
      </c>
      <c r="BE53" s="50">
        <v>12.284006717505445</v>
      </c>
      <c r="BF53" s="50">
        <v>12.4068467846805</v>
      </c>
      <c r="BG53" s="50">
        <v>12.530915252527304</v>
      </c>
      <c r="BH53" s="50">
        <v>12.656224405052576</v>
      </c>
      <c r="BI53" s="50">
        <v>12.782786649103103</v>
      </c>
    </row>
    <row r="54" spans="1:61" x14ac:dyDescent="0.25">
      <c r="A54" s="48" t="s">
        <v>45</v>
      </c>
      <c r="B54" s="48" t="s">
        <v>136</v>
      </c>
      <c r="C54" s="49" t="s">
        <v>42</v>
      </c>
      <c r="D54" s="49" t="str">
        <f>VLOOKUP(A54,PARAMETER!D:E,2,0)</f>
        <v>NINA</v>
      </c>
      <c r="E54" s="49" t="str">
        <f t="shared" si="1"/>
        <v>NINATRX</v>
      </c>
      <c r="F54" s="49" t="str">
        <f t="shared" si="0"/>
        <v>EKA HOSPITALTRX</v>
      </c>
      <c r="G54" s="50">
        <f t="shared" si="2"/>
        <v>200</v>
      </c>
      <c r="H54" s="50">
        <f>SUMIF(I$1:BI$1,"&lt;="&amp;PARAMETER!X$2,I54:BI54)</f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  <c r="Q54" s="50">
        <v>0</v>
      </c>
      <c r="R54" s="50">
        <v>0</v>
      </c>
      <c r="S54" s="50">
        <v>0</v>
      </c>
      <c r="T54" s="50">
        <v>0</v>
      </c>
      <c r="U54" s="50">
        <v>10.86259869087387</v>
      </c>
      <c r="V54" s="50">
        <v>17.541528270240153</v>
      </c>
      <c r="W54" s="50">
        <v>0.13514790949884192</v>
      </c>
      <c r="X54" s="50">
        <v>20.383826484404743</v>
      </c>
      <c r="Y54" s="50">
        <v>0</v>
      </c>
      <c r="Z54" s="50">
        <v>7.5150035103587669</v>
      </c>
      <c r="AA54" s="50">
        <v>0.29595618422281517</v>
      </c>
      <c r="AB54" s="50">
        <v>1.3962009123483206</v>
      </c>
      <c r="AC54" s="50">
        <v>4.4459532347551678E-2</v>
      </c>
      <c r="AD54" s="50">
        <v>0</v>
      </c>
      <c r="AE54" s="50">
        <v>31.446919395125377</v>
      </c>
      <c r="AF54" s="50">
        <v>5.3350549715325234E-2</v>
      </c>
      <c r="AG54" s="50">
        <v>0</v>
      </c>
      <c r="AH54" s="50">
        <v>72.45482988075554</v>
      </c>
      <c r="AI54" s="50">
        <v>0</v>
      </c>
      <c r="AJ54" s="50">
        <v>0</v>
      </c>
      <c r="AK54" s="50">
        <v>0</v>
      </c>
      <c r="AL54" s="50">
        <v>4.4459532347551678E-2</v>
      </c>
      <c r="AM54" s="50">
        <v>6.481551661106924E-2</v>
      </c>
      <c r="AN54" s="50">
        <v>0</v>
      </c>
      <c r="AO54" s="50">
        <v>4.4459532347551678E-2</v>
      </c>
      <c r="AP54" s="50">
        <v>0</v>
      </c>
      <c r="AQ54" s="50">
        <v>2.4696312211943581</v>
      </c>
      <c r="AR54" s="50">
        <v>0</v>
      </c>
      <c r="AS54" s="50">
        <v>4.4459532347551678E-2</v>
      </c>
      <c r="AT54" s="50">
        <v>0</v>
      </c>
      <c r="AU54" s="50">
        <v>0</v>
      </c>
      <c r="AV54" s="50">
        <v>0.75679450732751741</v>
      </c>
      <c r="AW54" s="50">
        <v>1.3436149901266239</v>
      </c>
      <c r="AX54" s="50">
        <v>0</v>
      </c>
      <c r="AY54" s="50">
        <v>0</v>
      </c>
      <c r="AZ54" s="50">
        <v>0.7127083977094123</v>
      </c>
      <c r="BA54" s="50">
        <v>0</v>
      </c>
      <c r="BB54" s="50">
        <v>1.1270520345910795</v>
      </c>
      <c r="BC54" s="50">
        <v>1.8083618044661995</v>
      </c>
      <c r="BD54" s="50">
        <v>4.7876705962681774</v>
      </c>
      <c r="BE54" s="50">
        <v>4.8355473022308582</v>
      </c>
      <c r="BF54" s="50">
        <v>4.8839027752531665</v>
      </c>
      <c r="BG54" s="50">
        <v>4.9327418030056984</v>
      </c>
      <c r="BH54" s="50">
        <v>4.982069221035756</v>
      </c>
      <c r="BI54" s="50">
        <v>5.031889913246113</v>
      </c>
    </row>
    <row r="55" spans="1:61" x14ac:dyDescent="0.25">
      <c r="A55" s="52" t="s">
        <v>9</v>
      </c>
      <c r="B55" s="48" t="s">
        <v>136</v>
      </c>
      <c r="C55" s="49" t="s">
        <v>42</v>
      </c>
      <c r="D55" s="49" t="e">
        <f>VLOOKUP(A55,PARAMETER!D:E,2,0)</f>
        <v>#N/A</v>
      </c>
      <c r="E55" s="49" t="e">
        <f t="shared" si="1"/>
        <v>#N/A</v>
      </c>
      <c r="F55" s="49" t="str">
        <f t="shared" si="0"/>
        <v>ES TELLER 77TRX</v>
      </c>
      <c r="G55" s="50">
        <f t="shared" si="2"/>
        <v>0</v>
      </c>
      <c r="H55" s="50">
        <f>SUMIF(I$1:BI$1,"&lt;="&amp;PARAMETER!X$2,I55:BI55)</f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</row>
    <row r="56" spans="1:61" x14ac:dyDescent="0.25">
      <c r="A56" s="48" t="s">
        <v>10</v>
      </c>
      <c r="B56" s="48" t="s">
        <v>136</v>
      </c>
      <c r="C56" s="49" t="s">
        <v>42</v>
      </c>
      <c r="D56" s="49" t="str">
        <f>VLOOKUP(A56,PARAMETER!D:E,2,0)</f>
        <v>RIFALDI</v>
      </c>
      <c r="E56" s="49" t="str">
        <f t="shared" si="1"/>
        <v>RIFALDITRX</v>
      </c>
      <c r="F56" s="49" t="str">
        <f t="shared" si="0"/>
        <v>GRAMEDIATRX</v>
      </c>
      <c r="G56" s="50">
        <f t="shared" si="2"/>
        <v>0</v>
      </c>
      <c r="H56" s="50">
        <f>SUMIF(I$1:BI$1,"&lt;="&amp;PARAMETER!X$2,I56:BI56)</f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50">
        <v>0</v>
      </c>
      <c r="AH56" s="50">
        <v>0</v>
      </c>
      <c r="AI56" s="50">
        <v>0</v>
      </c>
      <c r="AJ56" s="50">
        <v>0</v>
      </c>
      <c r="AK56" s="50">
        <v>0</v>
      </c>
      <c r="AL56" s="50">
        <v>0</v>
      </c>
      <c r="AM56" s="50">
        <v>0</v>
      </c>
      <c r="AN56" s="50">
        <v>0</v>
      </c>
      <c r="AO56" s="50">
        <v>0</v>
      </c>
      <c r="AP56" s="50">
        <v>0</v>
      </c>
      <c r="AQ56" s="50">
        <v>0</v>
      </c>
      <c r="AR56" s="50">
        <v>0</v>
      </c>
      <c r="AS56" s="50">
        <v>0</v>
      </c>
      <c r="AT56" s="50">
        <v>0</v>
      </c>
      <c r="AU56" s="50">
        <v>0</v>
      </c>
      <c r="AV56" s="50">
        <v>0</v>
      </c>
      <c r="AW56" s="50">
        <v>0</v>
      </c>
      <c r="AX56" s="50">
        <v>0</v>
      </c>
      <c r="AY56" s="50">
        <v>0</v>
      </c>
      <c r="AZ56" s="50">
        <v>0</v>
      </c>
      <c r="BA56" s="50">
        <v>0</v>
      </c>
      <c r="BB56" s="50">
        <v>0</v>
      </c>
      <c r="BC56" s="50">
        <v>0</v>
      </c>
      <c r="BD56" s="50">
        <v>0</v>
      </c>
      <c r="BE56" s="50">
        <v>0</v>
      </c>
      <c r="BF56" s="50">
        <v>0</v>
      </c>
      <c r="BG56" s="50">
        <v>0</v>
      </c>
      <c r="BH56" s="50">
        <v>0</v>
      </c>
      <c r="BI56" s="50">
        <v>0</v>
      </c>
    </row>
    <row r="57" spans="1:61" x14ac:dyDescent="0.25">
      <c r="A57" s="48" t="s">
        <v>11</v>
      </c>
      <c r="B57" s="48" t="s">
        <v>136</v>
      </c>
      <c r="C57" s="49" t="s">
        <v>42</v>
      </c>
      <c r="D57" s="49" t="str">
        <f>VLOOKUP(A57,PARAMETER!D:E,2,0)</f>
        <v>NINA</v>
      </c>
      <c r="E57" s="49" t="str">
        <f t="shared" si="1"/>
        <v>NINATRX</v>
      </c>
      <c r="F57" s="49" t="str">
        <f t="shared" si="0"/>
        <v>HAUSTRX</v>
      </c>
      <c r="G57" s="50">
        <f t="shared" si="2"/>
        <v>180000.00000000003</v>
      </c>
      <c r="H57" s="50">
        <f>SUMIF(I$1:BI$1,"&lt;="&amp;PARAMETER!X$2,I57:BI57)</f>
        <v>55370.865890843954</v>
      </c>
      <c r="I57" s="50">
        <v>13134.137346364312</v>
      </c>
      <c r="J57" s="50">
        <v>10605.100552736933</v>
      </c>
      <c r="K57" s="50">
        <v>10549.755169194494</v>
      </c>
      <c r="L57" s="50">
        <v>10952.075139121902</v>
      </c>
      <c r="M57" s="50">
        <v>8932.2358801621467</v>
      </c>
      <c r="N57" s="50">
        <v>6.2582695104255368</v>
      </c>
      <c r="O57" s="50">
        <v>10.743002520276049</v>
      </c>
      <c r="P57" s="50">
        <v>8.6841133923168687</v>
      </c>
      <c r="Q57" s="50">
        <v>175.61876397709594</v>
      </c>
      <c r="R57" s="50">
        <v>953.02010561147711</v>
      </c>
      <c r="S57" s="50">
        <v>43.237548252579131</v>
      </c>
      <c r="T57" s="50">
        <v>282.9879392303821</v>
      </c>
      <c r="U57" s="50">
        <v>101.00873490642334</v>
      </c>
      <c r="V57" s="50">
        <v>322.37220775113985</v>
      </c>
      <c r="W57" s="50">
        <v>5716.5940643836584</v>
      </c>
      <c r="X57" s="50">
        <v>2.1609172676975525</v>
      </c>
      <c r="Y57" s="50">
        <v>30.822486969913395</v>
      </c>
      <c r="Z57" s="50">
        <v>267.28110972620334</v>
      </c>
      <c r="AA57" s="50">
        <v>157.35372921014249</v>
      </c>
      <c r="AB57" s="50">
        <v>5236.8873099357616</v>
      </c>
      <c r="AC57" s="50">
        <v>5645.2853030575998</v>
      </c>
      <c r="AD57" s="50">
        <v>6460.3280565024343</v>
      </c>
      <c r="AE57" s="50">
        <v>5667.6580865410606</v>
      </c>
      <c r="AF57" s="50">
        <v>4155.9192488717881</v>
      </c>
      <c r="AG57" s="50">
        <v>3719.6661670196281</v>
      </c>
      <c r="AH57" s="50">
        <v>5061.6763527389785</v>
      </c>
      <c r="AI57" s="50">
        <v>5687.1858443968886</v>
      </c>
      <c r="AJ57" s="50">
        <v>6068.1230401528037</v>
      </c>
      <c r="AK57" s="50">
        <v>5701.977029954488</v>
      </c>
      <c r="AL57" s="50">
        <v>4972.0563433007537</v>
      </c>
      <c r="AM57" s="50">
        <v>5969.0258906105537</v>
      </c>
      <c r="AN57" s="50">
        <v>5066.3244123133818</v>
      </c>
      <c r="AO57" s="50">
        <v>4534.1880367428657</v>
      </c>
      <c r="AP57" s="50">
        <v>4265.2567823901809</v>
      </c>
      <c r="AQ57" s="50">
        <v>4426.4841561896064</v>
      </c>
      <c r="AR57" s="50">
        <v>4459.8072397264104</v>
      </c>
      <c r="AS57" s="50">
        <v>4101.9240411094279</v>
      </c>
      <c r="AT57" s="50">
        <v>3850.7391394083111</v>
      </c>
      <c r="AU57" s="50">
        <v>4001.3212171557461</v>
      </c>
      <c r="AV57" s="50">
        <v>3837.1167621264435</v>
      </c>
      <c r="AW57" s="50">
        <v>3587.4056523171676</v>
      </c>
      <c r="AX57" s="50">
        <v>3156.6877958019309</v>
      </c>
      <c r="AY57" s="50">
        <v>3377.6535729467164</v>
      </c>
      <c r="AZ57" s="50">
        <v>3167.962893927292</v>
      </c>
      <c r="BA57" s="50">
        <v>1265.7402882614256</v>
      </c>
      <c r="BB57" s="50">
        <v>189.56237191350834</v>
      </c>
      <c r="BC57" s="50">
        <v>8.317179023627423</v>
      </c>
      <c r="BD57" s="50">
        <v>17.274454668190881</v>
      </c>
      <c r="BE57" s="50">
        <v>17.447199214872789</v>
      </c>
      <c r="BF57" s="50">
        <v>17.621671207021517</v>
      </c>
      <c r="BG57" s="50">
        <v>17.797887919091728</v>
      </c>
      <c r="BH57" s="50">
        <v>17.975866798282649</v>
      </c>
      <c r="BI57" s="50">
        <v>18.155625466265473</v>
      </c>
    </row>
    <row r="58" spans="1:61" x14ac:dyDescent="0.25">
      <c r="A58" s="48" t="s">
        <v>12</v>
      </c>
      <c r="B58" s="48" t="s">
        <v>136</v>
      </c>
      <c r="C58" s="49" t="s">
        <v>42</v>
      </c>
      <c r="D58" s="49" t="e">
        <f>VLOOKUP(A58,PARAMETER!D:E,2,0)</f>
        <v>#N/A</v>
      </c>
      <c r="E58" s="49" t="e">
        <f t="shared" si="1"/>
        <v>#N/A</v>
      </c>
      <c r="F58" s="49" t="str">
        <f t="shared" si="0"/>
        <v>HEAVENLY WANGTRX</v>
      </c>
      <c r="G58" s="50">
        <f t="shared" si="2"/>
        <v>0</v>
      </c>
      <c r="H58" s="50">
        <f>SUMIF(I$1:BI$1,"&lt;="&amp;PARAMETER!X$2,I58:BI58)</f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0</v>
      </c>
      <c r="BB58" s="50">
        <v>0</v>
      </c>
      <c r="BC58" s="50">
        <v>0</v>
      </c>
      <c r="BD58" s="50">
        <v>0</v>
      </c>
      <c r="BE58" s="50">
        <v>0</v>
      </c>
      <c r="BF58" s="50">
        <v>0</v>
      </c>
      <c r="BG58" s="50">
        <v>0</v>
      </c>
      <c r="BH58" s="50">
        <v>0</v>
      </c>
      <c r="BI58" s="50">
        <v>0</v>
      </c>
    </row>
    <row r="59" spans="1:61" x14ac:dyDescent="0.25">
      <c r="A59" s="48" t="s">
        <v>13</v>
      </c>
      <c r="B59" s="48" t="s">
        <v>136</v>
      </c>
      <c r="C59" s="49" t="s">
        <v>42</v>
      </c>
      <c r="D59" s="49" t="str">
        <f>VLOOKUP(A59,PARAMETER!D:E,2,0)</f>
        <v>ADISTI</v>
      </c>
      <c r="E59" s="49" t="str">
        <f t="shared" si="1"/>
        <v>ADISTITRX</v>
      </c>
      <c r="F59" s="49" t="str">
        <f t="shared" si="0"/>
        <v>HERO GROUPTRX</v>
      </c>
      <c r="G59" s="50">
        <f t="shared" si="2"/>
        <v>1999.9999999999995</v>
      </c>
      <c r="H59" s="50">
        <f>SUMIF(I$1:BI$1,"&lt;="&amp;PARAMETER!X$2,I59:BI59)</f>
        <v>11.500498515694028</v>
      </c>
      <c r="I59" s="50">
        <v>0</v>
      </c>
      <c r="J59" s="50">
        <v>0.47758123249253692</v>
      </c>
      <c r="K59" s="50">
        <v>0</v>
      </c>
      <c r="L59" s="50">
        <v>0</v>
      </c>
      <c r="M59" s="50">
        <v>3.0680796201986622</v>
      </c>
      <c r="N59" s="50">
        <v>0</v>
      </c>
      <c r="O59" s="50">
        <v>0.96496052570764379</v>
      </c>
      <c r="P59" s="50">
        <v>0</v>
      </c>
      <c r="Q59" s="50">
        <v>6.9898771372951849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1.2866140342768584</v>
      </c>
      <c r="Z59" s="50">
        <v>0.4417539801534428</v>
      </c>
      <c r="AA59" s="50">
        <v>1.8507448031520963</v>
      </c>
      <c r="AB59" s="50">
        <v>11.823488123452684</v>
      </c>
      <c r="AC59" s="50">
        <v>4.6367590389131399</v>
      </c>
      <c r="AD59" s="50">
        <v>8.4007879843142206</v>
      </c>
      <c r="AE59" s="50">
        <v>125.71896661644982</v>
      </c>
      <c r="AF59" s="50">
        <v>106.32318087347792</v>
      </c>
      <c r="AG59" s="50">
        <v>36.26507719792744</v>
      </c>
      <c r="AH59" s="50">
        <v>173.92849345111404</v>
      </c>
      <c r="AI59" s="50">
        <v>85.64063264076367</v>
      </c>
      <c r="AJ59" s="50">
        <v>13.460813349411348</v>
      </c>
      <c r="AK59" s="50">
        <v>34.289966302815934</v>
      </c>
      <c r="AL59" s="50">
        <v>5.9452059236485733</v>
      </c>
      <c r="AM59" s="50">
        <v>16.611275855927861</v>
      </c>
      <c r="AN59" s="50">
        <v>22.510272541683829</v>
      </c>
      <c r="AO59" s="50">
        <v>4.8733475657545879</v>
      </c>
      <c r="AP59" s="50">
        <v>8.2500660987142034</v>
      </c>
      <c r="AQ59" s="50">
        <v>12.294289889687684</v>
      </c>
      <c r="AR59" s="50">
        <v>24.430355944252412</v>
      </c>
      <c r="AS59" s="50">
        <v>26.643094554463822</v>
      </c>
      <c r="AT59" s="50">
        <v>5.174662675551196</v>
      </c>
      <c r="AU59" s="50">
        <v>23.888810200194257</v>
      </c>
      <c r="AV59" s="50">
        <v>71.993646240592454</v>
      </c>
      <c r="AW59" s="50">
        <v>59.590647362039412</v>
      </c>
      <c r="AX59" s="50">
        <v>54.594942801625095</v>
      </c>
      <c r="AY59" s="50">
        <v>67.659419646292974</v>
      </c>
      <c r="AZ59" s="50">
        <v>76.548111466467049</v>
      </c>
      <c r="BA59" s="50">
        <v>53.615443537330123</v>
      </c>
      <c r="BB59" s="50">
        <v>41.307119657637784</v>
      </c>
      <c r="BC59" s="50">
        <v>78.01973070184188</v>
      </c>
      <c r="BD59" s="50">
        <v>118.73862032003933</v>
      </c>
      <c r="BE59" s="50">
        <v>119.92600652323974</v>
      </c>
      <c r="BF59" s="50">
        <v>121.12526658847213</v>
      </c>
      <c r="BG59" s="50">
        <v>122.33651925435684</v>
      </c>
      <c r="BH59" s="50">
        <v>123.55988444690043</v>
      </c>
      <c r="BI59" s="50">
        <v>124.79548329136944</v>
      </c>
    </row>
    <row r="60" spans="1:61" x14ac:dyDescent="0.25">
      <c r="A60" s="48" t="s">
        <v>46</v>
      </c>
      <c r="B60" s="48" t="s">
        <v>136</v>
      </c>
      <c r="C60" s="49" t="s">
        <v>42</v>
      </c>
      <c r="D60" s="49" t="str">
        <f>VLOOKUP(A60,PARAMETER!D:E,2,0)</f>
        <v>NINA</v>
      </c>
      <c r="E60" s="49" t="str">
        <f t="shared" si="1"/>
        <v>NINATRX</v>
      </c>
      <c r="F60" s="49" t="str">
        <f t="shared" si="0"/>
        <v>HOKBENTRX</v>
      </c>
      <c r="G60" s="50">
        <f t="shared" si="2"/>
        <v>19999.999999999993</v>
      </c>
      <c r="H60" s="50">
        <f>SUMIF(I$1:BI$1,"&lt;="&amp;PARAMETER!X$2,I60:BI60)</f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362.9540009218282</v>
      </c>
      <c r="X60" s="50">
        <v>469.9884120868096</v>
      </c>
      <c r="Y60" s="50">
        <v>0</v>
      </c>
      <c r="Z60" s="50">
        <v>50.872173715072684</v>
      </c>
      <c r="AA60" s="50">
        <v>612.28268886555588</v>
      </c>
      <c r="AB60" s="50">
        <v>585.57315306630312</v>
      </c>
      <c r="AC60" s="50">
        <v>650.13139067536576</v>
      </c>
      <c r="AD60" s="50">
        <v>680.56793345688584</v>
      </c>
      <c r="AE60" s="50">
        <v>375.88150662864842</v>
      </c>
      <c r="AF60" s="50">
        <v>613.07476435226852</v>
      </c>
      <c r="AG60" s="50">
        <v>349.59293810649166</v>
      </c>
      <c r="AH60" s="50">
        <v>589.06237064982281</v>
      </c>
      <c r="AI60" s="50">
        <v>768.0564229008105</v>
      </c>
      <c r="AJ60" s="50">
        <v>617.77885897967121</v>
      </c>
      <c r="AK60" s="50">
        <v>665.63772741418813</v>
      </c>
      <c r="AL60" s="50">
        <v>668.74516461311225</v>
      </c>
      <c r="AM60" s="50">
        <v>574.41814554601183</v>
      </c>
      <c r="AN60" s="50">
        <v>510.75862179708366</v>
      </c>
      <c r="AO60" s="50">
        <v>531.66191077326471</v>
      </c>
      <c r="AP60" s="50">
        <v>495.79339768023652</v>
      </c>
      <c r="AQ60" s="50">
        <v>514.51972971346322</v>
      </c>
      <c r="AR60" s="50">
        <v>596.42033503954792</v>
      </c>
      <c r="AS60" s="50">
        <v>492.91783015800161</v>
      </c>
      <c r="AT60" s="50">
        <v>463.23084091601271</v>
      </c>
      <c r="AU60" s="50">
        <v>492.38330426902115</v>
      </c>
      <c r="AV60" s="50">
        <v>501.93823592978595</v>
      </c>
      <c r="AW60" s="50">
        <v>521.14825094338289</v>
      </c>
      <c r="AX60" s="50">
        <v>525.02515195828323</v>
      </c>
      <c r="AY60" s="50">
        <v>573.43356236548129</v>
      </c>
      <c r="AZ60" s="50">
        <v>550.43409980835384</v>
      </c>
      <c r="BA60" s="50">
        <v>354.38707921027867</v>
      </c>
      <c r="BB60" s="50">
        <v>490.44480373575072</v>
      </c>
      <c r="BC60" s="50">
        <v>432.03132099987073</v>
      </c>
      <c r="BD60" s="50">
        <v>539.47427636326177</v>
      </c>
      <c r="BE60" s="50">
        <v>544.86901912689439</v>
      </c>
      <c r="BF60" s="50">
        <v>550.31770931816345</v>
      </c>
      <c r="BG60" s="50">
        <v>555.82088641134499</v>
      </c>
      <c r="BH60" s="50">
        <v>561.37909527545855</v>
      </c>
      <c r="BI60" s="50">
        <v>566.99288622821314</v>
      </c>
    </row>
    <row r="61" spans="1:61" x14ac:dyDescent="0.25">
      <c r="A61" s="48" t="s">
        <v>14</v>
      </c>
      <c r="B61" s="48" t="s">
        <v>136</v>
      </c>
      <c r="C61" s="49" t="s">
        <v>42</v>
      </c>
      <c r="D61" s="49" t="str">
        <f>VLOOKUP(A61,PARAMETER!D:E,2,0)</f>
        <v>NINA</v>
      </c>
      <c r="E61" s="49" t="str">
        <f t="shared" si="1"/>
        <v>NINATRX</v>
      </c>
      <c r="F61" s="49" t="str">
        <f t="shared" si="0"/>
        <v>HOKKAIDO BAKED CHEESETRX</v>
      </c>
      <c r="G61" s="50">
        <f t="shared" si="2"/>
        <v>40000.000000000029</v>
      </c>
      <c r="H61" s="50">
        <f>SUMIF(I$1:BI$1,"&lt;="&amp;PARAMETER!X$2,I61:BI61)</f>
        <v>8221.0190193632479</v>
      </c>
      <c r="I61" s="50">
        <v>746.06605913193982</v>
      </c>
      <c r="J61" s="50">
        <v>408.22680467757584</v>
      </c>
      <c r="K61" s="50">
        <v>381.86637449147935</v>
      </c>
      <c r="L61" s="50">
        <v>366.85876394744099</v>
      </c>
      <c r="M61" s="50">
        <v>425.83641712605584</v>
      </c>
      <c r="N61" s="50">
        <v>775.22155296997369</v>
      </c>
      <c r="O61" s="50">
        <v>492.45433721769183</v>
      </c>
      <c r="P61" s="50">
        <v>434.67467910138953</v>
      </c>
      <c r="Q61" s="50">
        <v>1083.6806782551382</v>
      </c>
      <c r="R61" s="50">
        <v>1353.9694662013783</v>
      </c>
      <c r="S61" s="50">
        <v>1752.1638862431839</v>
      </c>
      <c r="T61" s="50">
        <v>2277.4444660988543</v>
      </c>
      <c r="U61" s="50">
        <v>3456.7495698728699</v>
      </c>
      <c r="V61" s="50">
        <v>2053.8854104982679</v>
      </c>
      <c r="W61" s="50">
        <v>1187.9282403167447</v>
      </c>
      <c r="X61" s="50">
        <v>1515.1639938976916</v>
      </c>
      <c r="Y61" s="50">
        <v>1447.3566880837286</v>
      </c>
      <c r="Z61" s="50">
        <v>1491.5858394317552</v>
      </c>
      <c r="AA61" s="50">
        <v>1215.3584440351208</v>
      </c>
      <c r="AB61" s="50">
        <v>1019.9751285755326</v>
      </c>
      <c r="AC61" s="50">
        <v>665.55896821398517</v>
      </c>
      <c r="AD61" s="50">
        <v>740.73390583770981</v>
      </c>
      <c r="AE61" s="50">
        <v>775.72791904601547</v>
      </c>
      <c r="AF61" s="50">
        <v>478.3681061638008</v>
      </c>
      <c r="AG61" s="50">
        <v>723.14210643786055</v>
      </c>
      <c r="AH61" s="50">
        <v>841.02079327145498</v>
      </c>
      <c r="AI61" s="50">
        <v>643.99637190788189</v>
      </c>
      <c r="AJ61" s="50">
        <v>400.60361235515313</v>
      </c>
      <c r="AK61" s="50">
        <v>830.48245681658807</v>
      </c>
      <c r="AL61" s="50">
        <v>562.4963251041695</v>
      </c>
      <c r="AM61" s="50">
        <v>698.80017023255459</v>
      </c>
      <c r="AN61" s="50">
        <v>820.8471824904351</v>
      </c>
      <c r="AO61" s="50">
        <v>1964.7120282706285</v>
      </c>
      <c r="AP61" s="50">
        <v>504.70812969256792</v>
      </c>
      <c r="AQ61" s="50">
        <v>363.97389659431764</v>
      </c>
      <c r="AR61" s="50">
        <v>344.47629911386275</v>
      </c>
      <c r="AS61" s="50">
        <v>533.31786702245108</v>
      </c>
      <c r="AT61" s="50">
        <v>454.28344153245018</v>
      </c>
      <c r="AU61" s="50">
        <v>258.42538761400488</v>
      </c>
      <c r="AV61" s="50">
        <v>330.34604875678286</v>
      </c>
      <c r="AW61" s="50">
        <v>124.3547476420699</v>
      </c>
      <c r="AX61" s="50">
        <v>358.36156151596197</v>
      </c>
      <c r="AY61" s="50">
        <v>330.92415332897889</v>
      </c>
      <c r="AZ61" s="50">
        <v>214.97788508749301</v>
      </c>
      <c r="BA61" s="50">
        <v>382.93301407991498</v>
      </c>
      <c r="BB61" s="50">
        <v>425.8746908655304</v>
      </c>
      <c r="BC61" s="50">
        <v>353.42091705700699</v>
      </c>
      <c r="BD61" s="50">
        <v>160.38081898949767</v>
      </c>
      <c r="BE61" s="50">
        <v>161.98462717939265</v>
      </c>
      <c r="BF61" s="50">
        <v>163.60447345118655</v>
      </c>
      <c r="BG61" s="50">
        <v>165.24051818569842</v>
      </c>
      <c r="BH61" s="50">
        <v>166.89292336755537</v>
      </c>
      <c r="BI61" s="50">
        <v>168.56185260123095</v>
      </c>
    </row>
    <row r="62" spans="1:61" x14ac:dyDescent="0.25">
      <c r="A62" s="48" t="s">
        <v>15</v>
      </c>
      <c r="B62" s="48" t="s">
        <v>136</v>
      </c>
      <c r="C62" s="49" t="s">
        <v>42</v>
      </c>
      <c r="D62" s="49" t="str">
        <f>VLOOKUP(A62,PARAMETER!D:E,2,0)</f>
        <v>NINA</v>
      </c>
      <c r="E62" s="49" t="str">
        <f t="shared" si="1"/>
        <v>NINATRX</v>
      </c>
      <c r="F62" s="49" t="str">
        <f t="shared" si="0"/>
        <v>HOP HOPTRX</v>
      </c>
      <c r="G62" s="50">
        <f t="shared" si="2"/>
        <v>115000.00000000006</v>
      </c>
      <c r="H62" s="50">
        <f>SUMIF(I$1:BI$1,"&lt;="&amp;PARAMETER!X$2,I62:BI62)</f>
        <v>15454.389157086853</v>
      </c>
      <c r="I62" s="50">
        <v>31.000259086730356</v>
      </c>
      <c r="J62" s="50">
        <v>19.034159079252433</v>
      </c>
      <c r="K62" s="50">
        <v>88.102736324487665</v>
      </c>
      <c r="L62" s="50">
        <v>265.36221778241179</v>
      </c>
      <c r="M62" s="50">
        <v>870.61127619173533</v>
      </c>
      <c r="N62" s="50">
        <v>2885.453740371845</v>
      </c>
      <c r="O62" s="50">
        <v>2109.1181580955022</v>
      </c>
      <c r="P62" s="50">
        <v>2108.3152823854148</v>
      </c>
      <c r="Q62" s="50">
        <v>1320.5725657731866</v>
      </c>
      <c r="R62" s="50">
        <v>1503.3886266705936</v>
      </c>
      <c r="S62" s="50">
        <v>4253.4301353256924</v>
      </c>
      <c r="T62" s="50">
        <v>3612.5997235428372</v>
      </c>
      <c r="U62" s="50">
        <v>4190.9760833617929</v>
      </c>
      <c r="V62" s="50">
        <v>3236.3600880950216</v>
      </c>
      <c r="W62" s="50">
        <v>2569.2395965910746</v>
      </c>
      <c r="X62" s="50">
        <v>3117.698877376049</v>
      </c>
      <c r="Y62" s="50">
        <v>2615.0268552611387</v>
      </c>
      <c r="Z62" s="50">
        <v>2617.01087184269</v>
      </c>
      <c r="AA62" s="50">
        <v>3358.7231327523182</v>
      </c>
      <c r="AB62" s="50">
        <v>3374.0489788390973</v>
      </c>
      <c r="AC62" s="50">
        <v>2792.7513406053645</v>
      </c>
      <c r="AD62" s="50">
        <v>2454.2603486443509</v>
      </c>
      <c r="AE62" s="50">
        <v>3332.8963829035365</v>
      </c>
      <c r="AF62" s="50">
        <v>2715.5685385449542</v>
      </c>
      <c r="AG62" s="50">
        <v>2415.045299901969</v>
      </c>
      <c r="AH62" s="50">
        <v>2918.7828939224669</v>
      </c>
      <c r="AI62" s="50">
        <v>1935.3151745254893</v>
      </c>
      <c r="AJ62" s="50">
        <v>1927.5651097538068</v>
      </c>
      <c r="AK62" s="50">
        <v>3331.0435284181817</v>
      </c>
      <c r="AL62" s="50">
        <v>1802.2434933700497</v>
      </c>
      <c r="AM62" s="50">
        <v>2025.3926273538018</v>
      </c>
      <c r="AN62" s="50">
        <v>1383.0171316578055</v>
      </c>
      <c r="AO62" s="50">
        <v>3608.2061498232524</v>
      </c>
      <c r="AP62" s="50">
        <v>1562.3510574530364</v>
      </c>
      <c r="AQ62" s="50">
        <v>2120.6347853464813</v>
      </c>
      <c r="AR62" s="50">
        <v>2025.4174275610712</v>
      </c>
      <c r="AS62" s="50">
        <v>3247.9156826716735</v>
      </c>
      <c r="AT62" s="50">
        <v>2373.369791596132</v>
      </c>
      <c r="AU62" s="50">
        <v>2314.200434084285</v>
      </c>
      <c r="AV62" s="50">
        <v>1879.4837079102881</v>
      </c>
      <c r="AW62" s="50">
        <v>2350.3156429195487</v>
      </c>
      <c r="AX62" s="50">
        <v>1943.7162757382525</v>
      </c>
      <c r="AY62" s="50">
        <v>2916.4113741023316</v>
      </c>
      <c r="AZ62" s="50">
        <v>1659.8469032810624</v>
      </c>
      <c r="BA62" s="50">
        <v>1607.5494352014894</v>
      </c>
      <c r="BB62" s="50">
        <v>1910.2022056421793</v>
      </c>
      <c r="BC62" s="50">
        <v>1847.7860049946246</v>
      </c>
      <c r="BD62" s="50">
        <v>1373.9624829829761</v>
      </c>
      <c r="BE62" s="50">
        <v>1387.7021078128059</v>
      </c>
      <c r="BF62" s="50">
        <v>1401.5791288909338</v>
      </c>
      <c r="BG62" s="50">
        <v>1415.5949201798433</v>
      </c>
      <c r="BH62" s="50">
        <v>1429.7508693816419</v>
      </c>
      <c r="BI62" s="50">
        <v>1444.0483780754582</v>
      </c>
    </row>
    <row r="63" spans="1:61" x14ac:dyDescent="0.25">
      <c r="A63" s="48" t="s">
        <v>16</v>
      </c>
      <c r="B63" s="48" t="s">
        <v>136</v>
      </c>
      <c r="C63" s="49" t="s">
        <v>42</v>
      </c>
      <c r="D63" s="49" t="str">
        <f>VLOOKUP(A63,PARAMETER!D:E,2,0)</f>
        <v>ADISTI</v>
      </c>
      <c r="E63" s="49" t="str">
        <f t="shared" si="1"/>
        <v>ADISTITRX</v>
      </c>
      <c r="F63" s="49" t="str">
        <f t="shared" si="0"/>
        <v>IKEATRX</v>
      </c>
      <c r="G63" s="50">
        <f t="shared" si="2"/>
        <v>250</v>
      </c>
      <c r="H63" s="50">
        <f>SUMIF(I$1:BI$1,"&lt;="&amp;PARAMETER!X$2,I63:BI63)</f>
        <v>44.473655662476425</v>
      </c>
      <c r="I63" s="50">
        <v>16.737295907311772</v>
      </c>
      <c r="J63" s="50">
        <v>1.9305772689972234</v>
      </c>
      <c r="K63" s="50">
        <v>5.494666194059449</v>
      </c>
      <c r="L63" s="50">
        <v>3.4072098786089495</v>
      </c>
      <c r="M63" s="50">
        <v>4.1846440906349827</v>
      </c>
      <c r="N63" s="50">
        <v>2.0702632938869834</v>
      </c>
      <c r="O63" s="50">
        <v>2.6607859641084435</v>
      </c>
      <c r="P63" s="50">
        <v>2.617483296392618</v>
      </c>
      <c r="Q63" s="50">
        <v>3.3244109873555443</v>
      </c>
      <c r="R63" s="50">
        <v>0.58412039408067939</v>
      </c>
      <c r="S63" s="50">
        <v>1.4621983870397841</v>
      </c>
      <c r="T63" s="50">
        <v>7.0109579942377911</v>
      </c>
      <c r="U63" s="50">
        <v>7.6142386547325174</v>
      </c>
      <c r="V63" s="50">
        <v>3.1883335181087697</v>
      </c>
      <c r="W63" s="50">
        <v>3.2983362627094559</v>
      </c>
      <c r="X63" s="50">
        <v>16.238663360463629</v>
      </c>
      <c r="Y63" s="50">
        <v>3.2778489790589571</v>
      </c>
      <c r="Z63" s="50">
        <v>22.877660751424131</v>
      </c>
      <c r="AA63" s="50">
        <v>34.05044745223158</v>
      </c>
      <c r="AB63" s="50">
        <v>0.82985139286591525</v>
      </c>
      <c r="AC63" s="50">
        <v>0.92157854921019089</v>
      </c>
      <c r="AD63" s="50">
        <v>0.38262330317720072</v>
      </c>
      <c r="AE63" s="50">
        <v>9.5487038514225038</v>
      </c>
      <c r="AF63" s="50">
        <v>1.4023312848724481</v>
      </c>
      <c r="AG63" s="50">
        <v>0.48785344192748648</v>
      </c>
      <c r="AH63" s="50">
        <v>5.3355405307058623</v>
      </c>
      <c r="AI63" s="50">
        <v>0.45630768130654908</v>
      </c>
      <c r="AJ63" s="50">
        <v>3.6182172597070053</v>
      </c>
      <c r="AK63" s="50">
        <v>0.56386592047166417</v>
      </c>
      <c r="AL63" s="50">
        <v>1.68030647440307</v>
      </c>
      <c r="AM63" s="50">
        <v>3.1729680553708968</v>
      </c>
      <c r="AN63" s="50">
        <v>1.1844210860444226</v>
      </c>
      <c r="AO63" s="50">
        <v>3.0041807752957692</v>
      </c>
      <c r="AP63" s="50">
        <v>0.54454268702858066</v>
      </c>
      <c r="AQ63" s="50">
        <v>2.5413544128276988</v>
      </c>
      <c r="AR63" s="50">
        <v>5.2336977780591534</v>
      </c>
      <c r="AS63" s="50">
        <v>1.7477049814123795</v>
      </c>
      <c r="AT63" s="50">
        <v>9.6455528286794046</v>
      </c>
      <c r="AU63" s="50">
        <v>10.581449195440795</v>
      </c>
      <c r="AV63" s="50">
        <v>0.52789676906255101</v>
      </c>
      <c r="AW63" s="50">
        <v>4.4578815958214273</v>
      </c>
      <c r="AX63" s="50">
        <v>1.9020580389155639</v>
      </c>
      <c r="AY63" s="50">
        <v>2.3396245118827368</v>
      </c>
      <c r="AZ63" s="50">
        <v>1.2122418860016331</v>
      </c>
      <c r="BA63" s="50">
        <v>8.0686722152051278</v>
      </c>
      <c r="BB63" s="50">
        <v>1.6072623238877999</v>
      </c>
      <c r="BC63" s="50">
        <v>3.3685284902165606</v>
      </c>
      <c r="BD63" s="50">
        <v>3.5114738556870813</v>
      </c>
      <c r="BE63" s="50">
        <v>3.5465885942439521</v>
      </c>
      <c r="BF63" s="50">
        <v>3.5820544801863918</v>
      </c>
      <c r="BG63" s="50">
        <v>3.6178750249882552</v>
      </c>
      <c r="BH63" s="50">
        <v>3.6540537752381379</v>
      </c>
      <c r="BI63" s="50">
        <v>3.6905943129905197</v>
      </c>
    </row>
    <row r="64" spans="1:61" x14ac:dyDescent="0.25">
      <c r="A64" s="48" t="s">
        <v>17</v>
      </c>
      <c r="B64" s="48" t="s">
        <v>136</v>
      </c>
      <c r="C64" s="49" t="s">
        <v>42</v>
      </c>
      <c r="D64" s="49" t="str">
        <f>VLOOKUP(A64,PARAMETER!D:E,2,0)</f>
        <v>ADISTI</v>
      </c>
      <c r="E64" s="49" t="str">
        <f t="shared" si="1"/>
        <v>ADISTITRX</v>
      </c>
      <c r="F64" s="49" t="str">
        <f t="shared" si="0"/>
        <v>INDOMARETTRX</v>
      </c>
      <c r="G64" s="50">
        <f t="shared" si="2"/>
        <v>1600000.0000000012</v>
      </c>
      <c r="H64" s="50">
        <f>SUMIF(I$1:BI$1,"&lt;="&amp;PARAMETER!X$2,I64:BI64)</f>
        <v>348905.52792315918</v>
      </c>
      <c r="I64" s="50">
        <v>33636.697771314299</v>
      </c>
      <c r="J64" s="50">
        <v>28006.336797787644</v>
      </c>
      <c r="K64" s="50">
        <v>28232.833889232756</v>
      </c>
      <c r="L64" s="50">
        <v>34246.346998989342</v>
      </c>
      <c r="M64" s="50">
        <v>31750.092416059888</v>
      </c>
      <c r="N64" s="50">
        <v>29775.642563694131</v>
      </c>
      <c r="O64" s="50">
        <v>29812.828610548153</v>
      </c>
      <c r="P64" s="50">
        <v>30011.136338775857</v>
      </c>
      <c r="Q64" s="50">
        <v>38120.808171827986</v>
      </c>
      <c r="R64" s="50">
        <v>31109.691875137356</v>
      </c>
      <c r="S64" s="50">
        <v>34203.112489791769</v>
      </c>
      <c r="T64" s="50">
        <v>40498.623591637872</v>
      </c>
      <c r="U64" s="50">
        <v>42893.480964158945</v>
      </c>
      <c r="V64" s="50">
        <v>32165.752193525004</v>
      </c>
      <c r="W64" s="50">
        <v>27131.506738188105</v>
      </c>
      <c r="X64" s="50">
        <v>27082.989276688957</v>
      </c>
      <c r="Y64" s="50">
        <v>28364.841408900054</v>
      </c>
      <c r="Z64" s="50">
        <v>29702.858662554539</v>
      </c>
      <c r="AA64" s="50">
        <v>29364.597502236928</v>
      </c>
      <c r="AB64" s="50">
        <v>27809.094184894006</v>
      </c>
      <c r="AC64" s="50">
        <v>29707.506855333664</v>
      </c>
      <c r="AD64" s="50">
        <v>14536.993437647056</v>
      </c>
      <c r="AE64" s="50">
        <v>33218.222036938605</v>
      </c>
      <c r="AF64" s="50">
        <v>29573.15534969416</v>
      </c>
      <c r="AG64" s="50">
        <v>31922.684229167884</v>
      </c>
      <c r="AH64" s="50">
        <v>36228.57603485525</v>
      </c>
      <c r="AI64" s="50">
        <v>36802.446442568384</v>
      </c>
      <c r="AJ64" s="50">
        <v>34024.206085819351</v>
      </c>
      <c r="AK64" s="50">
        <v>32491.895653801988</v>
      </c>
      <c r="AL64" s="50">
        <v>33579.126689899589</v>
      </c>
      <c r="AM64" s="50">
        <v>30124.128826924101</v>
      </c>
      <c r="AN64" s="50">
        <v>27691.702453900612</v>
      </c>
      <c r="AO64" s="50">
        <v>31792.452449291479</v>
      </c>
      <c r="AP64" s="50">
        <v>30906.458852787266</v>
      </c>
      <c r="AQ64" s="50">
        <v>35207.91695108953</v>
      </c>
      <c r="AR64" s="50">
        <v>32728.094588402597</v>
      </c>
      <c r="AS64" s="50">
        <v>29890.786444382233</v>
      </c>
      <c r="AT64" s="50">
        <v>29370.161850528493</v>
      </c>
      <c r="AU64" s="50">
        <v>31407.070468062659</v>
      </c>
      <c r="AV64" s="50">
        <v>33867.553746661964</v>
      </c>
      <c r="AW64" s="50">
        <v>28997.824074951335</v>
      </c>
      <c r="AX64" s="50">
        <v>28051.702375109449</v>
      </c>
      <c r="AY64" s="50">
        <v>28852.575139454795</v>
      </c>
      <c r="AZ64" s="50">
        <v>31523.191853291653</v>
      </c>
      <c r="BA64" s="50">
        <v>29714.64870252334</v>
      </c>
      <c r="BB64" s="50">
        <v>28432.964276266815</v>
      </c>
      <c r="BC64" s="50">
        <v>29497.515207857716</v>
      </c>
      <c r="BD64" s="50">
        <v>22096.689482849732</v>
      </c>
      <c r="BE64" s="50">
        <v>22317.656377678231</v>
      </c>
      <c r="BF64" s="50">
        <v>22540.832941455017</v>
      </c>
      <c r="BG64" s="50">
        <v>22766.241270869563</v>
      </c>
      <c r="BH64" s="50">
        <v>22993.903683578261</v>
      </c>
      <c r="BI64" s="50">
        <v>23223.842720414043</v>
      </c>
    </row>
    <row r="65" spans="1:61" x14ac:dyDescent="0.25">
      <c r="A65" s="48" t="s">
        <v>18</v>
      </c>
      <c r="B65" s="48" t="s">
        <v>136</v>
      </c>
      <c r="C65" s="49" t="s">
        <v>42</v>
      </c>
      <c r="D65" s="49" t="str">
        <f>VLOOKUP(A65,PARAMETER!D:E,2,0)</f>
        <v>ADISTI</v>
      </c>
      <c r="E65" s="49" t="str">
        <f t="shared" si="1"/>
        <v>ADISTITRX</v>
      </c>
      <c r="F65" s="49" t="str">
        <f t="shared" si="0"/>
        <v>KAWAN LAMATRX</v>
      </c>
      <c r="G65" s="50">
        <f t="shared" si="2"/>
        <v>90000.000000000015</v>
      </c>
      <c r="H65" s="50">
        <f>SUMIF(I$1:BI$1,"&lt;="&amp;PARAMETER!X$2,I65:BI65)</f>
        <v>21432.063697163812</v>
      </c>
      <c r="I65" s="50">
        <v>1732.8267493377664</v>
      </c>
      <c r="J65" s="50">
        <v>1773.7555062629888</v>
      </c>
      <c r="K65" s="50">
        <v>1627.791062624801</v>
      </c>
      <c r="L65" s="50">
        <v>2216.3857779933546</v>
      </c>
      <c r="M65" s="50">
        <v>1813.1013445106212</v>
      </c>
      <c r="N65" s="50">
        <v>1971.7887854379114</v>
      </c>
      <c r="O65" s="50">
        <v>1934.5273841199685</v>
      </c>
      <c r="P65" s="50">
        <v>1802.2714831205528</v>
      </c>
      <c r="Q65" s="50">
        <v>1945.817331636056</v>
      </c>
      <c r="R65" s="50">
        <v>2075.5668046587484</v>
      </c>
      <c r="S65" s="50">
        <v>2538.2314674610438</v>
      </c>
      <c r="T65" s="50">
        <v>2643.8509747530561</v>
      </c>
      <c r="U65" s="50">
        <v>2232.669372493127</v>
      </c>
      <c r="V65" s="50">
        <v>2406.9099864753025</v>
      </c>
      <c r="W65" s="50">
        <v>1735.8065081163493</v>
      </c>
      <c r="X65" s="50">
        <v>2191.8128821077248</v>
      </c>
      <c r="Y65" s="50">
        <v>1347.5496455189632</v>
      </c>
      <c r="Z65" s="50">
        <v>1423.6477364795551</v>
      </c>
      <c r="AA65" s="50">
        <v>1100.3616404548197</v>
      </c>
      <c r="AB65" s="50">
        <v>1800.9755677452144</v>
      </c>
      <c r="AC65" s="50">
        <v>1030.3743777377633</v>
      </c>
      <c r="AD65" s="50">
        <v>658.09959240116075</v>
      </c>
      <c r="AE65" s="50">
        <v>1639.2111722296797</v>
      </c>
      <c r="AF65" s="50">
        <v>1474.9644499069498</v>
      </c>
      <c r="AG65" s="50">
        <v>1245.292570539787</v>
      </c>
      <c r="AH65" s="50">
        <v>1592.1863523852544</v>
      </c>
      <c r="AI65" s="50">
        <v>1735.4982748852383</v>
      </c>
      <c r="AJ65" s="50">
        <v>1926.0547472398002</v>
      </c>
      <c r="AK65" s="50">
        <v>2019.6234159155697</v>
      </c>
      <c r="AL65" s="50">
        <v>1524.0399221599589</v>
      </c>
      <c r="AM65" s="50">
        <v>1516.0416240966147</v>
      </c>
      <c r="AN65" s="50">
        <v>1590.2833088574741</v>
      </c>
      <c r="AO65" s="50">
        <v>2305.2266050984281</v>
      </c>
      <c r="AP65" s="50">
        <v>1837.4288392763938</v>
      </c>
      <c r="AQ65" s="50">
        <v>1872.7965748096856</v>
      </c>
      <c r="AR65" s="50">
        <v>2581.6829580524868</v>
      </c>
      <c r="AS65" s="50">
        <v>2157.3084510091394</v>
      </c>
      <c r="AT65" s="50">
        <v>1856.3334723149674</v>
      </c>
      <c r="AU65" s="50">
        <v>2467.1157874444725</v>
      </c>
      <c r="AV65" s="50">
        <v>1822.8779830671015</v>
      </c>
      <c r="AW65" s="50">
        <v>1685.4244981298198</v>
      </c>
      <c r="AX65" s="50">
        <v>1910.2096860766492</v>
      </c>
      <c r="AY65" s="50">
        <v>991.88969234277374</v>
      </c>
      <c r="AZ65" s="50">
        <v>1319.207757035547</v>
      </c>
      <c r="BA65" s="50">
        <v>1281.3031682327801</v>
      </c>
      <c r="BB65" s="50">
        <v>1715.2542931028233</v>
      </c>
      <c r="BC65" s="50">
        <v>1054.0915724311453</v>
      </c>
      <c r="BD65" s="50">
        <v>1117.4437602564744</v>
      </c>
      <c r="BE65" s="50">
        <v>1128.6181978590394</v>
      </c>
      <c r="BF65" s="50">
        <v>1139.9043798376299</v>
      </c>
      <c r="BG65" s="50">
        <v>1151.3034236360058</v>
      </c>
      <c r="BH65" s="50">
        <v>1162.8164578723663</v>
      </c>
      <c r="BI65" s="50">
        <v>1174.4446224510898</v>
      </c>
    </row>
    <row r="66" spans="1:61" x14ac:dyDescent="0.25">
      <c r="A66" s="48" t="s">
        <v>19</v>
      </c>
      <c r="B66" s="48" t="s">
        <v>136</v>
      </c>
      <c r="C66" s="49" t="s">
        <v>42</v>
      </c>
      <c r="D66" s="49" t="str">
        <f>VLOOKUP(A66,PARAMETER!D:E,2,0)</f>
        <v>RIFALDI</v>
      </c>
      <c r="E66" s="49" t="str">
        <f t="shared" si="1"/>
        <v>RIFALDITRX</v>
      </c>
      <c r="F66" s="49" t="str">
        <f t="shared" ref="F66:F89" si="3">CONCATENATE(A66,C66)</f>
        <v>KCICTRX</v>
      </c>
      <c r="G66" s="50">
        <f t="shared" si="2"/>
        <v>60000.000000000007</v>
      </c>
      <c r="H66" s="50">
        <f>SUMIF(I$1:BI$1,"&lt;="&amp;PARAMETER!X$2,I66:BI66)</f>
        <v>9901.0600814197842</v>
      </c>
      <c r="I66" s="50">
        <v>746.28067854874485</v>
      </c>
      <c r="J66" s="50">
        <v>759.7292135297854</v>
      </c>
      <c r="K66" s="50">
        <v>1048.759702723155</v>
      </c>
      <c r="L66" s="50">
        <v>982.02558586345424</v>
      </c>
      <c r="M66" s="50">
        <v>1007.5099945880307</v>
      </c>
      <c r="N66" s="50">
        <v>1232.0101184522061</v>
      </c>
      <c r="O66" s="50">
        <v>1190.7039038675821</v>
      </c>
      <c r="P66" s="50">
        <v>965.92124775590571</v>
      </c>
      <c r="Q66" s="50">
        <v>631.79861186140056</v>
      </c>
      <c r="R66" s="50">
        <v>670.16649107201602</v>
      </c>
      <c r="S66" s="50">
        <v>666.15453315750392</v>
      </c>
      <c r="T66" s="50">
        <v>518.39016771455942</v>
      </c>
      <c r="U66" s="50">
        <v>540.54069591862606</v>
      </c>
      <c r="V66" s="50">
        <v>690.16977419507623</v>
      </c>
      <c r="W66" s="50">
        <v>709.89052507063548</v>
      </c>
      <c r="X66" s="50">
        <v>973.66264941949282</v>
      </c>
      <c r="Y66" s="50">
        <v>984.96392123746307</v>
      </c>
      <c r="Z66" s="50">
        <v>976.54446026193773</v>
      </c>
      <c r="AA66" s="50">
        <v>1046.442938293648</v>
      </c>
      <c r="AB66" s="50">
        <v>953.03777726986709</v>
      </c>
      <c r="AC66" s="50">
        <v>764.9843133333012</v>
      </c>
      <c r="AD66" s="50">
        <v>335.47879068250916</v>
      </c>
      <c r="AE66" s="50">
        <v>811.03706967593973</v>
      </c>
      <c r="AF66" s="50">
        <v>1118.4886614063646</v>
      </c>
      <c r="AG66" s="50">
        <v>1079.8947563977486</v>
      </c>
      <c r="AH66" s="50">
        <v>1113.6562298451101</v>
      </c>
      <c r="AI66" s="50">
        <v>1290.0422420888808</v>
      </c>
      <c r="AJ66" s="50">
        <v>1361.0708491105943</v>
      </c>
      <c r="AK66" s="50">
        <v>1217.5105635104626</v>
      </c>
      <c r="AL66" s="50">
        <v>1214.2444907293527</v>
      </c>
      <c r="AM66" s="50">
        <v>1064.4684956842023</v>
      </c>
      <c r="AN66" s="50">
        <v>1120.8619322853717</v>
      </c>
      <c r="AO66" s="50">
        <v>1435.1847082750173</v>
      </c>
      <c r="AP66" s="50">
        <v>1324.2399453263836</v>
      </c>
      <c r="AQ66" s="50">
        <v>1348.0178592760551</v>
      </c>
      <c r="AR66" s="50">
        <v>1219.8047253601694</v>
      </c>
      <c r="AS66" s="50">
        <v>1541.7784746121381</v>
      </c>
      <c r="AT66" s="50">
        <v>1546.2763879923516</v>
      </c>
      <c r="AU66" s="50">
        <v>1233.6149016180109</v>
      </c>
      <c r="AV66" s="50">
        <v>3139.7469626072448</v>
      </c>
      <c r="AW66" s="50">
        <v>3197.8581952732197</v>
      </c>
      <c r="AX66" s="50">
        <v>1682.5383005750414</v>
      </c>
      <c r="AY66" s="50">
        <v>1198.3774797097051</v>
      </c>
      <c r="AZ66" s="50">
        <v>1126.4221669161886</v>
      </c>
      <c r="BA66" s="50">
        <v>1149.5468663096381</v>
      </c>
      <c r="BB66" s="50">
        <v>1320.7591480371732</v>
      </c>
      <c r="BC66" s="50">
        <v>1174.0684051347318</v>
      </c>
      <c r="BD66" s="50">
        <v>1068.8081910058154</v>
      </c>
      <c r="BE66" s="50">
        <v>1079.4962729158735</v>
      </c>
      <c r="BF66" s="50">
        <v>1090.2912356450322</v>
      </c>
      <c r="BG66" s="50">
        <v>1101.1941480014825</v>
      </c>
      <c r="BH66" s="50">
        <v>1112.2060894814974</v>
      </c>
      <c r="BI66" s="50">
        <v>1123.3281503763124</v>
      </c>
    </row>
    <row r="67" spans="1:61" x14ac:dyDescent="0.25">
      <c r="A67" s="48" t="s">
        <v>20</v>
      </c>
      <c r="B67" s="48" t="s">
        <v>136</v>
      </c>
      <c r="C67" s="49" t="s">
        <v>42</v>
      </c>
      <c r="D67" s="49" t="e">
        <f>VLOOKUP(A67,PARAMETER!D:E,2,0)</f>
        <v>#N/A</v>
      </c>
      <c r="E67" s="49" t="e">
        <f t="shared" ref="E67:E130" si="4">CONCATENATE(D67,C67)</f>
        <v>#N/A</v>
      </c>
      <c r="F67" s="49" t="str">
        <f t="shared" si="3"/>
        <v>KIMIA FARMATRX</v>
      </c>
      <c r="G67" s="50">
        <f t="shared" ref="G67:G130" si="5">SUM(I67:BI67)</f>
        <v>0</v>
      </c>
      <c r="H67" s="50">
        <f>SUMIF(I$1:BI$1,"&lt;="&amp;PARAMETER!X$2,I67:BI67)</f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0">
        <v>0</v>
      </c>
      <c r="AL67" s="50">
        <v>0</v>
      </c>
      <c r="AM67" s="50">
        <v>0</v>
      </c>
      <c r="AN67" s="50">
        <v>0</v>
      </c>
      <c r="AO67" s="50">
        <v>0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0</v>
      </c>
      <c r="BB67" s="50">
        <v>0</v>
      </c>
      <c r="BC67" s="50">
        <v>0</v>
      </c>
      <c r="BD67" s="50">
        <v>0</v>
      </c>
      <c r="BE67" s="50">
        <v>0</v>
      </c>
      <c r="BF67" s="50">
        <v>0</v>
      </c>
      <c r="BG67" s="50">
        <v>0</v>
      </c>
      <c r="BH67" s="50">
        <v>0</v>
      </c>
      <c r="BI67" s="50">
        <v>0</v>
      </c>
    </row>
    <row r="68" spans="1:61" x14ac:dyDescent="0.25">
      <c r="A68" s="48" t="s">
        <v>47</v>
      </c>
      <c r="B68" s="48" t="s">
        <v>136</v>
      </c>
      <c r="C68" s="49" t="s">
        <v>42</v>
      </c>
      <c r="D68" s="49" t="str">
        <f>VLOOKUP(A68,PARAMETER!D:E,2,0)</f>
        <v>ADISTI</v>
      </c>
      <c r="E68" s="49" t="str">
        <f t="shared" si="4"/>
        <v>ADISTITRX</v>
      </c>
      <c r="F68" s="49" t="str">
        <f t="shared" si="3"/>
        <v>LOTTE GROUPTRX</v>
      </c>
      <c r="G68" s="50">
        <f t="shared" si="5"/>
        <v>5999.9999999999991</v>
      </c>
      <c r="H68" s="50">
        <f>SUMIF(I$1:BI$1,"&lt;="&amp;PARAMETER!X$2,I68:BI68)</f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50">
        <v>0</v>
      </c>
      <c r="P68" s="50">
        <v>0</v>
      </c>
      <c r="Q68" s="50">
        <v>0</v>
      </c>
      <c r="R68" s="50">
        <v>0</v>
      </c>
      <c r="S68" s="50">
        <v>0</v>
      </c>
      <c r="T68" s="50">
        <v>0</v>
      </c>
      <c r="U68" s="50">
        <v>0</v>
      </c>
      <c r="V68" s="50">
        <v>0</v>
      </c>
      <c r="W68" s="50">
        <v>0</v>
      </c>
      <c r="X68" s="50">
        <v>0</v>
      </c>
      <c r="Y68" s="50">
        <v>0</v>
      </c>
      <c r="Z68" s="50">
        <v>0</v>
      </c>
      <c r="AA68" s="50">
        <v>0</v>
      </c>
      <c r="AB68" s="50">
        <v>0</v>
      </c>
      <c r="AC68" s="50">
        <v>0</v>
      </c>
      <c r="AD68" s="50">
        <v>0</v>
      </c>
      <c r="AE68" s="50">
        <v>0</v>
      </c>
      <c r="AF68" s="50">
        <v>0</v>
      </c>
      <c r="AG68" s="50">
        <v>0</v>
      </c>
      <c r="AH68" s="50">
        <v>0</v>
      </c>
      <c r="AI68" s="50">
        <v>1.9111971828410945</v>
      </c>
      <c r="AJ68" s="50">
        <v>51.183753882547094</v>
      </c>
      <c r="AK68" s="50">
        <v>149.50017150209774</v>
      </c>
      <c r="AL68" s="50">
        <v>237.87886461755679</v>
      </c>
      <c r="AM68" s="50">
        <v>227.43934158714251</v>
      </c>
      <c r="AN68" s="50">
        <v>242.53551412047173</v>
      </c>
      <c r="AO68" s="50">
        <v>223.28829602480039</v>
      </c>
      <c r="AP68" s="50">
        <v>233.05043569304118</v>
      </c>
      <c r="AQ68" s="50">
        <v>210.43998306280767</v>
      </c>
      <c r="AR68" s="50">
        <v>227.00141475074759</v>
      </c>
      <c r="AS68" s="50">
        <v>301.36350329094921</v>
      </c>
      <c r="AT68" s="50">
        <v>244.79495282748417</v>
      </c>
      <c r="AU68" s="50">
        <v>293.53088331583268</v>
      </c>
      <c r="AV68" s="50">
        <v>257.12619850458492</v>
      </c>
      <c r="AW68" s="50">
        <v>210.31110335760366</v>
      </c>
      <c r="AX68" s="50">
        <v>300.90590173673201</v>
      </c>
      <c r="AY68" s="50">
        <v>315.21279916851603</v>
      </c>
      <c r="AZ68" s="50">
        <v>384.38797855650165</v>
      </c>
      <c r="BA68" s="50">
        <v>211.78219525649044</v>
      </c>
      <c r="BB68" s="50">
        <v>230.25144851483708</v>
      </c>
      <c r="BC68" s="50">
        <v>236.9143029900969</v>
      </c>
      <c r="BD68" s="50">
        <v>196.551820540677</v>
      </c>
      <c r="BE68" s="50">
        <v>198.51733874608379</v>
      </c>
      <c r="BF68" s="50">
        <v>200.50251213354463</v>
      </c>
      <c r="BG68" s="50">
        <v>202.50753725488008</v>
      </c>
      <c r="BH68" s="50">
        <v>204.53261262742888</v>
      </c>
      <c r="BI68" s="50">
        <v>206.57793875370319</v>
      </c>
    </row>
    <row r="69" spans="1:61" x14ac:dyDescent="0.25">
      <c r="A69" s="48" t="s">
        <v>48</v>
      </c>
      <c r="B69" s="48" t="s">
        <v>136</v>
      </c>
      <c r="C69" s="49" t="s">
        <v>42</v>
      </c>
      <c r="D69" s="49" t="str">
        <f>VLOOKUP(A69,PARAMETER!D:E,2,0)</f>
        <v>NINA</v>
      </c>
      <c r="E69" s="49" t="str">
        <f t="shared" si="4"/>
        <v>NINATRX</v>
      </c>
      <c r="F69" s="49" t="str">
        <f t="shared" si="3"/>
        <v>MAMA ROZTRX</v>
      </c>
      <c r="G69" s="50">
        <f t="shared" si="5"/>
        <v>1800.0000000000002</v>
      </c>
      <c r="H69" s="50">
        <f>SUMIF(I$1:BI$1,"&lt;="&amp;PARAMETER!X$2,I69:BI69)</f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50">
        <v>0</v>
      </c>
      <c r="P69" s="50">
        <v>0</v>
      </c>
      <c r="Q69" s="50">
        <v>0</v>
      </c>
      <c r="R69" s="50">
        <v>0</v>
      </c>
      <c r="S69" s="50">
        <v>0</v>
      </c>
      <c r="T69" s="50">
        <v>0</v>
      </c>
      <c r="U69" s="50">
        <v>0</v>
      </c>
      <c r="V69" s="50">
        <v>0</v>
      </c>
      <c r="W69" s="50">
        <v>0</v>
      </c>
      <c r="X69" s="50">
        <v>0</v>
      </c>
      <c r="Y69" s="50">
        <v>0</v>
      </c>
      <c r="Z69" s="50">
        <v>0</v>
      </c>
      <c r="AA69" s="50">
        <v>0</v>
      </c>
      <c r="AB69" s="50">
        <v>0</v>
      </c>
      <c r="AC69" s="50">
        <v>0</v>
      </c>
      <c r="AD69" s="50">
        <v>0</v>
      </c>
      <c r="AE69" s="50">
        <v>0</v>
      </c>
      <c r="AF69" s="50">
        <v>0</v>
      </c>
      <c r="AG69" s="50">
        <v>0</v>
      </c>
      <c r="AH69" s="50">
        <v>0</v>
      </c>
      <c r="AI69" s="50">
        <v>0</v>
      </c>
      <c r="AJ69" s="50">
        <v>0</v>
      </c>
      <c r="AK69" s="50">
        <v>0</v>
      </c>
      <c r="AL69" s="50">
        <v>0</v>
      </c>
      <c r="AM69" s="50">
        <v>0</v>
      </c>
      <c r="AN69" s="50">
        <v>0</v>
      </c>
      <c r="AO69" s="50">
        <v>215.68225244521435</v>
      </c>
      <c r="AP69" s="50">
        <v>202.28969680273957</v>
      </c>
      <c r="AQ69" s="50">
        <v>138.5632856342136</v>
      </c>
      <c r="AR69" s="50">
        <v>91.505064789464228</v>
      </c>
      <c r="AS69" s="50">
        <v>112.26214600565379</v>
      </c>
      <c r="AT69" s="50">
        <v>141.72575261723199</v>
      </c>
      <c r="AU69" s="50">
        <v>84.182598516228509</v>
      </c>
      <c r="AV69" s="50">
        <v>74.303140099056776</v>
      </c>
      <c r="AW69" s="50">
        <v>146.24798335315353</v>
      </c>
      <c r="AX69" s="50">
        <v>87.07960731566574</v>
      </c>
      <c r="AY69" s="50">
        <v>100.70002586843802</v>
      </c>
      <c r="AZ69" s="50">
        <v>64.800819554684523</v>
      </c>
      <c r="BA69" s="50">
        <v>67.71639554688177</v>
      </c>
      <c r="BB69" s="50">
        <v>43.411690027788666</v>
      </c>
      <c r="BC69" s="50">
        <v>48.410597225213941</v>
      </c>
      <c r="BD69" s="50">
        <v>29.440588559844507</v>
      </c>
      <c r="BE69" s="50">
        <v>29.734994445442954</v>
      </c>
      <c r="BF69" s="50">
        <v>30.032344389897386</v>
      </c>
      <c r="BG69" s="50">
        <v>30.332667833796354</v>
      </c>
      <c r="BH69" s="50">
        <v>30.635994512134321</v>
      </c>
      <c r="BI69" s="50">
        <v>30.942354457255668</v>
      </c>
    </row>
    <row r="70" spans="1:61" x14ac:dyDescent="0.25">
      <c r="A70" s="48" t="s">
        <v>21</v>
      </c>
      <c r="B70" s="48" t="s">
        <v>136</v>
      </c>
      <c r="C70" s="49" t="s">
        <v>42</v>
      </c>
      <c r="D70" s="49" t="str">
        <f>VLOOKUP(A70,PARAMETER!D:E,2,0)</f>
        <v>ADISTI</v>
      </c>
      <c r="E70" s="49" t="str">
        <f t="shared" si="4"/>
        <v>ADISTITRX</v>
      </c>
      <c r="F70" s="49" t="str">
        <f t="shared" si="3"/>
        <v>MAP GROUPTRX</v>
      </c>
      <c r="G70" s="50">
        <f t="shared" si="5"/>
        <v>150000</v>
      </c>
      <c r="H70" s="50">
        <f>SUMIF(I$1:BI$1,"&lt;="&amp;PARAMETER!X$2,I70:BI70)</f>
        <v>0.49307751146819456</v>
      </c>
      <c r="I70" s="50">
        <v>8.8858741656028736E-2</v>
      </c>
      <c r="J70" s="50">
        <v>3.5472692884199519E-2</v>
      </c>
      <c r="K70" s="50">
        <v>0</v>
      </c>
      <c r="L70" s="50">
        <v>0.17290282639364318</v>
      </c>
      <c r="M70" s="50">
        <v>0</v>
      </c>
      <c r="N70" s="50">
        <v>8.6593020753245528E-2</v>
      </c>
      <c r="O70" s="50">
        <v>0</v>
      </c>
      <c r="P70" s="50">
        <v>5.0058271195866394E-2</v>
      </c>
      <c r="Q70" s="50">
        <v>0</v>
      </c>
      <c r="R70" s="50">
        <v>5.9191958585211181E-2</v>
      </c>
      <c r="S70" s="50">
        <v>0</v>
      </c>
      <c r="T70" s="50">
        <v>0</v>
      </c>
      <c r="U70" s="50">
        <v>4.2553070705397024E-2</v>
      </c>
      <c r="V70" s="50">
        <v>0.1401206770814987</v>
      </c>
      <c r="W70" s="50">
        <v>0</v>
      </c>
      <c r="X70" s="50">
        <v>5.94043699198471E-2</v>
      </c>
      <c r="Y70" s="50">
        <v>0.11186996957492064</v>
      </c>
      <c r="Z70" s="50">
        <v>2.3322764543024594</v>
      </c>
      <c r="AA70" s="50">
        <v>9.3956613687290955E-2</v>
      </c>
      <c r="AB70" s="50">
        <v>9.1690892784507746E-2</v>
      </c>
      <c r="AC70" s="50">
        <v>0.10684290132187042</v>
      </c>
      <c r="AD70" s="50">
        <v>0</v>
      </c>
      <c r="AE70" s="50">
        <v>0</v>
      </c>
      <c r="AF70" s="50">
        <v>0.30693437854891198</v>
      </c>
      <c r="AG70" s="50">
        <v>0.23535175877660522</v>
      </c>
      <c r="AH70" s="50">
        <v>0.15371500249819792</v>
      </c>
      <c r="AI70" s="50">
        <v>0</v>
      </c>
      <c r="AJ70" s="50">
        <v>0.15470625539316557</v>
      </c>
      <c r="AK70" s="50">
        <v>0</v>
      </c>
      <c r="AL70" s="50">
        <v>8.2061578947679126E-2</v>
      </c>
      <c r="AM70" s="50">
        <v>0.10231145951630401</v>
      </c>
      <c r="AN70" s="50">
        <v>43.632193213239091</v>
      </c>
      <c r="AO70" s="50">
        <v>65.005730450125796</v>
      </c>
      <c r="AP70" s="50">
        <v>355.55060689487965</v>
      </c>
      <c r="AQ70" s="50">
        <v>210.91392393950255</v>
      </c>
      <c r="AR70" s="50">
        <v>760.24905955975157</v>
      </c>
      <c r="AS70" s="50">
        <v>6099.5752849270593</v>
      </c>
      <c r="AT70" s="50">
        <v>11040.36197950421</v>
      </c>
      <c r="AU70" s="50">
        <v>14879.45555872868</v>
      </c>
      <c r="AV70" s="50">
        <v>11149.570558962754</v>
      </c>
      <c r="AW70" s="50">
        <v>9841.4276561126044</v>
      </c>
      <c r="AX70" s="50">
        <v>8516.967315243759</v>
      </c>
      <c r="AY70" s="50">
        <v>7892.8054270266703</v>
      </c>
      <c r="AZ70" s="50">
        <v>7764.8508342924579</v>
      </c>
      <c r="BA70" s="50">
        <v>7756.3298247406619</v>
      </c>
      <c r="BB70" s="50">
        <v>8093.1650565707814</v>
      </c>
      <c r="BC70" s="50">
        <v>7597.7977261338901</v>
      </c>
      <c r="BD70" s="50">
        <v>7790.5912002148707</v>
      </c>
      <c r="BE70" s="50">
        <v>7868.4971122170182</v>
      </c>
      <c r="BF70" s="50">
        <v>7947.1820833391894</v>
      </c>
      <c r="BG70" s="50">
        <v>8026.6539041725819</v>
      </c>
      <c r="BH70" s="50">
        <v>8106.9204432143069</v>
      </c>
      <c r="BI70" s="50">
        <v>8187.989647646451</v>
      </c>
    </row>
    <row r="71" spans="1:61" x14ac:dyDescent="0.25">
      <c r="A71" s="48" t="s">
        <v>23</v>
      </c>
      <c r="B71" s="48" t="s">
        <v>136</v>
      </c>
      <c r="C71" s="49" t="s">
        <v>42</v>
      </c>
      <c r="D71" s="49" t="str">
        <f>VLOOKUP(A71,PARAMETER!D:E,2,0)</f>
        <v>ADISTI</v>
      </c>
      <c r="E71" s="49" t="str">
        <f t="shared" si="4"/>
        <v>ADISTITRX</v>
      </c>
      <c r="F71" s="49" t="str">
        <f t="shared" si="3"/>
        <v>MITRA10TRX</v>
      </c>
      <c r="G71" s="50">
        <f t="shared" si="5"/>
        <v>11500</v>
      </c>
      <c r="H71" s="50">
        <f>SUMIF(I$1:BI$1,"&lt;="&amp;PARAMETER!X$2,I71:BI71)</f>
        <v>2449.7863033822955</v>
      </c>
      <c r="I71" s="50">
        <v>249.62068017314374</v>
      </c>
      <c r="J71" s="50">
        <v>167.36093675825722</v>
      </c>
      <c r="K71" s="50">
        <v>155.00182596555479</v>
      </c>
      <c r="L71" s="50">
        <v>238.89680318061141</v>
      </c>
      <c r="M71" s="50">
        <v>221.79411053838882</v>
      </c>
      <c r="N71" s="50">
        <v>195.92640476137228</v>
      </c>
      <c r="O71" s="50">
        <v>244.17989564940956</v>
      </c>
      <c r="P71" s="50">
        <v>303.73701602503866</v>
      </c>
      <c r="Q71" s="50">
        <v>156.11790443802346</v>
      </c>
      <c r="R71" s="50">
        <v>256.21815377382359</v>
      </c>
      <c r="S71" s="50">
        <v>260.93257211867177</v>
      </c>
      <c r="T71" s="50">
        <v>159.31504547588597</v>
      </c>
      <c r="U71" s="50">
        <v>42.752902605705735</v>
      </c>
      <c r="V71" s="50">
        <v>110.46523131513858</v>
      </c>
      <c r="W71" s="50">
        <v>224.11374423880829</v>
      </c>
      <c r="X71" s="50">
        <v>191.42671217866229</v>
      </c>
      <c r="Y71" s="50">
        <v>220.42233981190711</v>
      </c>
      <c r="Z71" s="50">
        <v>176.48189415944438</v>
      </c>
      <c r="AA71" s="50">
        <v>247.64910343052563</v>
      </c>
      <c r="AB71" s="50">
        <v>242.86374425289455</v>
      </c>
      <c r="AC71" s="50">
        <v>274.0717477289615</v>
      </c>
      <c r="AD71" s="50">
        <v>75.645220239593002</v>
      </c>
      <c r="AE71" s="50">
        <v>218.52104991311666</v>
      </c>
      <c r="AF71" s="50">
        <v>195.98446577240318</v>
      </c>
      <c r="AG71" s="50">
        <v>309.37917869902287</v>
      </c>
      <c r="AH71" s="50">
        <v>174.41072397957925</v>
      </c>
      <c r="AI71" s="50">
        <v>150.99225545332413</v>
      </c>
      <c r="AJ71" s="50">
        <v>265.16220486953631</v>
      </c>
      <c r="AK71" s="50">
        <v>185.34771698583972</v>
      </c>
      <c r="AL71" s="50">
        <v>259.89151525999819</v>
      </c>
      <c r="AM71" s="50">
        <v>239.79490979429036</v>
      </c>
      <c r="AN71" s="50">
        <v>151.39468430072887</v>
      </c>
      <c r="AO71" s="50">
        <v>327.07318742502628</v>
      </c>
      <c r="AP71" s="50">
        <v>185.30626252464631</v>
      </c>
      <c r="AQ71" s="50">
        <v>357.89501821954167</v>
      </c>
      <c r="AR71" s="50">
        <v>275.68569707793148</v>
      </c>
      <c r="AS71" s="50">
        <v>230.8032816900124</v>
      </c>
      <c r="AT71" s="50">
        <v>184.18318646208039</v>
      </c>
      <c r="AU71" s="50">
        <v>356.47289217797959</v>
      </c>
      <c r="AV71" s="50">
        <v>207.6724921734999</v>
      </c>
      <c r="AW71" s="50">
        <v>292.47342570416924</v>
      </c>
      <c r="AX71" s="50">
        <v>233.66483375305842</v>
      </c>
      <c r="AY71" s="50">
        <v>183.42976458584249</v>
      </c>
      <c r="AZ71" s="50">
        <v>230.51522569645411</v>
      </c>
      <c r="BA71" s="50">
        <v>174.63639052749281</v>
      </c>
      <c r="BB71" s="50">
        <v>268.67217276452595</v>
      </c>
      <c r="BC71" s="50">
        <v>174.77241747847066</v>
      </c>
      <c r="BD71" s="50">
        <v>203.32704742619319</v>
      </c>
      <c r="BE71" s="50">
        <v>205.36031790045513</v>
      </c>
      <c r="BF71" s="50">
        <v>207.41392107945967</v>
      </c>
      <c r="BG71" s="50">
        <v>209.48806029025425</v>
      </c>
      <c r="BH71" s="50">
        <v>211.5829408931568</v>
      </c>
      <c r="BI71" s="50">
        <v>213.69877030208841</v>
      </c>
    </row>
    <row r="72" spans="1:61" x14ac:dyDescent="0.25">
      <c r="A72" s="48" t="s">
        <v>25</v>
      </c>
      <c r="B72" s="48" t="s">
        <v>136</v>
      </c>
      <c r="C72" s="49" t="s">
        <v>42</v>
      </c>
      <c r="D72" s="49" t="str">
        <f>VLOOKUP(A72,PARAMETER!D:E,2,0)</f>
        <v>RIFALDI</v>
      </c>
      <c r="E72" s="49" t="str">
        <f t="shared" si="4"/>
        <v>RIFALDITRX</v>
      </c>
      <c r="F72" s="49" t="str">
        <f t="shared" si="3"/>
        <v>OPTIK MELAWAITRX</v>
      </c>
      <c r="G72" s="50">
        <f t="shared" si="5"/>
        <v>15000.000000000004</v>
      </c>
      <c r="H72" s="50">
        <f>SUMIF(I$1:BI$1,"&lt;="&amp;PARAMETER!X$2,I72:BI72)</f>
        <v>11341.108551063613</v>
      </c>
      <c r="I72" s="50">
        <v>1944.5200139852773</v>
      </c>
      <c r="J72" s="50">
        <v>1907.4725819630009</v>
      </c>
      <c r="K72" s="50">
        <v>1745.5237463283722</v>
      </c>
      <c r="L72" s="50">
        <v>2188.8404288759739</v>
      </c>
      <c r="M72" s="50">
        <v>1348.0905331026638</v>
      </c>
      <c r="N72" s="50">
        <v>342.74179484746838</v>
      </c>
      <c r="O72" s="50">
        <v>444.8145928434065</v>
      </c>
      <c r="P72" s="50">
        <v>456.98967572634996</v>
      </c>
      <c r="Q72" s="50">
        <v>482.74785684461239</v>
      </c>
      <c r="R72" s="50">
        <v>408.12304316870512</v>
      </c>
      <c r="S72" s="50">
        <v>71.244283377782409</v>
      </c>
      <c r="T72" s="50">
        <v>49.753571362290899</v>
      </c>
      <c r="U72" s="50">
        <v>30.852535877448236</v>
      </c>
      <c r="V72" s="50">
        <v>33.799759613720013</v>
      </c>
      <c r="W72" s="50">
        <v>1423.076144245355</v>
      </c>
      <c r="X72" s="50">
        <v>58.066780410038838</v>
      </c>
      <c r="Y72" s="50">
        <v>39.797683280138955</v>
      </c>
      <c r="Z72" s="50">
        <v>208.48420497793654</v>
      </c>
      <c r="AA72" s="50">
        <v>69.514752708722611</v>
      </c>
      <c r="AB72" s="50">
        <v>74.748615550722491</v>
      </c>
      <c r="AC72" s="50">
        <v>31.220245923541079</v>
      </c>
      <c r="AD72" s="50">
        <v>40.24115268246198</v>
      </c>
      <c r="AE72" s="50">
        <v>30.634496754639411</v>
      </c>
      <c r="AF72" s="50">
        <v>80.746539217141418</v>
      </c>
      <c r="AG72" s="50">
        <v>46.507929674039254</v>
      </c>
      <c r="AH72" s="50">
        <v>59.895162256665614</v>
      </c>
      <c r="AI72" s="50">
        <v>36.483673392362498</v>
      </c>
      <c r="AJ72" s="50">
        <v>55.783831339295894</v>
      </c>
      <c r="AK72" s="50">
        <v>32.303050380879803</v>
      </c>
      <c r="AL72" s="50">
        <v>40.260554468813616</v>
      </c>
      <c r="AM72" s="50">
        <v>15.936257751395598</v>
      </c>
      <c r="AN72" s="50">
        <v>79.448467320758397</v>
      </c>
      <c r="AO72" s="50">
        <v>52.095644143309386</v>
      </c>
      <c r="AP72" s="50">
        <v>46.619720919208177</v>
      </c>
      <c r="AQ72" s="50">
        <v>66.595245810096017</v>
      </c>
      <c r="AR72" s="50">
        <v>48.865708663056672</v>
      </c>
      <c r="AS72" s="50">
        <v>95.624013770490791</v>
      </c>
      <c r="AT72" s="50">
        <v>39.205466849120079</v>
      </c>
      <c r="AU72" s="50">
        <v>35.00174647293305</v>
      </c>
      <c r="AV72" s="50">
        <v>62.219311482673547</v>
      </c>
      <c r="AW72" s="50">
        <v>72.551594220047164</v>
      </c>
      <c r="AX72" s="50">
        <v>158.27607747826457</v>
      </c>
      <c r="AY72" s="50">
        <v>41.601125516252594</v>
      </c>
      <c r="AZ72" s="50">
        <v>56.090564342569316</v>
      </c>
      <c r="BA72" s="50">
        <v>55.873449114348674</v>
      </c>
      <c r="BB72" s="50">
        <v>47.668341276784503</v>
      </c>
      <c r="BC72" s="50">
        <v>51.088599042200848</v>
      </c>
      <c r="BD72" s="50">
        <v>31.202691926365791</v>
      </c>
      <c r="BE72" s="50">
        <v>31.514718845629446</v>
      </c>
      <c r="BF72" s="50">
        <v>31.829866034085743</v>
      </c>
      <c r="BG72" s="50">
        <v>32.148164694426598</v>
      </c>
      <c r="BH72" s="50">
        <v>32.469646341370868</v>
      </c>
      <c r="BI72" s="50">
        <v>32.794342804784584</v>
      </c>
    </row>
    <row r="73" spans="1:61" x14ac:dyDescent="0.25">
      <c r="A73" s="48" t="s">
        <v>26</v>
      </c>
      <c r="B73" s="48" t="s">
        <v>136</v>
      </c>
      <c r="C73" s="49" t="s">
        <v>42</v>
      </c>
      <c r="D73" s="49" t="str">
        <f>VLOOKUP(A73,PARAMETER!D:E,2,0)</f>
        <v>RIFALDI</v>
      </c>
      <c r="E73" s="49" t="str">
        <f t="shared" si="4"/>
        <v>RIFALDITRX</v>
      </c>
      <c r="F73" s="49" t="str">
        <f t="shared" si="3"/>
        <v>PATRA JASATRX</v>
      </c>
      <c r="G73" s="50">
        <f t="shared" si="5"/>
        <v>50.000000000000007</v>
      </c>
      <c r="H73" s="50">
        <f>SUMIF(I$1:BI$1,"&lt;="&amp;PARAMETER!X$2,I73:BI73)</f>
        <v>8.741965545076388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50">
        <v>5.3796711046623926</v>
      </c>
      <c r="P73" s="50">
        <v>0</v>
      </c>
      <c r="Q73" s="50">
        <v>3.3622944404139954</v>
      </c>
      <c r="R73" s="50">
        <v>0</v>
      </c>
      <c r="S73" s="50">
        <v>0</v>
      </c>
      <c r="T73" s="50">
        <v>0</v>
      </c>
      <c r="U73" s="50">
        <v>0</v>
      </c>
      <c r="V73" s="50">
        <v>0</v>
      </c>
      <c r="W73" s="50">
        <v>0</v>
      </c>
      <c r="X73" s="50">
        <v>0</v>
      </c>
      <c r="Y73" s="50">
        <v>0</v>
      </c>
      <c r="Z73" s="50">
        <v>1.6811472202069977</v>
      </c>
      <c r="AA73" s="50">
        <v>0</v>
      </c>
      <c r="AB73" s="50">
        <v>0</v>
      </c>
      <c r="AC73" s="50">
        <v>0</v>
      </c>
      <c r="AD73" s="50">
        <v>0</v>
      </c>
      <c r="AE73" s="50">
        <v>0</v>
      </c>
      <c r="AF73" s="50">
        <v>1.3449177761655982</v>
      </c>
      <c r="AG73" s="50">
        <v>0</v>
      </c>
      <c r="AH73" s="50">
        <v>7.0608183248693903</v>
      </c>
      <c r="AI73" s="50">
        <v>0</v>
      </c>
      <c r="AJ73" s="50">
        <v>0</v>
      </c>
      <c r="AK73" s="50">
        <v>0</v>
      </c>
      <c r="AL73" s="50">
        <v>0</v>
      </c>
      <c r="AM73" s="50">
        <v>0</v>
      </c>
      <c r="AN73" s="50">
        <v>0</v>
      </c>
      <c r="AO73" s="50">
        <v>0</v>
      </c>
      <c r="AP73" s="50">
        <v>0</v>
      </c>
      <c r="AQ73" s="50">
        <v>0</v>
      </c>
      <c r="AR73" s="50">
        <v>0</v>
      </c>
      <c r="AS73" s="50">
        <v>0</v>
      </c>
      <c r="AT73" s="50">
        <v>0</v>
      </c>
      <c r="AU73" s="50">
        <v>0</v>
      </c>
      <c r="AV73" s="50">
        <v>5.3796711046623926</v>
      </c>
      <c r="AW73" s="50">
        <v>0</v>
      </c>
      <c r="AX73" s="50">
        <v>0</v>
      </c>
      <c r="AY73" s="50">
        <v>2.2415296269426631E-6</v>
      </c>
      <c r="AZ73" s="50">
        <v>0</v>
      </c>
      <c r="BA73" s="50">
        <v>2.9476114594296026</v>
      </c>
      <c r="BB73" s="50">
        <v>0</v>
      </c>
      <c r="BC73" s="50">
        <v>10.759342209324785</v>
      </c>
      <c r="BD73" s="50">
        <v>1.9643196579786644</v>
      </c>
      <c r="BE73" s="50">
        <v>1.9839628545584509</v>
      </c>
      <c r="BF73" s="50">
        <v>2.0038024831040357</v>
      </c>
      <c r="BG73" s="50">
        <v>2.0238405079350761</v>
      </c>
      <c r="BH73" s="50">
        <v>2.0440789130144266</v>
      </c>
      <c r="BI73" s="50">
        <v>2.0645197021445711</v>
      </c>
    </row>
    <row r="74" spans="1:61" x14ac:dyDescent="0.25">
      <c r="A74" s="48" t="s">
        <v>27</v>
      </c>
      <c r="B74" s="48" t="s">
        <v>136</v>
      </c>
      <c r="C74" s="49" t="s">
        <v>42</v>
      </c>
      <c r="D74" s="49" t="str">
        <f>VLOOKUP(A74,PARAMETER!D:E,2,0)</f>
        <v>RIFALDI</v>
      </c>
      <c r="E74" s="49" t="str">
        <f t="shared" si="4"/>
        <v>RIFALDITRX</v>
      </c>
      <c r="F74" s="49" t="str">
        <f t="shared" si="3"/>
        <v>PERTAMINA RETAILTRX</v>
      </c>
      <c r="G74" s="50">
        <f t="shared" si="5"/>
        <v>14000</v>
      </c>
      <c r="H74" s="50">
        <f>SUMIF(I$1:BI$1,"&lt;="&amp;PARAMETER!X$2,I74:BI74)</f>
        <v>3652.1622787918864</v>
      </c>
      <c r="I74" s="50">
        <v>372.30425188105789</v>
      </c>
      <c r="J74" s="50">
        <v>509.20587651467446</v>
      </c>
      <c r="K74" s="50">
        <v>275.87790173242882</v>
      </c>
      <c r="L74" s="50">
        <v>428.32190618746324</v>
      </c>
      <c r="M74" s="50">
        <v>264.38115345350718</v>
      </c>
      <c r="N74" s="50">
        <v>119.92283161824514</v>
      </c>
      <c r="O74" s="50">
        <v>104.69345540677794</v>
      </c>
      <c r="P74" s="50">
        <v>360.13456645509166</v>
      </c>
      <c r="Q74" s="50">
        <v>87.183555010709924</v>
      </c>
      <c r="R74" s="50">
        <v>376.14624973454283</v>
      </c>
      <c r="S74" s="50">
        <v>753.99053079738735</v>
      </c>
      <c r="T74" s="50">
        <v>406.71224689732122</v>
      </c>
      <c r="U74" s="50">
        <v>378.46291682972446</v>
      </c>
      <c r="V74" s="50">
        <v>311.51783386015853</v>
      </c>
      <c r="W74" s="50">
        <v>193.39962399874659</v>
      </c>
      <c r="X74" s="50">
        <v>224.60030313439555</v>
      </c>
      <c r="Y74" s="50">
        <v>348.23448198869772</v>
      </c>
      <c r="Z74" s="50">
        <v>198.7283041679292</v>
      </c>
      <c r="AA74" s="50">
        <v>290.36441650073544</v>
      </c>
      <c r="AB74" s="50">
        <v>119.5494068050466</v>
      </c>
      <c r="AC74" s="50">
        <v>349.98476474893374</v>
      </c>
      <c r="AD74" s="50">
        <v>247.7622069609362</v>
      </c>
      <c r="AE74" s="50">
        <v>218.15972994195027</v>
      </c>
      <c r="AF74" s="50">
        <v>218.49514238367595</v>
      </c>
      <c r="AG74" s="50">
        <v>392.23738510190879</v>
      </c>
      <c r="AH74" s="50">
        <v>247.05274655238128</v>
      </c>
      <c r="AI74" s="50">
        <v>69.335188720125799</v>
      </c>
      <c r="AJ74" s="50">
        <v>226.4663366815345</v>
      </c>
      <c r="AK74" s="50">
        <v>45.054007499798637</v>
      </c>
      <c r="AL74" s="50">
        <v>48.307991128601522</v>
      </c>
      <c r="AM74" s="50">
        <v>0</v>
      </c>
      <c r="AN74" s="50">
        <v>67.778862527446037</v>
      </c>
      <c r="AO74" s="50">
        <v>162.12731335324841</v>
      </c>
      <c r="AP74" s="50">
        <v>60.850952038109774</v>
      </c>
      <c r="AQ74" s="50">
        <v>92.299459372689142</v>
      </c>
      <c r="AR74" s="50">
        <v>135.17598114072365</v>
      </c>
      <c r="AS74" s="50">
        <v>53.902789055775685</v>
      </c>
      <c r="AT74" s="50">
        <v>81.009971991339185</v>
      </c>
      <c r="AU74" s="50">
        <v>34.158664789868077</v>
      </c>
      <c r="AV74" s="50">
        <v>31.655955178240262</v>
      </c>
      <c r="AW74" s="50">
        <v>209.81025023257371</v>
      </c>
      <c r="AX74" s="50">
        <v>7.7894203837826126</v>
      </c>
      <c r="AY74" s="50">
        <v>0</v>
      </c>
      <c r="AZ74" s="50">
        <v>0</v>
      </c>
      <c r="BA74" s="50">
        <v>0</v>
      </c>
      <c r="BB74" s="50">
        <v>121.64893601760984</v>
      </c>
      <c r="BC74" s="50">
        <v>1034.7373499502664</v>
      </c>
      <c r="BD74" s="50">
        <v>604.75579869815294</v>
      </c>
      <c r="BE74" s="50">
        <v>610.80335668513442</v>
      </c>
      <c r="BF74" s="50">
        <v>616.91139025198584</v>
      </c>
      <c r="BG74" s="50">
        <v>623.08050415450566</v>
      </c>
      <c r="BH74" s="50">
        <v>629.31130919605073</v>
      </c>
      <c r="BI74" s="50">
        <v>635.60442228801128</v>
      </c>
    </row>
    <row r="75" spans="1:61" x14ac:dyDescent="0.25">
      <c r="A75" s="48" t="s">
        <v>28</v>
      </c>
      <c r="B75" s="48" t="s">
        <v>136</v>
      </c>
      <c r="C75" s="49" t="s">
        <v>42</v>
      </c>
      <c r="D75" s="49" t="str">
        <f>VLOOKUP(A75,PARAMETER!D:E,2,0)</f>
        <v>NINA</v>
      </c>
      <c r="E75" s="49" t="str">
        <f t="shared" si="4"/>
        <v>NINATRX</v>
      </c>
      <c r="F75" s="49" t="str">
        <f t="shared" si="3"/>
        <v>PIZZA HUTTRX</v>
      </c>
      <c r="G75" s="50">
        <f t="shared" si="5"/>
        <v>5499.9999999999991</v>
      </c>
      <c r="H75" s="50">
        <f>SUMIF(I$1:BI$1,"&lt;="&amp;PARAMETER!X$2,I75:BI75)</f>
        <v>1353.1326775914047</v>
      </c>
      <c r="I75" s="50">
        <v>126.43679121140973</v>
      </c>
      <c r="J75" s="50">
        <v>89.893130876462635</v>
      </c>
      <c r="K75" s="50">
        <v>85.686257979004537</v>
      </c>
      <c r="L75" s="50">
        <v>138.71193909135121</v>
      </c>
      <c r="M75" s="50">
        <v>172.901930939382</v>
      </c>
      <c r="N75" s="50">
        <v>164.2742775133141</v>
      </c>
      <c r="O75" s="50">
        <v>135.04201647867069</v>
      </c>
      <c r="P75" s="50">
        <v>88.296885707124204</v>
      </c>
      <c r="Q75" s="50">
        <v>109.49910044395432</v>
      </c>
      <c r="R75" s="50">
        <v>120.99008421875043</v>
      </c>
      <c r="S75" s="50">
        <v>121.40026313198086</v>
      </c>
      <c r="T75" s="50">
        <v>165.72202636593471</v>
      </c>
      <c r="U75" s="50">
        <v>171.80746914987725</v>
      </c>
      <c r="V75" s="50">
        <v>159.84092626306446</v>
      </c>
      <c r="W75" s="50">
        <v>85.863679401753046</v>
      </c>
      <c r="X75" s="50">
        <v>107.7504072706499</v>
      </c>
      <c r="Y75" s="50">
        <v>80.495570534990392</v>
      </c>
      <c r="Z75" s="50">
        <v>71.114818866364303</v>
      </c>
      <c r="AA75" s="50">
        <v>118.72800775217833</v>
      </c>
      <c r="AB75" s="50">
        <v>85.567981179258538</v>
      </c>
      <c r="AC75" s="50">
        <v>121.9048904820073</v>
      </c>
      <c r="AD75" s="50">
        <v>87.907896549925269</v>
      </c>
      <c r="AE75" s="50">
        <v>158.16392354188429</v>
      </c>
      <c r="AF75" s="50">
        <v>122.34372690669889</v>
      </c>
      <c r="AG75" s="50">
        <v>121.21725333891919</v>
      </c>
      <c r="AH75" s="50">
        <v>135.90692568939875</v>
      </c>
      <c r="AI75" s="50">
        <v>140.3035853679709</v>
      </c>
      <c r="AJ75" s="50">
        <v>91.694782882022068</v>
      </c>
      <c r="AK75" s="50">
        <v>90.65234645534359</v>
      </c>
      <c r="AL75" s="50">
        <v>110.00947174253204</v>
      </c>
      <c r="AM75" s="50">
        <v>68.298896318355091</v>
      </c>
      <c r="AN75" s="50">
        <v>73.744047528633217</v>
      </c>
      <c r="AO75" s="50">
        <v>153.46230562408491</v>
      </c>
      <c r="AP75" s="50">
        <v>70.931217875997774</v>
      </c>
      <c r="AQ75" s="50">
        <v>81.134094739869781</v>
      </c>
      <c r="AR75" s="50">
        <v>92.846068067216635</v>
      </c>
      <c r="AS75" s="50">
        <v>57.078575115975717</v>
      </c>
      <c r="AT75" s="50">
        <v>75.215786545571476</v>
      </c>
      <c r="AU75" s="50">
        <v>56.919835528060283</v>
      </c>
      <c r="AV75" s="50">
        <v>83.978021370740024</v>
      </c>
      <c r="AW75" s="50">
        <v>52.442349843221642</v>
      </c>
      <c r="AX75" s="50">
        <v>65.218422311122382</v>
      </c>
      <c r="AY75" s="50">
        <v>45.139476230366753</v>
      </c>
      <c r="AZ75" s="50">
        <v>56.991538426443604</v>
      </c>
      <c r="BA75" s="50">
        <v>91.025945813227978</v>
      </c>
      <c r="BB75" s="50">
        <v>72.761154005246851</v>
      </c>
      <c r="BC75" s="50">
        <v>213.83004117277383</v>
      </c>
      <c r="BD75" s="50">
        <v>82.713363211864888</v>
      </c>
      <c r="BE75" s="50">
        <v>83.540496843983547</v>
      </c>
      <c r="BF75" s="50">
        <v>84.375901812423393</v>
      </c>
      <c r="BG75" s="50">
        <v>85.21966083054761</v>
      </c>
      <c r="BH75" s="50">
        <v>86.071857438853101</v>
      </c>
      <c r="BI75" s="50">
        <v>86.932576013241629</v>
      </c>
    </row>
    <row r="76" spans="1:61" x14ac:dyDescent="0.25">
      <c r="A76" s="48" t="s">
        <v>29</v>
      </c>
      <c r="B76" s="48" t="s">
        <v>136</v>
      </c>
      <c r="C76" s="49" t="s">
        <v>42</v>
      </c>
      <c r="D76" s="49" t="str">
        <f>VLOOKUP(A76,PARAMETER!D:E,2,0)</f>
        <v>RIFALDI</v>
      </c>
      <c r="E76" s="49" t="str">
        <f t="shared" si="4"/>
        <v>RIFALDITRX</v>
      </c>
      <c r="F76" s="49" t="str">
        <f t="shared" si="3"/>
        <v>PLATINUM CINEPLEXTRX</v>
      </c>
      <c r="G76" s="50">
        <f t="shared" si="5"/>
        <v>20000.000000000007</v>
      </c>
      <c r="H76" s="50">
        <f>SUMIF(I$1:BI$1,"&lt;="&amp;PARAMETER!X$2,I76:BI76)</f>
        <v>5539.7557979744188</v>
      </c>
      <c r="I76" s="50">
        <v>789.4004241081293</v>
      </c>
      <c r="J76" s="50">
        <v>339.37233433552848</v>
      </c>
      <c r="K76" s="50">
        <v>300.03553711217126</v>
      </c>
      <c r="L76" s="50">
        <v>551.29512672708972</v>
      </c>
      <c r="M76" s="50">
        <v>575.09893222635219</v>
      </c>
      <c r="N76" s="50">
        <v>762.95735486353919</v>
      </c>
      <c r="O76" s="50">
        <v>833.18365788668848</v>
      </c>
      <c r="P76" s="50">
        <v>593.02743403776685</v>
      </c>
      <c r="Q76" s="50">
        <v>383.81955307850143</v>
      </c>
      <c r="R76" s="50">
        <v>260.16920608003801</v>
      </c>
      <c r="S76" s="50">
        <v>151.39623751861353</v>
      </c>
      <c r="T76" s="50">
        <v>391.18259461005294</v>
      </c>
      <c r="U76" s="50">
        <v>1105.1874907067474</v>
      </c>
      <c r="V76" s="50">
        <v>2175.0222957037854</v>
      </c>
      <c r="W76" s="50">
        <v>1253.6418737321612</v>
      </c>
      <c r="X76" s="50">
        <v>1099.0768386594439</v>
      </c>
      <c r="Y76" s="50">
        <v>741.55746475014871</v>
      </c>
      <c r="Z76" s="50">
        <v>722.77162248643003</v>
      </c>
      <c r="AA76" s="50">
        <v>487.74266437542224</v>
      </c>
      <c r="AB76" s="50">
        <v>275.52568653454091</v>
      </c>
      <c r="AC76" s="50">
        <v>330.84095630524911</v>
      </c>
      <c r="AD76" s="50">
        <v>426.57730681252247</v>
      </c>
      <c r="AE76" s="50">
        <v>390.80435617521294</v>
      </c>
      <c r="AF76" s="50">
        <v>448.19573468826491</v>
      </c>
      <c r="AG76" s="50">
        <v>331.21919474008911</v>
      </c>
      <c r="AH76" s="50">
        <v>325.45315993341745</v>
      </c>
      <c r="AI76" s="50">
        <v>215.2176694239451</v>
      </c>
      <c r="AJ76" s="50">
        <v>164.40763967710859</v>
      </c>
      <c r="AK76" s="50">
        <v>232.25520958884792</v>
      </c>
      <c r="AL76" s="50">
        <v>208.56067297076154</v>
      </c>
      <c r="AM76" s="50">
        <v>270.68423456858926</v>
      </c>
      <c r="AN76" s="50">
        <v>280.41757029180457</v>
      </c>
      <c r="AO76" s="50">
        <v>472.72239586299924</v>
      </c>
      <c r="AP76" s="50">
        <v>311.55920142696243</v>
      </c>
      <c r="AQ76" s="50">
        <v>172.56283857069329</v>
      </c>
      <c r="AR76" s="50">
        <v>225.52256544869638</v>
      </c>
      <c r="AS76" s="50">
        <v>126.66784917863123</v>
      </c>
      <c r="AT76" s="50">
        <v>70.503644254171121</v>
      </c>
      <c r="AU76" s="50">
        <v>73.369851060402922</v>
      </c>
      <c r="AV76" s="50">
        <v>50.457007207652509</v>
      </c>
      <c r="AW76" s="50">
        <v>68.259429540787266</v>
      </c>
      <c r="AX76" s="50">
        <v>60.946819800547779</v>
      </c>
      <c r="AY76" s="50">
        <v>198.0708603778663</v>
      </c>
      <c r="AZ76" s="50">
        <v>247.39316068629742</v>
      </c>
      <c r="BA76" s="50">
        <v>205.47592840217777</v>
      </c>
      <c r="BB76" s="50">
        <v>101.30906344724896</v>
      </c>
      <c r="BC76" s="50">
        <v>101.040093893585</v>
      </c>
      <c r="BD76" s="50">
        <v>15.936446054590897</v>
      </c>
      <c r="BE76" s="50">
        <v>16.095810515136804</v>
      </c>
      <c r="BF76" s="50">
        <v>16.256768620288174</v>
      </c>
      <c r="BG76" s="50">
        <v>16.419336306491054</v>
      </c>
      <c r="BH76" s="50">
        <v>16.583529669555965</v>
      </c>
      <c r="BI76" s="50">
        <v>16.749364966251523</v>
      </c>
    </row>
    <row r="77" spans="1:61" x14ac:dyDescent="0.25">
      <c r="A77" s="48" t="s">
        <v>49</v>
      </c>
      <c r="B77" s="48" t="s">
        <v>136</v>
      </c>
      <c r="C77" s="49" t="s">
        <v>42</v>
      </c>
      <c r="D77" s="49" t="str">
        <f>VLOOKUP(A77,PARAMETER!D:E,2,0)</f>
        <v>NINA</v>
      </c>
      <c r="E77" s="49" t="str">
        <f t="shared" si="4"/>
        <v>NINATRX</v>
      </c>
      <c r="F77" s="49" t="str">
        <f t="shared" si="3"/>
        <v>POPEYESTRX</v>
      </c>
      <c r="G77" s="50">
        <f t="shared" si="5"/>
        <v>0</v>
      </c>
      <c r="H77" s="50">
        <f>SUMIF(I$1:BI$1,"&lt;="&amp;PARAMETER!X$2,I77:BI77)</f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  <c r="Q77" s="50">
        <v>0</v>
      </c>
      <c r="R77" s="50">
        <v>0</v>
      </c>
      <c r="S77" s="50">
        <v>0</v>
      </c>
      <c r="T77" s="50">
        <v>0</v>
      </c>
      <c r="U77" s="50">
        <v>0</v>
      </c>
      <c r="V77" s="50">
        <v>0</v>
      </c>
      <c r="W77" s="50">
        <v>0</v>
      </c>
      <c r="X77" s="50">
        <v>0</v>
      </c>
      <c r="Y77" s="50">
        <v>0</v>
      </c>
      <c r="Z77" s="50">
        <v>0</v>
      </c>
      <c r="AA77" s="50">
        <v>0</v>
      </c>
      <c r="AB77" s="50">
        <v>0</v>
      </c>
      <c r="AC77" s="50">
        <v>0</v>
      </c>
      <c r="AD77" s="50">
        <v>0</v>
      </c>
      <c r="AE77" s="50">
        <v>0</v>
      </c>
      <c r="AF77" s="50">
        <v>0</v>
      </c>
      <c r="AG77" s="50">
        <v>0</v>
      </c>
      <c r="AH77" s="50">
        <v>0</v>
      </c>
      <c r="AI77" s="50">
        <v>0</v>
      </c>
      <c r="AJ77" s="50">
        <v>0</v>
      </c>
      <c r="AK77" s="50">
        <v>0</v>
      </c>
      <c r="AL77" s="50">
        <v>0</v>
      </c>
      <c r="AM77" s="50">
        <v>0</v>
      </c>
      <c r="AN77" s="50">
        <v>0</v>
      </c>
      <c r="AO77" s="50">
        <v>0</v>
      </c>
      <c r="AP77" s="50">
        <v>0</v>
      </c>
      <c r="AQ77" s="50">
        <v>0</v>
      </c>
      <c r="AR77" s="50">
        <v>0</v>
      </c>
      <c r="AS77" s="50">
        <v>0</v>
      </c>
      <c r="AT77" s="50">
        <v>0</v>
      </c>
      <c r="AU77" s="50">
        <v>0</v>
      </c>
      <c r="AV77" s="50">
        <v>0</v>
      </c>
      <c r="AW77" s="50">
        <v>0</v>
      </c>
      <c r="AX77" s="50">
        <v>0</v>
      </c>
      <c r="AY77" s="50">
        <v>0</v>
      </c>
      <c r="AZ77" s="50">
        <v>0</v>
      </c>
      <c r="BA77" s="50">
        <v>0</v>
      </c>
      <c r="BB77" s="50">
        <v>0</v>
      </c>
      <c r="BC77" s="50">
        <v>0</v>
      </c>
      <c r="BD77" s="50">
        <v>0</v>
      </c>
      <c r="BE77" s="50">
        <v>0</v>
      </c>
      <c r="BF77" s="50">
        <v>0</v>
      </c>
      <c r="BG77" s="50">
        <v>0</v>
      </c>
      <c r="BH77" s="50">
        <v>0</v>
      </c>
      <c r="BI77" s="50">
        <v>0</v>
      </c>
    </row>
    <row r="78" spans="1:61" x14ac:dyDescent="0.25">
      <c r="A78" s="48" t="s">
        <v>31</v>
      </c>
      <c r="B78" s="48" t="s">
        <v>136</v>
      </c>
      <c r="C78" s="49" t="s">
        <v>42</v>
      </c>
      <c r="D78" s="49" t="str">
        <f>VLOOKUP(A78,PARAMETER!D:E,2,0)</f>
        <v>ADISTI</v>
      </c>
      <c r="E78" s="49" t="str">
        <f t="shared" si="4"/>
        <v>ADISTITRX</v>
      </c>
      <c r="F78" s="49" t="str">
        <f t="shared" si="3"/>
        <v>SARINAHTRX</v>
      </c>
      <c r="G78" s="50">
        <f t="shared" si="5"/>
        <v>11000.000000000004</v>
      </c>
      <c r="H78" s="50">
        <f>SUMIF(I$1:BI$1,"&lt;="&amp;PARAMETER!X$2,I78:BI78)</f>
        <v>3240.5502870058122</v>
      </c>
      <c r="I78" s="50">
        <v>247.23788762108882</v>
      </c>
      <c r="J78" s="50">
        <v>269.7572965854356</v>
      </c>
      <c r="K78" s="50">
        <v>324.48859908054038</v>
      </c>
      <c r="L78" s="50">
        <v>313.95265125847243</v>
      </c>
      <c r="M78" s="50">
        <v>273.26726153077692</v>
      </c>
      <c r="N78" s="50">
        <v>234.56084962120786</v>
      </c>
      <c r="O78" s="50">
        <v>259.62986289434673</v>
      </c>
      <c r="P78" s="50">
        <v>391.7698819989327</v>
      </c>
      <c r="Q78" s="50">
        <v>201.82362565259416</v>
      </c>
      <c r="R78" s="50">
        <v>278.89630019411175</v>
      </c>
      <c r="S78" s="50">
        <v>445.16607056830469</v>
      </c>
      <c r="T78" s="50">
        <v>284.63089884792402</v>
      </c>
      <c r="U78" s="50">
        <v>207.20750135560269</v>
      </c>
      <c r="V78" s="50">
        <v>226.8039455735707</v>
      </c>
      <c r="W78" s="50">
        <v>235.9524040340076</v>
      </c>
      <c r="X78" s="50">
        <v>288.54035762921023</v>
      </c>
      <c r="Y78" s="50">
        <v>324.31650164502787</v>
      </c>
      <c r="Z78" s="50">
        <v>290.9676666491161</v>
      </c>
      <c r="AA78" s="50">
        <v>323.58027661198236</v>
      </c>
      <c r="AB78" s="50">
        <v>274.48671526510338</v>
      </c>
      <c r="AC78" s="50">
        <v>298.74280748594089</v>
      </c>
      <c r="AD78" s="50">
        <v>114.05796778421197</v>
      </c>
      <c r="AE78" s="50">
        <v>235.83746215838403</v>
      </c>
      <c r="AF78" s="50">
        <v>210.02561794136562</v>
      </c>
      <c r="AG78" s="50">
        <v>185.89660275488558</v>
      </c>
      <c r="AH78" s="50">
        <v>209.32558434911914</v>
      </c>
      <c r="AI78" s="50">
        <v>294.98082396146953</v>
      </c>
      <c r="AJ78" s="50">
        <v>133.3407544700691</v>
      </c>
      <c r="AK78" s="50">
        <v>241.79482302186682</v>
      </c>
      <c r="AL78" s="50">
        <v>289.19033125945913</v>
      </c>
      <c r="AM78" s="50">
        <v>141.37959340878712</v>
      </c>
      <c r="AN78" s="50">
        <v>221.9896440204985</v>
      </c>
      <c r="AO78" s="50">
        <v>192.71331413822523</v>
      </c>
      <c r="AP78" s="50">
        <v>214.71173012457919</v>
      </c>
      <c r="AQ78" s="50">
        <v>119.16196463318865</v>
      </c>
      <c r="AR78" s="50">
        <v>157.82041477629738</v>
      </c>
      <c r="AS78" s="50">
        <v>145.86932811013838</v>
      </c>
      <c r="AT78" s="50">
        <v>131.09114185722956</v>
      </c>
      <c r="AU78" s="50">
        <v>94.14338101956092</v>
      </c>
      <c r="AV78" s="50">
        <v>78.834228063195354</v>
      </c>
      <c r="AW78" s="50">
        <v>126.04244721613327</v>
      </c>
      <c r="AX78" s="50">
        <v>122.09287949758878</v>
      </c>
      <c r="AY78" s="50">
        <v>135.06773803127038</v>
      </c>
      <c r="AZ78" s="50">
        <v>93.616377214012459</v>
      </c>
      <c r="BA78" s="50">
        <v>120.6816354492325</v>
      </c>
      <c r="BB78" s="50">
        <v>134.86278291850192</v>
      </c>
      <c r="BC78" s="50">
        <v>161.17691471651239</v>
      </c>
      <c r="BD78" s="50">
        <v>113.54249756819769</v>
      </c>
      <c r="BE78" s="50">
        <v>114.67792254387969</v>
      </c>
      <c r="BF78" s="50">
        <v>115.82470176931845</v>
      </c>
      <c r="BG78" s="50">
        <v>116.98294878701165</v>
      </c>
      <c r="BH78" s="50">
        <v>118.15277827488177</v>
      </c>
      <c r="BI78" s="50">
        <v>119.3343060576306</v>
      </c>
    </row>
    <row r="79" spans="1:61" x14ac:dyDescent="0.25">
      <c r="A79" s="48" t="s">
        <v>32</v>
      </c>
      <c r="B79" s="48" t="s">
        <v>136</v>
      </c>
      <c r="C79" s="49" t="s">
        <v>42</v>
      </c>
      <c r="D79" s="49" t="str">
        <f>VLOOKUP(A79,PARAMETER!D:E,2,0)</f>
        <v>NINA</v>
      </c>
      <c r="E79" s="49" t="str">
        <f t="shared" si="4"/>
        <v>NINATRX</v>
      </c>
      <c r="F79" s="49" t="str">
        <f t="shared" si="3"/>
        <v>SHIHLINTRX</v>
      </c>
      <c r="G79" s="50">
        <f t="shared" si="5"/>
        <v>39999.999999999993</v>
      </c>
      <c r="H79" s="50">
        <f>SUMIF(I$1:BI$1,"&lt;="&amp;PARAMETER!X$2,I79:BI79)</f>
        <v>10345.712502680241</v>
      </c>
      <c r="I79" s="50">
        <v>447.94887867365873</v>
      </c>
      <c r="J79" s="50">
        <v>353.18500180946256</v>
      </c>
      <c r="K79" s="50">
        <v>306.19138943822242</v>
      </c>
      <c r="L79" s="50">
        <v>811.44603904767598</v>
      </c>
      <c r="M79" s="50">
        <v>1527.0366039574692</v>
      </c>
      <c r="N79" s="50">
        <v>2102.8980117879873</v>
      </c>
      <c r="O79" s="50">
        <v>1445.8402361026403</v>
      </c>
      <c r="P79" s="50">
        <v>1341.5582111672541</v>
      </c>
      <c r="Q79" s="50">
        <v>937.773838879393</v>
      </c>
      <c r="R79" s="50">
        <v>492.00370586674381</v>
      </c>
      <c r="S79" s="50">
        <v>579.83058594973215</v>
      </c>
      <c r="T79" s="50">
        <v>538.09200843721931</v>
      </c>
      <c r="U79" s="50">
        <v>690.81186226500643</v>
      </c>
      <c r="V79" s="50">
        <v>737.64078869248738</v>
      </c>
      <c r="W79" s="50">
        <v>430.21502615925596</v>
      </c>
      <c r="X79" s="50">
        <v>486.06112519409652</v>
      </c>
      <c r="Y79" s="50">
        <v>365.5904514143034</v>
      </c>
      <c r="Z79" s="50">
        <v>550.53580075632397</v>
      </c>
      <c r="AA79" s="50">
        <v>673.66659998807404</v>
      </c>
      <c r="AB79" s="50">
        <v>480.09401135618594</v>
      </c>
      <c r="AC79" s="50">
        <v>481.27713225164592</v>
      </c>
      <c r="AD79" s="50">
        <v>549.97554966782673</v>
      </c>
      <c r="AE79" s="50">
        <v>519.87723902177993</v>
      </c>
      <c r="AF79" s="50">
        <v>301.23846739449863</v>
      </c>
      <c r="AG79" s="50">
        <v>468.95896311106469</v>
      </c>
      <c r="AH79" s="50">
        <v>844.66361050481066</v>
      </c>
      <c r="AI79" s="50">
        <v>624.07846395165552</v>
      </c>
      <c r="AJ79" s="50">
        <v>943.24627769947892</v>
      </c>
      <c r="AK79" s="50">
        <v>870.83736047580703</v>
      </c>
      <c r="AL79" s="50">
        <v>338.42395688164606</v>
      </c>
      <c r="AM79" s="50">
        <v>210.10061292910373</v>
      </c>
      <c r="AN79" s="50">
        <v>173.86667080157139</v>
      </c>
      <c r="AO79" s="50">
        <v>178.90695045787319</v>
      </c>
      <c r="AP79" s="50">
        <v>208.14873475651453</v>
      </c>
      <c r="AQ79" s="50">
        <v>579.29247642862674</v>
      </c>
      <c r="AR79" s="50">
        <v>957.7192508062476</v>
      </c>
      <c r="AS79" s="50">
        <v>780.63814388474191</v>
      </c>
      <c r="AT79" s="50">
        <v>734.17582626647879</v>
      </c>
      <c r="AU79" s="50">
        <v>921.07377383206051</v>
      </c>
      <c r="AV79" s="50">
        <v>1078.0448857473773</v>
      </c>
      <c r="AW79" s="50">
        <v>1037.3105736120788</v>
      </c>
      <c r="AX79" s="50">
        <v>844.67122247223017</v>
      </c>
      <c r="AY79" s="50">
        <v>1187.9555234154741</v>
      </c>
      <c r="AZ79" s="50">
        <v>936.11988179650564</v>
      </c>
      <c r="BA79" s="50">
        <v>1063.1552602888305</v>
      </c>
      <c r="BB79" s="50">
        <v>900.73235958666339</v>
      </c>
      <c r="BC79" s="50">
        <v>1982.8146482828599</v>
      </c>
      <c r="BD79" s="50">
        <v>810.18592413041472</v>
      </c>
      <c r="BE79" s="50">
        <v>818.28778337171889</v>
      </c>
      <c r="BF79" s="50">
        <v>826.47066120543604</v>
      </c>
      <c r="BG79" s="50">
        <v>834.73536781749044</v>
      </c>
      <c r="BH79" s="50">
        <v>843.08272149566528</v>
      </c>
      <c r="BI79" s="50">
        <v>851.51354871062188</v>
      </c>
    </row>
    <row r="80" spans="1:61" x14ac:dyDescent="0.25">
      <c r="A80" s="48" t="s">
        <v>33</v>
      </c>
      <c r="B80" s="48" t="s">
        <v>136</v>
      </c>
      <c r="C80" s="49" t="s">
        <v>42</v>
      </c>
      <c r="D80" s="49" t="str">
        <f>VLOOKUP(A80,PARAMETER!D:E,2,0)</f>
        <v>NINA</v>
      </c>
      <c r="E80" s="49" t="str">
        <f t="shared" si="4"/>
        <v>NINATRX</v>
      </c>
      <c r="F80" s="49" t="str">
        <f t="shared" si="3"/>
        <v>SOLARIATRX</v>
      </c>
      <c r="G80" s="50">
        <f t="shared" si="5"/>
        <v>36999.999999999993</v>
      </c>
      <c r="H80" s="50">
        <f>SUMIF(I$1:BI$1,"&lt;="&amp;PARAMETER!X$2,I80:BI80)</f>
        <v>6484.485035979349</v>
      </c>
      <c r="I80" s="50">
        <v>711.9893756348531</v>
      </c>
      <c r="J80" s="50">
        <v>513.37081188219383</v>
      </c>
      <c r="K80" s="50">
        <v>556.08461603161174</v>
      </c>
      <c r="L80" s="50">
        <v>774.60614321403443</v>
      </c>
      <c r="M80" s="50">
        <v>635.45787010825609</v>
      </c>
      <c r="N80" s="50">
        <v>556.33840741155302</v>
      </c>
      <c r="O80" s="50">
        <v>654.04898232057633</v>
      </c>
      <c r="P80" s="50">
        <v>585.72727048243257</v>
      </c>
      <c r="Q80" s="50">
        <v>503.7035050223169</v>
      </c>
      <c r="R80" s="50">
        <v>425.32665020142809</v>
      </c>
      <c r="S80" s="50">
        <v>567.8314036700923</v>
      </c>
      <c r="T80" s="50">
        <v>685.89265145025433</v>
      </c>
      <c r="U80" s="50">
        <v>907.82338326111392</v>
      </c>
      <c r="V80" s="50">
        <v>1059.8068873179382</v>
      </c>
      <c r="W80" s="50">
        <v>573.81516099434236</v>
      </c>
      <c r="X80" s="50">
        <v>667.30511376441211</v>
      </c>
      <c r="Y80" s="50">
        <v>605.45061395667426</v>
      </c>
      <c r="Z80" s="50">
        <v>626.77445166146117</v>
      </c>
      <c r="AA80" s="50">
        <v>761.583249622891</v>
      </c>
      <c r="AB80" s="50">
        <v>501.95288067969352</v>
      </c>
      <c r="AC80" s="50">
        <v>524.16498821427513</v>
      </c>
      <c r="AD80" s="50">
        <v>250.39736705040323</v>
      </c>
      <c r="AE80" s="50">
        <v>701.20056109248901</v>
      </c>
      <c r="AF80" s="50">
        <v>609.83387705037899</v>
      </c>
      <c r="AG80" s="50">
        <v>770.64467424473912</v>
      </c>
      <c r="AH80" s="50">
        <v>814.43887902214658</v>
      </c>
      <c r="AI80" s="50">
        <v>803.68491611294348</v>
      </c>
      <c r="AJ80" s="50">
        <v>1456.4595797440961</v>
      </c>
      <c r="AK80" s="50">
        <v>815.76770924036043</v>
      </c>
      <c r="AL80" s="50">
        <v>887.21355722031694</v>
      </c>
      <c r="AM80" s="50">
        <v>798.71364341360015</v>
      </c>
      <c r="AN80" s="50">
        <v>735.87346792954099</v>
      </c>
      <c r="AO80" s="50">
        <v>781.58451253080068</v>
      </c>
      <c r="AP80" s="50">
        <v>637.12628034188413</v>
      </c>
      <c r="AQ80" s="50">
        <v>830.12926299753212</v>
      </c>
      <c r="AR80" s="50">
        <v>711.28608755029745</v>
      </c>
      <c r="AS80" s="50">
        <v>654.8612934627123</v>
      </c>
      <c r="AT80" s="50">
        <v>582.80956324472709</v>
      </c>
      <c r="AU80" s="50">
        <v>684.46015996417725</v>
      </c>
      <c r="AV80" s="50">
        <v>928.66912804946219</v>
      </c>
      <c r="AW80" s="50">
        <v>705.27909580394009</v>
      </c>
      <c r="AX80" s="50">
        <v>713.27531153533039</v>
      </c>
      <c r="AY80" s="50">
        <v>820.06250280373354</v>
      </c>
      <c r="AZ80" s="50">
        <v>921.08577012628632</v>
      </c>
      <c r="BA80" s="50">
        <v>719.85780204465323</v>
      </c>
      <c r="BB80" s="50">
        <v>635.59995753575822</v>
      </c>
      <c r="BC80" s="50">
        <v>649.19924352148655</v>
      </c>
      <c r="BD80" s="50">
        <v>647.17516790329262</v>
      </c>
      <c r="BE80" s="50">
        <v>653.64691958232561</v>
      </c>
      <c r="BF80" s="50">
        <v>660.18338877814881</v>
      </c>
      <c r="BG80" s="50">
        <v>666.78522266593029</v>
      </c>
      <c r="BH80" s="50">
        <v>673.4530748925896</v>
      </c>
      <c r="BI80" s="50">
        <v>680.18760564151546</v>
      </c>
    </row>
    <row r="81" spans="1:61" x14ac:dyDescent="0.25">
      <c r="A81" s="48" t="s">
        <v>34</v>
      </c>
      <c r="B81" s="48" t="s">
        <v>136</v>
      </c>
      <c r="C81" s="49" t="s">
        <v>42</v>
      </c>
      <c r="D81" s="49" t="str">
        <f>VLOOKUP(A81,PARAMETER!D:E,2,0)</f>
        <v>NINA</v>
      </c>
      <c r="E81" s="49" t="str">
        <f t="shared" si="4"/>
        <v>NINATRX</v>
      </c>
      <c r="F81" s="49" t="str">
        <f t="shared" si="3"/>
        <v>SOUR SALLYTRX</v>
      </c>
      <c r="G81" s="50">
        <f t="shared" si="5"/>
        <v>13000.000000000004</v>
      </c>
      <c r="H81" s="50">
        <f>SUMIF(I$1:BI$1,"&lt;="&amp;PARAMETER!X$2,I81:BI81)</f>
        <v>5760.6975626088515</v>
      </c>
      <c r="I81" s="50">
        <v>808.080813125752</v>
      </c>
      <c r="J81" s="50">
        <v>440.8500985543879</v>
      </c>
      <c r="K81" s="50">
        <v>501.37697707206951</v>
      </c>
      <c r="L81" s="50">
        <v>676.67584843094642</v>
      </c>
      <c r="M81" s="50">
        <v>585.39623223835076</v>
      </c>
      <c r="N81" s="50">
        <v>577.6110099554528</v>
      </c>
      <c r="O81" s="50">
        <v>475.5171697563124</v>
      </c>
      <c r="P81" s="50">
        <v>471.75237770464128</v>
      </c>
      <c r="Q81" s="50">
        <v>442.23817916736112</v>
      </c>
      <c r="R81" s="50">
        <v>325.68782909433571</v>
      </c>
      <c r="S81" s="50">
        <v>455.51102750924144</v>
      </c>
      <c r="T81" s="50">
        <v>404.35918088969254</v>
      </c>
      <c r="U81" s="50">
        <v>596.23173476747058</v>
      </c>
      <c r="V81" s="50">
        <v>985.65828875287082</v>
      </c>
      <c r="W81" s="50">
        <v>452.63264329241701</v>
      </c>
      <c r="X81" s="50">
        <v>386.51248587452335</v>
      </c>
      <c r="Y81" s="50">
        <v>271.92947106251682</v>
      </c>
      <c r="Z81" s="50">
        <v>99.515426658968437</v>
      </c>
      <c r="AA81" s="50">
        <v>85.57140367961361</v>
      </c>
      <c r="AB81" s="50">
        <v>116.10666194143482</v>
      </c>
      <c r="AC81" s="50">
        <v>64.171827562941928</v>
      </c>
      <c r="AD81" s="50">
        <v>171.63240168395808</v>
      </c>
      <c r="AE81" s="50">
        <v>230.06763640355592</v>
      </c>
      <c r="AF81" s="50">
        <v>117.16637809700002</v>
      </c>
      <c r="AG81" s="50">
        <v>189.70435043968411</v>
      </c>
      <c r="AH81" s="50">
        <v>102.8282585870239</v>
      </c>
      <c r="AI81" s="50">
        <v>117.2067292776097</v>
      </c>
      <c r="AJ81" s="50">
        <v>173.30832071861386</v>
      </c>
      <c r="AK81" s="50">
        <v>94.717671284476424</v>
      </c>
      <c r="AL81" s="50">
        <v>104.01189321824143</v>
      </c>
      <c r="AM81" s="50">
        <v>12.18605654412605</v>
      </c>
      <c r="AN81" s="50">
        <v>43.646527026146835</v>
      </c>
      <c r="AO81" s="50">
        <v>128.19032063956703</v>
      </c>
      <c r="AP81" s="50">
        <v>38.373972759814151</v>
      </c>
      <c r="AQ81" s="50">
        <v>74.964423336680056</v>
      </c>
      <c r="AR81" s="50">
        <v>144.02681398951628</v>
      </c>
      <c r="AS81" s="50">
        <v>75.032885839781159</v>
      </c>
      <c r="AT81" s="50">
        <v>67.539806104497288</v>
      </c>
      <c r="AU81" s="50">
        <v>83.742150158641053</v>
      </c>
      <c r="AV81" s="50">
        <v>50.681082845769268</v>
      </c>
      <c r="AW81" s="50">
        <v>132.94371661617546</v>
      </c>
      <c r="AX81" s="50">
        <v>140.46245970232707</v>
      </c>
      <c r="AY81" s="50">
        <v>93.907957593575333</v>
      </c>
      <c r="AZ81" s="50">
        <v>74.851440030972924</v>
      </c>
      <c r="BA81" s="50">
        <v>192.5429349420339</v>
      </c>
      <c r="BB81" s="50">
        <v>139.30572585818268</v>
      </c>
      <c r="BC81" s="50">
        <v>83.217584810715081</v>
      </c>
      <c r="BD81" s="50">
        <v>146.35104199263435</v>
      </c>
      <c r="BE81" s="50">
        <v>147.81455241256069</v>
      </c>
      <c r="BF81" s="50">
        <v>149.2926979366863</v>
      </c>
      <c r="BG81" s="50">
        <v>150.78562491605317</v>
      </c>
      <c r="BH81" s="50">
        <v>152.29348116521368</v>
      </c>
      <c r="BI81" s="50">
        <v>153.81641597686584</v>
      </c>
    </row>
    <row r="82" spans="1:61" x14ac:dyDescent="0.25">
      <c r="A82" s="48" t="s">
        <v>53</v>
      </c>
      <c r="B82" s="48" t="s">
        <v>136</v>
      </c>
      <c r="C82" s="49" t="s">
        <v>42</v>
      </c>
      <c r="D82" s="49" t="str">
        <f>VLOOKUP(A82,PARAMETER!D:E,2,0)</f>
        <v>NINA</v>
      </c>
      <c r="E82" s="49" t="str">
        <f t="shared" si="4"/>
        <v>NINATRX</v>
      </c>
      <c r="F82" s="49" t="str">
        <f t="shared" si="3"/>
        <v>STEVEN GROUPTRX</v>
      </c>
      <c r="G82" s="50">
        <f t="shared" si="5"/>
        <v>10000</v>
      </c>
      <c r="H82" s="50">
        <f>SUMIF(I$1:BI$1,"&lt;="&amp;PARAMETER!X$2,I82:BI82)</f>
        <v>3469.9152683356879</v>
      </c>
      <c r="I82" s="50">
        <v>0.99320301520585763</v>
      </c>
      <c r="J82" s="50">
        <v>18.650145507754438</v>
      </c>
      <c r="K82" s="50">
        <v>993.20302624144665</v>
      </c>
      <c r="L82" s="50">
        <v>65.992822565900312</v>
      </c>
      <c r="M82" s="50">
        <v>101.3309637757466</v>
      </c>
      <c r="N82" s="50">
        <v>1362.4146156333572</v>
      </c>
      <c r="O82" s="50">
        <v>326.24749196865594</v>
      </c>
      <c r="P82" s="50">
        <v>272.73585441364156</v>
      </c>
      <c r="Q82" s="50">
        <v>153.53478470710508</v>
      </c>
      <c r="R82" s="50">
        <v>124.90348964039562</v>
      </c>
      <c r="S82" s="50">
        <v>49.908870866478544</v>
      </c>
      <c r="T82" s="50">
        <v>71.04849076743551</v>
      </c>
      <c r="U82" s="50">
        <v>290.40570854538782</v>
      </c>
      <c r="V82" s="50">
        <v>92.965115458366142</v>
      </c>
      <c r="W82" s="50">
        <v>74.409103525275114</v>
      </c>
      <c r="X82" s="50">
        <v>60.857731229915814</v>
      </c>
      <c r="Y82" s="50">
        <v>46.714619613685926</v>
      </c>
      <c r="Z82" s="50">
        <v>138.39841489772405</v>
      </c>
      <c r="AA82" s="50">
        <v>123.75344883349969</v>
      </c>
      <c r="AB82" s="50">
        <v>53.092936270570767</v>
      </c>
      <c r="AC82" s="50">
        <v>84.071887375500424</v>
      </c>
      <c r="AD82" s="50">
        <v>113.40034474535007</v>
      </c>
      <c r="AE82" s="50">
        <v>464.72551760584327</v>
      </c>
      <c r="AF82" s="50">
        <v>57.637568414015377</v>
      </c>
      <c r="AG82" s="50">
        <v>109.27645547032476</v>
      </c>
      <c r="AH82" s="50">
        <v>191.71471149082555</v>
      </c>
      <c r="AI82" s="50">
        <v>66.782352749454617</v>
      </c>
      <c r="AJ82" s="50">
        <v>142.95214036655236</v>
      </c>
      <c r="AK82" s="50">
        <v>115.77959567504287</v>
      </c>
      <c r="AL82" s="50">
        <v>107.02856115718747</v>
      </c>
      <c r="AM82" s="50">
        <v>112.15804641393058</v>
      </c>
      <c r="AN82" s="50">
        <v>290.37035051804645</v>
      </c>
      <c r="AO82" s="50">
        <v>1048.5930203744074</v>
      </c>
      <c r="AP82" s="50">
        <v>105.62335546009609</v>
      </c>
      <c r="AQ82" s="50">
        <v>81.648262342206053</v>
      </c>
      <c r="AR82" s="50">
        <v>117.97507094015542</v>
      </c>
      <c r="AS82" s="50">
        <v>115.66562011125347</v>
      </c>
      <c r="AT82" s="50">
        <v>119.31480248736661</v>
      </c>
      <c r="AU82" s="50">
        <v>466.94811834885996</v>
      </c>
      <c r="AV82" s="50">
        <v>263.85563729027507</v>
      </c>
      <c r="AW82" s="50">
        <v>68.866379600672019</v>
      </c>
      <c r="AX82" s="50">
        <v>68.713338051617853</v>
      </c>
      <c r="AY82" s="50">
        <v>97.509659317098297</v>
      </c>
      <c r="AZ82" s="50">
        <v>140.98926221201194</v>
      </c>
      <c r="BA82" s="50">
        <v>95.078839079738188</v>
      </c>
      <c r="BB82" s="50">
        <v>95.348096417160505</v>
      </c>
      <c r="BC82" s="50">
        <v>285.51790268901146</v>
      </c>
      <c r="BD82" s="50">
        <v>89.546963139178956</v>
      </c>
      <c r="BE82" s="50">
        <v>90.442432770570733</v>
      </c>
      <c r="BF82" s="50">
        <v>91.346857098276445</v>
      </c>
      <c r="BG82" s="50">
        <v>92.260325669259217</v>
      </c>
      <c r="BH82" s="50">
        <v>93.182928925951828</v>
      </c>
      <c r="BI82" s="50">
        <v>94.114758215211324</v>
      </c>
    </row>
    <row r="83" spans="1:61" x14ac:dyDescent="0.25">
      <c r="A83" s="48" t="s">
        <v>50</v>
      </c>
      <c r="B83" s="48" t="s">
        <v>136</v>
      </c>
      <c r="C83" s="49" t="s">
        <v>42</v>
      </c>
      <c r="D83" s="49" t="str">
        <f>VLOOKUP(A83,PARAMETER!D:E,2,0)</f>
        <v>ADISTI</v>
      </c>
      <c r="E83" s="49" t="str">
        <f t="shared" si="4"/>
        <v>ADISTITRX</v>
      </c>
      <c r="F83" s="49" t="str">
        <f t="shared" si="3"/>
        <v>SUPRA BOGA LESTARITRX</v>
      </c>
      <c r="G83" s="50">
        <f t="shared" si="5"/>
        <v>0</v>
      </c>
      <c r="H83" s="50">
        <f>SUMIF(I$1:BI$1,"&lt;="&amp;PARAMETER!X$2,I83:BI83)</f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  <c r="Q83" s="50">
        <v>0</v>
      </c>
      <c r="R83" s="50">
        <v>0</v>
      </c>
      <c r="S83" s="50">
        <v>0</v>
      </c>
      <c r="T83" s="50">
        <v>0</v>
      </c>
      <c r="U83" s="50">
        <v>0</v>
      </c>
      <c r="V83" s="50">
        <v>0</v>
      </c>
      <c r="W83" s="50">
        <v>0</v>
      </c>
      <c r="X83" s="50">
        <v>0</v>
      </c>
      <c r="Y83" s="50">
        <v>0</v>
      </c>
      <c r="Z83" s="50">
        <v>0</v>
      </c>
      <c r="AA83" s="50">
        <v>0</v>
      </c>
      <c r="AB83" s="50">
        <v>0</v>
      </c>
      <c r="AC83" s="50">
        <v>0</v>
      </c>
      <c r="AD83" s="50">
        <v>0</v>
      </c>
      <c r="AE83" s="50">
        <v>0</v>
      </c>
      <c r="AF83" s="50">
        <v>0</v>
      </c>
      <c r="AG83" s="50">
        <v>0</v>
      </c>
      <c r="AH83" s="50">
        <v>0</v>
      </c>
      <c r="AI83" s="50">
        <v>0</v>
      </c>
      <c r="AJ83" s="50">
        <v>0</v>
      </c>
      <c r="AK83" s="50">
        <v>0</v>
      </c>
      <c r="AL83" s="50">
        <v>0</v>
      </c>
      <c r="AM83" s="50">
        <v>0</v>
      </c>
      <c r="AN83" s="50">
        <v>0</v>
      </c>
      <c r="AO83" s="50">
        <v>0</v>
      </c>
      <c r="AP83" s="50">
        <v>0</v>
      </c>
      <c r="AQ83" s="50">
        <v>0</v>
      </c>
      <c r="AR83" s="50">
        <v>0</v>
      </c>
      <c r="AS83" s="50">
        <v>0</v>
      </c>
      <c r="AT83" s="50">
        <v>0</v>
      </c>
      <c r="AU83" s="50">
        <v>0</v>
      </c>
      <c r="AV83" s="50">
        <v>0</v>
      </c>
      <c r="AW83" s="50">
        <v>0</v>
      </c>
      <c r="AX83" s="50">
        <v>0</v>
      </c>
      <c r="AY83" s="50">
        <v>0</v>
      </c>
      <c r="AZ83" s="50">
        <v>0</v>
      </c>
      <c r="BA83" s="50">
        <v>0</v>
      </c>
      <c r="BB83" s="50">
        <v>0</v>
      </c>
      <c r="BC83" s="50">
        <v>0</v>
      </c>
      <c r="BD83" s="50">
        <v>0</v>
      </c>
      <c r="BE83" s="50">
        <v>0</v>
      </c>
      <c r="BF83" s="50">
        <v>0</v>
      </c>
      <c r="BG83" s="50">
        <v>0</v>
      </c>
      <c r="BH83" s="50">
        <v>0</v>
      </c>
      <c r="BI83" s="50">
        <v>0</v>
      </c>
    </row>
    <row r="84" spans="1:61" x14ac:dyDescent="0.25">
      <c r="A84" s="48" t="s">
        <v>35</v>
      </c>
      <c r="B84" s="48" t="s">
        <v>136</v>
      </c>
      <c r="C84" s="49" t="s">
        <v>42</v>
      </c>
      <c r="D84" s="49" t="str">
        <f>VLOOKUP(A84,PARAMETER!D:E,2,0)</f>
        <v>ADISTI</v>
      </c>
      <c r="E84" s="49" t="str">
        <f t="shared" si="4"/>
        <v>ADISTITRX</v>
      </c>
      <c r="F84" s="49" t="str">
        <f t="shared" si="3"/>
        <v>SURYA BUMI RETAILINDOTRX</v>
      </c>
      <c r="G84" s="50">
        <f t="shared" si="5"/>
        <v>100</v>
      </c>
      <c r="H84" s="50">
        <f>SUMIF(I$1:BI$1,"&lt;="&amp;PARAMETER!X$2,I84:BI84)</f>
        <v>59.251797577755241</v>
      </c>
      <c r="I84" s="50">
        <v>14.954262538774712</v>
      </c>
      <c r="J84" s="50">
        <v>7.5134012547706295</v>
      </c>
      <c r="K84" s="50">
        <v>7.3005966296096663</v>
      </c>
      <c r="L84" s="50">
        <v>7.6500932767718313</v>
      </c>
      <c r="M84" s="50">
        <v>11.061180553074561</v>
      </c>
      <c r="N84" s="50">
        <v>10.772263324753837</v>
      </c>
      <c r="O84" s="50">
        <v>0</v>
      </c>
      <c r="P84" s="50">
        <v>0</v>
      </c>
      <c r="Q84" s="50">
        <v>0</v>
      </c>
      <c r="R84" s="50">
        <v>0</v>
      </c>
      <c r="S84" s="50">
        <v>0</v>
      </c>
      <c r="T84" s="50">
        <v>0</v>
      </c>
      <c r="U84" s="50">
        <v>0</v>
      </c>
      <c r="V84" s="50">
        <v>0</v>
      </c>
      <c r="W84" s="50">
        <v>0</v>
      </c>
      <c r="X84" s="50">
        <v>0</v>
      </c>
      <c r="Y84" s="50">
        <v>0</v>
      </c>
      <c r="Z84" s="50">
        <v>0</v>
      </c>
      <c r="AA84" s="50">
        <v>0</v>
      </c>
      <c r="AB84" s="50">
        <v>0</v>
      </c>
      <c r="AC84" s="50">
        <v>0</v>
      </c>
      <c r="AD84" s="50">
        <v>0</v>
      </c>
      <c r="AE84" s="50">
        <v>0</v>
      </c>
      <c r="AF84" s="50">
        <v>0</v>
      </c>
      <c r="AG84" s="50">
        <v>0</v>
      </c>
      <c r="AH84" s="50">
        <v>11.47280993751</v>
      </c>
      <c r="AI84" s="50">
        <v>0</v>
      </c>
      <c r="AJ84" s="50">
        <v>19.571812241081236</v>
      </c>
      <c r="AK84" s="50">
        <v>0</v>
      </c>
      <c r="AL84" s="50">
        <v>0</v>
      </c>
      <c r="AM84" s="50">
        <v>4.2343460451736075</v>
      </c>
      <c r="AN84" s="50">
        <v>4.0619276992402717</v>
      </c>
      <c r="AO84" s="50">
        <v>0</v>
      </c>
      <c r="AP84" s="50">
        <v>0</v>
      </c>
      <c r="AQ84" s="50">
        <v>0</v>
      </c>
      <c r="AR84" s="50">
        <v>0</v>
      </c>
      <c r="AS84" s="50">
        <v>0</v>
      </c>
      <c r="AT84" s="50">
        <v>0</v>
      </c>
      <c r="AU84" s="50">
        <v>0</v>
      </c>
      <c r="AV84" s="50">
        <v>0</v>
      </c>
      <c r="AW84" s="50">
        <v>0</v>
      </c>
      <c r="AX84" s="50">
        <v>0</v>
      </c>
      <c r="AY84" s="50">
        <v>0</v>
      </c>
      <c r="AZ84" s="50">
        <v>0</v>
      </c>
      <c r="BA84" s="50">
        <v>0</v>
      </c>
      <c r="BB84" s="50">
        <v>0</v>
      </c>
      <c r="BC84" s="50">
        <v>1.4073064992396505</v>
      </c>
      <c r="BD84" s="50">
        <v>0</v>
      </c>
      <c r="BE84" s="50">
        <v>0</v>
      </c>
      <c r="BF84" s="50">
        <v>0</v>
      </c>
      <c r="BG84" s="50">
        <v>0</v>
      </c>
      <c r="BH84" s="50">
        <v>0</v>
      </c>
      <c r="BI84" s="50">
        <v>0</v>
      </c>
    </row>
    <row r="85" spans="1:61" x14ac:dyDescent="0.25">
      <c r="A85" s="48" t="s">
        <v>51</v>
      </c>
      <c r="B85" s="48" t="s">
        <v>136</v>
      </c>
      <c r="C85" s="49" t="s">
        <v>42</v>
      </c>
      <c r="D85" s="49" t="str">
        <f>VLOOKUP(A85,PARAMETER!D:E,2,0)</f>
        <v>NINA</v>
      </c>
      <c r="E85" s="49" t="str">
        <f t="shared" si="4"/>
        <v>NINATRX</v>
      </c>
      <c r="F85" s="49" t="str">
        <f t="shared" si="3"/>
        <v>SUSHI TEITRX</v>
      </c>
      <c r="G85" s="50">
        <f t="shared" si="5"/>
        <v>500</v>
      </c>
      <c r="H85" s="50">
        <f>SUMIF(I$1:BI$1,"&lt;="&amp;PARAMETER!X$2,I85:BI85)</f>
        <v>0.80549451872109679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50">
        <v>0</v>
      </c>
      <c r="P85" s="50">
        <v>0</v>
      </c>
      <c r="Q85" s="50">
        <v>0.80549451872109679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3.221913636611655E-5</v>
      </c>
      <c r="Y85" s="50">
        <v>0</v>
      </c>
      <c r="Z85" s="50">
        <v>1.6109568183058275E-5</v>
      </c>
      <c r="AA85" s="50">
        <v>0</v>
      </c>
      <c r="AB85" s="50">
        <v>0</v>
      </c>
      <c r="AC85" s="50">
        <v>1.6109568183058275E-5</v>
      </c>
      <c r="AD85" s="50">
        <v>0</v>
      </c>
      <c r="AE85" s="50">
        <v>35.404739036043587</v>
      </c>
      <c r="AF85" s="50">
        <v>7.4023304705470938</v>
      </c>
      <c r="AG85" s="50">
        <v>7.9104423606089354</v>
      </c>
      <c r="AH85" s="50">
        <v>7.251238830558191</v>
      </c>
      <c r="AI85" s="50">
        <v>39.126500354239184</v>
      </c>
      <c r="AJ85" s="50">
        <v>41.969323632367107</v>
      </c>
      <c r="AK85" s="50">
        <v>28.318317197566273</v>
      </c>
      <c r="AL85" s="50">
        <v>6.9079117134408525</v>
      </c>
      <c r="AM85" s="50">
        <v>52.62944374786953</v>
      </c>
      <c r="AN85" s="50">
        <v>7.798722505259426</v>
      </c>
      <c r="AO85" s="50">
        <v>33.495803535055735</v>
      </c>
      <c r="AP85" s="50">
        <v>33.962723259273496</v>
      </c>
      <c r="AQ85" s="50">
        <v>0</v>
      </c>
      <c r="AR85" s="50">
        <v>0</v>
      </c>
      <c r="AS85" s="50">
        <v>0</v>
      </c>
      <c r="AT85" s="50">
        <v>1.6109568183058275E-5</v>
      </c>
      <c r="AU85" s="50">
        <v>0</v>
      </c>
      <c r="AV85" s="50">
        <v>0</v>
      </c>
      <c r="AW85" s="50">
        <v>0</v>
      </c>
      <c r="AX85" s="50">
        <v>1.6109568183058275E-5</v>
      </c>
      <c r="AY85" s="50">
        <v>0</v>
      </c>
      <c r="AZ85" s="50">
        <v>0</v>
      </c>
      <c r="BA85" s="50">
        <v>0</v>
      </c>
      <c r="BB85" s="50">
        <v>197.01681307473427</v>
      </c>
      <c r="BC85" s="50">
        <v>0</v>
      </c>
      <c r="BD85" s="50">
        <v>1.6109568183058275E-5</v>
      </c>
      <c r="BE85" s="50">
        <v>1.6270663864888858E-5</v>
      </c>
      <c r="BF85" s="50">
        <v>1.6433370503537745E-5</v>
      </c>
      <c r="BG85" s="50">
        <v>1.6597704208573121E-5</v>
      </c>
      <c r="BH85" s="50">
        <v>1.6763681250658853E-5</v>
      </c>
      <c r="BI85" s="50">
        <v>1.693131806316544E-5</v>
      </c>
    </row>
    <row r="86" spans="1:61" x14ac:dyDescent="0.25">
      <c r="A86" s="48" t="s">
        <v>36</v>
      </c>
      <c r="B86" s="48" t="s">
        <v>136</v>
      </c>
      <c r="C86" s="49" t="s">
        <v>42</v>
      </c>
      <c r="D86" s="49" t="str">
        <f>VLOOKUP(A86,PARAMETER!D:E,2,0)</f>
        <v>NINA</v>
      </c>
      <c r="E86" s="49" t="str">
        <f t="shared" si="4"/>
        <v>NINATRX</v>
      </c>
      <c r="F86" s="49" t="str">
        <f t="shared" si="3"/>
        <v>TAMANITRX</v>
      </c>
      <c r="G86" s="50">
        <f t="shared" si="5"/>
        <v>0</v>
      </c>
      <c r="H86" s="50">
        <f>SUMIF(I$1:BI$1,"&lt;="&amp;PARAMETER!X$2,I86:BI86)</f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50">
        <v>0</v>
      </c>
      <c r="P86" s="50">
        <v>0</v>
      </c>
      <c r="Q86" s="50">
        <v>0</v>
      </c>
      <c r="R86" s="50">
        <v>0</v>
      </c>
      <c r="S86" s="50">
        <v>0</v>
      </c>
      <c r="T86" s="50">
        <v>0</v>
      </c>
      <c r="U86" s="50">
        <v>0</v>
      </c>
      <c r="V86" s="50">
        <v>0</v>
      </c>
      <c r="W86" s="50">
        <v>0</v>
      </c>
      <c r="X86" s="50">
        <v>0</v>
      </c>
      <c r="Y86" s="50">
        <v>0</v>
      </c>
      <c r="Z86" s="50">
        <v>0</v>
      </c>
      <c r="AA86" s="50">
        <v>0</v>
      </c>
      <c r="AB86" s="50">
        <v>0</v>
      </c>
      <c r="AC86" s="50">
        <v>0</v>
      </c>
      <c r="AD86" s="50">
        <v>0</v>
      </c>
      <c r="AE86" s="50">
        <v>0</v>
      </c>
      <c r="AF86" s="50">
        <v>0</v>
      </c>
      <c r="AG86" s="50">
        <v>0</v>
      </c>
      <c r="AH86" s="50">
        <v>0</v>
      </c>
      <c r="AI86" s="50">
        <v>0</v>
      </c>
      <c r="AJ86" s="50">
        <v>0</v>
      </c>
      <c r="AK86" s="50">
        <v>0</v>
      </c>
      <c r="AL86" s="50">
        <v>0</v>
      </c>
      <c r="AM86" s="50">
        <v>0</v>
      </c>
      <c r="AN86" s="50">
        <v>0</v>
      </c>
      <c r="AO86" s="50">
        <v>0</v>
      </c>
      <c r="AP86" s="50">
        <v>0</v>
      </c>
      <c r="AQ86" s="50">
        <v>0</v>
      </c>
      <c r="AR86" s="50">
        <v>0</v>
      </c>
      <c r="AS86" s="50">
        <v>0</v>
      </c>
      <c r="AT86" s="50">
        <v>0</v>
      </c>
      <c r="AU86" s="50">
        <v>0</v>
      </c>
      <c r="AV86" s="50">
        <v>0</v>
      </c>
      <c r="AW86" s="50">
        <v>0</v>
      </c>
      <c r="AX86" s="50">
        <v>0</v>
      </c>
      <c r="AY86" s="50">
        <v>0</v>
      </c>
      <c r="AZ86" s="50">
        <v>0</v>
      </c>
      <c r="BA86" s="50">
        <v>0</v>
      </c>
      <c r="BB86" s="50">
        <v>0</v>
      </c>
      <c r="BC86" s="50">
        <v>0</v>
      </c>
      <c r="BD86" s="50">
        <v>0</v>
      </c>
      <c r="BE86" s="50">
        <v>0</v>
      </c>
      <c r="BF86" s="50">
        <v>0</v>
      </c>
      <c r="BG86" s="50">
        <v>0</v>
      </c>
      <c r="BH86" s="50">
        <v>0</v>
      </c>
      <c r="BI86" s="50">
        <v>0</v>
      </c>
    </row>
    <row r="87" spans="1:61" x14ac:dyDescent="0.25">
      <c r="A87" s="48" t="s">
        <v>37</v>
      </c>
      <c r="B87" s="48" t="s">
        <v>136</v>
      </c>
      <c r="C87" s="49" t="s">
        <v>42</v>
      </c>
      <c r="D87" s="49" t="str">
        <f>VLOOKUP(A87,PARAMETER!D:E,2,0)</f>
        <v>NINA</v>
      </c>
      <c r="E87" s="49" t="str">
        <f t="shared" si="4"/>
        <v>NINATRX</v>
      </c>
      <c r="F87" s="49" t="str">
        <f t="shared" si="3"/>
        <v>YOGURT REPUBLICTRX</v>
      </c>
      <c r="G87" s="50">
        <f t="shared" si="5"/>
        <v>99999.999999999942</v>
      </c>
      <c r="H87" s="50">
        <f>SUMIF(I$1:BI$1,"&lt;="&amp;PARAMETER!X$2,I87:BI87)</f>
        <v>24836.500746887054</v>
      </c>
      <c r="I87" s="50">
        <v>1470.2894721805881</v>
      </c>
      <c r="J87" s="50">
        <v>2539.3077857290245</v>
      </c>
      <c r="K87" s="50">
        <v>1740.201972351427</v>
      </c>
      <c r="L87" s="50">
        <v>1855.2722886096401</v>
      </c>
      <c r="M87" s="50">
        <v>2345.5212979530947</v>
      </c>
      <c r="N87" s="50">
        <v>2288.7152122180987</v>
      </c>
      <c r="O87" s="50">
        <v>2676.8581395627389</v>
      </c>
      <c r="P87" s="50">
        <v>2366.9313170402429</v>
      </c>
      <c r="Q87" s="50">
        <v>2638.8759930110905</v>
      </c>
      <c r="R87" s="50">
        <v>2531.4544815787258</v>
      </c>
      <c r="S87" s="50">
        <v>2383.0727866523821</v>
      </c>
      <c r="T87" s="50">
        <v>2642.6526871976544</v>
      </c>
      <c r="U87" s="50">
        <v>4539.6670441221777</v>
      </c>
      <c r="V87" s="50">
        <v>4248.2104904244206</v>
      </c>
      <c r="W87" s="50">
        <v>3399.4389018170473</v>
      </c>
      <c r="X87" s="50">
        <v>3605.9840477797611</v>
      </c>
      <c r="Y87" s="50">
        <v>2492.1481211451483</v>
      </c>
      <c r="Z87" s="50">
        <v>2660.5582844369578</v>
      </c>
      <c r="AA87" s="50">
        <v>2602.4156436295339</v>
      </c>
      <c r="AB87" s="50">
        <v>2163.9900678904055</v>
      </c>
      <c r="AC87" s="50">
        <v>2017.9853980704088</v>
      </c>
      <c r="AD87" s="50">
        <v>2017.1385977592101</v>
      </c>
      <c r="AE87" s="50">
        <v>2696.9228446452753</v>
      </c>
      <c r="AF87" s="50">
        <v>2217.6945805379037</v>
      </c>
      <c r="AG87" s="50">
        <v>2413.0750697310259</v>
      </c>
      <c r="AH87" s="50">
        <v>2666.1332308848191</v>
      </c>
      <c r="AI87" s="50">
        <v>2647.3365210060133</v>
      </c>
      <c r="AJ87" s="50">
        <v>2894.5876136557395</v>
      </c>
      <c r="AK87" s="50">
        <v>2515.78529027684</v>
      </c>
      <c r="AL87" s="50">
        <v>1941.434919125084</v>
      </c>
      <c r="AM87" s="50">
        <v>2341.3847421059777</v>
      </c>
      <c r="AN87" s="50">
        <v>2050.9387165604917</v>
      </c>
      <c r="AO87" s="50">
        <v>2244.4029046214491</v>
      </c>
      <c r="AP87" s="50">
        <v>1859.3349422606293</v>
      </c>
      <c r="AQ87" s="50">
        <v>2086.0748313534241</v>
      </c>
      <c r="AR87" s="50">
        <v>2565.9207968933265</v>
      </c>
      <c r="AS87" s="50">
        <v>902.17985056279917</v>
      </c>
      <c r="AT87" s="50">
        <v>869.92629413939062</v>
      </c>
      <c r="AU87" s="50">
        <v>445.14183382784194</v>
      </c>
      <c r="AV87" s="50">
        <v>521.78389848722554</v>
      </c>
      <c r="AW87" s="50">
        <v>387.92958626122436</v>
      </c>
      <c r="AX87" s="50">
        <v>441.00498808698813</v>
      </c>
      <c r="AY87" s="50">
        <v>464.72069771459286</v>
      </c>
      <c r="AZ87" s="50">
        <v>454.53681357588351</v>
      </c>
      <c r="BA87" s="50">
        <v>533.86002257796508</v>
      </c>
      <c r="BB87" s="50">
        <v>558.89120786201056</v>
      </c>
      <c r="BC87" s="50">
        <v>477.75202166731054</v>
      </c>
      <c r="BD87" s="50">
        <v>581.03819894759044</v>
      </c>
      <c r="BE87" s="50">
        <v>586.84858093706634</v>
      </c>
      <c r="BF87" s="50">
        <v>592.71706674643713</v>
      </c>
      <c r="BG87" s="50">
        <v>598.64423741390146</v>
      </c>
      <c r="BH87" s="50">
        <v>604.63067978804042</v>
      </c>
      <c r="BI87" s="50">
        <v>610.67698658592087</v>
      </c>
    </row>
    <row r="88" spans="1:61" x14ac:dyDescent="0.25">
      <c r="A88" s="48" t="s">
        <v>38</v>
      </c>
      <c r="B88" s="48" t="s">
        <v>136</v>
      </c>
      <c r="C88" s="49" t="s">
        <v>42</v>
      </c>
      <c r="D88" s="49" t="str">
        <f>VLOOKUP(A88,PARAMETER!D:E,2,0)</f>
        <v>NINA</v>
      </c>
      <c r="E88" s="49" t="str">
        <f t="shared" si="4"/>
        <v>NINATRX</v>
      </c>
      <c r="F88" s="49" t="str">
        <f t="shared" si="3"/>
        <v>YOSHINOYATRX</v>
      </c>
      <c r="G88" s="50">
        <f t="shared" si="5"/>
        <v>7500000</v>
      </c>
      <c r="H88" s="50">
        <f>SUMIF(I$1:BI$1,"&lt;="&amp;PARAMETER!X$2,I88:BI88)</f>
        <v>957538.70410405286</v>
      </c>
      <c r="I88" s="50">
        <v>28338.385369928026</v>
      </c>
      <c r="J88" s="50">
        <v>18894.126962197552</v>
      </c>
      <c r="K88" s="50">
        <v>17827.461748673653</v>
      </c>
      <c r="L88" s="50">
        <v>25510.243994192635</v>
      </c>
      <c r="M88" s="50">
        <v>28287.880630743635</v>
      </c>
      <c r="N88" s="50">
        <v>28773.000643987853</v>
      </c>
      <c r="O88" s="50">
        <v>36386.106653125869</v>
      </c>
      <c r="P88" s="50">
        <v>181312.99061606074</v>
      </c>
      <c r="Q88" s="50">
        <v>194352.08665429303</v>
      </c>
      <c r="R88" s="50">
        <v>181392.50860691961</v>
      </c>
      <c r="S88" s="50">
        <v>216463.91222393024</v>
      </c>
      <c r="T88" s="50">
        <v>266630.32992937427</v>
      </c>
      <c r="U88" s="50">
        <v>328363.68396877032</v>
      </c>
      <c r="V88" s="50">
        <v>333436.60841213039</v>
      </c>
      <c r="W88" s="50">
        <v>212207.68917378012</v>
      </c>
      <c r="X88" s="50">
        <v>201822.03861784903</v>
      </c>
      <c r="Y88" s="50">
        <v>225128.9143345833</v>
      </c>
      <c r="Z88" s="50">
        <v>237592.22896859737</v>
      </c>
      <c r="AA88" s="50">
        <v>234301.37670394531</v>
      </c>
      <c r="AB88" s="50">
        <v>184143.90954109759</v>
      </c>
      <c r="AC88" s="50">
        <v>189241.82716527063</v>
      </c>
      <c r="AD88" s="50">
        <v>194806.64368724707</v>
      </c>
      <c r="AE88" s="50">
        <v>193139.46415370348</v>
      </c>
      <c r="AF88" s="50">
        <v>155726.66382689952</v>
      </c>
      <c r="AG88" s="50">
        <v>182826.6127853053</v>
      </c>
      <c r="AH88" s="50">
        <v>213985.4363644268</v>
      </c>
      <c r="AI88" s="50">
        <v>208066.9448802878</v>
      </c>
      <c r="AJ88" s="50">
        <v>205198.41237152781</v>
      </c>
      <c r="AK88" s="50">
        <v>172655.98005639043</v>
      </c>
      <c r="AL88" s="50">
        <v>179171.55474060212</v>
      </c>
      <c r="AM88" s="50">
        <v>213051.63476765936</v>
      </c>
      <c r="AN88" s="50">
        <v>217355.45421112847</v>
      </c>
      <c r="AO88" s="50">
        <v>241956.47459271105</v>
      </c>
      <c r="AP88" s="50">
        <v>209992.71554069535</v>
      </c>
      <c r="AQ88" s="50">
        <v>192738.76649869673</v>
      </c>
      <c r="AR88" s="50">
        <v>236441.3979980782</v>
      </c>
      <c r="AS88" s="50">
        <v>200904.23661000899</v>
      </c>
      <c r="AT88" s="50">
        <v>187109.46356114329</v>
      </c>
      <c r="AU88" s="50">
        <v>212681.97235280523</v>
      </c>
      <c r="AV88" s="50">
        <v>124415.04719155161</v>
      </c>
      <c r="AW88" s="50">
        <v>41555.222535040237</v>
      </c>
      <c r="AX88" s="50">
        <v>31353.80040489259</v>
      </c>
      <c r="AY88" s="50">
        <v>29966.729315296445</v>
      </c>
      <c r="AZ88" s="50">
        <v>30973.79883308127</v>
      </c>
      <c r="BA88" s="50">
        <v>30337.035454416138</v>
      </c>
      <c r="BB88" s="50">
        <v>27524.002822103459</v>
      </c>
      <c r="BC88" s="50">
        <v>30716.075882149409</v>
      </c>
      <c r="BD88" s="50">
        <v>26810.91415273938</v>
      </c>
      <c r="BE88" s="50">
        <v>27079.023294266772</v>
      </c>
      <c r="BF88" s="50">
        <v>27349.813527209444</v>
      </c>
      <c r="BG88" s="50">
        <v>27623.311662481534</v>
      </c>
      <c r="BH88" s="50">
        <v>27899.544779106349</v>
      </c>
      <c r="BI88" s="50">
        <v>28178.54022689741</v>
      </c>
    </row>
    <row r="89" spans="1:61" x14ac:dyDescent="0.25">
      <c r="A89" s="48" t="s">
        <v>52</v>
      </c>
      <c r="B89" s="48" t="s">
        <v>136</v>
      </c>
      <c r="C89" s="49" t="s">
        <v>42</v>
      </c>
      <c r="D89" s="49" t="str">
        <f>VLOOKUP(A89,PARAMETER!D:E,2,0)</f>
        <v>NINA</v>
      </c>
      <c r="E89" s="49" t="str">
        <f t="shared" si="4"/>
        <v>NINATRX</v>
      </c>
      <c r="F89" s="49" t="str">
        <f t="shared" si="3"/>
        <v>ZENBUTRX</v>
      </c>
      <c r="G89" s="50">
        <f t="shared" si="5"/>
        <v>0</v>
      </c>
      <c r="H89" s="50">
        <f>SUMIF(I$1:BI$1,"&lt;="&amp;PARAMETER!X$2,I89:BI89)</f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  <c r="Q89" s="50">
        <v>0</v>
      </c>
      <c r="R89" s="50">
        <v>0</v>
      </c>
      <c r="S89" s="50">
        <v>0</v>
      </c>
      <c r="T89" s="50">
        <v>0</v>
      </c>
      <c r="U89" s="50">
        <v>0</v>
      </c>
      <c r="V89" s="50">
        <v>0</v>
      </c>
      <c r="W89" s="50">
        <v>0</v>
      </c>
      <c r="X89" s="50">
        <v>0</v>
      </c>
      <c r="Y89" s="50">
        <v>0</v>
      </c>
      <c r="Z89" s="50">
        <v>0</v>
      </c>
      <c r="AA89" s="50">
        <v>0</v>
      </c>
      <c r="AB89" s="50">
        <v>0</v>
      </c>
      <c r="AC89" s="50">
        <v>0</v>
      </c>
      <c r="AD89" s="50">
        <v>0</v>
      </c>
      <c r="AE89" s="50">
        <v>0</v>
      </c>
      <c r="AF89" s="50">
        <v>0</v>
      </c>
      <c r="AG89" s="50">
        <v>0</v>
      </c>
      <c r="AH89" s="50">
        <v>0</v>
      </c>
      <c r="AI89" s="50">
        <v>0</v>
      </c>
      <c r="AJ89" s="50">
        <v>0</v>
      </c>
      <c r="AK89" s="50">
        <v>0</v>
      </c>
      <c r="AL89" s="50">
        <v>0</v>
      </c>
      <c r="AM89" s="50">
        <v>0</v>
      </c>
      <c r="AN89" s="50">
        <v>0</v>
      </c>
      <c r="AO89" s="50">
        <v>0</v>
      </c>
      <c r="AP89" s="50">
        <v>0</v>
      </c>
      <c r="AQ89" s="50">
        <v>0</v>
      </c>
      <c r="AR89" s="50">
        <v>0</v>
      </c>
      <c r="AS89" s="50">
        <v>0</v>
      </c>
      <c r="AT89" s="50">
        <v>0</v>
      </c>
      <c r="AU89" s="50">
        <v>0</v>
      </c>
      <c r="AV89" s="50">
        <v>0</v>
      </c>
      <c r="AW89" s="50">
        <v>0</v>
      </c>
      <c r="AX89" s="50">
        <v>0</v>
      </c>
      <c r="AY89" s="50">
        <v>0</v>
      </c>
      <c r="AZ89" s="50">
        <v>0</v>
      </c>
      <c r="BA89" s="50">
        <v>0</v>
      </c>
      <c r="BB89" s="50">
        <v>0</v>
      </c>
      <c r="BC89" s="50">
        <v>0</v>
      </c>
      <c r="BD89" s="50">
        <v>0</v>
      </c>
      <c r="BE89" s="50">
        <v>0</v>
      </c>
      <c r="BF89" s="50">
        <v>0</v>
      </c>
      <c r="BG89" s="50">
        <v>0</v>
      </c>
      <c r="BH89" s="50">
        <v>0</v>
      </c>
      <c r="BI89" s="50">
        <v>0</v>
      </c>
    </row>
    <row r="90" spans="1:61" x14ac:dyDescent="0.25">
      <c r="A90" s="48" t="s">
        <v>1</v>
      </c>
      <c r="B90" s="48" t="s">
        <v>136</v>
      </c>
      <c r="C90" s="49" t="s">
        <v>40</v>
      </c>
      <c r="D90" s="49" t="str">
        <f>VLOOKUP(A90,PARAMETER!D:E,2,0)</f>
        <v>NINA</v>
      </c>
      <c r="E90" s="49" t="str">
        <f t="shared" si="4"/>
        <v>NINAFBI</v>
      </c>
      <c r="F90" s="49" t="str">
        <f>CONCATENATE(A90,C90)</f>
        <v>ALFA GROUPFBI</v>
      </c>
      <c r="G90" s="50">
        <f t="shared" si="5"/>
        <v>1786528999.9999995</v>
      </c>
      <c r="H90" s="50">
        <f>SUMIF(I$1:BI$1,"&lt;="&amp;PARAMETER!X$2,I90:BI90)</f>
        <v>383497345.52683491</v>
      </c>
      <c r="I90" s="50">
        <v>33964586.74744989</v>
      </c>
      <c r="J90" s="50">
        <v>29964320.459724016</v>
      </c>
      <c r="K90" s="50">
        <v>29452359.075983964</v>
      </c>
      <c r="L90" s="50">
        <v>35918257.518618748</v>
      </c>
      <c r="M90" s="50">
        <v>35924372.307832323</v>
      </c>
      <c r="N90" s="50">
        <v>34031342.715834521</v>
      </c>
      <c r="O90" s="50">
        <v>32725406.72494879</v>
      </c>
      <c r="P90" s="50">
        <v>33800675.00963936</v>
      </c>
      <c r="Q90" s="50">
        <v>44810266.12564227</v>
      </c>
      <c r="R90" s="50">
        <v>35828476.876514919</v>
      </c>
      <c r="S90" s="50">
        <v>37077281.964646094</v>
      </c>
      <c r="T90" s="50">
        <v>45251258.951305263</v>
      </c>
      <c r="U90" s="50">
        <v>50416419.601778187</v>
      </c>
      <c r="V90" s="50">
        <v>35399168.415875487</v>
      </c>
      <c r="W90" s="50">
        <v>30739016.99743307</v>
      </c>
      <c r="X90" s="50">
        <v>30939952.188401699</v>
      </c>
      <c r="Y90" s="50">
        <v>33459018.542408761</v>
      </c>
      <c r="Z90" s="50">
        <v>33469253.573182907</v>
      </c>
      <c r="AA90" s="50">
        <v>32275832.435902718</v>
      </c>
      <c r="AB90" s="50">
        <v>30791869.246740885</v>
      </c>
      <c r="AC90" s="50">
        <v>34763688.08715529</v>
      </c>
      <c r="AD90" s="50">
        <v>17057245.012792576</v>
      </c>
      <c r="AE90" s="50">
        <v>38219554.563192874</v>
      </c>
      <c r="AF90" s="50">
        <v>33550130.635974772</v>
      </c>
      <c r="AG90" s="50">
        <v>33322145.281379323</v>
      </c>
      <c r="AH90" s="50">
        <v>39714393.387654305</v>
      </c>
      <c r="AI90" s="50">
        <v>37466143.564255685</v>
      </c>
      <c r="AJ90" s="50">
        <v>34354462.34630575</v>
      </c>
      <c r="AK90" s="50">
        <v>33966814.03973797</v>
      </c>
      <c r="AL90" s="50">
        <v>36881705.126289017</v>
      </c>
      <c r="AM90" s="50">
        <v>32328320.298181184</v>
      </c>
      <c r="AN90" s="50">
        <v>28466957.717599694</v>
      </c>
      <c r="AO90" s="50">
        <v>32483567.463700093</v>
      </c>
      <c r="AP90" s="50">
        <v>33093700.36913918</v>
      </c>
      <c r="AQ90" s="50">
        <v>40305160.208478101</v>
      </c>
      <c r="AR90" s="50">
        <v>34108541.321884744</v>
      </c>
      <c r="AS90" s="50">
        <v>31620692.572486345</v>
      </c>
      <c r="AT90" s="50">
        <v>31865744.91145977</v>
      </c>
      <c r="AU90" s="50">
        <v>36076184.885798767</v>
      </c>
      <c r="AV90" s="50">
        <v>38807087.391248234</v>
      </c>
      <c r="AW90" s="50">
        <v>32549697.844053488</v>
      </c>
      <c r="AX90" s="50">
        <v>32549656.829840198</v>
      </c>
      <c r="AY90" s="50">
        <v>32879066.849894643</v>
      </c>
      <c r="AZ90" s="50">
        <v>37037821.495445833</v>
      </c>
      <c r="BA90" s="50">
        <v>32469968.242080972</v>
      </c>
      <c r="BB90" s="50">
        <v>31251108.998212062</v>
      </c>
      <c r="BC90" s="50">
        <v>32714037.298366789</v>
      </c>
      <c r="BD90" s="50">
        <v>27696009.537200082</v>
      </c>
      <c r="BE90" s="50">
        <v>27972969.632572081</v>
      </c>
      <c r="BF90" s="50">
        <v>28252699.328897804</v>
      </c>
      <c r="BG90" s="50">
        <v>28535226.322186787</v>
      </c>
      <c r="BH90" s="50">
        <v>28820578.585408658</v>
      </c>
      <c r="BI90" s="50">
        <v>29108784.37126274</v>
      </c>
    </row>
    <row r="91" spans="1:61" x14ac:dyDescent="0.25">
      <c r="A91" s="48" t="s">
        <v>2</v>
      </c>
      <c r="B91" s="48" t="s">
        <v>136</v>
      </c>
      <c r="C91" s="49" t="s">
        <v>40</v>
      </c>
      <c r="D91" s="49" t="str">
        <f>VLOOKUP(A91,PARAMETER!D:E,2,0)</f>
        <v>RIFALDI</v>
      </c>
      <c r="E91" s="49" t="str">
        <f t="shared" si="4"/>
        <v>RIFALDIFBI</v>
      </c>
      <c r="F91" s="49" t="str">
        <f t="shared" ref="F91:F133" si="6">CONCATENATE(A91,C91)</f>
        <v>ANCOLFBI</v>
      </c>
      <c r="G91" s="50">
        <f t="shared" si="5"/>
        <v>883000.00000000023</v>
      </c>
      <c r="H91" s="50">
        <f>SUMIF(I$1:BI$1,"&lt;="&amp;PARAMETER!X$2,I91:BI91)</f>
        <v>21655.833219846027</v>
      </c>
      <c r="I91" s="50">
        <v>1155.107372181152</v>
      </c>
      <c r="J91" s="50">
        <v>714.57886240164692</v>
      </c>
      <c r="K91" s="50">
        <v>612.18158319771283</v>
      </c>
      <c r="L91" s="50">
        <v>611.08053718476731</v>
      </c>
      <c r="M91" s="50">
        <v>1199.0280976375493</v>
      </c>
      <c r="N91" s="50">
        <v>1394.0068308400078</v>
      </c>
      <c r="O91" s="50">
        <v>938.09120302958877</v>
      </c>
      <c r="P91" s="50">
        <v>417.29643890635464</v>
      </c>
      <c r="Q91" s="50">
        <v>4025.424223328846</v>
      </c>
      <c r="R91" s="50">
        <v>4259.2974069386046</v>
      </c>
      <c r="S91" s="50">
        <v>6329.7406641998004</v>
      </c>
      <c r="T91" s="50">
        <v>1184.7255099293868</v>
      </c>
      <c r="U91" s="50">
        <v>7114.7391264514044</v>
      </c>
      <c r="V91" s="50">
        <v>23203.443676814033</v>
      </c>
      <c r="W91" s="50">
        <v>1581.5424929949547</v>
      </c>
      <c r="X91" s="50">
        <v>1699.2443117788314</v>
      </c>
      <c r="Y91" s="50">
        <v>1332.2656756640874</v>
      </c>
      <c r="Z91" s="50">
        <v>692.55794214273635</v>
      </c>
      <c r="AA91" s="50">
        <v>11928.39338207985</v>
      </c>
      <c r="AB91" s="50">
        <v>1710.0444721198141</v>
      </c>
      <c r="AC91" s="50">
        <v>4419.8409260861927</v>
      </c>
      <c r="AD91" s="50">
        <v>5246.4952621455641</v>
      </c>
      <c r="AE91" s="50">
        <v>4731.0802088415821</v>
      </c>
      <c r="AF91" s="50">
        <v>4546.9754060629739</v>
      </c>
      <c r="AG91" s="50">
        <v>3440.0971523868743</v>
      </c>
      <c r="AH91" s="50">
        <v>41424.209322460323</v>
      </c>
      <c r="AI91" s="50">
        <v>31423.779439382466</v>
      </c>
      <c r="AJ91" s="50">
        <v>31261.615180503824</v>
      </c>
      <c r="AK91" s="50">
        <v>27649.07550470746</v>
      </c>
      <c r="AL91" s="50">
        <v>1911.611864663739</v>
      </c>
      <c r="AM91" s="50">
        <v>4717.3281441398922</v>
      </c>
      <c r="AN91" s="50">
        <v>5932.5801547781939</v>
      </c>
      <c r="AO91" s="50">
        <v>20834.847068661304</v>
      </c>
      <c r="AP91" s="50">
        <v>33382.204477378604</v>
      </c>
      <c r="AQ91" s="50">
        <v>26280.719742831043</v>
      </c>
      <c r="AR91" s="50">
        <v>5251.3552792467053</v>
      </c>
      <c r="AS91" s="50">
        <v>6616.9033737901109</v>
      </c>
      <c r="AT91" s="50">
        <v>29762.818497473752</v>
      </c>
      <c r="AU91" s="50">
        <v>35089.772697015309</v>
      </c>
      <c r="AV91" s="50">
        <v>14288.991991994541</v>
      </c>
      <c r="AW91" s="50">
        <v>11627.578802975027</v>
      </c>
      <c r="AX91" s="50">
        <v>11246.309690658263</v>
      </c>
      <c r="AY91" s="50">
        <v>14899.035343835116</v>
      </c>
      <c r="AZ91" s="50">
        <v>14511.605879075922</v>
      </c>
      <c r="BA91" s="50">
        <v>15076.490929741543</v>
      </c>
      <c r="BB91" s="50">
        <v>20268.413947301477</v>
      </c>
      <c r="BC91" s="50">
        <v>30476.492300052756</v>
      </c>
      <c r="BD91" s="50">
        <v>57636.234329410887</v>
      </c>
      <c r="BE91" s="50">
        <v>58212.596672704996</v>
      </c>
      <c r="BF91" s="50">
        <v>58794.722639432046</v>
      </c>
      <c r="BG91" s="50">
        <v>59382.669865826363</v>
      </c>
      <c r="BH91" s="50">
        <v>59976.496564484631</v>
      </c>
      <c r="BI91" s="50">
        <v>60576.261530129472</v>
      </c>
    </row>
    <row r="92" spans="1:61" x14ac:dyDescent="0.25">
      <c r="A92" s="48" t="s">
        <v>3</v>
      </c>
      <c r="B92" s="48" t="s">
        <v>136</v>
      </c>
      <c r="C92" s="49" t="s">
        <v>40</v>
      </c>
      <c r="D92" s="49" t="str">
        <f>VLOOKUP(A92,PARAMETER!D:E,2,0)</f>
        <v>NINA</v>
      </c>
      <c r="E92" s="49" t="str">
        <f t="shared" si="4"/>
        <v>NINAFBI</v>
      </c>
      <c r="F92" s="49" t="str">
        <f t="shared" si="6"/>
        <v>BANBAN TEAFBI</v>
      </c>
      <c r="G92" s="50">
        <f t="shared" si="5"/>
        <v>1396999.9999999993</v>
      </c>
      <c r="H92" s="50">
        <f>SUMIF(I$1:BI$1,"&lt;="&amp;PARAMETER!X$2,I92:BI92)</f>
        <v>363662.63977677247</v>
      </c>
      <c r="I92" s="50">
        <v>21324.247421652031</v>
      </c>
      <c r="J92" s="50">
        <v>9779.6433281544778</v>
      </c>
      <c r="K92" s="50">
        <v>6221.2480596861387</v>
      </c>
      <c r="L92" s="50">
        <v>16869.417933055989</v>
      </c>
      <c r="M92" s="50">
        <v>37471.764601356277</v>
      </c>
      <c r="N92" s="50">
        <v>138836.99164874569</v>
      </c>
      <c r="O92" s="50">
        <v>51150.355925625554</v>
      </c>
      <c r="P92" s="50">
        <v>33659.494012901945</v>
      </c>
      <c r="Q92" s="50">
        <v>22026.03355740929</v>
      </c>
      <c r="R92" s="50">
        <v>12535.555304318885</v>
      </c>
      <c r="S92" s="50">
        <v>13787.887983866174</v>
      </c>
      <c r="T92" s="50">
        <v>20171.603841485929</v>
      </c>
      <c r="U92" s="50">
        <v>20836.526102129763</v>
      </c>
      <c r="V92" s="50">
        <v>12259.518235263862</v>
      </c>
      <c r="W92" s="50">
        <v>8267.6196142048975</v>
      </c>
      <c r="X92" s="50">
        <v>12122.275129325189</v>
      </c>
      <c r="Y92" s="50">
        <v>5661.4041271159222</v>
      </c>
      <c r="Z92" s="50">
        <v>7397.5809832412851</v>
      </c>
      <c r="AA92" s="50">
        <v>114865.6481448011</v>
      </c>
      <c r="AB92" s="50">
        <v>20023.11702100909</v>
      </c>
      <c r="AC92" s="50">
        <v>8135.0290797992611</v>
      </c>
      <c r="AD92" s="50">
        <v>22070.248495544904</v>
      </c>
      <c r="AE92" s="50">
        <v>5693.9566192753973</v>
      </c>
      <c r="AF92" s="50">
        <v>7597.6415591618315</v>
      </c>
      <c r="AG92" s="50">
        <v>190565.32102734855</v>
      </c>
      <c r="AH92" s="50">
        <v>157892.68396231887</v>
      </c>
      <c r="AI92" s="50">
        <v>57951.624569763502</v>
      </c>
      <c r="AJ92" s="50">
        <v>24688.064394322919</v>
      </c>
      <c r="AK92" s="50">
        <v>25898.531684358772</v>
      </c>
      <c r="AL92" s="50">
        <v>12423.141421794848</v>
      </c>
      <c r="AM92" s="50">
        <v>20974.94010523758</v>
      </c>
      <c r="AN92" s="50">
        <v>15196.058546912502</v>
      </c>
      <c r="AO92" s="50">
        <v>33503.136592248382</v>
      </c>
      <c r="AP92" s="50">
        <v>6011.8745864136326</v>
      </c>
      <c r="AQ92" s="50">
        <v>3333.5675034202641</v>
      </c>
      <c r="AR92" s="50">
        <v>38391.446170577379</v>
      </c>
      <c r="AS92" s="50">
        <v>14099.610276579584</v>
      </c>
      <c r="AT92" s="50">
        <v>11483.29870926392</v>
      </c>
      <c r="AU92" s="50">
        <v>13424.98740428937</v>
      </c>
      <c r="AV92" s="50">
        <v>21898.080085964913</v>
      </c>
      <c r="AW92" s="50">
        <v>11657.017976021592</v>
      </c>
      <c r="AX92" s="50">
        <v>5066.6503994761588</v>
      </c>
      <c r="AY92" s="50">
        <v>16853.157195548032</v>
      </c>
      <c r="AZ92" s="50">
        <v>10075.12814621759</v>
      </c>
      <c r="BA92" s="50">
        <v>5952.1898479306692</v>
      </c>
      <c r="BB92" s="50">
        <v>3787.19322789127</v>
      </c>
      <c r="BC92" s="50">
        <v>13773.922514981177</v>
      </c>
      <c r="BD92" s="50">
        <v>8669.2838689377804</v>
      </c>
      <c r="BE92" s="50">
        <v>8755.9767076271582</v>
      </c>
      <c r="BF92" s="50">
        <v>8843.5364747034291</v>
      </c>
      <c r="BG92" s="50">
        <v>8931.9718394504634</v>
      </c>
      <c r="BH92" s="50">
        <v>9021.2915578449702</v>
      </c>
      <c r="BI92" s="50">
        <v>9111.5044734234179</v>
      </c>
    </row>
    <row r="93" spans="1:61" x14ac:dyDescent="0.25">
      <c r="A93" s="48" t="s">
        <v>4</v>
      </c>
      <c r="B93" s="48" t="s">
        <v>136</v>
      </c>
      <c r="C93" s="49" t="s">
        <v>40</v>
      </c>
      <c r="D93" s="49" t="str">
        <f>VLOOKUP(A93,PARAMETER!D:E,2,0)</f>
        <v>NINA</v>
      </c>
      <c r="E93" s="49" t="str">
        <f t="shared" si="4"/>
        <v>NINAFBI</v>
      </c>
      <c r="F93" s="49" t="str">
        <f t="shared" si="6"/>
        <v>BEARD PAPAFBI</v>
      </c>
      <c r="G93" s="50">
        <f t="shared" si="5"/>
        <v>857000</v>
      </c>
      <c r="H93" s="50">
        <f>SUMIF(I$1:BI$1,"&lt;="&amp;PARAMETER!X$2,I93:BI93)</f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50">
        <v>0</v>
      </c>
      <c r="P93" s="50">
        <v>0</v>
      </c>
      <c r="Q93" s="50">
        <v>0</v>
      </c>
      <c r="R93" s="50">
        <v>0</v>
      </c>
      <c r="S93" s="50">
        <v>0</v>
      </c>
      <c r="T93" s="50">
        <v>0</v>
      </c>
      <c r="U93" s="50">
        <v>0</v>
      </c>
      <c r="V93" s="50">
        <v>0</v>
      </c>
      <c r="W93" s="50">
        <v>0</v>
      </c>
      <c r="X93" s="50">
        <v>0</v>
      </c>
      <c r="Y93" s="50">
        <v>0</v>
      </c>
      <c r="Z93" s="50">
        <v>0</v>
      </c>
      <c r="AA93" s="50">
        <v>0</v>
      </c>
      <c r="AB93" s="50">
        <v>0</v>
      </c>
      <c r="AC93" s="50">
        <v>0</v>
      </c>
      <c r="AD93" s="50">
        <v>0</v>
      </c>
      <c r="AE93" s="50">
        <v>0</v>
      </c>
      <c r="AF93" s="50">
        <v>0</v>
      </c>
      <c r="AG93" s="50">
        <v>0</v>
      </c>
      <c r="AH93" s="50">
        <v>0</v>
      </c>
      <c r="AI93" s="50">
        <v>3523.4762568399483</v>
      </c>
      <c r="AJ93" s="50">
        <v>7090.5598930962315</v>
      </c>
      <c r="AK93" s="50">
        <v>20573.96160862732</v>
      </c>
      <c r="AL93" s="50">
        <v>14861.394905087303</v>
      </c>
      <c r="AM93" s="50">
        <v>18655.280521687957</v>
      </c>
      <c r="AN93" s="50">
        <v>12279.838043640215</v>
      </c>
      <c r="AO93" s="50">
        <v>199394.75110267222</v>
      </c>
      <c r="AP93" s="50">
        <v>114085.62602901821</v>
      </c>
      <c r="AQ93" s="50">
        <v>17216.193393569447</v>
      </c>
      <c r="AR93" s="50">
        <v>43275.98949719948</v>
      </c>
      <c r="AS93" s="50">
        <v>40342.948436180843</v>
      </c>
      <c r="AT93" s="50">
        <v>63001.770133227299</v>
      </c>
      <c r="AU93" s="50">
        <v>34123.219188552954</v>
      </c>
      <c r="AV93" s="50">
        <v>13003.737984903157</v>
      </c>
      <c r="AW93" s="50">
        <v>24097.455308419034</v>
      </c>
      <c r="AX93" s="50">
        <v>13239.200390799606</v>
      </c>
      <c r="AY93" s="50">
        <v>17390.631632710672</v>
      </c>
      <c r="AZ93" s="50">
        <v>12899.062831352185</v>
      </c>
      <c r="BA93" s="50">
        <v>15829.49617108173</v>
      </c>
      <c r="BB93" s="50">
        <v>20704.783746876328</v>
      </c>
      <c r="BC93" s="50">
        <v>15288.773387795049</v>
      </c>
      <c r="BD93" s="50">
        <v>22126.384315848878</v>
      </c>
      <c r="BE93" s="50">
        <v>22347.648159007367</v>
      </c>
      <c r="BF93" s="50">
        <v>22571.124640597445</v>
      </c>
      <c r="BG93" s="50">
        <v>22796.835887003417</v>
      </c>
      <c r="BH93" s="50">
        <v>23024.804245873453</v>
      </c>
      <c r="BI93" s="50">
        <v>23255.05228833219</v>
      </c>
    </row>
    <row r="94" spans="1:61" x14ac:dyDescent="0.25">
      <c r="A94" s="48" t="s">
        <v>6</v>
      </c>
      <c r="B94" s="48" t="s">
        <v>136</v>
      </c>
      <c r="C94" s="49" t="s">
        <v>40</v>
      </c>
      <c r="D94" s="49" t="str">
        <f>VLOOKUP(A94,PARAMETER!D:E,2,0)</f>
        <v>NINA</v>
      </c>
      <c r="E94" s="49" t="str">
        <f t="shared" si="4"/>
        <v>NINAFBI</v>
      </c>
      <c r="F94" s="49" t="str">
        <f t="shared" si="6"/>
        <v>CHAMP RESTOFBI</v>
      </c>
      <c r="G94" s="50">
        <f t="shared" si="5"/>
        <v>12306999.999999998</v>
      </c>
      <c r="H94" s="50">
        <f>SUMIF(I$1:BI$1,"&lt;="&amp;PARAMETER!X$2,I94:BI94)</f>
        <v>1647183.6410445089</v>
      </c>
      <c r="I94" s="50">
        <v>95167.321646724828</v>
      </c>
      <c r="J94" s="50">
        <v>53967.238581762445</v>
      </c>
      <c r="K94" s="50">
        <v>73870.630138455366</v>
      </c>
      <c r="L94" s="50">
        <v>62199.619395743874</v>
      </c>
      <c r="M94" s="50">
        <v>74022.81715134476</v>
      </c>
      <c r="N94" s="50">
        <v>364280.78960187075</v>
      </c>
      <c r="O94" s="50">
        <v>238339.79773296407</v>
      </c>
      <c r="P94" s="50">
        <v>69062.877176777882</v>
      </c>
      <c r="Q94" s="50">
        <v>13566.456270654604</v>
      </c>
      <c r="R94" s="50">
        <v>300787.40946007747</v>
      </c>
      <c r="S94" s="50">
        <v>301918.68388813297</v>
      </c>
      <c r="T94" s="50">
        <v>240358.30595483023</v>
      </c>
      <c r="U94" s="50">
        <v>105861.20526496989</v>
      </c>
      <c r="V94" s="50">
        <v>191907.88548496467</v>
      </c>
      <c r="W94" s="50">
        <v>133007.59091537358</v>
      </c>
      <c r="X94" s="50">
        <v>142738.19390695138</v>
      </c>
      <c r="Y94" s="50">
        <v>192262.57363870137</v>
      </c>
      <c r="Z94" s="50">
        <v>730906.92700511916</v>
      </c>
      <c r="AA94" s="50">
        <v>170374.77669517131</v>
      </c>
      <c r="AB94" s="50">
        <v>79605.040518014415</v>
      </c>
      <c r="AC94" s="50">
        <v>104406.26506139296</v>
      </c>
      <c r="AD94" s="50">
        <v>39190.56728773436</v>
      </c>
      <c r="AE94" s="50">
        <v>38623.701002553658</v>
      </c>
      <c r="AF94" s="50">
        <v>127354.26811618452</v>
      </c>
      <c r="AG94" s="50">
        <v>86218.750181409327</v>
      </c>
      <c r="AH94" s="50">
        <v>424608.17580081359</v>
      </c>
      <c r="AI94" s="50">
        <v>104144.64404230198</v>
      </c>
      <c r="AJ94" s="50">
        <v>56416.66848457422</v>
      </c>
      <c r="AK94" s="50">
        <v>161252.67282934792</v>
      </c>
      <c r="AL94" s="50">
        <v>128623.29186054778</v>
      </c>
      <c r="AM94" s="50">
        <v>57485.991503375393</v>
      </c>
      <c r="AN94" s="50">
        <v>67673.902311030746</v>
      </c>
      <c r="AO94" s="50">
        <v>1253869.328162971</v>
      </c>
      <c r="AP94" s="50">
        <v>603868.07899722725</v>
      </c>
      <c r="AQ94" s="50">
        <v>106072.16988312364</v>
      </c>
      <c r="AR94" s="50">
        <v>123854.65136568728</v>
      </c>
      <c r="AS94" s="50">
        <v>230217.068735262</v>
      </c>
      <c r="AT94" s="50">
        <v>389841.39342342672</v>
      </c>
      <c r="AU94" s="50">
        <v>208450.52977358227</v>
      </c>
      <c r="AV94" s="50">
        <v>179881.53315828333</v>
      </c>
      <c r="AW94" s="50">
        <v>250278.71487129561</v>
      </c>
      <c r="AX94" s="50">
        <v>195420.13521997086</v>
      </c>
      <c r="AY94" s="50">
        <v>214068.25618292351</v>
      </c>
      <c r="AZ94" s="50">
        <v>122406.36992734413</v>
      </c>
      <c r="BA94" s="50">
        <v>212494.39167690062</v>
      </c>
      <c r="BB94" s="50">
        <v>328157.45494459465</v>
      </c>
      <c r="BC94" s="50">
        <v>310076.26249827346</v>
      </c>
      <c r="BD94" s="50">
        <v>414147.00669277087</v>
      </c>
      <c r="BE94" s="50">
        <v>418288.47675969847</v>
      </c>
      <c r="BF94" s="50">
        <v>422471.36152729549</v>
      </c>
      <c r="BG94" s="50">
        <v>426696.07514256844</v>
      </c>
      <c r="BH94" s="50">
        <v>430963.03589399415</v>
      </c>
      <c r="BI94" s="50">
        <v>435272.66625293414</v>
      </c>
    </row>
    <row r="95" spans="1:61" x14ac:dyDescent="0.25">
      <c r="A95" s="48" t="s">
        <v>7</v>
      </c>
      <c r="B95" s="48" t="s">
        <v>136</v>
      </c>
      <c r="C95" s="49" t="s">
        <v>40</v>
      </c>
      <c r="D95" s="49" t="e">
        <f>VLOOKUP(A95,PARAMETER!D:E,2,0)</f>
        <v>#N/A</v>
      </c>
      <c r="E95" s="49" t="e">
        <f t="shared" si="4"/>
        <v>#N/A</v>
      </c>
      <c r="F95" s="49" t="str">
        <f t="shared" si="6"/>
        <v>DAMRIFBI</v>
      </c>
      <c r="G95" s="50">
        <f t="shared" si="5"/>
        <v>2330000</v>
      </c>
      <c r="H95" s="50">
        <f>SUMIF(I$1:BI$1,"&lt;="&amp;PARAMETER!X$2,I95:BI95)</f>
        <v>602522.49358004495</v>
      </c>
      <c r="I95" s="50">
        <v>0</v>
      </c>
      <c r="J95" s="50">
        <v>20934.302909112688</v>
      </c>
      <c r="K95" s="50">
        <v>30688.223049086006</v>
      </c>
      <c r="L95" s="50">
        <v>15035.687172290884</v>
      </c>
      <c r="M95" s="50">
        <v>84084.266138822466</v>
      </c>
      <c r="N95" s="50">
        <v>39169.90815723694</v>
      </c>
      <c r="O95" s="50">
        <v>62880.014815401097</v>
      </c>
      <c r="P95" s="50">
        <v>68740.077508191389</v>
      </c>
      <c r="Q95" s="50">
        <v>72788.154842109288</v>
      </c>
      <c r="R95" s="50">
        <v>118049.42082449919</v>
      </c>
      <c r="S95" s="50">
        <v>90152.438163294864</v>
      </c>
      <c r="T95" s="50">
        <v>87746.728215728333</v>
      </c>
      <c r="U95" s="50">
        <v>31266.518709558732</v>
      </c>
      <c r="V95" s="50">
        <v>88787.660404579234</v>
      </c>
      <c r="W95" s="50">
        <v>42446.901478698106</v>
      </c>
      <c r="X95" s="50">
        <v>51121.336385789</v>
      </c>
      <c r="Y95" s="50">
        <v>51545.419870135665</v>
      </c>
      <c r="Z95" s="50">
        <v>81231.26377440228</v>
      </c>
      <c r="AA95" s="50">
        <v>98271.709236331953</v>
      </c>
      <c r="AB95" s="50">
        <v>105750.99977844588</v>
      </c>
      <c r="AC95" s="50">
        <v>90144.727554488563</v>
      </c>
      <c r="AD95" s="50">
        <v>77877.148943660475</v>
      </c>
      <c r="AE95" s="50">
        <v>90291.229121808312</v>
      </c>
      <c r="AF95" s="50">
        <v>22707.742934562382</v>
      </c>
      <c r="AG95" s="50">
        <v>22707.750645171192</v>
      </c>
      <c r="AH95" s="50">
        <v>82827.359797307014</v>
      </c>
      <c r="AI95" s="50">
        <v>117162.70081177432</v>
      </c>
      <c r="AJ95" s="50">
        <v>36818.15705009691</v>
      </c>
      <c r="AK95" s="50">
        <v>36394.073565750237</v>
      </c>
      <c r="AL95" s="50">
        <v>28259.381275100557</v>
      </c>
      <c r="AM95" s="50">
        <v>26871.471689966012</v>
      </c>
      <c r="AN95" s="50">
        <v>31266.518709558732</v>
      </c>
      <c r="AO95" s="50">
        <v>39863.847528586593</v>
      </c>
      <c r="AP95" s="50">
        <v>39169.892736019319</v>
      </c>
      <c r="AQ95" s="50">
        <v>34736.292672395088</v>
      </c>
      <c r="AR95" s="50">
        <v>38244.619679262956</v>
      </c>
      <c r="AS95" s="50">
        <v>28375.040407195102</v>
      </c>
      <c r="AT95" s="50">
        <v>26293.176029493286</v>
      </c>
      <c r="AU95" s="50">
        <v>32731.534382756301</v>
      </c>
      <c r="AV95" s="50">
        <v>26987.130822060557</v>
      </c>
      <c r="AW95" s="50">
        <v>27526.873438501767</v>
      </c>
      <c r="AX95" s="50">
        <v>27218.44908624965</v>
      </c>
      <c r="AY95" s="50">
        <v>18466.908091095724</v>
      </c>
      <c r="AZ95" s="50">
        <v>13724.883675219369</v>
      </c>
      <c r="BA95" s="50">
        <v>12799.610618463008</v>
      </c>
      <c r="BB95" s="50">
        <v>8211.7983787127123</v>
      </c>
      <c r="BC95" s="50">
        <v>9175.6244795005896</v>
      </c>
      <c r="BD95" s="50">
        <v>6900.9948816412007</v>
      </c>
      <c r="BE95" s="50">
        <v>6970.0048304576121</v>
      </c>
      <c r="BF95" s="50">
        <v>7039.7048787621879</v>
      </c>
      <c r="BG95" s="50">
        <v>7110.1019275498102</v>
      </c>
      <c r="BH95" s="50">
        <v>7181.2029468253077</v>
      </c>
      <c r="BI95" s="50">
        <v>7253.0149762935616</v>
      </c>
    </row>
    <row r="96" spans="1:61" x14ac:dyDescent="0.25">
      <c r="A96" s="48" t="s">
        <v>44</v>
      </c>
      <c r="B96" s="48" t="s">
        <v>136</v>
      </c>
      <c r="C96" s="49" t="s">
        <v>40</v>
      </c>
      <c r="D96" s="49" t="e">
        <f>VLOOKUP(A96,PARAMETER!D:E,2,0)</f>
        <v>#N/A</v>
      </c>
      <c r="E96" s="49" t="e">
        <f t="shared" si="4"/>
        <v>#N/A</v>
      </c>
      <c r="F96" s="49" t="str">
        <f t="shared" si="6"/>
        <v>DELTA WIBAWA BERSAMAFBI</v>
      </c>
      <c r="G96" s="50">
        <f t="shared" si="5"/>
        <v>4290000</v>
      </c>
      <c r="H96" s="50">
        <f>SUMIF(I$1:BI$1,"&lt;="&amp;PARAMETER!X$2,I96:BI96)</f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50">
        <v>0</v>
      </c>
      <c r="P96" s="50">
        <v>0</v>
      </c>
      <c r="Q96" s="50">
        <v>0</v>
      </c>
      <c r="R96" s="50">
        <v>0</v>
      </c>
      <c r="S96" s="50">
        <v>0</v>
      </c>
      <c r="T96" s="50">
        <v>0</v>
      </c>
      <c r="U96" s="50">
        <v>0</v>
      </c>
      <c r="V96" s="50">
        <v>0</v>
      </c>
      <c r="W96" s="50">
        <v>0</v>
      </c>
      <c r="X96" s="50">
        <v>0</v>
      </c>
      <c r="Y96" s="50">
        <v>0</v>
      </c>
      <c r="Z96" s="50">
        <v>0</v>
      </c>
      <c r="AA96" s="50">
        <v>0</v>
      </c>
      <c r="AB96" s="50">
        <v>0</v>
      </c>
      <c r="AC96" s="50">
        <v>0</v>
      </c>
      <c r="AD96" s="50">
        <v>0</v>
      </c>
      <c r="AE96" s="50">
        <v>0</v>
      </c>
      <c r="AF96" s="50">
        <v>0</v>
      </c>
      <c r="AG96" s="50">
        <v>0</v>
      </c>
      <c r="AH96" s="50">
        <v>0</v>
      </c>
      <c r="AI96" s="50">
        <v>0</v>
      </c>
      <c r="AJ96" s="50">
        <v>0</v>
      </c>
      <c r="AK96" s="50">
        <v>0</v>
      </c>
      <c r="AL96" s="50">
        <v>0</v>
      </c>
      <c r="AM96" s="50">
        <v>0</v>
      </c>
      <c r="AN96" s="50">
        <v>0</v>
      </c>
      <c r="AO96" s="50">
        <v>0</v>
      </c>
      <c r="AP96" s="50">
        <v>0</v>
      </c>
      <c r="AQ96" s="50">
        <v>0</v>
      </c>
      <c r="AR96" s="50">
        <v>0</v>
      </c>
      <c r="AS96" s="50">
        <v>0</v>
      </c>
      <c r="AT96" s="50">
        <v>0</v>
      </c>
      <c r="AU96" s="50">
        <v>0</v>
      </c>
      <c r="AV96" s="50">
        <v>0</v>
      </c>
      <c r="AW96" s="50">
        <v>98575.049096311777</v>
      </c>
      <c r="AX96" s="50">
        <v>544017.03004787571</v>
      </c>
      <c r="AY96" s="50">
        <v>434702.87963802024</v>
      </c>
      <c r="AZ96" s="50">
        <v>475309.66389269201</v>
      </c>
      <c r="BA96" s="50">
        <v>615484.05688371544</v>
      </c>
      <c r="BB96" s="50">
        <v>518693.72518336691</v>
      </c>
      <c r="BC96" s="50">
        <v>333850.87700801162</v>
      </c>
      <c r="BD96" s="50">
        <v>206333.48680869007</v>
      </c>
      <c r="BE96" s="50">
        <v>208396.82167677698</v>
      </c>
      <c r="BF96" s="50">
        <v>210480.78989354474</v>
      </c>
      <c r="BG96" s="50">
        <v>212585.5977924802</v>
      </c>
      <c r="BH96" s="50">
        <v>214711.45377040503</v>
      </c>
      <c r="BI96" s="50">
        <v>216858.56830810907</v>
      </c>
    </row>
    <row r="97" spans="1:61" x14ac:dyDescent="0.25">
      <c r="A97" s="48" t="s">
        <v>8</v>
      </c>
      <c r="B97" s="48" t="s">
        <v>136</v>
      </c>
      <c r="C97" s="49" t="s">
        <v>40</v>
      </c>
      <c r="D97" s="49" t="str">
        <f>VLOOKUP(A97,PARAMETER!D:E,2,0)</f>
        <v>RIFALDI</v>
      </c>
      <c r="E97" s="49" t="str">
        <f t="shared" si="4"/>
        <v>RIFALDIFBI</v>
      </c>
      <c r="F97" s="49" t="str">
        <f t="shared" si="6"/>
        <v>DWIDAYAFBI</v>
      </c>
      <c r="G97" s="50">
        <f t="shared" si="5"/>
        <v>37050999.999999993</v>
      </c>
      <c r="H97" s="50">
        <f>SUMIF(I$1:BI$1,"&lt;="&amp;PARAMETER!X$2,I97:BI97)</f>
        <v>3145383.0253346534</v>
      </c>
      <c r="I97" s="50">
        <v>72459.204694855609</v>
      </c>
      <c r="J97" s="50">
        <v>267171.73807120137</v>
      </c>
      <c r="K97" s="50">
        <v>87390.848361110431</v>
      </c>
      <c r="L97" s="50">
        <v>272962.60910076072</v>
      </c>
      <c r="M97" s="50">
        <v>503365.98124250706</v>
      </c>
      <c r="N97" s="50">
        <v>518539.51472281816</v>
      </c>
      <c r="O97" s="50">
        <v>218748.32058747998</v>
      </c>
      <c r="P97" s="50">
        <v>179736.90841113232</v>
      </c>
      <c r="Q97" s="50">
        <v>58650.792092489988</v>
      </c>
      <c r="R97" s="50">
        <v>593784.19435484009</v>
      </c>
      <c r="S97" s="50">
        <v>372572.91369545762</v>
      </c>
      <c r="T97" s="50">
        <v>167768.49743200192</v>
      </c>
      <c r="U97" s="50">
        <v>160220.20699821875</v>
      </c>
      <c r="V97" s="50">
        <v>338406.77462105762</v>
      </c>
      <c r="W97" s="50">
        <v>319215.74006650015</v>
      </c>
      <c r="X97" s="50">
        <v>202167.37088005827</v>
      </c>
      <c r="Y97" s="50">
        <v>725306.59645230474</v>
      </c>
      <c r="Z97" s="50">
        <v>2056823.5336074925</v>
      </c>
      <c r="AA97" s="50">
        <v>518671.45861969399</v>
      </c>
      <c r="AB97" s="50">
        <v>829260.64806670696</v>
      </c>
      <c r="AC97" s="50">
        <v>569619.54193775693</v>
      </c>
      <c r="AD97" s="50">
        <v>301839.84304083325</v>
      </c>
      <c r="AE97" s="50">
        <v>474934.98889188562</v>
      </c>
      <c r="AF97" s="50">
        <v>397581.26670068159</v>
      </c>
      <c r="AG97" s="50">
        <v>900161.58067902375</v>
      </c>
      <c r="AH97" s="50">
        <v>350868.14265934983</v>
      </c>
      <c r="AI97" s="50">
        <v>71997.393725572998</v>
      </c>
      <c r="AJ97" s="50">
        <v>956150.30935922521</v>
      </c>
      <c r="AK97" s="50">
        <v>773142.56305605161</v>
      </c>
      <c r="AL97" s="50">
        <v>1518217.1627333034</v>
      </c>
      <c r="AM97" s="50">
        <v>684502.94634339097</v>
      </c>
      <c r="AN97" s="50">
        <v>1185098.0910910682</v>
      </c>
      <c r="AO97" s="50">
        <v>1362663.4228661158</v>
      </c>
      <c r="AP97" s="50">
        <v>519243.21550615685</v>
      </c>
      <c r="AQ97" s="50">
        <v>759527.36763022793</v>
      </c>
      <c r="AR97" s="50">
        <v>544085.31920131703</v>
      </c>
      <c r="AS97" s="50">
        <v>884214.84130258614</v>
      </c>
      <c r="AT97" s="50">
        <v>1027031.2817920313</v>
      </c>
      <c r="AU97" s="50">
        <v>2053583.7904938147</v>
      </c>
      <c r="AV97" s="50">
        <v>738871.1767332434</v>
      </c>
      <c r="AW97" s="50">
        <v>916726.90236488229</v>
      </c>
      <c r="AX97" s="50">
        <v>2648535.9742144509</v>
      </c>
      <c r="AY97" s="50">
        <v>992155.83431867522</v>
      </c>
      <c r="AZ97" s="50">
        <v>1764623.0865198656</v>
      </c>
      <c r="BA97" s="50">
        <v>2372579.8439720161</v>
      </c>
      <c r="BB97" s="50">
        <v>626527.22320861765</v>
      </c>
      <c r="BC97" s="50">
        <v>883065.53665863082</v>
      </c>
      <c r="BD97" s="50">
        <v>375523.70700519334</v>
      </c>
      <c r="BE97" s="50">
        <v>379278.94407524524</v>
      </c>
      <c r="BF97" s="50">
        <v>383071.73351599765</v>
      </c>
      <c r="BG97" s="50">
        <v>386902.45085115766</v>
      </c>
      <c r="BH97" s="50">
        <v>390771.47535966919</v>
      </c>
      <c r="BI97" s="50">
        <v>394679.19011326588</v>
      </c>
    </row>
    <row r="98" spans="1:61" x14ac:dyDescent="0.25">
      <c r="A98" s="48" t="s">
        <v>45</v>
      </c>
      <c r="B98" s="48" t="s">
        <v>136</v>
      </c>
      <c r="C98" s="49" t="s">
        <v>40</v>
      </c>
      <c r="D98" s="49" t="str">
        <f>VLOOKUP(A98,PARAMETER!D:E,2,0)</f>
        <v>NINA</v>
      </c>
      <c r="E98" s="49" t="str">
        <f t="shared" si="4"/>
        <v>NINAFBI</v>
      </c>
      <c r="F98" s="49" t="str">
        <f t="shared" si="6"/>
        <v>EKA HOSPITALFBI</v>
      </c>
      <c r="G98" s="50">
        <f t="shared" si="5"/>
        <v>2289000.0000000005</v>
      </c>
      <c r="H98" s="50">
        <f>SUMIF(I$1:BI$1,"&lt;="&amp;PARAMETER!X$2,I98:BI98)</f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50">
        <v>0</v>
      </c>
      <c r="P98" s="50">
        <v>0</v>
      </c>
      <c r="Q98" s="50">
        <v>0</v>
      </c>
      <c r="R98" s="50">
        <v>0</v>
      </c>
      <c r="S98" s="50">
        <v>0</v>
      </c>
      <c r="T98" s="50">
        <v>0</v>
      </c>
      <c r="U98" s="50">
        <v>124322.44201705145</v>
      </c>
      <c r="V98" s="50">
        <v>200762.79105289857</v>
      </c>
      <c r="W98" s="50">
        <v>1546.7678242142458</v>
      </c>
      <c r="X98" s="50">
        <v>233292.89411401228</v>
      </c>
      <c r="Y98" s="50">
        <v>0</v>
      </c>
      <c r="Z98" s="50">
        <v>86009.215176056096</v>
      </c>
      <c r="AA98" s="50">
        <v>3387.2185284301195</v>
      </c>
      <c r="AB98" s="50">
        <v>15979.519441826529</v>
      </c>
      <c r="AC98" s="50">
        <v>508.83934771772891</v>
      </c>
      <c r="AD98" s="50">
        <v>0</v>
      </c>
      <c r="AE98" s="50">
        <v>359909.99247720995</v>
      </c>
      <c r="AF98" s="50">
        <v>610.59704149189736</v>
      </c>
      <c r="AG98" s="50">
        <v>0</v>
      </c>
      <c r="AH98" s="50">
        <v>829245.52798524708</v>
      </c>
      <c r="AI98" s="50">
        <v>0</v>
      </c>
      <c r="AJ98" s="50">
        <v>0</v>
      </c>
      <c r="AK98" s="50">
        <v>0</v>
      </c>
      <c r="AL98" s="50">
        <v>508.83934771772891</v>
      </c>
      <c r="AM98" s="50">
        <v>741.81358761368733</v>
      </c>
      <c r="AN98" s="50">
        <v>0</v>
      </c>
      <c r="AO98" s="50">
        <v>508.83934771772891</v>
      </c>
      <c r="AP98" s="50">
        <v>0</v>
      </c>
      <c r="AQ98" s="50">
        <v>28264.929326569429</v>
      </c>
      <c r="AR98" s="50">
        <v>0</v>
      </c>
      <c r="AS98" s="50">
        <v>508.83934771772891</v>
      </c>
      <c r="AT98" s="50">
        <v>0</v>
      </c>
      <c r="AU98" s="50">
        <v>0</v>
      </c>
      <c r="AV98" s="50">
        <v>8661.5131363634373</v>
      </c>
      <c r="AW98" s="50">
        <v>15377.673561999211</v>
      </c>
      <c r="AX98" s="50">
        <v>0</v>
      </c>
      <c r="AY98" s="50">
        <v>0</v>
      </c>
      <c r="AZ98" s="50">
        <v>8156.9476117842232</v>
      </c>
      <c r="BA98" s="50">
        <v>0</v>
      </c>
      <c r="BB98" s="50">
        <v>12899.110535894904</v>
      </c>
      <c r="BC98" s="50">
        <v>20696.700852115653</v>
      </c>
      <c r="BD98" s="50">
        <v>54794.88997428929</v>
      </c>
      <c r="BE98" s="50">
        <v>55342.838874032175</v>
      </c>
      <c r="BF98" s="50">
        <v>55896.26726277249</v>
      </c>
      <c r="BG98" s="50">
        <v>56455.229935400217</v>
      </c>
      <c r="BH98" s="50">
        <v>57019.782234754231</v>
      </c>
      <c r="BI98" s="50">
        <v>57589.980057101755</v>
      </c>
    </row>
    <row r="99" spans="1:61" x14ac:dyDescent="0.25">
      <c r="A99" s="52" t="s">
        <v>9</v>
      </c>
      <c r="B99" s="48" t="s">
        <v>136</v>
      </c>
      <c r="C99" s="49" t="s">
        <v>40</v>
      </c>
      <c r="D99" s="49" t="e">
        <f>VLOOKUP(A99,PARAMETER!D:E,2,0)</f>
        <v>#N/A</v>
      </c>
      <c r="E99" s="49" t="e">
        <f t="shared" si="4"/>
        <v>#N/A</v>
      </c>
      <c r="F99" s="49" t="str">
        <f t="shared" si="6"/>
        <v>ES TELLER 77FBI</v>
      </c>
      <c r="G99" s="50">
        <f t="shared" si="5"/>
        <v>0</v>
      </c>
      <c r="H99" s="50">
        <f>SUMIF(I$1:BI$1,"&lt;="&amp;PARAMETER!X$2,I99:BI99)</f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  <c r="Q99" s="50">
        <v>0</v>
      </c>
      <c r="R99" s="50">
        <v>0</v>
      </c>
      <c r="S99" s="50">
        <v>0</v>
      </c>
      <c r="T99" s="50">
        <v>0</v>
      </c>
      <c r="U99" s="50">
        <v>0</v>
      </c>
      <c r="V99" s="50">
        <v>0</v>
      </c>
      <c r="W99" s="50">
        <v>0</v>
      </c>
      <c r="X99" s="50">
        <v>0</v>
      </c>
      <c r="Y99" s="50">
        <v>0</v>
      </c>
      <c r="Z99" s="50">
        <v>0</v>
      </c>
      <c r="AA99" s="50">
        <v>0</v>
      </c>
      <c r="AB99" s="50">
        <v>0</v>
      </c>
      <c r="AC99" s="50">
        <v>0</v>
      </c>
      <c r="AD99" s="50">
        <v>0</v>
      </c>
      <c r="AE99" s="50">
        <v>0</v>
      </c>
      <c r="AF99" s="50">
        <v>0</v>
      </c>
      <c r="AG99" s="50">
        <v>0</v>
      </c>
      <c r="AH99" s="50">
        <v>0</v>
      </c>
      <c r="AI99" s="50">
        <v>0</v>
      </c>
      <c r="AJ99" s="50">
        <v>0</v>
      </c>
      <c r="AK99" s="50">
        <v>0</v>
      </c>
      <c r="AL99" s="50">
        <v>0</v>
      </c>
      <c r="AM99" s="50">
        <v>0</v>
      </c>
      <c r="AN99" s="50">
        <v>0</v>
      </c>
      <c r="AO99" s="50">
        <v>0</v>
      </c>
      <c r="AP99" s="50">
        <v>0</v>
      </c>
      <c r="AQ99" s="50">
        <v>0</v>
      </c>
      <c r="AR99" s="50">
        <v>0</v>
      </c>
      <c r="AS99" s="50">
        <v>0</v>
      </c>
      <c r="AT99" s="50">
        <v>0</v>
      </c>
      <c r="AU99" s="50">
        <v>0</v>
      </c>
      <c r="AV99" s="50">
        <v>0</v>
      </c>
      <c r="AW99" s="50">
        <v>0</v>
      </c>
      <c r="AX99" s="50">
        <v>0</v>
      </c>
      <c r="AY99" s="50">
        <v>0</v>
      </c>
      <c r="AZ99" s="50">
        <v>0</v>
      </c>
      <c r="BA99" s="50">
        <v>0</v>
      </c>
      <c r="BB99" s="50">
        <v>0</v>
      </c>
      <c r="BC99" s="50">
        <v>0</v>
      </c>
      <c r="BD99" s="50">
        <v>0</v>
      </c>
      <c r="BE99" s="50">
        <v>0</v>
      </c>
      <c r="BF99" s="50">
        <v>0</v>
      </c>
      <c r="BG99" s="50">
        <v>0</v>
      </c>
      <c r="BH99" s="50">
        <v>0</v>
      </c>
      <c r="BI99" s="50">
        <v>0</v>
      </c>
    </row>
    <row r="100" spans="1:61" x14ac:dyDescent="0.25">
      <c r="A100" s="48" t="s">
        <v>10</v>
      </c>
      <c r="B100" s="48" t="s">
        <v>136</v>
      </c>
      <c r="C100" s="49" t="s">
        <v>40</v>
      </c>
      <c r="D100" s="49" t="str">
        <f>VLOOKUP(A100,PARAMETER!D:E,2,0)</f>
        <v>RIFALDI</v>
      </c>
      <c r="E100" s="49" t="str">
        <f t="shared" si="4"/>
        <v>RIFALDIFBI</v>
      </c>
      <c r="F100" s="49" t="str">
        <f t="shared" si="6"/>
        <v>GRAMEDIAFBI</v>
      </c>
      <c r="G100" s="50">
        <f t="shared" si="5"/>
        <v>0</v>
      </c>
      <c r="H100" s="50">
        <f>SUMIF(I$1:BI$1,"&lt;="&amp;PARAMETER!X$2,I100:BI100)</f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</row>
    <row r="101" spans="1:61" x14ac:dyDescent="0.25">
      <c r="A101" s="48" t="s">
        <v>11</v>
      </c>
      <c r="B101" s="48" t="s">
        <v>136</v>
      </c>
      <c r="C101" s="49" t="s">
        <v>40</v>
      </c>
      <c r="D101" s="49" t="str">
        <f>VLOOKUP(A101,PARAMETER!D:E,2,0)</f>
        <v>NINA</v>
      </c>
      <c r="E101" s="49" t="str">
        <f t="shared" si="4"/>
        <v>NINAFBI</v>
      </c>
      <c r="F101" s="49" t="str">
        <f t="shared" si="6"/>
        <v>HAUSFBI</v>
      </c>
      <c r="G101" s="50">
        <f t="shared" si="5"/>
        <v>62151000.000000015</v>
      </c>
      <c r="H101" s="50">
        <f>SUMIF(I$1:BI$1,"&lt;="&amp;PARAMETER!X$2,I101:BI101)</f>
        <v>19118637.144343577</v>
      </c>
      <c r="I101" s="50">
        <v>4534998.7234104909</v>
      </c>
      <c r="J101" s="50">
        <v>3661764.4691841835</v>
      </c>
      <c r="K101" s="50">
        <v>3642654.630670039</v>
      </c>
      <c r="L101" s="50">
        <v>3781569.0109531409</v>
      </c>
      <c r="M101" s="50">
        <v>3084152.1788219865</v>
      </c>
      <c r="N101" s="50">
        <v>2160.8761574580976</v>
      </c>
      <c r="O101" s="50">
        <v>3709.3797202093151</v>
      </c>
      <c r="P101" s="50">
        <v>2998.4796191438095</v>
      </c>
      <c r="Q101" s="50">
        <v>60638.232221891609</v>
      </c>
      <c r="R101" s="50">
        <v>329061.9587992162</v>
      </c>
      <c r="S101" s="50">
        <v>14929.204785811366</v>
      </c>
      <c r="T101" s="50">
        <v>97711.018950597107</v>
      </c>
      <c r="U101" s="50">
        <v>34876.632684272874</v>
      </c>
      <c r="V101" s="50">
        <v>111309.75046633941</v>
      </c>
      <c r="W101" s="50">
        <v>1973844.6538639376</v>
      </c>
      <c r="X101" s="50">
        <v>746.12871724816989</v>
      </c>
      <c r="Y101" s="50">
        <v>10642.491042594929</v>
      </c>
      <c r="Z101" s="50">
        <v>92287.712503295916</v>
      </c>
      <c r="AA101" s="50">
        <v>54331.6201341087</v>
      </c>
      <c r="AB101" s="50">
        <v>1808209.906665653</v>
      </c>
      <c r="AC101" s="50">
        <v>1949222.927057405</v>
      </c>
      <c r="AD101" s="50">
        <v>2230643.6057760157</v>
      </c>
      <c r="AE101" s="50">
        <v>1956947.876314519</v>
      </c>
      <c r="AF101" s="50">
        <v>1434969.6513146139</v>
      </c>
      <c r="AG101" s="50">
        <v>1284338.7330357607</v>
      </c>
      <c r="AH101" s="50">
        <v>1747712.4833282237</v>
      </c>
      <c r="AI101" s="50">
        <v>1963690.4856395056</v>
      </c>
      <c r="AJ101" s="50">
        <v>2095221.7503807605</v>
      </c>
      <c r="AK101" s="50">
        <v>1968797.6354927854</v>
      </c>
      <c r="AL101" s="50">
        <v>1716768.1877360286</v>
      </c>
      <c r="AM101" s="50">
        <v>2061005.1562629805</v>
      </c>
      <c r="AN101" s="50">
        <v>1749317.3808316053</v>
      </c>
      <c r="AO101" s="50">
        <v>1565579.5592866992</v>
      </c>
      <c r="AP101" s="50">
        <v>1472722.0793462896</v>
      </c>
      <c r="AQ101" s="50">
        <v>1528391.2043963347</v>
      </c>
      <c r="AR101" s="50">
        <v>1539897.1097568674</v>
      </c>
      <c r="AS101" s="50">
        <v>1416326.0059944002</v>
      </c>
      <c r="AT101" s="50">
        <v>1329596.045852033</v>
      </c>
      <c r="AU101" s="50">
        <v>1381589.5275969265</v>
      </c>
      <c r="AV101" s="50">
        <v>1324892.4660162255</v>
      </c>
      <c r="AW101" s="50">
        <v>1238671.3816509126</v>
      </c>
      <c r="AX101" s="50">
        <v>1089951.6844271433</v>
      </c>
      <c r="AY101" s="50">
        <v>1166247.4845122853</v>
      </c>
      <c r="AZ101" s="50">
        <v>1093844.7878915286</v>
      </c>
      <c r="BA101" s="50">
        <v>437039.02586519922</v>
      </c>
      <c r="BB101" s="50">
        <v>65452.727648869208</v>
      </c>
      <c r="BC101" s="50">
        <v>2871.7832972081555</v>
      </c>
      <c r="BD101" s="50">
        <v>5964.5812893485072</v>
      </c>
      <c r="BE101" s="50">
        <v>6024.2271022419927</v>
      </c>
      <c r="BF101" s="50">
        <v>6084.4693732644128</v>
      </c>
      <c r="BG101" s="50">
        <v>6145.3140669970562</v>
      </c>
      <c r="BH101" s="50">
        <v>6206.7672076670269</v>
      </c>
      <c r="BI101" s="50">
        <v>6268.8348797436975</v>
      </c>
    </row>
    <row r="102" spans="1:61" x14ac:dyDescent="0.25">
      <c r="A102" s="48" t="s">
        <v>12</v>
      </c>
      <c r="B102" s="48" t="s">
        <v>136</v>
      </c>
      <c r="C102" s="49" t="s">
        <v>40</v>
      </c>
      <c r="D102" s="49" t="e">
        <f>VLOOKUP(A102,PARAMETER!D:E,2,0)</f>
        <v>#N/A</v>
      </c>
      <c r="E102" s="49" t="e">
        <f t="shared" si="4"/>
        <v>#N/A</v>
      </c>
      <c r="F102" s="49" t="str">
        <f t="shared" si="6"/>
        <v>HEAVENLY WANGFBI</v>
      </c>
      <c r="G102" s="50">
        <f t="shared" si="5"/>
        <v>0</v>
      </c>
      <c r="H102" s="50">
        <f>SUMIF(I$1:BI$1,"&lt;="&amp;PARAMETER!X$2,I102:BI102)</f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50">
        <v>0</v>
      </c>
      <c r="P102" s="50">
        <v>0</v>
      </c>
      <c r="Q102" s="50">
        <v>0</v>
      </c>
      <c r="R102" s="50">
        <v>0</v>
      </c>
      <c r="S102" s="50">
        <v>0</v>
      </c>
      <c r="T102" s="50">
        <v>0</v>
      </c>
      <c r="U102" s="50">
        <v>0</v>
      </c>
      <c r="V102" s="50">
        <v>0</v>
      </c>
      <c r="W102" s="50">
        <v>0</v>
      </c>
      <c r="X102" s="50">
        <v>0</v>
      </c>
      <c r="Y102" s="50">
        <v>0</v>
      </c>
      <c r="Z102" s="50">
        <v>0</v>
      </c>
      <c r="AA102" s="50">
        <v>0</v>
      </c>
      <c r="AB102" s="50">
        <v>0</v>
      </c>
      <c r="AC102" s="50">
        <v>0</v>
      </c>
      <c r="AD102" s="50">
        <v>0</v>
      </c>
      <c r="AE102" s="50">
        <v>0</v>
      </c>
      <c r="AF102" s="50">
        <v>0</v>
      </c>
      <c r="AG102" s="50">
        <v>0</v>
      </c>
      <c r="AH102" s="50">
        <v>0</v>
      </c>
      <c r="AI102" s="50">
        <v>0</v>
      </c>
      <c r="AJ102" s="50">
        <v>0</v>
      </c>
      <c r="AK102" s="50">
        <v>0</v>
      </c>
      <c r="AL102" s="50">
        <v>0</v>
      </c>
      <c r="AM102" s="50">
        <v>0</v>
      </c>
      <c r="AN102" s="50">
        <v>0</v>
      </c>
      <c r="AO102" s="50">
        <v>0</v>
      </c>
      <c r="AP102" s="50">
        <v>0</v>
      </c>
      <c r="AQ102" s="50">
        <v>0</v>
      </c>
      <c r="AR102" s="50">
        <v>0</v>
      </c>
      <c r="AS102" s="50">
        <v>0</v>
      </c>
      <c r="AT102" s="50">
        <v>0</v>
      </c>
      <c r="AU102" s="50">
        <v>0</v>
      </c>
      <c r="AV102" s="50">
        <v>0</v>
      </c>
      <c r="AW102" s="50">
        <v>0</v>
      </c>
      <c r="AX102" s="50">
        <v>0</v>
      </c>
      <c r="AY102" s="50">
        <v>0</v>
      </c>
      <c r="AZ102" s="50">
        <v>0</v>
      </c>
      <c r="BA102" s="50">
        <v>0</v>
      </c>
      <c r="BB102" s="50">
        <v>0</v>
      </c>
      <c r="BC102" s="50">
        <v>0</v>
      </c>
      <c r="BD102" s="50">
        <v>0</v>
      </c>
      <c r="BE102" s="50">
        <v>0</v>
      </c>
      <c r="BF102" s="50">
        <v>0</v>
      </c>
      <c r="BG102" s="50">
        <v>0</v>
      </c>
      <c r="BH102" s="50">
        <v>0</v>
      </c>
      <c r="BI102" s="50">
        <v>0</v>
      </c>
    </row>
    <row r="103" spans="1:61" x14ac:dyDescent="0.25">
      <c r="A103" s="48" t="s">
        <v>13</v>
      </c>
      <c r="B103" s="48" t="s">
        <v>136</v>
      </c>
      <c r="C103" s="49" t="s">
        <v>40</v>
      </c>
      <c r="D103" s="49" t="str">
        <f>VLOOKUP(A103,PARAMETER!D:E,2,0)</f>
        <v>ADISTI</v>
      </c>
      <c r="E103" s="49" t="str">
        <f t="shared" si="4"/>
        <v>ADISTIFBI</v>
      </c>
      <c r="F103" s="49" t="str">
        <f t="shared" si="6"/>
        <v>HERO GROUPFBI</v>
      </c>
      <c r="G103" s="50">
        <f t="shared" si="5"/>
        <v>1253999.9999999998</v>
      </c>
      <c r="H103" s="50">
        <f>SUMIF(I$1:BI$1,"&lt;="&amp;PARAMETER!X$2,I103:BI103)</f>
        <v>7210.8125693401562</v>
      </c>
      <c r="I103" s="50">
        <v>0</v>
      </c>
      <c r="J103" s="50">
        <v>299.44343277282064</v>
      </c>
      <c r="K103" s="50">
        <v>0</v>
      </c>
      <c r="L103" s="50">
        <v>0</v>
      </c>
      <c r="M103" s="50">
        <v>1923.6859218645611</v>
      </c>
      <c r="N103" s="50">
        <v>0</v>
      </c>
      <c r="O103" s="50">
        <v>605.03024961869266</v>
      </c>
      <c r="P103" s="50">
        <v>0</v>
      </c>
      <c r="Q103" s="50">
        <v>4382.6529650840812</v>
      </c>
      <c r="R103" s="50">
        <v>0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</v>
      </c>
      <c r="Y103" s="50">
        <v>806.70699949159018</v>
      </c>
      <c r="Z103" s="50">
        <v>276.97974555620863</v>
      </c>
      <c r="AA103" s="50">
        <v>1160.4169915763644</v>
      </c>
      <c r="AB103" s="50">
        <v>7413.3270534048324</v>
      </c>
      <c r="AC103" s="50">
        <v>2907.2479173985389</v>
      </c>
      <c r="AD103" s="50">
        <v>5267.2940661650164</v>
      </c>
      <c r="AE103" s="50">
        <v>78825.792068514042</v>
      </c>
      <c r="AF103" s="50">
        <v>66664.634407670659</v>
      </c>
      <c r="AG103" s="50">
        <v>22738.203403100502</v>
      </c>
      <c r="AH103" s="50">
        <v>109053.1653938485</v>
      </c>
      <c r="AI103" s="50">
        <v>53696.676665758823</v>
      </c>
      <c r="AJ103" s="50">
        <v>8439.9299700809152</v>
      </c>
      <c r="AK103" s="50">
        <v>21499.808871865593</v>
      </c>
      <c r="AL103" s="50">
        <v>3727.644114127655</v>
      </c>
      <c r="AM103" s="50">
        <v>10415.269961666769</v>
      </c>
      <c r="AN103" s="50">
        <v>14113.94088363576</v>
      </c>
      <c r="AO103" s="50">
        <v>3055.5889237281267</v>
      </c>
      <c r="AP103" s="50">
        <v>5172.791443893806</v>
      </c>
      <c r="AQ103" s="50">
        <v>7708.5197608341778</v>
      </c>
      <c r="AR103" s="50">
        <v>15317.833177046263</v>
      </c>
      <c r="AS103" s="50">
        <v>16705.220285648815</v>
      </c>
      <c r="AT103" s="50">
        <v>3244.5134975705996</v>
      </c>
      <c r="AU103" s="50">
        <v>14978.283995521799</v>
      </c>
      <c r="AV103" s="50">
        <v>45140.016192851472</v>
      </c>
      <c r="AW103" s="50">
        <v>37363.335895998716</v>
      </c>
      <c r="AX103" s="50">
        <v>34231.029136618934</v>
      </c>
      <c r="AY103" s="50">
        <v>42422.456118225695</v>
      </c>
      <c r="AZ103" s="50">
        <v>47995.66588947484</v>
      </c>
      <c r="BA103" s="50">
        <v>33616.883097905986</v>
      </c>
      <c r="BB103" s="50">
        <v>25899.564025338892</v>
      </c>
      <c r="BC103" s="50">
        <v>48918.37115005486</v>
      </c>
      <c r="BD103" s="50">
        <v>74449.114940664658</v>
      </c>
      <c r="BE103" s="50">
        <v>75193.606090071306</v>
      </c>
      <c r="BF103" s="50">
        <v>75945.542150972018</v>
      </c>
      <c r="BG103" s="50">
        <v>76704.997572481749</v>
      </c>
      <c r="BH103" s="50">
        <v>77472.047548206567</v>
      </c>
      <c r="BI103" s="50">
        <v>78246.768023688637</v>
      </c>
    </row>
    <row r="104" spans="1:61" x14ac:dyDescent="0.25">
      <c r="A104" s="48" t="s">
        <v>46</v>
      </c>
      <c r="B104" s="48" t="s">
        <v>136</v>
      </c>
      <c r="C104" s="49" t="s">
        <v>40</v>
      </c>
      <c r="D104" s="49" t="str">
        <f>VLOOKUP(A104,PARAMETER!D:E,2,0)</f>
        <v>NINA</v>
      </c>
      <c r="E104" s="49" t="str">
        <f t="shared" si="4"/>
        <v>NINAFBI</v>
      </c>
      <c r="F104" s="49" t="str">
        <f t="shared" si="6"/>
        <v>HOKBENFBI</v>
      </c>
      <c r="G104" s="50">
        <f t="shared" si="5"/>
        <v>14571000.000000002</v>
      </c>
      <c r="H104" s="50">
        <f>SUMIF(I$1:BI$1,"&lt;="&amp;PARAMETER!X$2,I104:BI104)</f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  <c r="Q104" s="50">
        <v>0</v>
      </c>
      <c r="R104" s="50">
        <v>0</v>
      </c>
      <c r="S104" s="50">
        <v>0</v>
      </c>
      <c r="T104" s="50">
        <v>0</v>
      </c>
      <c r="U104" s="50">
        <v>0</v>
      </c>
      <c r="V104" s="50">
        <v>0</v>
      </c>
      <c r="W104" s="50">
        <v>264430.13737159793</v>
      </c>
      <c r="X104" s="50">
        <v>342410.05762584513</v>
      </c>
      <c r="Y104" s="50">
        <v>0</v>
      </c>
      <c r="Z104" s="50">
        <v>37062.922160116206</v>
      </c>
      <c r="AA104" s="50">
        <v>446078.55297300074</v>
      </c>
      <c r="AB104" s="50">
        <v>426619.32066645514</v>
      </c>
      <c r="AC104" s="50">
        <v>473653.22467653768</v>
      </c>
      <c r="AD104" s="50">
        <v>495827.76792001416</v>
      </c>
      <c r="AE104" s="50">
        <v>273848.4716543018</v>
      </c>
      <c r="AF104" s="50">
        <v>446655.6195688452</v>
      </c>
      <c r="AG104" s="50">
        <v>254695.93505748452</v>
      </c>
      <c r="AH104" s="50">
        <v>429161.39013692836</v>
      </c>
      <c r="AI104" s="50">
        <v>559567.50690438552</v>
      </c>
      <c r="AJ104" s="50">
        <v>450082.78770963947</v>
      </c>
      <c r="AK104" s="50">
        <v>484950.36630760675</v>
      </c>
      <c r="AL104" s="50">
        <v>487214.28967888292</v>
      </c>
      <c r="AM104" s="50">
        <v>418492.33993754693</v>
      </c>
      <c r="AN104" s="50">
        <v>372113.19391026528</v>
      </c>
      <c r="AO104" s="50">
        <v>387342.28509386204</v>
      </c>
      <c r="AP104" s="50">
        <v>361210.27987993631</v>
      </c>
      <c r="AQ104" s="50">
        <v>374853.34908274363</v>
      </c>
      <c r="AR104" s="50">
        <v>434522.03509306262</v>
      </c>
      <c r="AS104" s="50">
        <v>359115.28516161203</v>
      </c>
      <c r="AT104" s="50">
        <v>337486.82914936106</v>
      </c>
      <c r="AU104" s="50">
        <v>358725.85632519535</v>
      </c>
      <c r="AV104" s="50">
        <v>365687.10178664554</v>
      </c>
      <c r="AW104" s="50">
        <v>379682.55822480161</v>
      </c>
      <c r="AX104" s="50">
        <v>382507.07445920719</v>
      </c>
      <c r="AY104" s="50">
        <v>417775.02186137135</v>
      </c>
      <c r="AZ104" s="50">
        <v>401018.76341537613</v>
      </c>
      <c r="BA104" s="50">
        <v>258188.7065586485</v>
      </c>
      <c r="BB104" s="50">
        <v>357313.56176168122</v>
      </c>
      <c r="BC104" s="50">
        <v>314756.4189144558</v>
      </c>
      <c r="BD104" s="50">
        <v>393033.98404445435</v>
      </c>
      <c r="BE104" s="50">
        <v>396964.32388489891</v>
      </c>
      <c r="BF104" s="50">
        <v>400933.96712374792</v>
      </c>
      <c r="BG104" s="50">
        <v>404943.30679498543</v>
      </c>
      <c r="BH104" s="50">
        <v>408992.73986293533</v>
      </c>
      <c r="BI104" s="50">
        <v>413082.6672615647</v>
      </c>
    </row>
    <row r="105" spans="1:61" x14ac:dyDescent="0.25">
      <c r="A105" s="48" t="s">
        <v>14</v>
      </c>
      <c r="B105" s="48" t="s">
        <v>136</v>
      </c>
      <c r="C105" s="49" t="s">
        <v>40</v>
      </c>
      <c r="D105" s="49" t="str">
        <f>VLOOKUP(A105,PARAMETER!D:E,2,0)</f>
        <v>NINA</v>
      </c>
      <c r="E105" s="49" t="str">
        <f t="shared" si="4"/>
        <v>NINAFBI</v>
      </c>
      <c r="F105" s="49" t="str">
        <f t="shared" si="6"/>
        <v>HOKKAIDO BAKED CHEESEFBI</v>
      </c>
      <c r="G105" s="50">
        <f t="shared" si="5"/>
        <v>13223000.000000002</v>
      </c>
      <c r="H105" s="50">
        <f>SUMIF(I$1:BI$1,"&lt;="&amp;PARAMETER!X$2,I105:BI105)</f>
        <v>2717663.3623260055</v>
      </c>
      <c r="I105" s="50">
        <v>246630.78749754102</v>
      </c>
      <c r="J105" s="50">
        <v>134949.57595628963</v>
      </c>
      <c r="K105" s="50">
        <v>126235.47674752079</v>
      </c>
      <c r="L105" s="50">
        <v>121274.33589192531</v>
      </c>
      <c r="M105" s="50">
        <v>140770.87359144591</v>
      </c>
      <c r="N105" s="50">
        <v>256268.86487304905</v>
      </c>
      <c r="O105" s="50">
        <v>162793.0925257385</v>
      </c>
      <c r="P105" s="50">
        <v>143692.58204394183</v>
      </c>
      <c r="Q105" s="50">
        <v>358237.74021419231</v>
      </c>
      <c r="R105" s="50">
        <v>447588.4562895206</v>
      </c>
      <c r="S105" s="50">
        <v>579221.57669484057</v>
      </c>
      <c r="T105" s="50">
        <v>752866.20438062877</v>
      </c>
      <c r="U105" s="50">
        <v>1142714.9890607239</v>
      </c>
      <c r="V105" s="50">
        <v>678963.16957546491</v>
      </c>
      <c r="W105" s="50">
        <v>392699.37804270786</v>
      </c>
      <c r="X105" s="50">
        <v>500875.33728272939</v>
      </c>
      <c r="Y105" s="50">
        <v>478459.93716327858</v>
      </c>
      <c r="Z105" s="50">
        <v>493080.98887015251</v>
      </c>
      <c r="AA105" s="50">
        <v>401767.11763691006</v>
      </c>
      <c r="AB105" s="50">
        <v>337178.27812885668</v>
      </c>
      <c r="AC105" s="50">
        <v>220017.15591733815</v>
      </c>
      <c r="AD105" s="50">
        <v>244868.11092230093</v>
      </c>
      <c r="AE105" s="50">
        <v>256436.25683863656</v>
      </c>
      <c r="AF105" s="50">
        <v>158136.53669509845</v>
      </c>
      <c r="AG105" s="50">
        <v>239052.70183569574</v>
      </c>
      <c r="AH105" s="50">
        <v>278020.44873571122</v>
      </c>
      <c r="AI105" s="50">
        <v>212889.10064344804</v>
      </c>
      <c r="AJ105" s="50">
        <v>132429.53915430474</v>
      </c>
      <c r="AK105" s="50">
        <v>274536.73816214362</v>
      </c>
      <c r="AL105" s="50">
        <v>185947.22267131085</v>
      </c>
      <c r="AM105" s="50">
        <v>231005.86627462672</v>
      </c>
      <c r="AN105" s="50">
        <v>271351.55735177558</v>
      </c>
      <c r="AO105" s="50">
        <v>649484.67874556303</v>
      </c>
      <c r="AP105" s="50">
        <v>166843.88997312062</v>
      </c>
      <c r="AQ105" s="50">
        <v>120320.67086666655</v>
      </c>
      <c r="AR105" s="50">
        <v>113875.25257956517</v>
      </c>
      <c r="AS105" s="50">
        <v>176301.55389094676</v>
      </c>
      <c r="AT105" s="50">
        <v>150174.74868458972</v>
      </c>
      <c r="AU105" s="50">
        <v>85428.972510499661</v>
      </c>
      <c r="AV105" s="50">
        <v>109204.1450677735</v>
      </c>
      <c r="AW105" s="50">
        <v>41108.570701777258</v>
      </c>
      <c r="AX105" s="50">
        <v>118465.37319813912</v>
      </c>
      <c r="AY105" s="50">
        <v>109395.25198672721</v>
      </c>
      <c r="AZ105" s="50">
        <v>71066.314362798003</v>
      </c>
      <c r="BA105" s="50">
        <v>126588.08112946789</v>
      </c>
      <c r="BB105" s="50">
        <v>140783.5259328727</v>
      </c>
      <c r="BC105" s="50">
        <v>116832.11965612008</v>
      </c>
      <c r="BD105" s="50">
        <v>53017.889237453193</v>
      </c>
      <c r="BE105" s="50">
        <v>53548.06812982772</v>
      </c>
      <c r="BF105" s="50">
        <v>54083.548811125998</v>
      </c>
      <c r="BG105" s="50">
        <v>54624.384299237252</v>
      </c>
      <c r="BH105" s="50">
        <v>55170.628142229623</v>
      </c>
      <c r="BI105" s="50">
        <v>55722.334423651926</v>
      </c>
    </row>
    <row r="106" spans="1:61" x14ac:dyDescent="0.25">
      <c r="A106" s="48" t="s">
        <v>15</v>
      </c>
      <c r="B106" s="48" t="s">
        <v>136</v>
      </c>
      <c r="C106" s="49" t="s">
        <v>40</v>
      </c>
      <c r="D106" s="49" t="str">
        <f>VLOOKUP(A106,PARAMETER!D:E,2,0)</f>
        <v>NINA</v>
      </c>
      <c r="E106" s="49" t="str">
        <f t="shared" si="4"/>
        <v>NINAFBI</v>
      </c>
      <c r="F106" s="49" t="str">
        <f t="shared" si="6"/>
        <v>HOP HOPFBI</v>
      </c>
      <c r="G106" s="50">
        <f t="shared" si="5"/>
        <v>3000</v>
      </c>
      <c r="H106" s="50">
        <f>SUMIF(I$1:BI$1,"&lt;="&amp;PARAMETER!X$2,I106:BI106)</f>
        <v>403.15797801096136</v>
      </c>
      <c r="I106" s="50">
        <v>0.80870241095818318</v>
      </c>
      <c r="J106" s="50">
        <v>0.49654328032832434</v>
      </c>
      <c r="K106" s="50">
        <v>2.2983322519431564</v>
      </c>
      <c r="L106" s="50">
        <v>6.9224926378020477</v>
      </c>
      <c r="M106" s="50">
        <v>22.711598509349617</v>
      </c>
      <c r="N106" s="50">
        <v>75.27270627056987</v>
      </c>
      <c r="O106" s="50">
        <v>55.020473689447883</v>
      </c>
      <c r="P106" s="50">
        <v>54.999529105706472</v>
      </c>
      <c r="Q106" s="50">
        <v>34.449719107126604</v>
      </c>
      <c r="R106" s="50">
        <v>39.218833739232878</v>
      </c>
      <c r="S106" s="50">
        <v>110.95904700849631</v>
      </c>
      <c r="T106" s="50">
        <v>94.241731918508805</v>
      </c>
      <c r="U106" s="50">
        <v>109.32981087030764</v>
      </c>
      <c r="V106" s="50">
        <v>84.426784906826654</v>
      </c>
      <c r="W106" s="50">
        <v>67.023641650201952</v>
      </c>
      <c r="X106" s="50">
        <v>81.331275061983888</v>
      </c>
      <c r="Y106" s="50">
        <v>68.218091876377542</v>
      </c>
      <c r="Z106" s="50">
        <v>68.269848830678868</v>
      </c>
      <c r="AA106" s="50">
        <v>87.618864332669176</v>
      </c>
      <c r="AB106" s="50">
        <v>88.018669013193843</v>
      </c>
      <c r="AC106" s="50">
        <v>72.854382798400806</v>
      </c>
      <c r="AD106" s="50">
        <v>64.024183008113496</v>
      </c>
      <c r="AE106" s="50">
        <v>86.945123032266167</v>
      </c>
      <c r="AF106" s="50">
        <v>70.84091839682489</v>
      </c>
      <c r="AG106" s="50">
        <v>63.001181736573102</v>
      </c>
      <c r="AH106" s="50">
        <v>76.142162450151304</v>
      </c>
      <c r="AI106" s="50">
        <v>50.486482813708413</v>
      </c>
      <c r="AJ106" s="50">
        <v>50.284307210968869</v>
      </c>
      <c r="AK106" s="50">
        <v>86.896787697865605</v>
      </c>
      <c r="AL106" s="50">
        <v>47.015047653131731</v>
      </c>
      <c r="AM106" s="50">
        <v>52.836329409229613</v>
      </c>
      <c r="AN106" s="50">
        <v>36.078707782377535</v>
      </c>
      <c r="AO106" s="50">
        <v>94.127116951910935</v>
      </c>
      <c r="AP106" s="50">
        <v>40.756984107470515</v>
      </c>
      <c r="AQ106" s="50">
        <v>55.320907443821255</v>
      </c>
      <c r="AR106" s="50">
        <v>52.836976371158379</v>
      </c>
      <c r="AS106" s="50">
        <v>84.728235200130612</v>
      </c>
      <c r="AT106" s="50">
        <v>61.913994563377358</v>
      </c>
      <c r="AU106" s="50">
        <v>60.370446106546567</v>
      </c>
      <c r="AV106" s="50">
        <v>49.030009771572729</v>
      </c>
      <c r="AW106" s="50">
        <v>61.312581989205626</v>
      </c>
      <c r="AX106" s="50">
        <v>50.705641975780502</v>
      </c>
      <c r="AY106" s="50">
        <v>76.080296715713004</v>
      </c>
      <c r="AZ106" s="50">
        <v>43.30035399863641</v>
      </c>
      <c r="BA106" s="50">
        <v>41.936072222647546</v>
      </c>
      <c r="BB106" s="50">
        <v>49.831361886317715</v>
      </c>
      <c r="BC106" s="50">
        <v>48.203113173772813</v>
      </c>
      <c r="BD106" s="50">
        <v>35.842499556077634</v>
      </c>
      <c r="BE106" s="50">
        <v>36.200924551638415</v>
      </c>
      <c r="BF106" s="50">
        <v>36.562933797154798</v>
      </c>
      <c r="BG106" s="50">
        <v>36.928563135126346</v>
      </c>
      <c r="BH106" s="50">
        <v>37.297848766477614</v>
      </c>
      <c r="BI106" s="50">
        <v>37.670827254142388</v>
      </c>
    </row>
    <row r="107" spans="1:61" x14ac:dyDescent="0.25">
      <c r="A107" s="48" t="s">
        <v>16</v>
      </c>
      <c r="B107" s="48" t="s">
        <v>136</v>
      </c>
      <c r="C107" s="49" t="s">
        <v>40</v>
      </c>
      <c r="D107" s="49" t="str">
        <f>VLOOKUP(A107,PARAMETER!D:E,2,0)</f>
        <v>ADISTI</v>
      </c>
      <c r="E107" s="49" t="str">
        <f t="shared" si="4"/>
        <v>ADISTIFBI</v>
      </c>
      <c r="F107" s="49" t="str">
        <f t="shared" si="6"/>
        <v>IKEAFBI</v>
      </c>
      <c r="G107" s="50">
        <f t="shared" si="5"/>
        <v>300000.00000000006</v>
      </c>
      <c r="H107" s="50">
        <f>SUMIF(I$1:BI$1,"&lt;="&amp;PARAMETER!X$2,I107:BI107)</f>
        <v>53368.386794971717</v>
      </c>
      <c r="I107" s="50">
        <v>20084.755088774127</v>
      </c>
      <c r="J107" s="50">
        <v>2316.692722796668</v>
      </c>
      <c r="K107" s="50">
        <v>6593.5994328713386</v>
      </c>
      <c r="L107" s="50">
        <v>4088.6518543307393</v>
      </c>
      <c r="M107" s="50">
        <v>5021.5729087619793</v>
      </c>
      <c r="N107" s="50">
        <v>2484.3159526643803</v>
      </c>
      <c r="O107" s="50">
        <v>3192.9431569301319</v>
      </c>
      <c r="P107" s="50">
        <v>3140.9799556711414</v>
      </c>
      <c r="Q107" s="50">
        <v>3989.2931848266535</v>
      </c>
      <c r="R107" s="50">
        <v>700.94447289681523</v>
      </c>
      <c r="S107" s="50">
        <v>1754.638064447741</v>
      </c>
      <c r="T107" s="50">
        <v>8413.1495930853489</v>
      </c>
      <c r="U107" s="50">
        <v>9137.0863856790202</v>
      </c>
      <c r="V107" s="50">
        <v>3826.0002217305237</v>
      </c>
      <c r="W107" s="50">
        <v>3958.0035152513474</v>
      </c>
      <c r="X107" s="50">
        <v>19486.396032556353</v>
      </c>
      <c r="Y107" s="50">
        <v>3933.4187748707486</v>
      </c>
      <c r="Z107" s="50">
        <v>27453.192901708961</v>
      </c>
      <c r="AA107" s="50">
        <v>40860.5369426779</v>
      </c>
      <c r="AB107" s="50">
        <v>995.8216714390984</v>
      </c>
      <c r="AC107" s="50">
        <v>1105.894259052229</v>
      </c>
      <c r="AD107" s="50">
        <v>459.14796381264085</v>
      </c>
      <c r="AE107" s="50">
        <v>11458.444621707005</v>
      </c>
      <c r="AF107" s="50">
        <v>1682.7975418469377</v>
      </c>
      <c r="AG107" s="50">
        <v>585.42413031298372</v>
      </c>
      <c r="AH107" s="50">
        <v>6402.648636847035</v>
      </c>
      <c r="AI107" s="50">
        <v>547.56921756785891</v>
      </c>
      <c r="AJ107" s="50">
        <v>4341.8607116484063</v>
      </c>
      <c r="AK107" s="50">
        <v>676.63910456599694</v>
      </c>
      <c r="AL107" s="50">
        <v>2016.3677692836841</v>
      </c>
      <c r="AM107" s="50">
        <v>3807.5616664450758</v>
      </c>
      <c r="AN107" s="50">
        <v>1421.3053032533071</v>
      </c>
      <c r="AO107" s="50">
        <v>3605.0169303549233</v>
      </c>
      <c r="AP107" s="50">
        <v>653.45122443429682</v>
      </c>
      <c r="AQ107" s="50">
        <v>3049.6252953932385</v>
      </c>
      <c r="AR107" s="50">
        <v>6280.4373336709841</v>
      </c>
      <c r="AS107" s="50">
        <v>2097.2459776948554</v>
      </c>
      <c r="AT107" s="50">
        <v>11574.663394415285</v>
      </c>
      <c r="AU107" s="50">
        <v>12697.739034528955</v>
      </c>
      <c r="AV107" s="50">
        <v>633.47612287506115</v>
      </c>
      <c r="AW107" s="50">
        <v>5349.4579149857127</v>
      </c>
      <c r="AX107" s="50">
        <v>2282.469646698677</v>
      </c>
      <c r="AY107" s="50">
        <v>2807.5494142592843</v>
      </c>
      <c r="AZ107" s="50">
        <v>1454.6902632019599</v>
      </c>
      <c r="BA107" s="50">
        <v>9682.4066582461528</v>
      </c>
      <c r="BB107" s="50">
        <v>1928.7147886653599</v>
      </c>
      <c r="BC107" s="50">
        <v>4042.2341882598726</v>
      </c>
      <c r="BD107" s="50">
        <v>4213.7686268244979</v>
      </c>
      <c r="BE107" s="50">
        <v>4255.9063130927425</v>
      </c>
      <c r="BF107" s="50">
        <v>4298.4653762236703</v>
      </c>
      <c r="BG107" s="50">
        <v>4341.4500299859064</v>
      </c>
      <c r="BH107" s="50">
        <v>4384.8645302857658</v>
      </c>
      <c r="BI107" s="50">
        <v>4428.713175588623</v>
      </c>
    </row>
    <row r="108" spans="1:61" x14ac:dyDescent="0.25">
      <c r="A108" s="48" t="s">
        <v>17</v>
      </c>
      <c r="B108" s="48" t="s">
        <v>136</v>
      </c>
      <c r="C108" s="49" t="s">
        <v>40</v>
      </c>
      <c r="D108" s="49" t="str">
        <f>VLOOKUP(A108,PARAMETER!D:E,2,0)</f>
        <v>ADISTI</v>
      </c>
      <c r="E108" s="49" t="str">
        <f t="shared" si="4"/>
        <v>ADISTIFBI</v>
      </c>
      <c r="F108" s="49" t="str">
        <f t="shared" si="6"/>
        <v>INDOMARETFBI</v>
      </c>
      <c r="G108" s="50">
        <f t="shared" si="5"/>
        <v>1571930000.0000002</v>
      </c>
      <c r="H108" s="50">
        <f>SUMIF(I$1:BI$1,"&lt;="&amp;PARAMETER!X$2,I108:BI108)</f>
        <v>342784416.56765729</v>
      </c>
      <c r="I108" s="50">
        <v>33046583.954788804</v>
      </c>
      <c r="J108" s="50">
        <v>27515000.626591459</v>
      </c>
      <c r="K108" s="50">
        <v>27737524.109688528</v>
      </c>
      <c r="L108" s="50">
        <v>33645537.648825824</v>
      </c>
      <c r="M108" s="50">
        <v>31193076.732235637</v>
      </c>
      <c r="N108" s="50">
        <v>29253266.134467322</v>
      </c>
      <c r="O108" s="50">
        <v>29289799.79861185</v>
      </c>
      <c r="P108" s="50">
        <v>29484628.465632457</v>
      </c>
      <c r="Q108" s="50">
        <v>37452026.243463479</v>
      </c>
      <c r="R108" s="50">
        <v>30563911.218302917</v>
      </c>
      <c r="S108" s="50">
        <v>33603061.635048985</v>
      </c>
      <c r="T108" s="50">
        <v>39788125.864002079</v>
      </c>
      <c r="U108" s="50">
        <v>42140968.457493976</v>
      </c>
      <c r="V108" s="50">
        <v>31601444.278479852</v>
      </c>
      <c r="W108" s="50">
        <v>26655518.366850019</v>
      </c>
      <c r="X108" s="50">
        <v>26607852.083566044</v>
      </c>
      <c r="Y108" s="50">
        <v>27867215.722432666</v>
      </c>
      <c r="Z108" s="50">
        <v>29181759.135893345</v>
      </c>
      <c r="AA108" s="50">
        <v>28849432.344807059</v>
      </c>
      <c r="AB108" s="50">
        <v>27321218.388787773</v>
      </c>
      <c r="AC108" s="50">
        <v>29186325.781940404</v>
      </c>
      <c r="AD108" s="50">
        <v>14281960.059025334</v>
      </c>
      <c r="AE108" s="50">
        <v>32635449.854078062</v>
      </c>
      <c r="AF108" s="50">
        <v>29054331.305527963</v>
      </c>
      <c r="AG108" s="50">
        <v>31362640.637722421</v>
      </c>
      <c r="AH108" s="50">
        <v>35592990.954043761</v>
      </c>
      <c r="AI108" s="50">
        <v>36156793.522791579</v>
      </c>
      <c r="AJ108" s="50">
        <v>33427293.920301255</v>
      </c>
      <c r="AK108" s="50">
        <v>31921865.959425598</v>
      </c>
      <c r="AL108" s="50">
        <v>32990022.886033665</v>
      </c>
      <c r="AM108" s="50">
        <v>29595638.64181675</v>
      </c>
      <c r="AN108" s="50">
        <v>27205886.148974992</v>
      </c>
      <c r="AO108" s="50">
        <v>31234693.611634225</v>
      </c>
      <c r="AP108" s="50">
        <v>30364243.665288679</v>
      </c>
      <c r="AQ108" s="50">
        <v>34590238.058078855</v>
      </c>
      <c r="AR108" s="50">
        <v>32153921.078967307</v>
      </c>
      <c r="AS108" s="50">
        <v>29366389.959698603</v>
      </c>
      <c r="AT108" s="50">
        <v>28854899.073563281</v>
      </c>
      <c r="AU108" s="50">
        <v>30856072.675538585</v>
      </c>
      <c r="AV108" s="50">
        <v>33273389.850618966</v>
      </c>
      <c r="AW108" s="50">
        <v>28489093.498836406</v>
      </c>
      <c r="AX108" s="50">
        <v>27559570.321566124</v>
      </c>
      <c r="AY108" s="50">
        <v>28346392.774351984</v>
      </c>
      <c r="AZ108" s="50">
        <v>30970156.85621547</v>
      </c>
      <c r="BA108" s="50">
        <v>29193342.334348444</v>
      </c>
      <c r="BB108" s="50">
        <v>27934143.45924506</v>
      </c>
      <c r="BC108" s="50">
        <v>28980018.175429862</v>
      </c>
      <c r="BD108" s="50">
        <v>21709030.686734986</v>
      </c>
      <c r="BE108" s="50">
        <v>21926120.993602339</v>
      </c>
      <c r="BF108" s="50">
        <v>22145382.203538366</v>
      </c>
      <c r="BG108" s="50">
        <v>22366836.025573745</v>
      </c>
      <c r="BH108" s="50">
        <v>22590504.385829486</v>
      </c>
      <c r="BI108" s="50">
        <v>22816409.429687779</v>
      </c>
    </row>
    <row r="109" spans="1:61" x14ac:dyDescent="0.25">
      <c r="A109" s="48" t="s">
        <v>18</v>
      </c>
      <c r="B109" s="48" t="s">
        <v>136</v>
      </c>
      <c r="C109" s="49" t="s">
        <v>40</v>
      </c>
      <c r="D109" s="49" t="str">
        <f>VLOOKUP(A109,PARAMETER!D:E,2,0)</f>
        <v>ADISTI</v>
      </c>
      <c r="E109" s="49" t="str">
        <f t="shared" si="4"/>
        <v>ADISTIFBI</v>
      </c>
      <c r="F109" s="49" t="str">
        <f t="shared" si="6"/>
        <v>KAWAN LAMAFBI</v>
      </c>
      <c r="G109" s="50">
        <f t="shared" si="5"/>
        <v>101842000.00000003</v>
      </c>
      <c r="H109" s="50">
        <f>SUMIF(I$1:BI$1,"&lt;="&amp;PARAMETER!X$2,I109:BI109)</f>
        <v>24252047.011628412</v>
      </c>
      <c r="I109" s="50">
        <v>1960828.2422895201</v>
      </c>
      <c r="J109" s="50">
        <v>2007142.31409817</v>
      </c>
      <c r="K109" s="50">
        <v>1841972.1933315</v>
      </c>
      <c r="L109" s="50">
        <v>2508012.8933599913</v>
      </c>
      <c r="M109" s="50">
        <v>2051665.19030723</v>
      </c>
      <c r="N109" s="50">
        <v>2231232.3720729756</v>
      </c>
      <c r="O109" s="50">
        <v>2189068.1983727315</v>
      </c>
      <c r="P109" s="50">
        <v>2039410.359821815</v>
      </c>
      <c r="Q109" s="50">
        <v>2201843.6520942138</v>
      </c>
      <c r="R109" s="50">
        <v>2348665.2724450696</v>
      </c>
      <c r="S109" s="50">
        <v>2872206.3234351957</v>
      </c>
      <c r="T109" s="50">
        <v>2991723.0107866749</v>
      </c>
      <c r="U109" s="50">
        <v>2526439.0470382781</v>
      </c>
      <c r="V109" s="50">
        <v>2723605.853806864</v>
      </c>
      <c r="W109" s="50">
        <v>1964200.0711065028</v>
      </c>
      <c r="X109" s="50">
        <v>2480206.7504401659</v>
      </c>
      <c r="Y109" s="50">
        <v>1524857.2333215806</v>
      </c>
      <c r="Z109" s="50">
        <v>1610968.1419838984</v>
      </c>
      <c r="AA109" s="50">
        <v>1245144.779857775</v>
      </c>
      <c r="AB109" s="50">
        <v>2037943.9307812015</v>
      </c>
      <c r="AC109" s="50">
        <v>1165948.7486396588</v>
      </c>
      <c r="AD109" s="50">
        <v>744690.87432576681</v>
      </c>
      <c r="AE109" s="50">
        <v>1854894.935580167</v>
      </c>
      <c r="AF109" s="50">
        <v>1669036.9945269288</v>
      </c>
      <c r="AG109" s="50">
        <v>1409145.3996545889</v>
      </c>
      <c r="AH109" s="50">
        <v>1801682.6944402119</v>
      </c>
      <c r="AI109" s="50">
        <v>1963851.281231805</v>
      </c>
      <c r="AJ109" s="50">
        <v>2179480.7507599527</v>
      </c>
      <c r="AK109" s="50">
        <v>2285360.9769297051</v>
      </c>
      <c r="AL109" s="50">
        <v>1724569.7083623838</v>
      </c>
      <c r="AM109" s="50">
        <v>1715519.0120138603</v>
      </c>
      <c r="AN109" s="50">
        <v>1799529.252674032</v>
      </c>
      <c r="AO109" s="50">
        <v>2608543.1990714902</v>
      </c>
      <c r="AP109" s="50">
        <v>2079193.6427731833</v>
      </c>
      <c r="AQ109" s="50">
        <v>2119214.9863529778</v>
      </c>
      <c r="AR109" s="50">
        <v>2921375.0645997929</v>
      </c>
      <c r="AS109" s="50">
        <v>2441162.3029741417</v>
      </c>
      <c r="AT109" s="50">
        <v>2100585.7054166766</v>
      </c>
      <c r="AU109" s="50">
        <v>2791733.4002768886</v>
      </c>
      <c r="AV109" s="50">
        <v>2062728.2172391084</v>
      </c>
      <c r="AW109" s="50">
        <v>1907188.9082059676</v>
      </c>
      <c r="AX109" s="50">
        <v>2161550.8316602013</v>
      </c>
      <c r="AY109" s="50">
        <v>1122400.3338619196</v>
      </c>
      <c r="AZ109" s="50">
        <v>1492786.1821334909</v>
      </c>
      <c r="BA109" s="50">
        <v>1449894.1917684753</v>
      </c>
      <c r="BB109" s="50">
        <v>1940943.6413130858</v>
      </c>
      <c r="BC109" s="50">
        <v>1192786.5991059188</v>
      </c>
      <c r="BD109" s="50">
        <v>1264474.5270226654</v>
      </c>
      <c r="BE109" s="50">
        <v>1277119.272292892</v>
      </c>
      <c r="BF109" s="50">
        <v>1289890.4650158212</v>
      </c>
      <c r="BG109" s="50">
        <v>1302789.3696659792</v>
      </c>
      <c r="BH109" s="50">
        <v>1315817.2633626391</v>
      </c>
      <c r="BI109" s="50">
        <v>1328975.4359962654</v>
      </c>
    </row>
    <row r="110" spans="1:61" x14ac:dyDescent="0.25">
      <c r="A110" s="48" t="s">
        <v>19</v>
      </c>
      <c r="B110" s="48" t="s">
        <v>136</v>
      </c>
      <c r="C110" s="49" t="s">
        <v>40</v>
      </c>
      <c r="D110" s="49" t="str">
        <f>VLOOKUP(A110,PARAMETER!D:E,2,0)</f>
        <v>RIFALDI</v>
      </c>
      <c r="E110" s="49" t="str">
        <f t="shared" si="4"/>
        <v>RIFALDIFBI</v>
      </c>
      <c r="F110" s="49" t="str">
        <f t="shared" si="6"/>
        <v>KCICFBI</v>
      </c>
      <c r="G110" s="50">
        <f t="shared" si="5"/>
        <v>375055000.00000012</v>
      </c>
      <c r="H110" s="50">
        <f>SUMIF(I$1:BI$1,"&lt;="&amp;PARAMETER!X$2,I110:BI110)</f>
        <v>61890701.480614953</v>
      </c>
      <c r="I110" s="50">
        <v>4664938.331551658</v>
      </c>
      <c r="J110" s="50">
        <v>4749004.0030068951</v>
      </c>
      <c r="K110" s="50">
        <v>6555709.5050805481</v>
      </c>
      <c r="L110" s="50">
        <v>6138560.1017669635</v>
      </c>
      <c r="M110" s="50">
        <v>6297861.0170035642</v>
      </c>
      <c r="N110" s="50">
        <v>7701192.5829348695</v>
      </c>
      <c r="O110" s="50">
        <v>7442990.8777509332</v>
      </c>
      <c r="P110" s="50">
        <v>6037893.2262848541</v>
      </c>
      <c r="Q110" s="50">
        <v>3949320.4728612932</v>
      </c>
      <c r="R110" s="50">
        <v>4189154.888483583</v>
      </c>
      <c r="S110" s="50">
        <v>4164076.4738897937</v>
      </c>
      <c r="T110" s="50">
        <v>3240413.739203068</v>
      </c>
      <c r="U110" s="50">
        <v>3378874.8451293381</v>
      </c>
      <c r="V110" s="50">
        <v>4314193.7443455718</v>
      </c>
      <c r="W110" s="50">
        <v>4437466.5146727869</v>
      </c>
      <c r="X110" s="50">
        <v>6086284.0829671314</v>
      </c>
      <c r="Y110" s="50">
        <v>6156927.3913286114</v>
      </c>
      <c r="Z110" s="50">
        <v>6104298.0423923507</v>
      </c>
      <c r="AA110" s="50">
        <v>6541227.6036954029</v>
      </c>
      <c r="AB110" s="50">
        <v>5957359.7258991664</v>
      </c>
      <c r="AC110" s="50">
        <v>4781853.1939536883</v>
      </c>
      <c r="AD110" s="50">
        <v>2097049.9639904746</v>
      </c>
      <c r="AE110" s="50">
        <v>5069725.1361218262</v>
      </c>
      <c r="AF110" s="50">
        <v>6991579.4150627349</v>
      </c>
      <c r="AG110" s="50">
        <v>6750332.131012626</v>
      </c>
      <c r="AH110" s="50">
        <v>6961372.288075963</v>
      </c>
      <c r="AI110" s="50">
        <v>8063946.5517774206</v>
      </c>
      <c r="AJ110" s="50">
        <v>8507940.4552195668</v>
      </c>
      <c r="AK110" s="50">
        <v>7610557.0732902754</v>
      </c>
      <c r="AL110" s="50">
        <v>7590141.1245082896</v>
      </c>
      <c r="AM110" s="50">
        <v>6653903.8608139744</v>
      </c>
      <c r="AN110" s="50">
        <v>7006414.5335548343</v>
      </c>
      <c r="AO110" s="50">
        <v>8971220.0127014443</v>
      </c>
      <c r="AP110" s="50">
        <v>8277713.5449064467</v>
      </c>
      <c r="AQ110" s="50">
        <v>8426347.3035130147</v>
      </c>
      <c r="AR110" s="50">
        <v>7624897.6878326396</v>
      </c>
      <c r="AS110" s="50">
        <v>9637528.7632609233</v>
      </c>
      <c r="AT110" s="50">
        <v>9665644.8449745234</v>
      </c>
      <c r="AU110" s="50">
        <v>7711223.9487723848</v>
      </c>
      <c r="AV110" s="50">
        <v>19626296.61767767</v>
      </c>
      <c r="AW110" s="50">
        <v>19989545.090469956</v>
      </c>
      <c r="AX110" s="50">
        <v>10517406.705369536</v>
      </c>
      <c r="AY110" s="50">
        <v>7490957.7608753908</v>
      </c>
      <c r="AZ110" s="50">
        <v>7041171.0968791852</v>
      </c>
      <c r="BA110" s="50">
        <v>7185721.6657293551</v>
      </c>
      <c r="BB110" s="50">
        <v>8255955.3711180333</v>
      </c>
      <c r="BC110" s="50">
        <v>7339003.7614634475</v>
      </c>
      <c r="BD110" s="50">
        <v>6681030.9346281011</v>
      </c>
      <c r="BE110" s="50">
        <v>6747841.2439743821</v>
      </c>
      <c r="BF110" s="50">
        <v>6815319.6564141251</v>
      </c>
      <c r="BG110" s="50">
        <v>6883472.8529782668</v>
      </c>
      <c r="BH110" s="50">
        <v>6952307.5815080497</v>
      </c>
      <c r="BI110" s="50">
        <v>7021830.6573231304</v>
      </c>
    </row>
    <row r="111" spans="1:61" x14ac:dyDescent="0.25">
      <c r="A111" s="48" t="s">
        <v>20</v>
      </c>
      <c r="B111" s="48" t="s">
        <v>136</v>
      </c>
      <c r="C111" s="49" t="s">
        <v>40</v>
      </c>
      <c r="D111" s="49" t="e">
        <f>VLOOKUP(A111,PARAMETER!D:E,2,0)</f>
        <v>#N/A</v>
      </c>
      <c r="E111" s="49" t="e">
        <f t="shared" si="4"/>
        <v>#N/A</v>
      </c>
      <c r="F111" s="49" t="str">
        <f t="shared" si="6"/>
        <v>KIMIA FARMAFBI</v>
      </c>
      <c r="G111" s="50">
        <f t="shared" si="5"/>
        <v>0</v>
      </c>
      <c r="H111" s="50">
        <f>SUMIF(I$1:BI$1,"&lt;="&amp;PARAMETER!X$2,I111:BI111)</f>
        <v>0</v>
      </c>
      <c r="I111" s="50">
        <v>0</v>
      </c>
      <c r="J111" s="50">
        <v>0</v>
      </c>
      <c r="K111" s="50">
        <v>0</v>
      </c>
      <c r="L111" s="50">
        <v>0</v>
      </c>
      <c r="M111" s="50">
        <v>0</v>
      </c>
      <c r="N111" s="50">
        <v>0</v>
      </c>
      <c r="O111" s="50">
        <v>0</v>
      </c>
      <c r="P111" s="50">
        <v>0</v>
      </c>
      <c r="Q111" s="50">
        <v>0</v>
      </c>
      <c r="R111" s="50">
        <v>0</v>
      </c>
      <c r="S111" s="50">
        <v>0</v>
      </c>
      <c r="T111" s="50">
        <v>0</v>
      </c>
      <c r="U111" s="50">
        <v>0</v>
      </c>
      <c r="V111" s="50">
        <v>0</v>
      </c>
      <c r="W111" s="50">
        <v>0</v>
      </c>
      <c r="X111" s="50">
        <v>0</v>
      </c>
      <c r="Y111" s="50">
        <v>0</v>
      </c>
      <c r="Z111" s="50">
        <v>0</v>
      </c>
      <c r="AA111" s="50">
        <v>0</v>
      </c>
      <c r="AB111" s="50">
        <v>0</v>
      </c>
      <c r="AC111" s="50">
        <v>0</v>
      </c>
      <c r="AD111" s="50">
        <v>0</v>
      </c>
      <c r="AE111" s="50">
        <v>0</v>
      </c>
      <c r="AF111" s="50">
        <v>0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0</v>
      </c>
      <c r="AM111" s="50">
        <v>0</v>
      </c>
      <c r="AN111" s="50">
        <v>0</v>
      </c>
      <c r="AO111" s="50">
        <v>0</v>
      </c>
      <c r="AP111" s="50">
        <v>0</v>
      </c>
      <c r="AQ111" s="50">
        <v>0</v>
      </c>
      <c r="AR111" s="50">
        <v>0</v>
      </c>
      <c r="AS111" s="50">
        <v>0</v>
      </c>
      <c r="AT111" s="50">
        <v>0</v>
      </c>
      <c r="AU111" s="50">
        <v>0</v>
      </c>
      <c r="AV111" s="50">
        <v>0</v>
      </c>
      <c r="AW111" s="50">
        <v>0</v>
      </c>
      <c r="AX111" s="50">
        <v>0</v>
      </c>
      <c r="AY111" s="50">
        <v>0</v>
      </c>
      <c r="AZ111" s="50">
        <v>0</v>
      </c>
      <c r="BA111" s="50">
        <v>0</v>
      </c>
      <c r="BB111" s="50">
        <v>0</v>
      </c>
      <c r="BC111" s="50">
        <v>0</v>
      </c>
      <c r="BD111" s="50">
        <v>0</v>
      </c>
      <c r="BE111" s="50">
        <v>0</v>
      </c>
      <c r="BF111" s="50">
        <v>0</v>
      </c>
      <c r="BG111" s="50">
        <v>0</v>
      </c>
      <c r="BH111" s="50">
        <v>0</v>
      </c>
      <c r="BI111" s="50">
        <v>0</v>
      </c>
    </row>
    <row r="112" spans="1:61" x14ac:dyDescent="0.25">
      <c r="A112" s="48" t="s">
        <v>47</v>
      </c>
      <c r="B112" s="48" t="s">
        <v>136</v>
      </c>
      <c r="C112" s="49" t="s">
        <v>40</v>
      </c>
      <c r="D112" s="49" t="str">
        <f>VLOOKUP(A112,PARAMETER!D:E,2,0)</f>
        <v>ADISTI</v>
      </c>
      <c r="E112" s="49" t="str">
        <f t="shared" si="4"/>
        <v>ADISTIFBI</v>
      </c>
      <c r="F112" s="49" t="str">
        <f t="shared" si="6"/>
        <v>LOTTE GROUPFBI</v>
      </c>
      <c r="G112" s="50">
        <f t="shared" si="5"/>
        <v>4506000</v>
      </c>
      <c r="H112" s="50">
        <f>SUMIF(I$1:BI$1,"&lt;="&amp;PARAMETER!X$2,I112:BI112)</f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1435.309084313662</v>
      </c>
      <c r="AJ112" s="50">
        <v>38438.999165792869</v>
      </c>
      <c r="AK112" s="50">
        <v>112274.6287980754</v>
      </c>
      <c r="AL112" s="50">
        <v>178647.02732778515</v>
      </c>
      <c r="AM112" s="50">
        <v>170806.94553194402</v>
      </c>
      <c r="AN112" s="50">
        <v>182144.17110447428</v>
      </c>
      <c r="AO112" s="50">
        <v>167689.51031462508</v>
      </c>
      <c r="AP112" s="50">
        <v>175020.87720547392</v>
      </c>
      <c r="AQ112" s="50">
        <v>158040.42728016857</v>
      </c>
      <c r="AR112" s="50">
        <v>170478.06247781141</v>
      </c>
      <c r="AS112" s="50">
        <v>226323.99097150288</v>
      </c>
      <c r="AT112" s="50">
        <v>183841.00957344062</v>
      </c>
      <c r="AU112" s="50">
        <v>220441.69337019033</v>
      </c>
      <c r="AV112" s="50">
        <v>193101.77507694328</v>
      </c>
      <c r="AW112" s="50">
        <v>157943.63862156036</v>
      </c>
      <c r="AX112" s="50">
        <v>225980.33220428575</v>
      </c>
      <c r="AY112" s="50">
        <v>236724.81217555556</v>
      </c>
      <c r="AZ112" s="50">
        <v>288675.37189593271</v>
      </c>
      <c r="BA112" s="50">
        <v>159048.42863762431</v>
      </c>
      <c r="BB112" s="50">
        <v>172918.83783464265</v>
      </c>
      <c r="BC112" s="50">
        <v>177922.64154556277</v>
      </c>
      <c r="BD112" s="50">
        <v>147610.41722604842</v>
      </c>
      <c r="BE112" s="50">
        <v>149086.52139830895</v>
      </c>
      <c r="BF112" s="50">
        <v>150577.386612292</v>
      </c>
      <c r="BG112" s="50">
        <v>152083.16047841494</v>
      </c>
      <c r="BH112" s="50">
        <v>153603.99208319909</v>
      </c>
      <c r="BI112" s="50">
        <v>155140.03200403109</v>
      </c>
    </row>
    <row r="113" spans="1:61" x14ac:dyDescent="0.25">
      <c r="A113" s="48" t="s">
        <v>48</v>
      </c>
      <c r="B113" s="48" t="s">
        <v>136</v>
      </c>
      <c r="C113" s="49" t="s">
        <v>40</v>
      </c>
      <c r="D113" s="49" t="str">
        <f>VLOOKUP(A113,PARAMETER!D:E,2,0)</f>
        <v>NINA</v>
      </c>
      <c r="E113" s="49" t="str">
        <f t="shared" si="4"/>
        <v>NINAFBI</v>
      </c>
      <c r="F113" s="49" t="str">
        <f t="shared" si="6"/>
        <v>MAMA ROZFBI</v>
      </c>
      <c r="G113" s="50">
        <f t="shared" si="5"/>
        <v>1115000.0000000005</v>
      </c>
      <c r="H113" s="50">
        <f>SUMIF(I$1:BI$1,"&lt;="&amp;PARAMETER!X$2,I113:BI113)</f>
        <v>0</v>
      </c>
      <c r="I113" s="50">
        <v>0</v>
      </c>
      <c r="J113" s="50">
        <v>0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  <c r="Q113" s="50">
        <v>0</v>
      </c>
      <c r="R113" s="50">
        <v>0</v>
      </c>
      <c r="S113" s="50">
        <v>0</v>
      </c>
      <c r="T113" s="50">
        <v>0</v>
      </c>
      <c r="U113" s="50">
        <v>0</v>
      </c>
      <c r="V113" s="50">
        <v>0</v>
      </c>
      <c r="W113" s="50">
        <v>0</v>
      </c>
      <c r="X113" s="50">
        <v>0</v>
      </c>
      <c r="Y113" s="50">
        <v>0</v>
      </c>
      <c r="Z113" s="50">
        <v>0</v>
      </c>
      <c r="AA113" s="50">
        <v>0</v>
      </c>
      <c r="AB113" s="50">
        <v>0</v>
      </c>
      <c r="AC113" s="50">
        <v>0</v>
      </c>
      <c r="AD113" s="50">
        <v>0</v>
      </c>
      <c r="AE113" s="50">
        <v>0</v>
      </c>
      <c r="AF113" s="50">
        <v>0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0</v>
      </c>
      <c r="AM113" s="50">
        <v>0</v>
      </c>
      <c r="AN113" s="50">
        <v>0</v>
      </c>
      <c r="AO113" s="50">
        <v>133603.17304245222</v>
      </c>
      <c r="AP113" s="50">
        <v>125307.22885280813</v>
      </c>
      <c r="AQ113" s="50">
        <v>85832.257490082324</v>
      </c>
      <c r="AR113" s="50">
        <v>56682.304022362565</v>
      </c>
      <c r="AS113" s="50">
        <v>69540.162664613323</v>
      </c>
      <c r="AT113" s="50">
        <v>87791.230093452046</v>
      </c>
      <c r="AU113" s="50">
        <v>52146.442969774886</v>
      </c>
      <c r="AV113" s="50">
        <v>46026.667339137952</v>
      </c>
      <c r="AW113" s="50">
        <v>90592.500799314541</v>
      </c>
      <c r="AX113" s="50">
        <v>53940.978976092942</v>
      </c>
      <c r="AY113" s="50">
        <v>62378.071579615767</v>
      </c>
      <c r="AZ113" s="50">
        <v>40140.507668596249</v>
      </c>
      <c r="BA113" s="50">
        <v>41946.54501931843</v>
      </c>
      <c r="BB113" s="50">
        <v>26891.130211657979</v>
      </c>
      <c r="BC113" s="50">
        <v>29987.675503396415</v>
      </c>
      <c r="BD113" s="50">
        <v>18236.809024570346</v>
      </c>
      <c r="BE113" s="50">
        <v>18419.177114816051</v>
      </c>
      <c r="BF113" s="50">
        <v>18603.368885964213</v>
      </c>
      <c r="BG113" s="50">
        <v>18789.402574823853</v>
      </c>
      <c r="BH113" s="50">
        <v>18977.296600572092</v>
      </c>
      <c r="BI113" s="50">
        <v>19167.069566577815</v>
      </c>
    </row>
    <row r="114" spans="1:61" x14ac:dyDescent="0.25">
      <c r="A114" s="48" t="s">
        <v>21</v>
      </c>
      <c r="B114" s="48" t="s">
        <v>136</v>
      </c>
      <c r="C114" s="49" t="s">
        <v>40</v>
      </c>
      <c r="D114" s="49" t="str">
        <f>VLOOKUP(A114,PARAMETER!D:E,2,0)</f>
        <v>ADISTI</v>
      </c>
      <c r="E114" s="49" t="str">
        <f t="shared" si="4"/>
        <v>ADISTIFBI</v>
      </c>
      <c r="F114" s="49" t="str">
        <f t="shared" si="6"/>
        <v>MAP GROUPFBI</v>
      </c>
      <c r="G114" s="50">
        <f t="shared" si="5"/>
        <v>1713909000</v>
      </c>
      <c r="H114" s="50">
        <f>SUMIF(I$1:BI$1,"&lt;="&amp;PARAMETER!X$2,I114:BI114)</f>
        <v>5633.9332306862798</v>
      </c>
      <c r="I114" s="50">
        <v>1015.3053136862837</v>
      </c>
      <c r="J114" s="50">
        <v>405.31311725643678</v>
      </c>
      <c r="K114" s="50">
        <v>0</v>
      </c>
      <c r="L114" s="50">
        <v>1975.5980685433508</v>
      </c>
      <c r="M114" s="50">
        <v>0</v>
      </c>
      <c r="N114" s="50">
        <v>989.41705070782859</v>
      </c>
      <c r="O114" s="50">
        <v>0</v>
      </c>
      <c r="P114" s="50">
        <v>571.96881018024112</v>
      </c>
      <c r="Q114" s="50">
        <v>0</v>
      </c>
      <c r="R114" s="50">
        <v>676.33087031213802</v>
      </c>
      <c r="S114" s="50">
        <v>0</v>
      </c>
      <c r="T114" s="50">
        <v>0</v>
      </c>
      <c r="U114" s="50">
        <v>486.21393906410873</v>
      </c>
      <c r="V114" s="50">
        <v>1601.027263573829</v>
      </c>
      <c r="W114" s="50">
        <v>0</v>
      </c>
      <c r="X114" s="50">
        <v>678.75789496636821</v>
      </c>
      <c r="Y114" s="50">
        <v>1278.2329845612178</v>
      </c>
      <c r="Z114" s="50">
        <v>26648.73070344716</v>
      </c>
      <c r="AA114" s="50">
        <v>1073.5539053878076</v>
      </c>
      <c r="AB114" s="50">
        <v>1047.6656424093526</v>
      </c>
      <c r="AC114" s="50">
        <v>1220.7934010777708</v>
      </c>
      <c r="AD114" s="50">
        <v>0</v>
      </c>
      <c r="AE114" s="50">
        <v>0</v>
      </c>
      <c r="AF114" s="50">
        <v>3507.0506253625813</v>
      </c>
      <c r="AG114" s="50">
        <v>2689.1433168870176</v>
      </c>
      <c r="AH114" s="50">
        <v>1756.3568414445594</v>
      </c>
      <c r="AI114" s="50">
        <v>0</v>
      </c>
      <c r="AJ114" s="50">
        <v>1767.6829564976333</v>
      </c>
      <c r="AK114" s="50">
        <v>0</v>
      </c>
      <c r="AL114" s="50">
        <v>937.64052475091864</v>
      </c>
      <c r="AM114" s="50">
        <v>1169.0168751208605</v>
      </c>
      <c r="AN114" s="50">
        <v>498544.05758606264</v>
      </c>
      <c r="AO114" s="50">
        <v>742759.37646696426</v>
      </c>
      <c r="AP114" s="50">
        <v>4062542.5674173087</v>
      </c>
      <c r="AQ114" s="50">
        <v>2409915.1497681923</v>
      </c>
      <c r="AR114" s="50">
        <v>8686651.3694732953</v>
      </c>
      <c r="AS114" s="50">
        <v>69694113.180093676</v>
      </c>
      <c r="AT114" s="50">
        <v>126147838.39953388</v>
      </c>
      <c r="AU114" s="50">
        <v>170013551.98136741</v>
      </c>
      <c r="AV114" s="50">
        <v>127395662.18094197</v>
      </c>
      <c r="AW114" s="50">
        <v>112448742.88440199</v>
      </c>
      <c r="AX114" s="50">
        <v>97315379.562014118</v>
      </c>
      <c r="AY114" s="50">
        <v>90183668.377532348</v>
      </c>
      <c r="AZ114" s="50">
        <v>88721651.52367568</v>
      </c>
      <c r="BA114" s="50">
        <v>88624289.957276285</v>
      </c>
      <c r="BB114" s="50">
        <v>92472989.526281148</v>
      </c>
      <c r="BC114" s="50">
        <v>86812892.686669394</v>
      </c>
      <c r="BD114" s="50">
        <v>89015762.489127129</v>
      </c>
      <c r="BE114" s="50">
        <v>89905920.114018381</v>
      </c>
      <c r="BF114" s="50">
        <v>90804979.315158576</v>
      </c>
      <c r="BG114" s="50">
        <v>91713029.108310163</v>
      </c>
      <c r="BH114" s="50">
        <v>92630159.399393275</v>
      </c>
      <c r="BI114" s="50">
        <v>93556460.993387207</v>
      </c>
    </row>
    <row r="115" spans="1:61" x14ac:dyDescent="0.25">
      <c r="A115" s="48" t="s">
        <v>23</v>
      </c>
      <c r="B115" s="48" t="s">
        <v>136</v>
      </c>
      <c r="C115" s="49" t="s">
        <v>40</v>
      </c>
      <c r="D115" s="49" t="str">
        <f>VLOOKUP(A115,PARAMETER!D:E,2,0)</f>
        <v>ADISTI</v>
      </c>
      <c r="E115" s="49" t="str">
        <f t="shared" si="4"/>
        <v>ADISTIFBI</v>
      </c>
      <c r="F115" s="49" t="str">
        <f t="shared" si="6"/>
        <v>MITRA10FBI</v>
      </c>
      <c r="G115" s="50">
        <f t="shared" si="5"/>
        <v>36609000</v>
      </c>
      <c r="H115" s="50">
        <f>SUMIF(I$1:BI$1,"&lt;="&amp;PARAMETER!X$2,I115:BI115)</f>
        <v>7798628.4156976044</v>
      </c>
      <c r="I115" s="50">
        <v>794640.30264857551</v>
      </c>
      <c r="J115" s="50">
        <v>532775.35076374258</v>
      </c>
      <c r="K115" s="50">
        <v>493431.46493678214</v>
      </c>
      <c r="L115" s="50">
        <v>760502.00588165247</v>
      </c>
      <c r="M115" s="50">
        <v>706057.44284346746</v>
      </c>
      <c r="N115" s="50">
        <v>623710.41320948501</v>
      </c>
      <c r="O115" s="50">
        <v>777320.15650688997</v>
      </c>
      <c r="P115" s="50">
        <v>966913.77562266437</v>
      </c>
      <c r="Q115" s="50">
        <v>496984.37944100879</v>
      </c>
      <c r="R115" s="50">
        <v>815642.64273964404</v>
      </c>
      <c r="S115" s="50">
        <v>830650.48110369174</v>
      </c>
      <c r="T115" s="50">
        <v>507162.13041971385</v>
      </c>
      <c r="U115" s="50">
        <v>136099.21839063315</v>
      </c>
      <c r="V115" s="50">
        <v>351654.05680138333</v>
      </c>
      <c r="W115" s="50">
        <v>713441.744594655</v>
      </c>
      <c r="X115" s="50">
        <v>609386.13096944755</v>
      </c>
      <c r="Y115" s="50">
        <v>701690.55984122667</v>
      </c>
      <c r="Z115" s="50">
        <v>561810.92724200862</v>
      </c>
      <c r="AA115" s="50">
        <v>788364.0023902707</v>
      </c>
      <c r="AB115" s="50">
        <v>773130.33159601886</v>
      </c>
      <c r="AC115" s="50">
        <v>872477.6184877872</v>
      </c>
      <c r="AD115" s="50">
        <v>240808.33632619653</v>
      </c>
      <c r="AE115" s="50">
        <v>695638.01011037279</v>
      </c>
      <c r="AF115" s="50">
        <v>623895.24412712245</v>
      </c>
      <c r="AG115" s="50">
        <v>984874.98721674155</v>
      </c>
      <c r="AH115" s="50">
        <v>555217.58210160141</v>
      </c>
      <c r="AI115" s="50">
        <v>480667.43303397769</v>
      </c>
      <c r="AJ115" s="50">
        <v>844115.0572233788</v>
      </c>
      <c r="AK115" s="50">
        <v>590034.31053344405</v>
      </c>
      <c r="AL115" s="50">
        <v>827336.38975245855</v>
      </c>
      <c r="AM115" s="50">
        <v>763361.03066601523</v>
      </c>
      <c r="AN115" s="50">
        <v>481948.52152742469</v>
      </c>
      <c r="AO115" s="50">
        <v>1041201.9407341555</v>
      </c>
      <c r="AP115" s="50">
        <v>589902.34476215451</v>
      </c>
      <c r="AQ115" s="50">
        <v>1139319.8888694958</v>
      </c>
      <c r="AR115" s="50">
        <v>877615.45081095607</v>
      </c>
      <c r="AS115" s="50">
        <v>734737.15994692734</v>
      </c>
      <c r="AT115" s="50">
        <v>586327.15419046092</v>
      </c>
      <c r="AU115" s="50">
        <v>1134792.7051951003</v>
      </c>
      <c r="AV115" s="50">
        <v>661102.80573736154</v>
      </c>
      <c r="AW115" s="50">
        <v>931057.36013947229</v>
      </c>
      <c r="AX115" s="50">
        <v>743846.59990136663</v>
      </c>
      <c r="AY115" s="50">
        <v>583928.71754113981</v>
      </c>
      <c r="AZ115" s="50">
        <v>733820.16500186862</v>
      </c>
      <c r="BA115" s="50">
        <v>555935.96702791157</v>
      </c>
      <c r="BB115" s="50">
        <v>855288.65849882877</v>
      </c>
      <c r="BC115" s="50">
        <v>556368.99404081155</v>
      </c>
      <c r="BD115" s="50">
        <v>647269.55471526145</v>
      </c>
      <c r="BE115" s="50">
        <v>653742.25026241411</v>
      </c>
      <c r="BF115" s="50">
        <v>660279.67276503821</v>
      </c>
      <c r="BG115" s="50">
        <v>666882.46949268854</v>
      </c>
      <c r="BH115" s="50">
        <v>673551.29418761539</v>
      </c>
      <c r="BI115" s="50">
        <v>680286.8071294917</v>
      </c>
    </row>
    <row r="116" spans="1:61" x14ac:dyDescent="0.25">
      <c r="A116" s="48" t="s">
        <v>25</v>
      </c>
      <c r="B116" s="48" t="s">
        <v>136</v>
      </c>
      <c r="C116" s="49" t="s">
        <v>40</v>
      </c>
      <c r="D116" s="49" t="str">
        <f>VLOOKUP(A116,PARAMETER!D:E,2,0)</f>
        <v>RIFALDI</v>
      </c>
      <c r="E116" s="49" t="str">
        <f t="shared" si="4"/>
        <v>RIFALDIFBI</v>
      </c>
      <c r="F116" s="49" t="str">
        <f t="shared" si="6"/>
        <v>OPTIK MELAWAIFBI</v>
      </c>
      <c r="G116" s="50">
        <f t="shared" si="5"/>
        <v>102508999.99999996</v>
      </c>
      <c r="H116" s="50">
        <f>SUMIF(I$1:BI$1,"&lt;="&amp;PARAMETER!X$2,I116:BI116)</f>
        <v>77504379.764065325</v>
      </c>
      <c r="I116" s="50">
        <v>13288720.140907785</v>
      </c>
      <c r="J116" s="50">
        <v>13035540.460296351</v>
      </c>
      <c r="K116" s="50">
        <v>11928792.914158341</v>
      </c>
      <c r="L116" s="50">
        <v>14958389.568243148</v>
      </c>
      <c r="M116" s="50">
        <v>9212760.8305213973</v>
      </c>
      <c r="N116" s="50">
        <v>2342274.5765346093</v>
      </c>
      <c r="O116" s="50">
        <v>3039833.2731856504</v>
      </c>
      <c r="P116" s="50">
        <v>3123036.9779354935</v>
      </c>
      <c r="Q116" s="50">
        <v>3299066.6704856246</v>
      </c>
      <c r="R116" s="50">
        <v>2789085.6688120528</v>
      </c>
      <c r="S116" s="50">
        <v>486878.68298487313</v>
      </c>
      <c r="T116" s="50">
        <v>340012.58978513849</v>
      </c>
      <c r="U116" s="50">
        <v>210844.17335075609</v>
      </c>
      <c r="V116" s="50">
        <v>230985.30388285502</v>
      </c>
      <c r="W116" s="50">
        <v>9725207.4980298057</v>
      </c>
      <c r="X116" s="50">
        <v>396824.50620351138</v>
      </c>
      <c r="Y116" s="50">
        <v>271974.71435758425</v>
      </c>
      <c r="Z116" s="50">
        <v>1424767.1578722198</v>
      </c>
      <c r="AA116" s="50">
        <v>475059.18569456303</v>
      </c>
      <c r="AB116" s="50">
        <v>510827.05543260078</v>
      </c>
      <c r="AC116" s="50">
        <v>213357.07929175149</v>
      </c>
      <c r="AD116" s="50">
        <v>275005.354688433</v>
      </c>
      <c r="AE116" s="50">
        <v>209354.10852142208</v>
      </c>
      <c r="AF116" s="50">
        <v>551816.46590733004</v>
      </c>
      <c r="AG116" s="50">
        <v>317832.09086373931</v>
      </c>
      <c r="AH116" s="50">
        <v>409319.54585123569</v>
      </c>
      <c r="AI116" s="50">
        <v>249326.99171851249</v>
      </c>
      <c r="AJ116" s="50">
        <v>381222.98445065884</v>
      </c>
      <c r="AK116" s="50">
        <v>220756.89276624052</v>
      </c>
      <c r="AL116" s="50">
        <v>275137.94520290766</v>
      </c>
      <c r="AM116" s="50">
        <v>108907.3230558541</v>
      </c>
      <c r="AN116" s="50">
        <v>542945.52910557482</v>
      </c>
      <c r="AO116" s="50">
        <v>356018.15903243347</v>
      </c>
      <c r="AP116" s="50">
        <v>318596.06478047406</v>
      </c>
      <c r="AQ116" s="50">
        <v>455107.47018314211</v>
      </c>
      <c r="AR116" s="50">
        <v>333944.99528941844</v>
      </c>
      <c r="AS116" s="50">
        <v>653488.1351732827</v>
      </c>
      <c r="AT116" s="50">
        <v>267927.54674909665</v>
      </c>
      <c r="AU116" s="50">
        <v>239199.60194625962</v>
      </c>
      <c r="AV116" s="50">
        <v>425202.62671849219</v>
      </c>
      <c r="AW116" s="50">
        <v>495812.75812685431</v>
      </c>
      <c r="AX116" s="50">
        <v>1081648.1617479615</v>
      </c>
      <c r="AY116" s="50">
        <v>284299.31836970249</v>
      </c>
      <c r="AZ116" s="50">
        <v>383319.1773461625</v>
      </c>
      <c r="BA116" s="50">
        <v>381835.42635085119</v>
      </c>
      <c r="BB116" s="50">
        <v>325762.26639612683</v>
      </c>
      <c r="BC116" s="50">
        <v>349136.07994779776</v>
      </c>
      <c r="BD116" s="50">
        <v>213237.11644532206</v>
      </c>
      <c r="BE116" s="50">
        <v>215369.48760977527</v>
      </c>
      <c r="BF116" s="50">
        <v>217523.18248587303</v>
      </c>
      <c r="BG116" s="50">
        <v>219698.41431073175</v>
      </c>
      <c r="BH116" s="50">
        <v>221895.39845383909</v>
      </c>
      <c r="BI116" s="50">
        <v>224114.35243837751</v>
      </c>
    </row>
    <row r="117" spans="1:61" x14ac:dyDescent="0.25">
      <c r="A117" s="48" t="s">
        <v>26</v>
      </c>
      <c r="B117" s="48" t="s">
        <v>136</v>
      </c>
      <c r="C117" s="49" t="s">
        <v>40</v>
      </c>
      <c r="D117" s="49" t="str">
        <f>VLOOKUP(A117,PARAMETER!D:E,2,0)</f>
        <v>RIFALDI</v>
      </c>
      <c r="E117" s="49" t="str">
        <f t="shared" si="4"/>
        <v>RIFALDIFBI</v>
      </c>
      <c r="F117" s="49" t="str">
        <f t="shared" si="6"/>
        <v>PATRA JASAFBI</v>
      </c>
      <c r="G117" s="50">
        <f t="shared" si="5"/>
        <v>753000.00000000023</v>
      </c>
      <c r="H117" s="50">
        <f>SUMIF(I$1:BI$1,"&lt;="&amp;PARAMETER!X$2,I117:BI117)</f>
        <v>131654.00110885041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81017.846836215627</v>
      </c>
      <c r="P117" s="50">
        <v>0</v>
      </c>
      <c r="Q117" s="50">
        <v>50636.154272634769</v>
      </c>
      <c r="R117" s="50">
        <v>0</v>
      </c>
      <c r="S117" s="50">
        <v>0</v>
      </c>
      <c r="T117" s="50">
        <v>0</v>
      </c>
      <c r="U117" s="50">
        <v>0</v>
      </c>
      <c r="V117" s="50">
        <v>0</v>
      </c>
      <c r="W117" s="50">
        <v>0</v>
      </c>
      <c r="X117" s="50">
        <v>0</v>
      </c>
      <c r="Y117" s="50">
        <v>0</v>
      </c>
      <c r="Z117" s="50">
        <v>25318.077136317384</v>
      </c>
      <c r="AA117" s="50">
        <v>0</v>
      </c>
      <c r="AB117" s="50">
        <v>0</v>
      </c>
      <c r="AC117" s="50">
        <v>0</v>
      </c>
      <c r="AD117" s="50">
        <v>0</v>
      </c>
      <c r="AE117" s="50">
        <v>0</v>
      </c>
      <c r="AF117" s="50">
        <v>20254.461709053907</v>
      </c>
      <c r="AG117" s="50">
        <v>0</v>
      </c>
      <c r="AH117" s="50">
        <v>106335.92397253303</v>
      </c>
      <c r="AI117" s="50">
        <v>0</v>
      </c>
      <c r="AJ117" s="50">
        <v>0</v>
      </c>
      <c r="AK117" s="50">
        <v>0</v>
      </c>
      <c r="AL117" s="50">
        <v>0</v>
      </c>
      <c r="AM117" s="50">
        <v>0</v>
      </c>
      <c r="AN117" s="50">
        <v>0</v>
      </c>
      <c r="AO117" s="50">
        <v>0</v>
      </c>
      <c r="AP117" s="50">
        <v>0</v>
      </c>
      <c r="AQ117" s="50">
        <v>0</v>
      </c>
      <c r="AR117" s="50">
        <v>0</v>
      </c>
      <c r="AS117" s="50">
        <v>0</v>
      </c>
      <c r="AT117" s="50">
        <v>0</v>
      </c>
      <c r="AU117" s="50">
        <v>0</v>
      </c>
      <c r="AV117" s="50">
        <v>81017.846836215627</v>
      </c>
      <c r="AW117" s="50">
        <v>0</v>
      </c>
      <c r="AX117" s="50">
        <v>0</v>
      </c>
      <c r="AY117" s="50">
        <v>3.3757436181756507E-2</v>
      </c>
      <c r="AZ117" s="50">
        <v>0</v>
      </c>
      <c r="BA117" s="50">
        <v>44391.028579009813</v>
      </c>
      <c r="BB117" s="50">
        <v>0</v>
      </c>
      <c r="BC117" s="50">
        <v>162035.69367243125</v>
      </c>
      <c r="BD117" s="50">
        <v>29582.654049158686</v>
      </c>
      <c r="BE117" s="50">
        <v>29878.480589650273</v>
      </c>
      <c r="BF117" s="50">
        <v>30177.265395546776</v>
      </c>
      <c r="BG117" s="50">
        <v>30479.038049502244</v>
      </c>
      <c r="BH117" s="50">
        <v>30783.828429997266</v>
      </c>
      <c r="BI117" s="50">
        <v>31091.66671429724</v>
      </c>
    </row>
    <row r="118" spans="1:61" x14ac:dyDescent="0.25">
      <c r="A118" s="48" t="s">
        <v>27</v>
      </c>
      <c r="B118" s="48" t="s">
        <v>136</v>
      </c>
      <c r="C118" s="49" t="s">
        <v>40</v>
      </c>
      <c r="D118" s="49" t="str">
        <f>VLOOKUP(A118,PARAMETER!D:E,2,0)</f>
        <v>RIFALDI</v>
      </c>
      <c r="E118" s="49" t="str">
        <f t="shared" si="4"/>
        <v>RIFALDIFBI</v>
      </c>
      <c r="F118" s="49" t="str">
        <f t="shared" si="6"/>
        <v>PERTAMINA RETAILFBI</v>
      </c>
      <c r="G118" s="50">
        <f t="shared" si="5"/>
        <v>9950000.0048184134</v>
      </c>
      <c r="H118" s="50">
        <f>SUMIF(I$1:BI$1,"&lt;="&amp;PARAMETER!X$2,I118:BI118)</f>
        <v>2602842.0631231908</v>
      </c>
      <c r="I118" s="50">
        <v>274081.64</v>
      </c>
      <c r="J118" s="50">
        <v>361545.67750178033</v>
      </c>
      <c r="K118" s="50">
        <v>195878.45995085678</v>
      </c>
      <c r="L118" s="50">
        <v>304116.54873534775</v>
      </c>
      <c r="M118" s="50">
        <v>187715.55406685456</v>
      </c>
      <c r="N118" s="50">
        <v>85147.44900847759</v>
      </c>
      <c r="O118" s="50">
        <v>74334.307616646591</v>
      </c>
      <c r="P118" s="50">
        <v>255702.26469502223</v>
      </c>
      <c r="Q118" s="50">
        <v>61901.951483964243</v>
      </c>
      <c r="R118" s="50">
        <v>267070.85870818718</v>
      </c>
      <c r="S118" s="50">
        <v>535347.35135605326</v>
      </c>
      <c r="T118" s="50">
        <v>288773.28725904017</v>
      </c>
      <c r="U118" s="50">
        <v>268715.73559021857</v>
      </c>
      <c r="V118" s="50">
        <v>221183.47704027794</v>
      </c>
      <c r="W118" s="50">
        <v>137317.34316542471</v>
      </c>
      <c r="X118" s="50">
        <v>159470.40776441267</v>
      </c>
      <c r="Y118" s="50">
        <v>247252.98258897252</v>
      </c>
      <c r="Z118" s="50">
        <v>141100.80555424085</v>
      </c>
      <c r="AA118" s="50">
        <v>206164.15585129685</v>
      </c>
      <c r="AB118" s="50">
        <v>84882.310420510126</v>
      </c>
      <c r="AC118" s="50">
        <v>248495.71602068489</v>
      </c>
      <c r="AD118" s="50">
        <v>175915.79183679467</v>
      </c>
      <c r="AE118" s="50">
        <v>154897.48057374358</v>
      </c>
      <c r="AF118" s="50">
        <v>155135.62966840109</v>
      </c>
      <c r="AG118" s="50">
        <v>278495.86518687714</v>
      </c>
      <c r="AH118" s="50">
        <v>175412.06170345971</v>
      </c>
      <c r="AI118" s="50">
        <v>49229.278248145427</v>
      </c>
      <c r="AJ118" s="50">
        <v>160795.32641550756</v>
      </c>
      <c r="AK118" s="50">
        <v>31989.186332997029</v>
      </c>
      <c r="AL118" s="50">
        <v>34299.575450474811</v>
      </c>
      <c r="AM118" s="50">
        <v>0</v>
      </c>
      <c r="AN118" s="50">
        <v>48124.257599920529</v>
      </c>
      <c r="AO118" s="50">
        <v>115113.41885732229</v>
      </c>
      <c r="AP118" s="50">
        <v>43205.311831495987</v>
      </c>
      <c r="AQ118" s="50">
        <v>65534.339077850913</v>
      </c>
      <c r="AR118" s="50">
        <v>95977.469894895083</v>
      </c>
      <c r="AS118" s="50">
        <v>38271.986414996449</v>
      </c>
      <c r="AT118" s="50">
        <v>57518.592299994642</v>
      </c>
      <c r="AU118" s="50">
        <v>24253.289629215746</v>
      </c>
      <c r="AV118" s="50">
        <v>22476.31908771391</v>
      </c>
      <c r="AW118" s="50">
        <v>148969.19412313166</v>
      </c>
      <c r="AX118" s="50">
        <v>5530.6338749994857</v>
      </c>
      <c r="AY118" s="50">
        <v>0</v>
      </c>
      <c r="AZ118" s="50">
        <v>0</v>
      </c>
      <c r="BA118" s="50">
        <v>0</v>
      </c>
      <c r="BB118" s="50">
        <v>86373.015352641974</v>
      </c>
      <c r="BC118" s="50">
        <v>734682.8335618882</v>
      </c>
      <c r="BD118" s="50">
        <v>429387.90585059766</v>
      </c>
      <c r="BE118" s="50">
        <v>433681.78490910359</v>
      </c>
      <c r="BF118" s="50">
        <v>438018.60275819467</v>
      </c>
      <c r="BG118" s="50">
        <v>442398.78878577653</v>
      </c>
      <c r="BH118" s="50">
        <v>446822.77667363442</v>
      </c>
      <c r="BI118" s="50">
        <v>451291.00444037071</v>
      </c>
    </row>
    <row r="119" spans="1:61" x14ac:dyDescent="0.25">
      <c r="A119" s="48" t="s">
        <v>28</v>
      </c>
      <c r="B119" s="48" t="s">
        <v>136</v>
      </c>
      <c r="C119" s="49" t="s">
        <v>40</v>
      </c>
      <c r="D119" s="49" t="str">
        <f>VLOOKUP(A119,PARAMETER!D:E,2,0)</f>
        <v>NINA</v>
      </c>
      <c r="E119" s="49" t="str">
        <f t="shared" si="4"/>
        <v>NINAFBI</v>
      </c>
      <c r="F119" s="49" t="str">
        <f t="shared" si="6"/>
        <v>PIZZA HUTFBI</v>
      </c>
      <c r="G119" s="50">
        <f t="shared" si="5"/>
        <v>1562000</v>
      </c>
      <c r="H119" s="50">
        <f>SUMIF(I$1:BI$1,"&lt;="&amp;PARAMETER!X$2,I119:BI119)</f>
        <v>384289.68043595884</v>
      </c>
      <c r="I119" s="50">
        <v>35908.04870404036</v>
      </c>
      <c r="J119" s="50">
        <v>25529.649168915388</v>
      </c>
      <c r="K119" s="50">
        <v>24334.897266037289</v>
      </c>
      <c r="L119" s="50">
        <v>39394.190701943742</v>
      </c>
      <c r="M119" s="50">
        <v>49104.148386784487</v>
      </c>
      <c r="N119" s="50">
        <v>46653.894813781204</v>
      </c>
      <c r="O119" s="50">
        <v>38351.932679942482</v>
      </c>
      <c r="P119" s="50">
        <v>25076.315540823271</v>
      </c>
      <c r="Q119" s="50">
        <v>31097.744526083028</v>
      </c>
      <c r="R119" s="50">
        <v>34361.18391812512</v>
      </c>
      <c r="S119" s="50">
        <v>34477.674729482569</v>
      </c>
      <c r="T119" s="50">
        <v>47065.055487925456</v>
      </c>
      <c r="U119" s="50">
        <v>48793.321238565135</v>
      </c>
      <c r="V119" s="50">
        <v>45394.82305871031</v>
      </c>
      <c r="W119" s="50">
        <v>24385.284950097863</v>
      </c>
      <c r="X119" s="50">
        <v>30601.11566486457</v>
      </c>
      <c r="Y119" s="50">
        <v>22860.742031937272</v>
      </c>
      <c r="Z119" s="50">
        <v>20196.608558047461</v>
      </c>
      <c r="AA119" s="50">
        <v>33718.754201618642</v>
      </c>
      <c r="AB119" s="50">
        <v>24301.306654909426</v>
      </c>
      <c r="AC119" s="50">
        <v>34620.988896890078</v>
      </c>
      <c r="AD119" s="50">
        <v>24965.842620178777</v>
      </c>
      <c r="AE119" s="50">
        <v>44918.554285895145</v>
      </c>
      <c r="AF119" s="50">
        <v>34745.618441502484</v>
      </c>
      <c r="AG119" s="50">
        <v>34425.699948253052</v>
      </c>
      <c r="AH119" s="50">
        <v>38597.566895789241</v>
      </c>
      <c r="AI119" s="50">
        <v>39846.21824450374</v>
      </c>
      <c r="AJ119" s="50">
        <v>26041.318338494268</v>
      </c>
      <c r="AK119" s="50">
        <v>25745.266393317583</v>
      </c>
      <c r="AL119" s="50">
        <v>31242.6899748791</v>
      </c>
      <c r="AM119" s="50">
        <v>19396.886554412846</v>
      </c>
      <c r="AN119" s="50">
        <v>20943.309498131835</v>
      </c>
      <c r="AO119" s="50">
        <v>43583.294797240116</v>
      </c>
      <c r="AP119" s="50">
        <v>20144.465876783368</v>
      </c>
      <c r="AQ119" s="50">
        <v>23042.082906123018</v>
      </c>
      <c r="AR119" s="50">
        <v>26368.283331089526</v>
      </c>
      <c r="AS119" s="50">
        <v>16210.315332937103</v>
      </c>
      <c r="AT119" s="50">
        <v>21361.283378942298</v>
      </c>
      <c r="AU119" s="50">
        <v>16165.233289969121</v>
      </c>
      <c r="AV119" s="50">
        <v>23849.758069290165</v>
      </c>
      <c r="AW119" s="50">
        <v>14893.627355474946</v>
      </c>
      <c r="AX119" s="50">
        <v>18522.031936358755</v>
      </c>
      <c r="AY119" s="50">
        <v>12819.611249424157</v>
      </c>
      <c r="AZ119" s="50">
        <v>16185.596913109983</v>
      </c>
      <c r="BA119" s="50">
        <v>25851.368610956746</v>
      </c>
      <c r="BB119" s="50">
        <v>20664.167737490105</v>
      </c>
      <c r="BC119" s="50">
        <v>60727.73169306777</v>
      </c>
      <c r="BD119" s="50">
        <v>23490.59515216963</v>
      </c>
      <c r="BE119" s="50">
        <v>23725.501103691327</v>
      </c>
      <c r="BF119" s="50">
        <v>23962.756114728243</v>
      </c>
      <c r="BG119" s="50">
        <v>24202.383675875524</v>
      </c>
      <c r="BH119" s="50">
        <v>24444.40751263428</v>
      </c>
      <c r="BI119" s="50">
        <v>24688.851587760622</v>
      </c>
    </row>
    <row r="120" spans="1:61" x14ac:dyDescent="0.25">
      <c r="A120" s="48" t="s">
        <v>29</v>
      </c>
      <c r="B120" s="48" t="s">
        <v>136</v>
      </c>
      <c r="C120" s="49" t="s">
        <v>40</v>
      </c>
      <c r="D120" s="49" t="str">
        <f>VLOOKUP(A120,PARAMETER!D:E,2,0)</f>
        <v>RIFALDI</v>
      </c>
      <c r="E120" s="49" t="str">
        <f t="shared" si="4"/>
        <v>RIFALDIFBI</v>
      </c>
      <c r="F120" s="49" t="str">
        <f t="shared" si="6"/>
        <v>PLATINUM CINEPLEXFBI</v>
      </c>
      <c r="G120" s="50">
        <f t="shared" si="5"/>
        <v>16473999.999999998</v>
      </c>
      <c r="H120" s="50">
        <f>SUMIF(I$1:BI$1,"&lt;="&amp;PARAMETER!X$2,I120:BI120)</f>
        <v>4563096.8507915288</v>
      </c>
      <c r="I120" s="50">
        <v>650229.12933786609</v>
      </c>
      <c r="J120" s="50">
        <v>279540.99179217481</v>
      </c>
      <c r="K120" s="50">
        <v>247139.27191929545</v>
      </c>
      <c r="L120" s="50">
        <v>454101.79588510387</v>
      </c>
      <c r="M120" s="50">
        <v>473708.99047484627</v>
      </c>
      <c r="N120" s="50">
        <v>628447.97320109722</v>
      </c>
      <c r="O120" s="50">
        <v>686293.37900126528</v>
      </c>
      <c r="P120" s="50">
        <v>488476.69741690857</v>
      </c>
      <c r="Q120" s="50">
        <v>316152.16587076162</v>
      </c>
      <c r="R120" s="50">
        <v>214301.37504812729</v>
      </c>
      <c r="S120" s="50">
        <v>124705.08084408195</v>
      </c>
      <c r="T120" s="50">
        <v>322217.10318030056</v>
      </c>
      <c r="U120" s="50">
        <v>910342.93609514786</v>
      </c>
      <c r="V120" s="50">
        <v>1791565.8649712082</v>
      </c>
      <c r="W120" s="50">
        <v>1032624.8113931811</v>
      </c>
      <c r="X120" s="50">
        <v>905309.59200378391</v>
      </c>
      <c r="Y120" s="50">
        <v>610820.88371469744</v>
      </c>
      <c r="Z120" s="50">
        <v>595346.98544207239</v>
      </c>
      <c r="AA120" s="50">
        <v>401753.63264603529</v>
      </c>
      <c r="AB120" s="50">
        <v>226950.50799850136</v>
      </c>
      <c r="AC120" s="50">
        <v>272513.69570863369</v>
      </c>
      <c r="AD120" s="50">
        <v>351371.72762147477</v>
      </c>
      <c r="AE120" s="50">
        <v>321905.54818152293</v>
      </c>
      <c r="AF120" s="50">
        <v>369178.82666272385</v>
      </c>
      <c r="AG120" s="50">
        <v>272825.25070741138</v>
      </c>
      <c r="AH120" s="50">
        <v>268075.76783715596</v>
      </c>
      <c r="AI120" s="50">
        <v>177274.79430450359</v>
      </c>
      <c r="AJ120" s="50">
        <v>135422.57280203435</v>
      </c>
      <c r="AK120" s="50">
        <v>191308.61613833401</v>
      </c>
      <c r="AL120" s="50">
        <v>171791.42632601628</v>
      </c>
      <c r="AM120" s="50">
        <v>222962.60401414699</v>
      </c>
      <c r="AN120" s="50">
        <v>230979.95264935942</v>
      </c>
      <c r="AO120" s="50">
        <v>389381.43747235247</v>
      </c>
      <c r="AP120" s="50">
        <v>256631.31421538896</v>
      </c>
      <c r="AQ120" s="50">
        <v>142140.01013068008</v>
      </c>
      <c r="AR120" s="50">
        <v>185762.93716009121</v>
      </c>
      <c r="AS120" s="50">
        <v>104336.30736843855</v>
      </c>
      <c r="AT120" s="50">
        <v>58073.85177216075</v>
      </c>
      <c r="AU120" s="50">
        <v>60434.746318453886</v>
      </c>
      <c r="AV120" s="50">
        <v>41561.436836943372</v>
      </c>
      <c r="AW120" s="50">
        <v>56225.29211274648</v>
      </c>
      <c r="AX120" s="50">
        <v>50201.895469711206</v>
      </c>
      <c r="AY120" s="50">
        <v>163150.96769324847</v>
      </c>
      <c r="AZ120" s="50">
        <v>203777.74645730318</v>
      </c>
      <c r="BA120" s="50">
        <v>169250.52222487383</v>
      </c>
      <c r="BB120" s="50">
        <v>83448.275561498973</v>
      </c>
      <c r="BC120" s="50">
        <v>83226.72534014596</v>
      </c>
      <c r="BD120" s="50">
        <v>13126.850615166522</v>
      </c>
      <c r="BE120" s="50">
        <v>13258.119121318186</v>
      </c>
      <c r="BF120" s="50">
        <v>13390.700312531369</v>
      </c>
      <c r="BG120" s="50">
        <v>13524.607315656682</v>
      </c>
      <c r="BH120" s="50">
        <v>13659.853388813248</v>
      </c>
      <c r="BI120" s="50">
        <v>13796.451922701381</v>
      </c>
    </row>
    <row r="121" spans="1:61" x14ac:dyDescent="0.25">
      <c r="A121" s="48" t="s">
        <v>49</v>
      </c>
      <c r="B121" s="48" t="s">
        <v>136</v>
      </c>
      <c r="C121" s="49" t="s">
        <v>40</v>
      </c>
      <c r="D121" s="49" t="str">
        <f>VLOOKUP(A121,PARAMETER!D:E,2,0)</f>
        <v>NINA</v>
      </c>
      <c r="E121" s="49" t="str">
        <f t="shared" si="4"/>
        <v>NINAFBI</v>
      </c>
      <c r="F121" s="49" t="str">
        <f t="shared" si="6"/>
        <v>POPEYESFBI</v>
      </c>
      <c r="G121" s="50">
        <f t="shared" si="5"/>
        <v>0</v>
      </c>
      <c r="H121" s="50">
        <f>SUMIF(I$1:BI$1,"&lt;="&amp;PARAMETER!X$2,I121:BI121)</f>
        <v>0</v>
      </c>
      <c r="I121" s="50">
        <v>0</v>
      </c>
      <c r="J121" s="50">
        <v>0</v>
      </c>
      <c r="K121" s="50">
        <v>0</v>
      </c>
      <c r="L121" s="50">
        <v>0</v>
      </c>
      <c r="M121" s="50">
        <v>0</v>
      </c>
      <c r="N121" s="50">
        <v>0</v>
      </c>
      <c r="O121" s="50">
        <v>0</v>
      </c>
      <c r="P121" s="50">
        <v>0</v>
      </c>
      <c r="Q121" s="50">
        <v>0</v>
      </c>
      <c r="R121" s="50">
        <v>0</v>
      </c>
      <c r="S121" s="50">
        <v>0</v>
      </c>
      <c r="T121" s="50">
        <v>0</v>
      </c>
      <c r="U121" s="50">
        <v>0</v>
      </c>
      <c r="V121" s="50">
        <v>0</v>
      </c>
      <c r="W121" s="50">
        <v>0</v>
      </c>
      <c r="X121" s="50">
        <v>0</v>
      </c>
      <c r="Y121" s="50">
        <v>0</v>
      </c>
      <c r="Z121" s="50">
        <v>0</v>
      </c>
      <c r="AA121" s="50">
        <v>0</v>
      </c>
      <c r="AB121" s="50">
        <v>0</v>
      </c>
      <c r="AC121" s="50">
        <v>0</v>
      </c>
      <c r="AD121" s="50">
        <v>0</v>
      </c>
      <c r="AE121" s="50">
        <v>0</v>
      </c>
      <c r="AF121" s="50">
        <v>0</v>
      </c>
      <c r="AG121" s="50">
        <v>0</v>
      </c>
      <c r="AH121" s="50">
        <v>0</v>
      </c>
      <c r="AI121" s="50">
        <v>0</v>
      </c>
      <c r="AJ121" s="50">
        <v>0</v>
      </c>
      <c r="AK121" s="50">
        <v>0</v>
      </c>
      <c r="AL121" s="50">
        <v>0</v>
      </c>
      <c r="AM121" s="50">
        <v>0</v>
      </c>
      <c r="AN121" s="50">
        <v>0</v>
      </c>
      <c r="AO121" s="50">
        <v>0</v>
      </c>
      <c r="AP121" s="50">
        <v>0</v>
      </c>
      <c r="AQ121" s="50">
        <v>0</v>
      </c>
      <c r="AR121" s="50">
        <v>0</v>
      </c>
      <c r="AS121" s="50">
        <v>0</v>
      </c>
      <c r="AT121" s="50">
        <v>0</v>
      </c>
      <c r="AU121" s="50">
        <v>0</v>
      </c>
      <c r="AV121" s="50">
        <v>0</v>
      </c>
      <c r="AW121" s="50">
        <v>0</v>
      </c>
      <c r="AX121" s="50">
        <v>0</v>
      </c>
      <c r="AY121" s="50">
        <v>0</v>
      </c>
      <c r="AZ121" s="50">
        <v>0</v>
      </c>
      <c r="BA121" s="50">
        <v>0</v>
      </c>
      <c r="BB121" s="50">
        <v>0</v>
      </c>
      <c r="BC121" s="50">
        <v>0</v>
      </c>
      <c r="BD121" s="50">
        <v>0</v>
      </c>
      <c r="BE121" s="50">
        <v>0</v>
      </c>
      <c r="BF121" s="50">
        <v>0</v>
      </c>
      <c r="BG121" s="50">
        <v>0</v>
      </c>
      <c r="BH121" s="50">
        <v>0</v>
      </c>
      <c r="BI121" s="50">
        <v>0</v>
      </c>
    </row>
    <row r="122" spans="1:61" x14ac:dyDescent="0.25">
      <c r="A122" s="48" t="s">
        <v>31</v>
      </c>
      <c r="B122" s="48" t="s">
        <v>136</v>
      </c>
      <c r="C122" s="49" t="s">
        <v>40</v>
      </c>
      <c r="D122" s="49" t="str">
        <f>VLOOKUP(A122,PARAMETER!D:E,2,0)</f>
        <v>ADISTI</v>
      </c>
      <c r="E122" s="49" t="str">
        <f t="shared" si="4"/>
        <v>ADISTIFBI</v>
      </c>
      <c r="F122" s="49" t="str">
        <f t="shared" si="6"/>
        <v>SARINAHFBI</v>
      </c>
      <c r="G122" s="50">
        <f t="shared" si="5"/>
        <v>168887000</v>
      </c>
      <c r="H122" s="50">
        <f>SUMIF(I$1:BI$1,"&lt;="&amp;PARAMETER!X$2,I122:BI122)</f>
        <v>49753346.938322783</v>
      </c>
      <c r="I122" s="50">
        <v>3795933.1933329841</v>
      </c>
      <c r="J122" s="50">
        <v>4141681.8680385873</v>
      </c>
      <c r="K122" s="50">
        <v>4981991.4575377479</v>
      </c>
      <c r="L122" s="50">
        <v>4820229.2193717854</v>
      </c>
      <c r="M122" s="50">
        <v>4195571.636195302</v>
      </c>
      <c r="N122" s="50">
        <v>3601298.0190888122</v>
      </c>
      <c r="O122" s="50">
        <v>3986191.6958761397</v>
      </c>
      <c r="P122" s="50">
        <v>6014985.4601048864</v>
      </c>
      <c r="Q122" s="50">
        <v>3098671.5150536061</v>
      </c>
      <c r="R122" s="50">
        <v>4281996.3137166323</v>
      </c>
      <c r="S122" s="50">
        <v>6834796.5600062981</v>
      </c>
      <c r="T122" s="50">
        <v>4370041.6921572126</v>
      </c>
      <c r="U122" s="50">
        <v>3181332.1164948791</v>
      </c>
      <c r="V122" s="50">
        <v>3482203.4505530577</v>
      </c>
      <c r="W122" s="50">
        <v>3622663.060008313</v>
      </c>
      <c r="X122" s="50">
        <v>4430065.0344476756</v>
      </c>
      <c r="Y122" s="50">
        <v>4979349.1830294384</v>
      </c>
      <c r="Z122" s="50">
        <v>4467332.3924881155</v>
      </c>
      <c r="AA122" s="50">
        <v>4968045.6523788972</v>
      </c>
      <c r="AB122" s="50">
        <v>4214294.3528161375</v>
      </c>
      <c r="AC122" s="50">
        <v>4586706.9570798269</v>
      </c>
      <c r="AD122" s="50">
        <v>1751173.4550156551</v>
      </c>
      <c r="AE122" s="50">
        <v>3620898.3155948184</v>
      </c>
      <c r="AF122" s="50">
        <v>3224599.6852057651</v>
      </c>
      <c r="AG122" s="50">
        <v>2854138.1408603964</v>
      </c>
      <c r="AH122" s="50">
        <v>3213851.814906335</v>
      </c>
      <c r="AI122" s="50">
        <v>4528947.8560346095</v>
      </c>
      <c r="AJ122" s="50">
        <v>2047229.0909260511</v>
      </c>
      <c r="AK122" s="50">
        <v>3712363.8432449107</v>
      </c>
      <c r="AL122" s="50">
        <v>4440044.3159469347</v>
      </c>
      <c r="AM122" s="50">
        <v>2170652.308366348</v>
      </c>
      <c r="AN122" s="50">
        <v>3408287.7281536302</v>
      </c>
      <c r="AO122" s="50">
        <v>2958797.5895329495</v>
      </c>
      <c r="AP122" s="50">
        <v>3296547.2695954368</v>
      </c>
      <c r="AQ122" s="50">
        <v>1829536.9746368481</v>
      </c>
      <c r="AR122" s="50">
        <v>2423074.2173022307</v>
      </c>
      <c r="AS122" s="50">
        <v>2239584.8378669946</v>
      </c>
      <c r="AT122" s="50">
        <v>2012689.9704401754</v>
      </c>
      <c r="AU122" s="50">
        <v>1445417.5627500534</v>
      </c>
      <c r="AV122" s="50">
        <v>1210370.5704462612</v>
      </c>
      <c r="AW122" s="50">
        <v>1935175.5257264636</v>
      </c>
      <c r="AX122" s="50">
        <v>1874536.3763372069</v>
      </c>
      <c r="AY122" s="50">
        <v>2073744.0975351965</v>
      </c>
      <c r="AZ122" s="50">
        <v>1437326.2816857202</v>
      </c>
      <c r="BA122" s="50">
        <v>1852869.0332831391</v>
      </c>
      <c r="BB122" s="50">
        <v>2070597.3471597305</v>
      </c>
      <c r="BC122" s="50">
        <v>2474607.7814297844</v>
      </c>
      <c r="BD122" s="50">
        <v>1743259.253345473</v>
      </c>
      <c r="BE122" s="50">
        <v>1760691.845878928</v>
      </c>
      <c r="BF122" s="50">
        <v>1778298.7643377169</v>
      </c>
      <c r="BG122" s="50">
        <v>1796081.7519810942</v>
      </c>
      <c r="BH122" s="50">
        <v>1814042.5695009052</v>
      </c>
      <c r="BI122" s="50">
        <v>1832182.9951959143</v>
      </c>
    </row>
    <row r="123" spans="1:61" x14ac:dyDescent="0.25">
      <c r="A123" s="48" t="s">
        <v>32</v>
      </c>
      <c r="B123" s="48" t="s">
        <v>136</v>
      </c>
      <c r="C123" s="49" t="s">
        <v>40</v>
      </c>
      <c r="D123" s="49" t="str">
        <f>VLOOKUP(A123,PARAMETER!D:E,2,0)</f>
        <v>NINA</v>
      </c>
      <c r="E123" s="49" t="str">
        <f t="shared" si="4"/>
        <v>NINAFBI</v>
      </c>
      <c r="F123" s="49" t="str">
        <f t="shared" si="6"/>
        <v>SHIHLINFBI</v>
      </c>
      <c r="G123" s="50">
        <f t="shared" si="5"/>
        <v>7743999.9999999991</v>
      </c>
      <c r="H123" s="50">
        <f>SUMIF(I$1:BI$1,"&lt;="&amp;PARAMETER!X$2,I123:BI123)</f>
        <v>2002929.9405188945</v>
      </c>
      <c r="I123" s="50">
        <v>86722.902911220328</v>
      </c>
      <c r="J123" s="50">
        <v>68376.616350311946</v>
      </c>
      <c r="K123" s="50">
        <v>59278.652995239856</v>
      </c>
      <c r="L123" s="50">
        <v>157095.95315963009</v>
      </c>
      <c r="M123" s="50">
        <v>295634.28652616608</v>
      </c>
      <c r="N123" s="50">
        <v>407121.0550821544</v>
      </c>
      <c r="O123" s="50">
        <v>279914.66970947117</v>
      </c>
      <c r="P123" s="50">
        <v>259725.66968198039</v>
      </c>
      <c r="Q123" s="50">
        <v>181553.01520705048</v>
      </c>
      <c r="R123" s="50">
        <v>95251.917455801609</v>
      </c>
      <c r="S123" s="50">
        <v>112255.20143986815</v>
      </c>
      <c r="T123" s="50">
        <v>104174.61283344566</v>
      </c>
      <c r="U123" s="50">
        <v>133741.17653450524</v>
      </c>
      <c r="V123" s="50">
        <v>142807.25669086556</v>
      </c>
      <c r="W123" s="50">
        <v>83289.629064431952</v>
      </c>
      <c r="X123" s="50">
        <v>94101.433837577089</v>
      </c>
      <c r="Y123" s="50">
        <v>70778.311393809141</v>
      </c>
      <c r="Z123" s="50">
        <v>106583.73102642431</v>
      </c>
      <c r="AA123" s="50">
        <v>130421.85375769113</v>
      </c>
      <c r="AB123" s="50">
        <v>92946.200598557596</v>
      </c>
      <c r="AC123" s="50">
        <v>93175.252803918644</v>
      </c>
      <c r="AD123" s="50">
        <v>106475.26641569125</v>
      </c>
      <c r="AE123" s="50">
        <v>100648.23347461659</v>
      </c>
      <c r="AF123" s="50">
        <v>58319.767287574934</v>
      </c>
      <c r="AG123" s="50">
        <v>90790.455258302114</v>
      </c>
      <c r="AH123" s="50">
        <v>163526.87499373136</v>
      </c>
      <c r="AI123" s="50">
        <v>120821.59062104051</v>
      </c>
      <c r="AJ123" s="50">
        <v>182612.47936261911</v>
      </c>
      <c r="AK123" s="50">
        <v>168594.11298811622</v>
      </c>
      <c r="AL123" s="50">
        <v>65518.87805228668</v>
      </c>
      <c r="AM123" s="50">
        <v>40675.478663074486</v>
      </c>
      <c r="AN123" s="50">
        <v>33660.587467184225</v>
      </c>
      <c r="AO123" s="50">
        <v>34636.385608644254</v>
      </c>
      <c r="AP123" s="50">
        <v>40297.595048861214</v>
      </c>
      <c r="AQ123" s="50">
        <v>112151.02343658214</v>
      </c>
      <c r="AR123" s="50">
        <v>185414.44695608955</v>
      </c>
      <c r="AS123" s="50">
        <v>151131.54465608604</v>
      </c>
      <c r="AT123" s="50">
        <v>142136.43996519031</v>
      </c>
      <c r="AU123" s="50">
        <v>178319.88261388693</v>
      </c>
      <c r="AV123" s="50">
        <v>208709.48988069221</v>
      </c>
      <c r="AW123" s="50">
        <v>200823.32705129843</v>
      </c>
      <c r="AX123" s="50">
        <v>163528.34867062376</v>
      </c>
      <c r="AY123" s="50">
        <v>229988.18933323576</v>
      </c>
      <c r="AZ123" s="50">
        <v>181232.80911580348</v>
      </c>
      <c r="BA123" s="50">
        <v>205826.8583919176</v>
      </c>
      <c r="BB123" s="50">
        <v>174381.78481597803</v>
      </c>
      <c r="BC123" s="50">
        <v>383872.91590756166</v>
      </c>
      <c r="BD123" s="50">
        <v>156851.9949116483</v>
      </c>
      <c r="BE123" s="50">
        <v>158420.51486076479</v>
      </c>
      <c r="BF123" s="50">
        <v>160004.72000937242</v>
      </c>
      <c r="BG123" s="50">
        <v>161604.76720946614</v>
      </c>
      <c r="BH123" s="50">
        <v>163220.8148815608</v>
      </c>
      <c r="BI123" s="50">
        <v>164853.02303037641</v>
      </c>
    </row>
    <row r="124" spans="1:61" x14ac:dyDescent="0.25">
      <c r="A124" s="48" t="s">
        <v>33</v>
      </c>
      <c r="B124" s="48" t="s">
        <v>136</v>
      </c>
      <c r="C124" s="49" t="s">
        <v>40</v>
      </c>
      <c r="D124" s="49" t="str">
        <f>VLOOKUP(A124,PARAMETER!D:E,2,0)</f>
        <v>NINA</v>
      </c>
      <c r="E124" s="49" t="str">
        <f t="shared" si="4"/>
        <v>NINAFBI</v>
      </c>
      <c r="F124" s="49" t="str">
        <f t="shared" si="6"/>
        <v>SOLARIAFBI</v>
      </c>
      <c r="G124" s="50">
        <f t="shared" si="5"/>
        <v>10900000.000000002</v>
      </c>
      <c r="H124" s="50">
        <f>SUMIF(I$1:BI$1,"&lt;="&amp;PARAMETER!X$2,I124:BI124)</f>
        <v>1910294.2403290514</v>
      </c>
      <c r="I124" s="50">
        <v>209748.22147080809</v>
      </c>
      <c r="J124" s="50">
        <v>151236.26620313278</v>
      </c>
      <c r="K124" s="50">
        <v>163819.52202012343</v>
      </c>
      <c r="L124" s="50">
        <v>228194.78273062094</v>
      </c>
      <c r="M124" s="50">
        <v>187202.45362648624</v>
      </c>
      <c r="N124" s="50">
        <v>163894.28758880886</v>
      </c>
      <c r="O124" s="50">
        <v>192679.29479173734</v>
      </c>
      <c r="P124" s="50">
        <v>172552.08779077069</v>
      </c>
      <c r="Q124" s="50">
        <v>148388.3298579258</v>
      </c>
      <c r="R124" s="50">
        <v>125298.93208636667</v>
      </c>
      <c r="S124" s="50">
        <v>167280.06216227045</v>
      </c>
      <c r="T124" s="50">
        <v>202060.26758939927</v>
      </c>
      <c r="U124" s="50">
        <v>267439.86155530112</v>
      </c>
      <c r="V124" s="50">
        <v>312213.38031798723</v>
      </c>
      <c r="W124" s="50">
        <v>169042.84472536031</v>
      </c>
      <c r="X124" s="50">
        <v>196584.47946032681</v>
      </c>
      <c r="Y124" s="50">
        <v>178362.47816561483</v>
      </c>
      <c r="Z124" s="50">
        <v>184644.3654894575</v>
      </c>
      <c r="AA124" s="50">
        <v>224358.30867268951</v>
      </c>
      <c r="AB124" s="50">
        <v>147872.60538942323</v>
      </c>
      <c r="AC124" s="50">
        <v>154416.17220366484</v>
      </c>
      <c r="AD124" s="50">
        <v>73765.710833767444</v>
      </c>
      <c r="AE124" s="50">
        <v>206569.89502454404</v>
      </c>
      <c r="AF124" s="50">
        <v>179653.76377970623</v>
      </c>
      <c r="AG124" s="50">
        <v>227027.75538561234</v>
      </c>
      <c r="AH124" s="50">
        <v>239929.29138760536</v>
      </c>
      <c r="AI124" s="50">
        <v>236761.23204408336</v>
      </c>
      <c r="AJ124" s="50">
        <v>429065.11943812564</v>
      </c>
      <c r="AK124" s="50">
        <v>240320.75758702509</v>
      </c>
      <c r="AL124" s="50">
        <v>261368.31820814742</v>
      </c>
      <c r="AM124" s="50">
        <v>235296.72197860113</v>
      </c>
      <c r="AN124" s="50">
        <v>216784.34595762152</v>
      </c>
      <c r="AO124" s="50">
        <v>230250.57261042506</v>
      </c>
      <c r="AP124" s="50">
        <v>187693.95826287937</v>
      </c>
      <c r="AQ124" s="50">
        <v>244551.59369386759</v>
      </c>
      <c r="AR124" s="50">
        <v>209541.03660265519</v>
      </c>
      <c r="AS124" s="50">
        <v>192918.59726333959</v>
      </c>
      <c r="AT124" s="50">
        <v>171692.54700993313</v>
      </c>
      <c r="AU124" s="50">
        <v>201638.26334079818</v>
      </c>
      <c r="AV124" s="50">
        <v>273580.905290247</v>
      </c>
      <c r="AW124" s="50">
        <v>207771.40930440399</v>
      </c>
      <c r="AX124" s="50">
        <v>210127.05123608382</v>
      </c>
      <c r="AY124" s="50">
        <v>241585.98055569446</v>
      </c>
      <c r="AZ124" s="50">
        <v>271346.88903720328</v>
      </c>
      <c r="BA124" s="50">
        <v>212066.21735910053</v>
      </c>
      <c r="BB124" s="50">
        <v>187244.31181458823</v>
      </c>
      <c r="BC124" s="50">
        <v>191250.58795632981</v>
      </c>
      <c r="BD124" s="50">
        <v>190654.3062201592</v>
      </c>
      <c r="BE124" s="50">
        <v>192560.84928236078</v>
      </c>
      <c r="BF124" s="50">
        <v>194486.45777518436</v>
      </c>
      <c r="BG124" s="50">
        <v>196431.32235293623</v>
      </c>
      <c r="BH124" s="50">
        <v>198395.63557646557</v>
      </c>
      <c r="BI124" s="50">
        <v>200379.59193223025</v>
      </c>
    </row>
    <row r="125" spans="1:61" x14ac:dyDescent="0.25">
      <c r="A125" s="48" t="s">
        <v>34</v>
      </c>
      <c r="B125" s="48" t="s">
        <v>136</v>
      </c>
      <c r="C125" s="49" t="s">
        <v>40</v>
      </c>
      <c r="D125" s="49" t="str">
        <f>VLOOKUP(A125,PARAMETER!D:E,2,0)</f>
        <v>NINA</v>
      </c>
      <c r="E125" s="49" t="str">
        <f t="shared" si="4"/>
        <v>NINAFBI</v>
      </c>
      <c r="F125" s="49" t="str">
        <f t="shared" si="6"/>
        <v>SOUR SALLYFBI</v>
      </c>
      <c r="G125" s="50">
        <f t="shared" si="5"/>
        <v>6989999.9999999981</v>
      </c>
      <c r="H125" s="50">
        <f>SUMIF(I$1:BI$1,"&lt;="&amp;PARAMETER!X$2,I125:BI125)</f>
        <v>3097482.7663566051</v>
      </c>
      <c r="I125" s="50">
        <v>434498.83721146203</v>
      </c>
      <c r="J125" s="50">
        <v>237041.70683809009</v>
      </c>
      <c r="K125" s="50">
        <v>269586.54382567428</v>
      </c>
      <c r="L125" s="50">
        <v>363843.39850248577</v>
      </c>
      <c r="M125" s="50">
        <v>314763.0510266209</v>
      </c>
      <c r="N125" s="50">
        <v>310576.99689143192</v>
      </c>
      <c r="O125" s="50">
        <v>255681.92435358642</v>
      </c>
      <c r="P125" s="50">
        <v>253657.62462734172</v>
      </c>
      <c r="Q125" s="50">
        <v>237788.06710614264</v>
      </c>
      <c r="R125" s="50">
        <v>175119.84041303128</v>
      </c>
      <c r="S125" s="50">
        <v>244924.77556073829</v>
      </c>
      <c r="T125" s="50">
        <v>217420.82110915004</v>
      </c>
      <c r="U125" s="50">
        <v>320589.21738650918</v>
      </c>
      <c r="V125" s="50">
        <v>529980.87987558206</v>
      </c>
      <c r="W125" s="50">
        <v>243377.09050876883</v>
      </c>
      <c r="X125" s="50">
        <v>207824.79048176293</v>
      </c>
      <c r="Y125" s="50">
        <v>146214.38482515328</v>
      </c>
      <c r="Z125" s="50">
        <v>53508.679411245335</v>
      </c>
      <c r="AA125" s="50">
        <v>46011.085516961473</v>
      </c>
      <c r="AB125" s="50">
        <v>62429.65899774072</v>
      </c>
      <c r="AC125" s="50">
        <v>34504.698051151077</v>
      </c>
      <c r="AD125" s="50">
        <v>92285.422136220543</v>
      </c>
      <c r="AE125" s="50">
        <v>123705.59834314276</v>
      </c>
      <c r="AF125" s="50">
        <v>62999.460222925401</v>
      </c>
      <c r="AG125" s="50">
        <v>102002.569967184</v>
      </c>
      <c r="AH125" s="50">
        <v>55289.963655638232</v>
      </c>
      <c r="AI125" s="50">
        <v>63021.15674234552</v>
      </c>
      <c r="AJ125" s="50">
        <v>93186.550909470068</v>
      </c>
      <c r="AK125" s="50">
        <v>50928.963252191556</v>
      </c>
      <c r="AL125" s="50">
        <v>55926.394891962118</v>
      </c>
      <c r="AM125" s="50">
        <v>6552.348864880084</v>
      </c>
      <c r="AN125" s="50">
        <v>23468.401839443566</v>
      </c>
      <c r="AO125" s="50">
        <v>68926.949328505652</v>
      </c>
      <c r="AP125" s="50">
        <v>20633.389968546224</v>
      </c>
      <c r="AQ125" s="50">
        <v>40307.793778722582</v>
      </c>
      <c r="AR125" s="50">
        <v>77442.109983593749</v>
      </c>
      <c r="AS125" s="50">
        <v>40344.605540005403</v>
      </c>
      <c r="AT125" s="50">
        <v>36315.634205418159</v>
      </c>
      <c r="AU125" s="50">
        <v>45027.509969915453</v>
      </c>
      <c r="AV125" s="50">
        <v>27250.828391686704</v>
      </c>
      <c r="AW125" s="50">
        <v>71482.813780543569</v>
      </c>
      <c r="AX125" s="50">
        <v>75525.584101482018</v>
      </c>
      <c r="AY125" s="50">
        <v>50493.586429160889</v>
      </c>
      <c r="AZ125" s="50">
        <v>40247.043524346213</v>
      </c>
      <c r="BA125" s="50">
        <v>103528.85501883207</v>
      </c>
      <c r="BB125" s="50">
        <v>74903.617211438221</v>
      </c>
      <c r="BC125" s="50">
        <v>44745.455217453724</v>
      </c>
      <c r="BD125" s="50">
        <v>78691.829502193388</v>
      </c>
      <c r="BE125" s="50">
        <v>79478.747797215328</v>
      </c>
      <c r="BF125" s="50">
        <v>80273.535275187489</v>
      </c>
      <c r="BG125" s="50">
        <v>81076.270627939361</v>
      </c>
      <c r="BH125" s="50">
        <v>81887.033334218737</v>
      </c>
      <c r="BI125" s="50">
        <v>82705.903667560939</v>
      </c>
    </row>
    <row r="126" spans="1:61" x14ac:dyDescent="0.25">
      <c r="A126" s="48" t="s">
        <v>53</v>
      </c>
      <c r="B126" s="48" t="s">
        <v>136</v>
      </c>
      <c r="C126" s="49" t="s">
        <v>40</v>
      </c>
      <c r="D126" s="49" t="str">
        <f>VLOOKUP(A126,PARAMETER!D:E,2,0)</f>
        <v>NINA</v>
      </c>
      <c r="E126" s="49" t="str">
        <f t="shared" si="4"/>
        <v>NINAFBI</v>
      </c>
      <c r="F126" s="49" t="str">
        <f t="shared" si="6"/>
        <v>STEVEN GROUPFBI</v>
      </c>
      <c r="G126" s="50">
        <f t="shared" si="5"/>
        <v>3747000</v>
      </c>
      <c r="H126" s="50">
        <f>SUMIF(I$1:BI$1,"&lt;="&amp;PARAMETER!X$2,I126:BI126)</f>
        <v>1300177.2510453823</v>
      </c>
      <c r="I126" s="50">
        <v>372.15316979763486</v>
      </c>
      <c r="J126" s="50">
        <v>6988.209521755587</v>
      </c>
      <c r="K126" s="50">
        <v>372153.17393267003</v>
      </c>
      <c r="L126" s="50">
        <v>24727.510615442847</v>
      </c>
      <c r="M126" s="50">
        <v>37968.712126772254</v>
      </c>
      <c r="N126" s="50">
        <v>510496.75647781894</v>
      </c>
      <c r="O126" s="50">
        <v>122244.93524065538</v>
      </c>
      <c r="P126" s="50">
        <v>102194.12464879149</v>
      </c>
      <c r="Q126" s="50">
        <v>57529.483829752273</v>
      </c>
      <c r="R126" s="50">
        <v>46801.33756825624</v>
      </c>
      <c r="S126" s="50">
        <v>18700.853913669511</v>
      </c>
      <c r="T126" s="50">
        <v>26621.869490558089</v>
      </c>
      <c r="U126" s="50">
        <v>108815.01899195682</v>
      </c>
      <c r="V126" s="50">
        <v>34834.028762249793</v>
      </c>
      <c r="W126" s="50">
        <v>27881.091090920585</v>
      </c>
      <c r="X126" s="50">
        <v>22803.391891849456</v>
      </c>
      <c r="Y126" s="50">
        <v>17503.967969248115</v>
      </c>
      <c r="Z126" s="50">
        <v>51857.886062177204</v>
      </c>
      <c r="AA126" s="50">
        <v>46370.417277912333</v>
      </c>
      <c r="AB126" s="50">
        <v>19893.923220582867</v>
      </c>
      <c r="AC126" s="50">
        <v>31501.736199600011</v>
      </c>
      <c r="AD126" s="50">
        <v>42491.109176082675</v>
      </c>
      <c r="AE126" s="50">
        <v>174132.65144690947</v>
      </c>
      <c r="AF126" s="50">
        <v>21596.796884731564</v>
      </c>
      <c r="AG126" s="50">
        <v>40945.887864730692</v>
      </c>
      <c r="AH126" s="50">
        <v>71835.502395612333</v>
      </c>
      <c r="AI126" s="50">
        <v>25023.347575220643</v>
      </c>
      <c r="AJ126" s="50">
        <v>53564.166995347165</v>
      </c>
      <c r="AK126" s="50">
        <v>43382.614499438561</v>
      </c>
      <c r="AL126" s="50">
        <v>40103.601865598146</v>
      </c>
      <c r="AM126" s="50">
        <v>42025.619991299791</v>
      </c>
      <c r="AN126" s="50">
        <v>108801.77033911202</v>
      </c>
      <c r="AO126" s="50">
        <v>392907.8047342904</v>
      </c>
      <c r="AP126" s="50">
        <v>39577.071290898006</v>
      </c>
      <c r="AQ126" s="50">
        <v>30593.603899624606</v>
      </c>
      <c r="AR126" s="50">
        <v>44205.259081276236</v>
      </c>
      <c r="AS126" s="50">
        <v>43339.907855686681</v>
      </c>
      <c r="AT126" s="50">
        <v>44707.256492016269</v>
      </c>
      <c r="AU126" s="50">
        <v>174965.45994531782</v>
      </c>
      <c r="AV126" s="50">
        <v>98866.707292666062</v>
      </c>
      <c r="AW126" s="50">
        <v>25804.232436371803</v>
      </c>
      <c r="AX126" s="50">
        <v>25746.887767941207</v>
      </c>
      <c r="AY126" s="50">
        <v>36536.869346116728</v>
      </c>
      <c r="AZ126" s="50">
        <v>52828.676550840872</v>
      </c>
      <c r="BA126" s="50">
        <v>35626.041003177903</v>
      </c>
      <c r="BB126" s="50">
        <v>35726.93172751004</v>
      </c>
      <c r="BC126" s="50">
        <v>106983.55813757259</v>
      </c>
      <c r="BD126" s="50">
        <v>33553.247088250355</v>
      </c>
      <c r="BE126" s="50">
        <v>33888.779559132854</v>
      </c>
      <c r="BF126" s="50">
        <v>34227.667354724181</v>
      </c>
      <c r="BG126" s="50">
        <v>34569.944028271428</v>
      </c>
      <c r="BH126" s="50">
        <v>34915.643468554146</v>
      </c>
      <c r="BI126" s="50">
        <v>35264.799903239684</v>
      </c>
    </row>
    <row r="127" spans="1:61" x14ac:dyDescent="0.25">
      <c r="A127" s="48" t="s">
        <v>50</v>
      </c>
      <c r="B127" s="48" t="s">
        <v>136</v>
      </c>
      <c r="C127" s="49" t="s">
        <v>40</v>
      </c>
      <c r="D127" s="49" t="str">
        <f>VLOOKUP(A127,PARAMETER!D:E,2,0)</f>
        <v>ADISTI</v>
      </c>
      <c r="E127" s="49" t="str">
        <f t="shared" si="4"/>
        <v>ADISTIFBI</v>
      </c>
      <c r="F127" s="49" t="str">
        <f t="shared" si="6"/>
        <v>SUPRA BOGA LESTARIFBI</v>
      </c>
      <c r="G127" s="50">
        <f t="shared" si="5"/>
        <v>0</v>
      </c>
      <c r="H127" s="50">
        <f>SUMIF(I$1:BI$1,"&lt;="&amp;PARAMETER!X$2,I127:BI127)</f>
        <v>0</v>
      </c>
      <c r="I127" s="50">
        <v>0</v>
      </c>
      <c r="J127" s="50">
        <v>0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  <c r="Q127" s="50">
        <v>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>
        <v>0</v>
      </c>
      <c r="X127" s="50">
        <v>0</v>
      </c>
      <c r="Y127" s="50">
        <v>0</v>
      </c>
      <c r="Z127" s="50">
        <v>0</v>
      </c>
      <c r="AA127" s="50">
        <v>0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0</v>
      </c>
      <c r="AN127" s="50">
        <v>0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0">
        <v>0</v>
      </c>
      <c r="BB127" s="50">
        <v>0</v>
      </c>
      <c r="BC127" s="50">
        <v>0</v>
      </c>
      <c r="BD127" s="50">
        <v>0</v>
      </c>
      <c r="BE127" s="50">
        <v>0</v>
      </c>
      <c r="BF127" s="50">
        <v>0</v>
      </c>
      <c r="BG127" s="50">
        <v>0</v>
      </c>
      <c r="BH127" s="50">
        <v>0</v>
      </c>
      <c r="BI127" s="50">
        <v>0</v>
      </c>
    </row>
    <row r="128" spans="1:61" x14ac:dyDescent="0.25">
      <c r="A128" s="48" t="s">
        <v>35</v>
      </c>
      <c r="B128" s="48" t="s">
        <v>136</v>
      </c>
      <c r="C128" s="49" t="s">
        <v>40</v>
      </c>
      <c r="D128" s="49" t="str">
        <f>VLOOKUP(A128,PARAMETER!D:E,2,0)</f>
        <v>ADISTI</v>
      </c>
      <c r="E128" s="49" t="str">
        <f t="shared" si="4"/>
        <v>ADISTIFBI</v>
      </c>
      <c r="F128" s="49" t="str">
        <f t="shared" si="6"/>
        <v>SURYA BUMI RETAILINDOFBI</v>
      </c>
      <c r="G128" s="50">
        <f t="shared" si="5"/>
        <v>318000</v>
      </c>
      <c r="H128" s="50">
        <f>SUMIF(I$1:BI$1,"&lt;="&amp;PARAMETER!X$2,I128:BI128)</f>
        <v>188420.71629726165</v>
      </c>
      <c r="I128" s="50">
        <v>47554.554873303583</v>
      </c>
      <c r="J128" s="50">
        <v>23892.615990170601</v>
      </c>
      <c r="K128" s="50">
        <v>23215.897282158741</v>
      </c>
      <c r="L128" s="50">
        <v>24327.296620134424</v>
      </c>
      <c r="M128" s="50">
        <v>35174.5541587771</v>
      </c>
      <c r="N128" s="50">
        <v>34255.797372717207</v>
      </c>
      <c r="O128" s="50">
        <v>0</v>
      </c>
      <c r="P128" s="50">
        <v>0</v>
      </c>
      <c r="Q128" s="50">
        <v>0</v>
      </c>
      <c r="R128" s="50">
        <v>0</v>
      </c>
      <c r="S128" s="50">
        <v>0</v>
      </c>
      <c r="T128" s="50">
        <v>0</v>
      </c>
      <c r="U128" s="50">
        <v>0</v>
      </c>
      <c r="V128" s="50">
        <v>0</v>
      </c>
      <c r="W128" s="50">
        <v>0</v>
      </c>
      <c r="X128" s="50">
        <v>0</v>
      </c>
      <c r="Y128" s="50">
        <v>0</v>
      </c>
      <c r="Z128" s="50">
        <v>0</v>
      </c>
      <c r="AA128" s="50">
        <v>0</v>
      </c>
      <c r="AB128" s="50">
        <v>0</v>
      </c>
      <c r="AC128" s="50">
        <v>0</v>
      </c>
      <c r="AD128" s="50">
        <v>0</v>
      </c>
      <c r="AE128" s="50">
        <v>0</v>
      </c>
      <c r="AF128" s="50">
        <v>0</v>
      </c>
      <c r="AG128" s="50">
        <v>0</v>
      </c>
      <c r="AH128" s="50">
        <v>36483.535601281801</v>
      </c>
      <c r="AI128" s="50">
        <v>0</v>
      </c>
      <c r="AJ128" s="50">
        <v>62238.362926638329</v>
      </c>
      <c r="AK128" s="50">
        <v>0</v>
      </c>
      <c r="AL128" s="50">
        <v>0</v>
      </c>
      <c r="AM128" s="50">
        <v>13465.22042365207</v>
      </c>
      <c r="AN128" s="50">
        <v>12916.930083584064</v>
      </c>
      <c r="AO128" s="50">
        <v>0</v>
      </c>
      <c r="AP128" s="50">
        <v>0</v>
      </c>
      <c r="AQ128" s="50">
        <v>0</v>
      </c>
      <c r="AR128" s="50">
        <v>0</v>
      </c>
      <c r="AS128" s="50">
        <v>0</v>
      </c>
      <c r="AT128" s="50">
        <v>0</v>
      </c>
      <c r="AU128" s="50">
        <v>0</v>
      </c>
      <c r="AV128" s="50">
        <v>0</v>
      </c>
      <c r="AW128" s="50">
        <v>0</v>
      </c>
      <c r="AX128" s="50">
        <v>0</v>
      </c>
      <c r="AY128" s="50">
        <v>0</v>
      </c>
      <c r="AZ128" s="50">
        <v>0</v>
      </c>
      <c r="BA128" s="50">
        <v>0</v>
      </c>
      <c r="BB128" s="50">
        <v>0</v>
      </c>
      <c r="BC128" s="50">
        <v>4475.2346675820882</v>
      </c>
      <c r="BD128" s="50">
        <v>0</v>
      </c>
      <c r="BE128" s="50">
        <v>0</v>
      </c>
      <c r="BF128" s="50">
        <v>0</v>
      </c>
      <c r="BG128" s="50">
        <v>0</v>
      </c>
      <c r="BH128" s="50">
        <v>0</v>
      </c>
      <c r="BI128" s="50">
        <v>0</v>
      </c>
    </row>
    <row r="129" spans="1:61" x14ac:dyDescent="0.25">
      <c r="A129" s="48" t="s">
        <v>51</v>
      </c>
      <c r="B129" s="48" t="s">
        <v>136</v>
      </c>
      <c r="C129" s="49" t="s">
        <v>40</v>
      </c>
      <c r="D129" s="49" t="str">
        <f>VLOOKUP(A129,PARAMETER!D:E,2,0)</f>
        <v>NINA</v>
      </c>
      <c r="E129" s="49" t="str">
        <f t="shared" si="4"/>
        <v>NINAFBI</v>
      </c>
      <c r="F129" s="49" t="str">
        <f t="shared" si="6"/>
        <v>SUSHI TEIFBI</v>
      </c>
      <c r="G129" s="50">
        <f t="shared" si="5"/>
        <v>97999.999999999971</v>
      </c>
      <c r="H129" s="50">
        <f>SUMIF(I$1:BI$1,"&lt;="&amp;PARAMETER!X$2,I129:BI129)</f>
        <v>157.87692566933498</v>
      </c>
      <c r="I129" s="50">
        <v>0</v>
      </c>
      <c r="J129" s="50">
        <v>0</v>
      </c>
      <c r="K129" s="50">
        <v>0</v>
      </c>
      <c r="L129" s="50">
        <v>0</v>
      </c>
      <c r="M129" s="50">
        <v>0</v>
      </c>
      <c r="N129" s="50">
        <v>0</v>
      </c>
      <c r="O129" s="50">
        <v>0</v>
      </c>
      <c r="P129" s="50">
        <v>0</v>
      </c>
      <c r="Q129" s="50">
        <v>157.87692566933498</v>
      </c>
      <c r="R129" s="50">
        <v>0</v>
      </c>
      <c r="S129" s="50">
        <v>0</v>
      </c>
      <c r="T129" s="50">
        <v>0</v>
      </c>
      <c r="U129" s="50">
        <v>0</v>
      </c>
      <c r="V129" s="50">
        <v>0</v>
      </c>
      <c r="W129" s="50">
        <v>0</v>
      </c>
      <c r="X129" s="50">
        <v>6.3149507277588434E-3</v>
      </c>
      <c r="Y129" s="50">
        <v>0</v>
      </c>
      <c r="Z129" s="50">
        <v>3.1574753638794217E-3</v>
      </c>
      <c r="AA129" s="50">
        <v>0</v>
      </c>
      <c r="AB129" s="50">
        <v>0</v>
      </c>
      <c r="AC129" s="50">
        <v>3.1574753638794217E-3</v>
      </c>
      <c r="AD129" s="50">
        <v>0</v>
      </c>
      <c r="AE129" s="50">
        <v>6939.3288510645434</v>
      </c>
      <c r="AF129" s="50">
        <v>1450.8567722272303</v>
      </c>
      <c r="AG129" s="50">
        <v>1550.4467026793513</v>
      </c>
      <c r="AH129" s="50">
        <v>1421.2428107894054</v>
      </c>
      <c r="AI129" s="50">
        <v>7668.79406943088</v>
      </c>
      <c r="AJ129" s="50">
        <v>8225.9874319439532</v>
      </c>
      <c r="AK129" s="50">
        <v>5550.3901707229888</v>
      </c>
      <c r="AL129" s="50">
        <v>1353.950695834407</v>
      </c>
      <c r="AM129" s="50">
        <v>10315.370974582427</v>
      </c>
      <c r="AN129" s="50">
        <v>1528.5496110308475</v>
      </c>
      <c r="AO129" s="50">
        <v>6565.1774928709237</v>
      </c>
      <c r="AP129" s="50">
        <v>6656.6937588176061</v>
      </c>
      <c r="AQ129" s="50">
        <v>0</v>
      </c>
      <c r="AR129" s="50">
        <v>0</v>
      </c>
      <c r="AS129" s="50">
        <v>0</v>
      </c>
      <c r="AT129" s="50">
        <v>3.1574753638794217E-3</v>
      </c>
      <c r="AU129" s="50">
        <v>0</v>
      </c>
      <c r="AV129" s="50">
        <v>0</v>
      </c>
      <c r="AW129" s="50">
        <v>0</v>
      </c>
      <c r="AX129" s="50">
        <v>3.1574753638794217E-3</v>
      </c>
      <c r="AY129" s="50">
        <v>0</v>
      </c>
      <c r="AZ129" s="50">
        <v>0</v>
      </c>
      <c r="BA129" s="50">
        <v>0</v>
      </c>
      <c r="BB129" s="50">
        <v>38615.295362647914</v>
      </c>
      <c r="BC129" s="50">
        <v>0</v>
      </c>
      <c r="BD129" s="50">
        <v>3.1574753638794217E-3</v>
      </c>
      <c r="BE129" s="50">
        <v>3.1890501175182162E-3</v>
      </c>
      <c r="BF129" s="50">
        <v>3.220940618693398E-3</v>
      </c>
      <c r="BG129" s="50">
        <v>3.2531500248803315E-3</v>
      </c>
      <c r="BH129" s="50">
        <v>3.2856815251291354E-3</v>
      </c>
      <c r="BI129" s="50">
        <v>3.3185383403804263E-3</v>
      </c>
    </row>
    <row r="130" spans="1:61" x14ac:dyDescent="0.25">
      <c r="A130" s="48" t="s">
        <v>36</v>
      </c>
      <c r="B130" s="48" t="s">
        <v>136</v>
      </c>
      <c r="C130" s="49" t="s">
        <v>40</v>
      </c>
      <c r="D130" s="49" t="str">
        <f>VLOOKUP(A130,PARAMETER!D:E,2,0)</f>
        <v>NINA</v>
      </c>
      <c r="E130" s="49" t="str">
        <f t="shared" si="4"/>
        <v>NINAFBI</v>
      </c>
      <c r="F130" s="49" t="str">
        <f t="shared" si="6"/>
        <v>TAMANIFBI</v>
      </c>
      <c r="G130" s="50">
        <f t="shared" si="5"/>
        <v>0</v>
      </c>
      <c r="H130" s="50">
        <f>SUMIF(I$1:BI$1,"&lt;="&amp;PARAMETER!X$2,I130:BI130)</f>
        <v>0</v>
      </c>
      <c r="I130" s="50">
        <v>0</v>
      </c>
      <c r="J130" s="50">
        <v>0</v>
      </c>
      <c r="K130" s="50">
        <v>0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0">
        <v>0</v>
      </c>
      <c r="AL130" s="50">
        <v>0</v>
      </c>
      <c r="AM130" s="50">
        <v>0</v>
      </c>
      <c r="AN130" s="50">
        <v>0</v>
      </c>
      <c r="AO130" s="50">
        <v>0</v>
      </c>
      <c r="AP130" s="50">
        <v>0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>
        <v>0</v>
      </c>
      <c r="AW130" s="50">
        <v>0</v>
      </c>
      <c r="AX130" s="50">
        <v>0</v>
      </c>
      <c r="AY130" s="50">
        <v>0</v>
      </c>
      <c r="AZ130" s="50">
        <v>0</v>
      </c>
      <c r="BA130" s="50">
        <v>0</v>
      </c>
      <c r="BB130" s="50">
        <v>0</v>
      </c>
      <c r="BC130" s="50">
        <v>0</v>
      </c>
      <c r="BD130" s="50">
        <v>0</v>
      </c>
      <c r="BE130" s="50">
        <v>0</v>
      </c>
      <c r="BF130" s="50">
        <v>0</v>
      </c>
      <c r="BG130" s="50">
        <v>0</v>
      </c>
      <c r="BH130" s="50">
        <v>0</v>
      </c>
      <c r="BI130" s="50">
        <v>0</v>
      </c>
    </row>
    <row r="131" spans="1:61" x14ac:dyDescent="0.25">
      <c r="A131" s="48" t="s">
        <v>37</v>
      </c>
      <c r="B131" s="48" t="s">
        <v>136</v>
      </c>
      <c r="C131" s="49" t="s">
        <v>40</v>
      </c>
      <c r="D131" s="49" t="str">
        <f>VLOOKUP(A131,PARAMETER!D:E,2,0)</f>
        <v>NINA</v>
      </c>
      <c r="E131" s="49" t="str">
        <f t="shared" ref="E131:E133" si="7">CONCATENATE(D131,C131)</f>
        <v>NINAFBI</v>
      </c>
      <c r="F131" s="49" t="str">
        <f t="shared" si="6"/>
        <v>YOGURT REPUBLICFBI</v>
      </c>
      <c r="G131" s="50">
        <f t="shared" ref="G131:G133" si="8">SUM(I131:BI131)</f>
        <v>20999.999999999989</v>
      </c>
      <c r="H131" s="50">
        <f>SUMIF(I$1:BI$1,"&lt;="&amp;PARAMETER!X$2,I131:BI131)</f>
        <v>5215.6651568462812</v>
      </c>
      <c r="I131" s="50">
        <v>308.76078915792351</v>
      </c>
      <c r="J131" s="50">
        <v>533.25463500309513</v>
      </c>
      <c r="K131" s="50">
        <v>365.44241419379966</v>
      </c>
      <c r="L131" s="50">
        <v>389.60718060802446</v>
      </c>
      <c r="M131" s="50">
        <v>492.55947257014992</v>
      </c>
      <c r="N131" s="50">
        <v>480.63019456580076</v>
      </c>
      <c r="O131" s="50">
        <v>562.14020930817514</v>
      </c>
      <c r="P131" s="50">
        <v>497.055576578451</v>
      </c>
      <c r="Q131" s="50">
        <v>554.16395853232893</v>
      </c>
      <c r="R131" s="50">
        <v>531.60544113153242</v>
      </c>
      <c r="S131" s="50">
        <v>500.44528519700026</v>
      </c>
      <c r="T131" s="50">
        <v>554.95706431150734</v>
      </c>
      <c r="U131" s="50">
        <v>953.33007926565722</v>
      </c>
      <c r="V131" s="50">
        <v>892.12420298912832</v>
      </c>
      <c r="W131" s="50">
        <v>713.88216938157996</v>
      </c>
      <c r="X131" s="50">
        <v>757.25665003374979</v>
      </c>
      <c r="Y131" s="50">
        <v>523.35110544048121</v>
      </c>
      <c r="Z131" s="50">
        <v>558.7172397317612</v>
      </c>
      <c r="AA131" s="50">
        <v>546.50728516220215</v>
      </c>
      <c r="AB131" s="50">
        <v>454.43791425698515</v>
      </c>
      <c r="AC131" s="50">
        <v>423.77693359478587</v>
      </c>
      <c r="AD131" s="50">
        <v>423.5991055294341</v>
      </c>
      <c r="AE131" s="50">
        <v>566.35379737550784</v>
      </c>
      <c r="AF131" s="50">
        <v>465.71586191295978</v>
      </c>
      <c r="AG131" s="50">
        <v>506.74576464351549</v>
      </c>
      <c r="AH131" s="50">
        <v>559.88797848581203</v>
      </c>
      <c r="AI131" s="50">
        <v>555.94066941126277</v>
      </c>
      <c r="AJ131" s="50">
        <v>607.8633988677052</v>
      </c>
      <c r="AK131" s="50">
        <v>528.31491095813635</v>
      </c>
      <c r="AL131" s="50">
        <v>407.7013330162676</v>
      </c>
      <c r="AM131" s="50">
        <v>491.69079584225528</v>
      </c>
      <c r="AN131" s="50">
        <v>430.6971304777033</v>
      </c>
      <c r="AO131" s="50">
        <v>471.3246099705043</v>
      </c>
      <c r="AP131" s="50">
        <v>390.46033787473215</v>
      </c>
      <c r="AQ131" s="50">
        <v>438.07571458421899</v>
      </c>
      <c r="AR131" s="50">
        <v>538.84336734759859</v>
      </c>
      <c r="AS131" s="50">
        <v>189.45776861818783</v>
      </c>
      <c r="AT131" s="50">
        <v>182.68452176927204</v>
      </c>
      <c r="AU131" s="50">
        <v>93.479785103846808</v>
      </c>
      <c r="AV131" s="50">
        <v>109.57461868231736</v>
      </c>
      <c r="AW131" s="50">
        <v>81.465213114857121</v>
      </c>
      <c r="AX131" s="50">
        <v>92.61104749826751</v>
      </c>
      <c r="AY131" s="50">
        <v>97.591346520064505</v>
      </c>
      <c r="AZ131" s="50">
        <v>95.452730850935538</v>
      </c>
      <c r="BA131" s="50">
        <v>112.11060474137267</v>
      </c>
      <c r="BB131" s="50">
        <v>117.36715365102222</v>
      </c>
      <c r="BC131" s="50">
        <v>100.32792455013521</v>
      </c>
      <c r="BD131" s="50">
        <v>122.018021778994</v>
      </c>
      <c r="BE131" s="50">
        <v>123.23820199678394</v>
      </c>
      <c r="BF131" s="50">
        <v>124.47058401675179</v>
      </c>
      <c r="BG131" s="50">
        <v>125.71528985691931</v>
      </c>
      <c r="BH131" s="50">
        <v>126.9724427554885</v>
      </c>
      <c r="BI131" s="50">
        <v>128.24216718304339</v>
      </c>
    </row>
    <row r="132" spans="1:61" x14ac:dyDescent="0.25">
      <c r="A132" s="48" t="s">
        <v>38</v>
      </c>
      <c r="B132" s="48" t="s">
        <v>136</v>
      </c>
      <c r="C132" s="49" t="s">
        <v>40</v>
      </c>
      <c r="D132" s="49" t="str">
        <f>VLOOKUP(A132,PARAMETER!D:E,2,0)</f>
        <v>NINA</v>
      </c>
      <c r="E132" s="49" t="str">
        <f t="shared" si="7"/>
        <v>NINAFBI</v>
      </c>
      <c r="F132" s="49" t="str">
        <f t="shared" si="6"/>
        <v>YOSHINOYAFBI</v>
      </c>
      <c r="G132" s="50">
        <f t="shared" si="8"/>
        <v>1102892999.9999998</v>
      </c>
      <c r="H132" s="50">
        <f>SUMIF(I$1:BI$1,"&lt;="&amp;PARAMETER!X$2,I132:BI132)</f>
        <v>140808364.53139082</v>
      </c>
      <c r="I132" s="50">
        <v>4167227.5807728041</v>
      </c>
      <c r="J132" s="50">
        <v>2778426.7156958594</v>
      </c>
      <c r="K132" s="50">
        <v>2621571.0360506577</v>
      </c>
      <c r="L132" s="50">
        <v>3751342.6039316128</v>
      </c>
      <c r="M132" s="50">
        <v>4159800.7376643657</v>
      </c>
      <c r="N132" s="50">
        <v>4231138.799899959</v>
      </c>
      <c r="O132" s="50">
        <v>5350664.3099981267</v>
      </c>
      <c r="P132" s="50">
        <v>26662510.421269208</v>
      </c>
      <c r="Q132" s="50">
        <v>28579940.787521761</v>
      </c>
      <c r="R132" s="50">
        <v>26674203.732668187</v>
      </c>
      <c r="S132" s="50">
        <v>31831537.805918276</v>
      </c>
      <c r="T132" s="50">
        <v>39208629.928906322</v>
      </c>
      <c r="U132" s="50">
        <v>48286667.800449193</v>
      </c>
      <c r="V132" s="50">
        <v>49032653.51486396</v>
      </c>
      <c r="W132" s="50">
        <v>31205649.991458382</v>
      </c>
      <c r="X132" s="50">
        <v>29678415.151647385</v>
      </c>
      <c r="Y132" s="50">
        <v>33105747.162294876</v>
      </c>
      <c r="Z132" s="50">
        <v>34938507.491181768</v>
      </c>
      <c r="AA132" s="50">
        <v>34454579.767619245</v>
      </c>
      <c r="AB132" s="50">
        <v>27078803.843401298</v>
      </c>
      <c r="AC132" s="50">
        <v>27828464.865038242</v>
      </c>
      <c r="AD132" s="50">
        <v>28646784.490154531</v>
      </c>
      <c r="AE132" s="50">
        <v>28401621.738516066</v>
      </c>
      <c r="AF132" s="50">
        <v>22899979.65973876</v>
      </c>
      <c r="AG132" s="50">
        <v>26885092.19394983</v>
      </c>
      <c r="AH132" s="50">
        <v>31467071.982436236</v>
      </c>
      <c r="AI132" s="50">
        <v>30596743.605314035</v>
      </c>
      <c r="AJ132" s="50">
        <v>30174919.015422858</v>
      </c>
      <c r="AK132" s="50">
        <v>25389476.241644349</v>
      </c>
      <c r="AL132" s="50">
        <v>26347607.136336923</v>
      </c>
      <c r="AM132" s="50">
        <v>31329754.216507751</v>
      </c>
      <c r="AN132" s="50">
        <v>31962641.194836546</v>
      </c>
      <c r="AO132" s="50">
        <v>35580280.284397185</v>
      </c>
      <c r="AP132" s="50">
        <v>30879932.802776553</v>
      </c>
      <c r="AQ132" s="50">
        <v>28342698.186672952</v>
      </c>
      <c r="AR132" s="50">
        <v>34769275.034972593</v>
      </c>
      <c r="AS132" s="50">
        <v>29543450.163669687</v>
      </c>
      <c r="AT132" s="50">
        <v>27514895.679378666</v>
      </c>
      <c r="AU132" s="50">
        <v>31275394.471213657</v>
      </c>
      <c r="AV132" s="50">
        <v>18295531.285630926</v>
      </c>
      <c r="AW132" s="50">
        <v>6110795.2063117512</v>
      </c>
      <c r="AX132" s="50">
        <v>4610651.5986604271</v>
      </c>
      <c r="AY132" s="50">
        <v>4406679.4659646992</v>
      </c>
      <c r="AZ132" s="50">
        <v>4554771.4555218006</v>
      </c>
      <c r="BA132" s="50">
        <v>4461133.8724569837</v>
      </c>
      <c r="BB132" s="50">
        <v>4047470.6725970865</v>
      </c>
      <c r="BC132" s="50">
        <v>4516872.6770521877</v>
      </c>
      <c r="BD132" s="50">
        <v>3942609.2723542927</v>
      </c>
      <c r="BE132" s="50">
        <v>3982035.365077835</v>
      </c>
      <c r="BF132" s="50">
        <v>4021855.718728614</v>
      </c>
      <c r="BG132" s="50">
        <v>4062074.2759158993</v>
      </c>
      <c r="BH132" s="50">
        <v>4102695.0186750586</v>
      </c>
      <c r="BI132" s="50">
        <v>4143721.968861809</v>
      </c>
    </row>
    <row r="133" spans="1:61" x14ac:dyDescent="0.25">
      <c r="A133" s="48" t="s">
        <v>52</v>
      </c>
      <c r="B133" s="48" t="s">
        <v>136</v>
      </c>
      <c r="C133" s="49" t="s">
        <v>40</v>
      </c>
      <c r="D133" s="49" t="str">
        <f>VLOOKUP(A133,PARAMETER!D:E,2,0)</f>
        <v>NINA</v>
      </c>
      <c r="E133" s="49" t="str">
        <f t="shared" si="7"/>
        <v>NINAFBI</v>
      </c>
      <c r="F133" s="49" t="str">
        <f t="shared" si="6"/>
        <v>ZENBUFBI</v>
      </c>
      <c r="G133" s="50">
        <f t="shared" si="8"/>
        <v>0</v>
      </c>
      <c r="H133" s="50">
        <f>SUMIF(I$1:BI$1,"&lt;="&amp;PARAMETER!X$2,I133:BI133)</f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  <c r="Q133" s="50">
        <v>0</v>
      </c>
      <c r="R133" s="50">
        <v>0</v>
      </c>
      <c r="S133" s="50">
        <v>0</v>
      </c>
      <c r="T133" s="50">
        <v>0</v>
      </c>
      <c r="U133" s="50">
        <v>0</v>
      </c>
      <c r="V133" s="50">
        <v>0</v>
      </c>
      <c r="W133" s="50">
        <v>0</v>
      </c>
      <c r="X133" s="50">
        <v>0</v>
      </c>
      <c r="Y133" s="50">
        <v>0</v>
      </c>
      <c r="Z133" s="50">
        <v>0</v>
      </c>
      <c r="AA133" s="50">
        <v>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0</v>
      </c>
      <c r="AL133" s="50">
        <v>0</v>
      </c>
      <c r="AM133" s="50">
        <v>0</v>
      </c>
      <c r="AN133" s="50">
        <v>0</v>
      </c>
      <c r="AO133" s="50">
        <v>0</v>
      </c>
      <c r="AP133" s="50">
        <v>0</v>
      </c>
      <c r="AQ133" s="50">
        <v>0</v>
      </c>
      <c r="AR133" s="50">
        <v>0</v>
      </c>
      <c r="AS133" s="50">
        <v>0</v>
      </c>
      <c r="AT133" s="50">
        <v>0</v>
      </c>
      <c r="AU133" s="50">
        <v>0</v>
      </c>
      <c r="AV133" s="50">
        <v>0</v>
      </c>
      <c r="AW133" s="50">
        <v>0</v>
      </c>
      <c r="AX133" s="50">
        <v>0</v>
      </c>
      <c r="AY133" s="50">
        <v>0</v>
      </c>
      <c r="AZ133" s="50">
        <v>0</v>
      </c>
      <c r="BA133" s="50">
        <v>0</v>
      </c>
      <c r="BB133" s="50">
        <v>0</v>
      </c>
      <c r="BC133" s="50">
        <v>0</v>
      </c>
      <c r="BD133" s="50">
        <v>0</v>
      </c>
      <c r="BE133" s="50">
        <v>0</v>
      </c>
      <c r="BF133" s="50">
        <v>0</v>
      </c>
      <c r="BG133" s="50">
        <v>0</v>
      </c>
      <c r="BH133" s="50">
        <v>0</v>
      </c>
      <c r="BI133" s="50">
        <v>0</v>
      </c>
    </row>
    <row r="136" spans="1:61" x14ac:dyDescent="0.25">
      <c r="G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</row>
    <row r="137" spans="1:61" x14ac:dyDescent="0.25">
      <c r="G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</row>
    <row r="138" spans="1:61" x14ac:dyDescent="0.25">
      <c r="G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</row>
  </sheetData>
  <autoFilter ref="A1:DS133" xr:uid="{8BE40949-A762-C442-B409-EC3705F0B95A}"/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34BA-B326-44C7-9440-32AD376AC2C9}">
  <sheetPr codeName="Sheet6"/>
  <dimension ref="A1:BI112"/>
  <sheetViews>
    <sheetView zoomScale="57" zoomScaleNormal="57" workbookViewId="0">
      <selection activeCell="E20" sqref="E20"/>
    </sheetView>
  </sheetViews>
  <sheetFormatPr defaultRowHeight="15.75" x14ac:dyDescent="0.25"/>
  <cols>
    <col min="1" max="1" width="30.625" bestFit="1" customWidth="1"/>
    <col min="2" max="2" width="14.75" bestFit="1" customWidth="1"/>
    <col min="3" max="3" width="16" bestFit="1" customWidth="1"/>
    <col min="4" max="4" width="11.875" bestFit="1" customWidth="1"/>
    <col min="5" max="5" width="14.25" bestFit="1" customWidth="1"/>
    <col min="6" max="6" width="35.25" bestFit="1" customWidth="1"/>
    <col min="7" max="8" width="16" bestFit="1" customWidth="1"/>
    <col min="9" max="10" width="14.75" bestFit="1" customWidth="1"/>
    <col min="11" max="11" width="16" bestFit="1" customWidth="1"/>
    <col min="12" max="15" width="14.75" bestFit="1" customWidth="1"/>
    <col min="16" max="17" width="10.25" bestFit="1" customWidth="1"/>
    <col min="18" max="61" width="11.125" bestFit="1" customWidth="1"/>
  </cols>
  <sheetData>
    <row r="1" spans="1:61" x14ac:dyDescent="0.25">
      <c r="A1" s="77" t="s">
        <v>0</v>
      </c>
      <c r="B1" s="77" t="s">
        <v>135</v>
      </c>
      <c r="C1" s="77" t="s">
        <v>134</v>
      </c>
      <c r="D1" s="77" t="s">
        <v>58</v>
      </c>
      <c r="E1" s="77" t="s">
        <v>139</v>
      </c>
      <c r="F1" s="77" t="s">
        <v>142</v>
      </c>
      <c r="G1" s="77" t="s">
        <v>73</v>
      </c>
      <c r="H1" s="77" t="s">
        <v>74</v>
      </c>
      <c r="I1" s="77">
        <v>1</v>
      </c>
      <c r="J1" s="77">
        <v>2</v>
      </c>
      <c r="K1" s="77">
        <v>3</v>
      </c>
      <c r="L1" s="77">
        <v>4</v>
      </c>
      <c r="M1" s="77">
        <v>5</v>
      </c>
      <c r="N1" s="77">
        <v>6</v>
      </c>
      <c r="O1" s="77">
        <v>7</v>
      </c>
      <c r="P1" s="77">
        <v>8</v>
      </c>
      <c r="Q1" s="77">
        <v>9</v>
      </c>
      <c r="R1" s="77">
        <v>10</v>
      </c>
      <c r="S1" s="77">
        <v>11</v>
      </c>
      <c r="T1" s="77">
        <v>12</v>
      </c>
      <c r="U1" s="77">
        <v>13</v>
      </c>
      <c r="V1" s="77">
        <v>14</v>
      </c>
      <c r="W1" s="77">
        <v>15</v>
      </c>
      <c r="X1" s="77">
        <v>16</v>
      </c>
      <c r="Y1" s="77">
        <v>17</v>
      </c>
      <c r="Z1" s="77">
        <v>18</v>
      </c>
      <c r="AA1" s="77">
        <v>19</v>
      </c>
      <c r="AB1" s="77">
        <v>20</v>
      </c>
      <c r="AC1" s="77">
        <v>21</v>
      </c>
      <c r="AD1" s="77">
        <v>22</v>
      </c>
      <c r="AE1" s="77">
        <v>23</v>
      </c>
      <c r="AF1" s="77">
        <v>24</v>
      </c>
      <c r="AG1" s="77">
        <v>25</v>
      </c>
      <c r="AH1" s="77">
        <v>26</v>
      </c>
      <c r="AI1" s="77">
        <v>27</v>
      </c>
      <c r="AJ1" s="77">
        <v>28</v>
      </c>
      <c r="AK1" s="77">
        <v>29</v>
      </c>
      <c r="AL1" s="77">
        <v>30</v>
      </c>
      <c r="AM1" s="77">
        <v>31</v>
      </c>
      <c r="AN1" s="77">
        <v>32</v>
      </c>
      <c r="AO1" s="77">
        <v>33</v>
      </c>
      <c r="AP1" s="77">
        <v>34</v>
      </c>
      <c r="AQ1" s="77">
        <v>35</v>
      </c>
      <c r="AR1" s="77">
        <v>36</v>
      </c>
      <c r="AS1" s="77">
        <v>37</v>
      </c>
      <c r="AT1" s="77">
        <v>38</v>
      </c>
      <c r="AU1" s="77">
        <v>39</v>
      </c>
      <c r="AV1" s="77">
        <v>40</v>
      </c>
      <c r="AW1" s="77">
        <v>41</v>
      </c>
      <c r="AX1" s="77">
        <v>42</v>
      </c>
      <c r="AY1" s="77">
        <v>43</v>
      </c>
      <c r="AZ1" s="77">
        <v>44</v>
      </c>
      <c r="BA1" s="77">
        <v>45</v>
      </c>
      <c r="BB1" s="77">
        <v>46</v>
      </c>
      <c r="BC1" s="77">
        <v>47</v>
      </c>
      <c r="BD1" s="77">
        <v>48</v>
      </c>
      <c r="BE1" s="77">
        <v>49</v>
      </c>
      <c r="BF1" s="77">
        <v>50</v>
      </c>
      <c r="BG1" s="77">
        <v>51</v>
      </c>
      <c r="BH1" s="77">
        <v>52</v>
      </c>
      <c r="BI1" s="77">
        <v>53</v>
      </c>
    </row>
    <row r="2" spans="1:61" x14ac:dyDescent="0.25">
      <c r="A2" t="s">
        <v>1</v>
      </c>
      <c r="B2" t="s">
        <v>143</v>
      </c>
      <c r="C2" t="s">
        <v>42</v>
      </c>
      <c r="D2" t="str">
        <f>IFERROR(VLOOKUP(A2,[1]PARAMETER!D:E,2,0),"")</f>
        <v>NINA</v>
      </c>
      <c r="E2" t="str">
        <f t="shared" ref="E2:E38" si="0">CONCATENATE(D2,C2)</f>
        <v>NINATRX</v>
      </c>
      <c r="F2" t="str">
        <f t="shared" ref="F2:F38" si="1">CONCATENATE(A2,C2)</f>
        <v>ALFA GROUPTRX</v>
      </c>
      <c r="G2" s="81">
        <f>SUM(I2:BI2)</f>
        <v>508906</v>
      </c>
      <c r="H2" s="81">
        <f>SUMIF(I$1:BI$1,"&lt;="&amp;PARAMETER!X$2,I2:BI2)</f>
        <v>508906</v>
      </c>
      <c r="I2">
        <v>22230</v>
      </c>
      <c r="J2">
        <v>33742</v>
      </c>
      <c r="K2">
        <v>33336</v>
      </c>
      <c r="L2">
        <v>33852</v>
      </c>
      <c r="M2">
        <v>45634</v>
      </c>
      <c r="N2">
        <v>77730</v>
      </c>
      <c r="O2">
        <v>77734</v>
      </c>
      <c r="P2">
        <v>76614</v>
      </c>
      <c r="Q2">
        <v>66538</v>
      </c>
      <c r="R2">
        <v>22048</v>
      </c>
      <c r="S2">
        <v>19448</v>
      </c>
    </row>
    <row r="3" spans="1:61" x14ac:dyDescent="0.25">
      <c r="A3" t="s">
        <v>2</v>
      </c>
      <c r="B3" t="s">
        <v>143</v>
      </c>
      <c r="C3" t="s">
        <v>42</v>
      </c>
      <c r="D3" t="str">
        <f>IFERROR(VLOOKUP(A3,[1]PARAMETER!D:E,2,0),"")</f>
        <v>ADISTI</v>
      </c>
      <c r="E3" t="str">
        <f t="shared" si="0"/>
        <v>ADISTITRX</v>
      </c>
      <c r="F3" t="str">
        <f t="shared" si="1"/>
        <v>ANCOLTRX</v>
      </c>
      <c r="G3" s="81">
        <f t="shared" ref="G3:G66" si="2">SUM(I3:BI3)</f>
        <v>57112</v>
      </c>
      <c r="H3" s="81">
        <f>SUMIF(I$1:BI$1,"&lt;="&amp;PARAMETER!X$2,I3:BI3)</f>
        <v>57112</v>
      </c>
      <c r="I3">
        <v>577</v>
      </c>
      <c r="J3">
        <v>423</v>
      </c>
      <c r="K3">
        <v>370</v>
      </c>
      <c r="L3">
        <v>1822</v>
      </c>
      <c r="M3">
        <v>4959</v>
      </c>
      <c r="N3">
        <v>10498</v>
      </c>
      <c r="O3">
        <v>11404</v>
      </c>
      <c r="P3">
        <v>9687</v>
      </c>
      <c r="Q3">
        <v>5287</v>
      </c>
      <c r="R3">
        <v>5688</v>
      </c>
      <c r="S3">
        <v>6397</v>
      </c>
    </row>
    <row r="4" spans="1:61" x14ac:dyDescent="0.25">
      <c r="A4" t="s">
        <v>3</v>
      </c>
      <c r="B4" t="s">
        <v>143</v>
      </c>
      <c r="C4" t="s">
        <v>42</v>
      </c>
      <c r="D4" t="str">
        <f>IFERROR(VLOOKUP(A4,[1]PARAMETER!D:E,2,0),"")</f>
        <v>NINA</v>
      </c>
      <c r="E4" t="str">
        <f t="shared" si="0"/>
        <v>NINATRX</v>
      </c>
      <c r="F4" t="str">
        <f t="shared" si="1"/>
        <v>BANBAN TEATRX</v>
      </c>
      <c r="G4" s="81">
        <f t="shared" si="2"/>
        <v>467</v>
      </c>
      <c r="H4" s="81">
        <f>SUMIF(I$1:BI$1,"&lt;="&amp;PARAMETER!X$2,I4:BI4)</f>
        <v>467</v>
      </c>
      <c r="I4">
        <v>14</v>
      </c>
      <c r="J4">
        <v>0</v>
      </c>
      <c r="K4">
        <v>0</v>
      </c>
      <c r="L4">
        <v>3</v>
      </c>
      <c r="M4">
        <v>14</v>
      </c>
      <c r="N4">
        <v>9</v>
      </c>
      <c r="O4">
        <v>73</v>
      </c>
      <c r="P4">
        <v>25</v>
      </c>
      <c r="Q4">
        <v>5</v>
      </c>
      <c r="R4">
        <v>153</v>
      </c>
      <c r="S4">
        <v>171</v>
      </c>
    </row>
    <row r="5" spans="1:61" x14ac:dyDescent="0.25">
      <c r="A5" t="s">
        <v>4</v>
      </c>
      <c r="B5" t="s">
        <v>143</v>
      </c>
      <c r="C5" t="s">
        <v>42</v>
      </c>
      <c r="D5" t="str">
        <f>IFERROR(VLOOKUP(A5,[1]PARAMETER!D:E,2,0),"")</f>
        <v>NINA</v>
      </c>
      <c r="E5" t="str">
        <f t="shared" si="0"/>
        <v>NINATRX</v>
      </c>
      <c r="F5" t="str">
        <f t="shared" si="1"/>
        <v>BEARD PAPATRX</v>
      </c>
      <c r="G5" s="81">
        <f t="shared" si="2"/>
        <v>267</v>
      </c>
      <c r="H5" s="81">
        <f>SUMIF(I$1:BI$1,"&lt;="&amp;PARAMETER!X$2,I5:BI5)</f>
        <v>267</v>
      </c>
      <c r="I5">
        <v>14</v>
      </c>
      <c r="J5">
        <v>28</v>
      </c>
      <c r="K5">
        <v>8</v>
      </c>
      <c r="L5">
        <v>9</v>
      </c>
      <c r="M5">
        <v>7</v>
      </c>
      <c r="N5">
        <v>21</v>
      </c>
      <c r="O5">
        <v>152</v>
      </c>
      <c r="P5">
        <v>1</v>
      </c>
      <c r="Q5">
        <v>8</v>
      </c>
      <c r="R5">
        <v>15</v>
      </c>
      <c r="S5">
        <v>4</v>
      </c>
    </row>
    <row r="6" spans="1:61" x14ac:dyDescent="0.25">
      <c r="A6" t="s">
        <v>6</v>
      </c>
      <c r="B6" t="s">
        <v>143</v>
      </c>
      <c r="C6" t="s">
        <v>42</v>
      </c>
      <c r="D6" t="str">
        <f>IFERROR(VLOOKUP(A6,[1]PARAMETER!D:E,2,0),"")</f>
        <v>RIFALDI</v>
      </c>
      <c r="E6" t="str">
        <f t="shared" si="0"/>
        <v>RIFALDITRX</v>
      </c>
      <c r="F6" t="str">
        <f t="shared" si="1"/>
        <v>CHAMP RESTOTRX</v>
      </c>
      <c r="G6" s="81">
        <f t="shared" si="2"/>
        <v>1431</v>
      </c>
      <c r="H6" s="81">
        <f>SUMIF(I$1:BI$1,"&lt;="&amp;PARAMETER!X$2,I6:BI6)</f>
        <v>1431</v>
      </c>
      <c r="I6">
        <v>41</v>
      </c>
      <c r="J6">
        <v>30</v>
      </c>
      <c r="K6">
        <v>26</v>
      </c>
      <c r="L6">
        <v>146</v>
      </c>
      <c r="M6">
        <v>191</v>
      </c>
      <c r="N6">
        <v>193</v>
      </c>
      <c r="O6">
        <v>200</v>
      </c>
      <c r="P6">
        <v>170</v>
      </c>
      <c r="Q6">
        <v>51</v>
      </c>
      <c r="R6">
        <v>175</v>
      </c>
      <c r="S6">
        <v>208</v>
      </c>
    </row>
    <row r="7" spans="1:61" x14ac:dyDescent="0.25">
      <c r="A7" t="s">
        <v>7</v>
      </c>
      <c r="B7" t="s">
        <v>143</v>
      </c>
      <c r="C7" t="s">
        <v>42</v>
      </c>
      <c r="D7" t="str">
        <f>IFERROR(VLOOKUP(A7,[1]PARAMETER!D:E,2,0),"")</f>
        <v>NINA</v>
      </c>
      <c r="E7" t="str">
        <f t="shared" si="0"/>
        <v>NINATRX</v>
      </c>
      <c r="F7" t="str">
        <f t="shared" si="1"/>
        <v>DAMRITRX</v>
      </c>
      <c r="G7" s="81">
        <f t="shared" si="2"/>
        <v>85</v>
      </c>
      <c r="H7" s="81">
        <f>SUMIF(I$1:BI$1,"&lt;="&amp;PARAMETER!X$2,I7:BI7)</f>
        <v>85</v>
      </c>
      <c r="I7">
        <v>1</v>
      </c>
      <c r="J7">
        <v>3</v>
      </c>
      <c r="K7">
        <v>2</v>
      </c>
      <c r="L7">
        <v>3</v>
      </c>
      <c r="M7">
        <v>11</v>
      </c>
      <c r="N7">
        <v>14</v>
      </c>
      <c r="O7">
        <v>16</v>
      </c>
      <c r="P7">
        <v>12</v>
      </c>
      <c r="Q7">
        <v>5</v>
      </c>
      <c r="R7">
        <v>8</v>
      </c>
      <c r="S7">
        <v>10</v>
      </c>
    </row>
    <row r="8" spans="1:61" x14ac:dyDescent="0.25">
      <c r="A8" t="s">
        <v>44</v>
      </c>
      <c r="B8" t="s">
        <v>143</v>
      </c>
      <c r="C8" t="s">
        <v>42</v>
      </c>
      <c r="D8" t="str">
        <f>IFERROR(VLOOKUP(A8,[1]PARAMETER!D:E,2,0),"")</f>
        <v>NINA</v>
      </c>
      <c r="E8" t="str">
        <f t="shared" si="0"/>
        <v>NINATRX</v>
      </c>
      <c r="F8" t="str">
        <f t="shared" si="1"/>
        <v>DELTA WIBAWA BERSAMATRX</v>
      </c>
      <c r="G8" s="81">
        <f t="shared" si="2"/>
        <v>857</v>
      </c>
      <c r="H8" s="81">
        <f>SUMIF(I$1:BI$1,"&lt;="&amp;PARAMETER!X$2,I8:BI8)</f>
        <v>857</v>
      </c>
      <c r="I8">
        <v>2</v>
      </c>
      <c r="J8">
        <v>5</v>
      </c>
      <c r="K8">
        <v>3</v>
      </c>
      <c r="L8">
        <v>30</v>
      </c>
      <c r="M8">
        <v>139</v>
      </c>
      <c r="N8">
        <v>131</v>
      </c>
      <c r="O8">
        <v>98</v>
      </c>
      <c r="P8">
        <v>109</v>
      </c>
      <c r="Q8">
        <v>43</v>
      </c>
      <c r="R8">
        <v>125</v>
      </c>
      <c r="S8">
        <v>172</v>
      </c>
    </row>
    <row r="9" spans="1:61" x14ac:dyDescent="0.25">
      <c r="A9" t="s">
        <v>8</v>
      </c>
      <c r="B9" t="s">
        <v>143</v>
      </c>
      <c r="C9" t="s">
        <v>42</v>
      </c>
      <c r="D9" t="str">
        <f>IFERROR(VLOOKUP(A9,[1]PARAMETER!D:E,2,0),"")</f>
        <v>NINA</v>
      </c>
      <c r="E9" t="str">
        <f t="shared" si="0"/>
        <v>NINATRX</v>
      </c>
      <c r="F9" t="str">
        <f t="shared" si="1"/>
        <v>DWIDAYATRX</v>
      </c>
      <c r="G9" s="81">
        <f t="shared" si="2"/>
        <v>361</v>
      </c>
      <c r="H9" s="81">
        <f>SUMIF(I$1:BI$1,"&lt;="&amp;PARAMETER!X$2,I9:BI9)</f>
        <v>361</v>
      </c>
      <c r="I9">
        <v>10</v>
      </c>
      <c r="J9">
        <v>19</v>
      </c>
      <c r="K9">
        <v>4</v>
      </c>
      <c r="L9">
        <v>22</v>
      </c>
      <c r="M9">
        <v>54</v>
      </c>
      <c r="N9">
        <v>101</v>
      </c>
      <c r="O9">
        <v>62</v>
      </c>
      <c r="P9">
        <v>18</v>
      </c>
      <c r="Q9">
        <v>31</v>
      </c>
      <c r="R9">
        <v>20</v>
      </c>
      <c r="S9">
        <v>20</v>
      </c>
    </row>
    <row r="10" spans="1:61" x14ac:dyDescent="0.25">
      <c r="A10" t="s">
        <v>45</v>
      </c>
      <c r="B10" t="s">
        <v>143</v>
      </c>
      <c r="C10" t="s">
        <v>42</v>
      </c>
      <c r="D10" t="str">
        <f>IFERROR(VLOOKUP(A10,[1]PARAMETER!D:E,2,0),"")</f>
        <v>ADISTI</v>
      </c>
      <c r="E10" t="str">
        <f t="shared" si="0"/>
        <v>ADISTITRX</v>
      </c>
      <c r="F10" t="str">
        <f t="shared" si="1"/>
        <v>EKA HOSPITALTRX</v>
      </c>
      <c r="G10" s="81">
        <f t="shared" si="2"/>
        <v>222</v>
      </c>
      <c r="H10" s="81">
        <f>SUMIF(I$1:BI$1,"&lt;="&amp;PARAMETER!X$2,I10:BI10)</f>
        <v>222</v>
      </c>
      <c r="I10">
        <v>4</v>
      </c>
      <c r="J10">
        <v>8</v>
      </c>
      <c r="K10">
        <v>13</v>
      </c>
      <c r="L10">
        <v>4</v>
      </c>
      <c r="M10">
        <v>22</v>
      </c>
      <c r="N10">
        <v>72</v>
      </c>
      <c r="O10">
        <v>32</v>
      </c>
      <c r="P10">
        <v>13</v>
      </c>
      <c r="Q10">
        <v>29</v>
      </c>
      <c r="R10">
        <v>13</v>
      </c>
      <c r="S10">
        <v>12</v>
      </c>
    </row>
    <row r="11" spans="1:61" x14ac:dyDescent="0.25">
      <c r="A11" t="s">
        <v>10</v>
      </c>
      <c r="B11" t="s">
        <v>143</v>
      </c>
      <c r="C11" t="s">
        <v>42</v>
      </c>
      <c r="D11" t="str">
        <f>IFERROR(VLOOKUP(A11,[1]PARAMETER!D:E,2,0),"")</f>
        <v>RIFALDI</v>
      </c>
      <c r="E11" t="str">
        <f t="shared" si="0"/>
        <v>RIFALDITRX</v>
      </c>
      <c r="F11" t="str">
        <f t="shared" si="1"/>
        <v>GRAMEDIATRX</v>
      </c>
      <c r="G11" s="81">
        <f t="shared" si="2"/>
        <v>16</v>
      </c>
      <c r="H11" s="81">
        <f>SUMIF(I$1:BI$1,"&lt;="&amp;PARAMETER!X$2,I11:BI11)</f>
        <v>16</v>
      </c>
      <c r="I11">
        <v>0</v>
      </c>
      <c r="J11">
        <v>4</v>
      </c>
      <c r="K11">
        <v>4</v>
      </c>
      <c r="L11">
        <v>0</v>
      </c>
      <c r="M11">
        <v>0</v>
      </c>
      <c r="N11">
        <v>8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61" x14ac:dyDescent="0.25">
      <c r="A12" t="s">
        <v>11</v>
      </c>
      <c r="B12" t="s">
        <v>143</v>
      </c>
      <c r="C12" t="s">
        <v>42</v>
      </c>
      <c r="D12" t="str">
        <f>IFERROR(VLOOKUP(A12,[1]PARAMETER!D:E,2,0),"")</f>
        <v>RIFALDI</v>
      </c>
      <c r="E12" t="str">
        <f t="shared" si="0"/>
        <v>RIFALDITRX</v>
      </c>
      <c r="F12" t="str">
        <f t="shared" si="1"/>
        <v>HAUSTRX</v>
      </c>
      <c r="G12" s="81">
        <f t="shared" si="2"/>
        <v>1024</v>
      </c>
      <c r="H12" s="81">
        <f>SUMIF(I$1:BI$1,"&lt;="&amp;PARAMETER!X$2,I12:BI12)</f>
        <v>1024</v>
      </c>
      <c r="I12">
        <v>0</v>
      </c>
      <c r="J12">
        <v>4</v>
      </c>
      <c r="K12">
        <v>2</v>
      </c>
      <c r="L12">
        <v>8</v>
      </c>
      <c r="M12">
        <v>91</v>
      </c>
      <c r="N12">
        <v>143</v>
      </c>
      <c r="O12">
        <v>201</v>
      </c>
      <c r="P12">
        <v>148</v>
      </c>
      <c r="Q12">
        <v>43</v>
      </c>
      <c r="R12">
        <v>200</v>
      </c>
      <c r="S12">
        <v>184</v>
      </c>
    </row>
    <row r="13" spans="1:61" x14ac:dyDescent="0.25">
      <c r="A13" t="s">
        <v>13</v>
      </c>
      <c r="B13" t="s">
        <v>143</v>
      </c>
      <c r="C13" t="s">
        <v>42</v>
      </c>
      <c r="D13" t="str">
        <f>IFERROR(VLOOKUP(A13,[1]PARAMETER!D:E,2,0),"")</f>
        <v>RIFALDI</v>
      </c>
      <c r="E13" t="str">
        <f t="shared" si="0"/>
        <v>RIFALDITRX</v>
      </c>
      <c r="F13" t="str">
        <f t="shared" si="1"/>
        <v>HERO GROUPTRX</v>
      </c>
      <c r="G13" s="81">
        <f t="shared" si="2"/>
        <v>2039</v>
      </c>
      <c r="H13" s="81">
        <f>SUMIF(I$1:BI$1,"&lt;="&amp;PARAMETER!X$2,I13:BI13)</f>
        <v>2039</v>
      </c>
      <c r="I13">
        <v>28</v>
      </c>
      <c r="J13">
        <v>21</v>
      </c>
      <c r="K13">
        <v>13</v>
      </c>
      <c r="L13">
        <v>104</v>
      </c>
      <c r="M13">
        <v>239</v>
      </c>
      <c r="N13">
        <v>444</v>
      </c>
      <c r="O13">
        <v>379</v>
      </c>
      <c r="P13">
        <v>311</v>
      </c>
      <c r="Q13">
        <v>203</v>
      </c>
      <c r="R13">
        <v>163</v>
      </c>
      <c r="S13">
        <v>134</v>
      </c>
    </row>
    <row r="14" spans="1:61" x14ac:dyDescent="0.25">
      <c r="A14" t="s">
        <v>46</v>
      </c>
      <c r="B14" t="s">
        <v>143</v>
      </c>
      <c r="C14" t="s">
        <v>42</v>
      </c>
      <c r="D14" t="str">
        <f>IFERROR(VLOOKUP(A14,[1]PARAMETER!D:E,2,0),"")</f>
        <v>ADISTI</v>
      </c>
      <c r="E14" t="str">
        <f t="shared" si="0"/>
        <v>ADISTITRX</v>
      </c>
      <c r="F14" t="str">
        <f t="shared" si="1"/>
        <v>HOKBENTRX</v>
      </c>
      <c r="G14" s="81">
        <f t="shared" si="2"/>
        <v>31</v>
      </c>
      <c r="H14" s="81">
        <f>SUMIF(I$1:BI$1,"&lt;="&amp;PARAMETER!X$2,I14:BI14)</f>
        <v>31</v>
      </c>
      <c r="I14">
        <v>0</v>
      </c>
      <c r="J14">
        <v>0</v>
      </c>
      <c r="K14">
        <v>0</v>
      </c>
      <c r="L14">
        <v>0</v>
      </c>
      <c r="M14">
        <v>9</v>
      </c>
      <c r="N14">
        <v>9</v>
      </c>
      <c r="O14">
        <v>0</v>
      </c>
      <c r="P14">
        <v>6</v>
      </c>
      <c r="Q14">
        <v>1</v>
      </c>
      <c r="R14">
        <v>5</v>
      </c>
      <c r="S14">
        <v>1</v>
      </c>
    </row>
    <row r="15" spans="1:61" x14ac:dyDescent="0.25">
      <c r="A15" t="s">
        <v>14</v>
      </c>
      <c r="B15" t="s">
        <v>143</v>
      </c>
      <c r="C15" t="s">
        <v>42</v>
      </c>
      <c r="D15" t="str">
        <f>IFERROR(VLOOKUP(A15,[1]PARAMETER!D:E,2,0),"")</f>
        <v>NINA</v>
      </c>
      <c r="E15" t="str">
        <f t="shared" si="0"/>
        <v>NINATRX</v>
      </c>
      <c r="F15" t="str">
        <f t="shared" si="1"/>
        <v>HOKKAIDO BAKED CHEESETRX</v>
      </c>
      <c r="G15" s="81">
        <f t="shared" si="2"/>
        <v>1273</v>
      </c>
      <c r="H15" s="81">
        <f>SUMIF(I$1:BI$1,"&lt;="&amp;PARAMETER!X$2,I15:BI15)</f>
        <v>1273</v>
      </c>
      <c r="I15">
        <v>3</v>
      </c>
      <c r="J15">
        <v>20</v>
      </c>
      <c r="K15">
        <v>7</v>
      </c>
      <c r="L15">
        <v>50</v>
      </c>
      <c r="M15">
        <v>200</v>
      </c>
      <c r="N15">
        <v>224</v>
      </c>
      <c r="O15">
        <v>210</v>
      </c>
      <c r="P15">
        <v>148</v>
      </c>
      <c r="Q15">
        <v>70</v>
      </c>
      <c r="R15">
        <v>175</v>
      </c>
      <c r="S15">
        <v>166</v>
      </c>
    </row>
    <row r="16" spans="1:61" x14ac:dyDescent="0.25">
      <c r="A16" t="s">
        <v>15</v>
      </c>
      <c r="B16" t="s">
        <v>143</v>
      </c>
      <c r="C16" t="s">
        <v>42</v>
      </c>
      <c r="D16" t="str">
        <f>IFERROR(VLOOKUP(A16,[1]PARAMETER!D:E,2,0),"")</f>
        <v>NINA</v>
      </c>
      <c r="E16" t="str">
        <f t="shared" si="0"/>
        <v>NINATRX</v>
      </c>
      <c r="F16" t="str">
        <f t="shared" si="1"/>
        <v>HOP HOPTRX</v>
      </c>
      <c r="G16" s="81">
        <f t="shared" si="2"/>
        <v>12941</v>
      </c>
      <c r="H16" s="81">
        <f>SUMIF(I$1:BI$1,"&lt;="&amp;PARAMETER!X$2,I16:BI16)</f>
        <v>12941</v>
      </c>
      <c r="I16">
        <v>0</v>
      </c>
      <c r="J16">
        <v>0</v>
      </c>
      <c r="K16">
        <v>0</v>
      </c>
      <c r="L16">
        <v>112</v>
      </c>
      <c r="M16">
        <v>1540</v>
      </c>
      <c r="N16">
        <v>784</v>
      </c>
      <c r="O16">
        <v>742</v>
      </c>
      <c r="P16">
        <v>4348</v>
      </c>
      <c r="Q16">
        <v>272</v>
      </c>
      <c r="R16">
        <v>855</v>
      </c>
      <c r="S16">
        <v>4288</v>
      </c>
    </row>
    <row r="17" spans="1:19" x14ac:dyDescent="0.25">
      <c r="A17" t="s">
        <v>16</v>
      </c>
      <c r="B17" t="s">
        <v>143</v>
      </c>
      <c r="C17" t="s">
        <v>42</v>
      </c>
      <c r="D17" t="str">
        <f>IFERROR(VLOOKUP(A17,[1]PARAMETER!D:E,2,0),"")</f>
        <v>ADISTI</v>
      </c>
      <c r="E17" t="str">
        <f t="shared" si="0"/>
        <v>ADISTITRX</v>
      </c>
      <c r="F17" t="str">
        <f t="shared" si="1"/>
        <v>IKEATRX</v>
      </c>
      <c r="G17" s="81">
        <f t="shared" si="2"/>
        <v>527</v>
      </c>
      <c r="H17" s="81">
        <f>SUMIF(I$1:BI$1,"&lt;="&amp;PARAMETER!X$2,I17:BI17)</f>
        <v>527</v>
      </c>
      <c r="I17">
        <v>18</v>
      </c>
      <c r="J17">
        <v>12</v>
      </c>
      <c r="K17">
        <v>16</v>
      </c>
      <c r="L17">
        <v>15</v>
      </c>
      <c r="M17">
        <v>12</v>
      </c>
      <c r="N17">
        <v>112</v>
      </c>
      <c r="O17">
        <v>60</v>
      </c>
      <c r="P17">
        <v>79</v>
      </c>
      <c r="Q17">
        <v>203</v>
      </c>
      <c r="R17">
        <v>0</v>
      </c>
      <c r="S17">
        <v>0</v>
      </c>
    </row>
    <row r="18" spans="1:19" x14ac:dyDescent="0.25">
      <c r="A18" t="s">
        <v>17</v>
      </c>
      <c r="B18" t="s">
        <v>143</v>
      </c>
      <c r="C18" t="s">
        <v>42</v>
      </c>
      <c r="D18" t="str">
        <f>IFERROR(VLOOKUP(A18,[1]PARAMETER!D:E,2,0),"")</f>
        <v>ADISTI</v>
      </c>
      <c r="E18" t="str">
        <f t="shared" si="0"/>
        <v>ADISTITRX</v>
      </c>
      <c r="F18" t="str">
        <f t="shared" si="1"/>
        <v>INDOMARETTRX</v>
      </c>
      <c r="G18" s="81">
        <f t="shared" si="2"/>
        <v>518368</v>
      </c>
      <c r="H18" s="81">
        <f>SUMIF(I$1:BI$1,"&lt;="&amp;PARAMETER!X$2,I18:BI18)</f>
        <v>518368</v>
      </c>
      <c r="I18">
        <v>23490</v>
      </c>
      <c r="J18">
        <v>37572</v>
      </c>
      <c r="K18">
        <v>37940</v>
      </c>
      <c r="L18">
        <v>38744</v>
      </c>
      <c r="M18">
        <v>46378</v>
      </c>
      <c r="N18">
        <v>79876</v>
      </c>
      <c r="O18">
        <v>82661</v>
      </c>
      <c r="P18">
        <v>76260</v>
      </c>
      <c r="Q18">
        <v>63259</v>
      </c>
      <c r="R18">
        <v>16875</v>
      </c>
      <c r="S18">
        <v>15313</v>
      </c>
    </row>
    <row r="19" spans="1:19" x14ac:dyDescent="0.25">
      <c r="A19" t="s">
        <v>18</v>
      </c>
      <c r="B19" t="s">
        <v>143</v>
      </c>
      <c r="C19" t="s">
        <v>42</v>
      </c>
      <c r="D19" t="str">
        <f>IFERROR(VLOOKUP(A19,[1]PARAMETER!D:E,2,0),"")</f>
        <v>RIFALDI</v>
      </c>
      <c r="E19" t="str">
        <f t="shared" si="0"/>
        <v>RIFALDITRX</v>
      </c>
      <c r="F19" t="str">
        <f t="shared" si="1"/>
        <v>KAWAN LAMATRX</v>
      </c>
      <c r="G19" s="81">
        <f t="shared" si="2"/>
        <v>21926</v>
      </c>
      <c r="H19" s="81">
        <f>SUMIF(I$1:BI$1,"&lt;="&amp;PARAMETER!X$2,I19:BI19)</f>
        <v>21926</v>
      </c>
      <c r="I19">
        <v>1376</v>
      </c>
      <c r="J19">
        <v>1601</v>
      </c>
      <c r="K19">
        <v>1560</v>
      </c>
      <c r="L19">
        <v>1458</v>
      </c>
      <c r="M19">
        <v>2347</v>
      </c>
      <c r="N19">
        <v>3217</v>
      </c>
      <c r="O19">
        <v>3555</v>
      </c>
      <c r="P19">
        <v>3783</v>
      </c>
      <c r="Q19">
        <v>2102</v>
      </c>
      <c r="R19">
        <v>450</v>
      </c>
      <c r="S19">
        <v>477</v>
      </c>
    </row>
    <row r="20" spans="1:19" x14ac:dyDescent="0.25">
      <c r="A20" t="s">
        <v>19</v>
      </c>
      <c r="B20" t="s">
        <v>143</v>
      </c>
      <c r="C20" t="s">
        <v>42</v>
      </c>
      <c r="D20" t="str">
        <f>IFERROR(VLOOKUP(A20,[1]PARAMETER!D:E,2,0),"")</f>
        <v>RIFALDI</v>
      </c>
      <c r="E20" t="str">
        <f t="shared" si="0"/>
        <v>RIFALDITRX</v>
      </c>
      <c r="F20" t="str">
        <f t="shared" si="1"/>
        <v>KCICTRX</v>
      </c>
      <c r="G20" s="81">
        <f t="shared" si="2"/>
        <v>6752</v>
      </c>
      <c r="H20" s="81">
        <f>SUMIF(I$1:BI$1,"&lt;="&amp;PARAMETER!X$2,I20:BI20)</f>
        <v>6752</v>
      </c>
      <c r="I20">
        <v>145</v>
      </c>
      <c r="J20">
        <v>284</v>
      </c>
      <c r="K20">
        <v>325</v>
      </c>
      <c r="L20">
        <v>393</v>
      </c>
      <c r="M20">
        <v>873</v>
      </c>
      <c r="N20">
        <v>1243</v>
      </c>
      <c r="O20">
        <v>1318</v>
      </c>
      <c r="P20">
        <v>845</v>
      </c>
      <c r="Q20">
        <v>468</v>
      </c>
      <c r="R20">
        <v>441</v>
      </c>
      <c r="S20">
        <v>417</v>
      </c>
    </row>
    <row r="21" spans="1:19" x14ac:dyDescent="0.25">
      <c r="A21" t="s">
        <v>20</v>
      </c>
      <c r="B21" t="s">
        <v>143</v>
      </c>
      <c r="C21" t="s">
        <v>42</v>
      </c>
      <c r="D21" t="str">
        <f>IFERROR(VLOOKUP(A21,[1]PARAMETER!D:E,2,0),"")</f>
        <v>ADISTI</v>
      </c>
      <c r="E21" t="str">
        <f t="shared" si="0"/>
        <v>ADISTITRX</v>
      </c>
      <c r="F21" t="str">
        <f t="shared" si="1"/>
        <v>KIMIA FARMATRX</v>
      </c>
      <c r="G21" s="81">
        <f t="shared" si="2"/>
        <v>1</v>
      </c>
      <c r="H21" s="81">
        <f>SUMIF(I$1:BI$1,"&lt;="&amp;PARAMETER!X$2,I21:BI21)</f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47</v>
      </c>
      <c r="B22" t="s">
        <v>143</v>
      </c>
      <c r="C22" t="s">
        <v>42</v>
      </c>
      <c r="D22" t="str">
        <f>IFERROR(VLOOKUP(A22,[1]PARAMETER!D:E,2,0),"")</f>
        <v>ADISTI</v>
      </c>
      <c r="E22" t="str">
        <f t="shared" si="0"/>
        <v>ADISTITRX</v>
      </c>
      <c r="F22" t="str">
        <f t="shared" si="1"/>
        <v>LOTTE GROUPTRX</v>
      </c>
      <c r="G22" s="81">
        <f t="shared" si="2"/>
        <v>14517</v>
      </c>
      <c r="H22" s="81">
        <f>SUMIF(I$1:BI$1,"&lt;="&amp;PARAMETER!X$2,I22:BI22)</f>
        <v>14517</v>
      </c>
      <c r="I22">
        <v>578</v>
      </c>
      <c r="J22">
        <v>857</v>
      </c>
      <c r="K22">
        <v>971</v>
      </c>
      <c r="L22">
        <v>990</v>
      </c>
      <c r="M22">
        <v>1428</v>
      </c>
      <c r="N22">
        <v>2259</v>
      </c>
      <c r="O22">
        <v>2417</v>
      </c>
      <c r="P22">
        <v>2752</v>
      </c>
      <c r="Q22">
        <v>2224</v>
      </c>
      <c r="R22">
        <v>34</v>
      </c>
      <c r="S22">
        <v>7</v>
      </c>
    </row>
    <row r="23" spans="1:19" x14ac:dyDescent="0.25">
      <c r="A23" t="s">
        <v>48</v>
      </c>
      <c r="B23" t="s">
        <v>143</v>
      </c>
      <c r="C23" t="s">
        <v>42</v>
      </c>
      <c r="D23" t="str">
        <f>IFERROR(VLOOKUP(A23,[1]PARAMETER!D:E,2,0),"")</f>
        <v>ADISTI</v>
      </c>
      <c r="E23" t="str">
        <f t="shared" si="0"/>
        <v>ADISTITRX</v>
      </c>
      <c r="F23" t="str">
        <f t="shared" si="1"/>
        <v>MAMA ROZTRX</v>
      </c>
      <c r="G23" s="81">
        <f t="shared" si="2"/>
        <v>321</v>
      </c>
      <c r="H23" s="81">
        <f>SUMIF(I$1:BI$1,"&lt;="&amp;PARAMETER!X$2,I23:BI23)</f>
        <v>321</v>
      </c>
      <c r="I23">
        <v>2</v>
      </c>
      <c r="J23">
        <v>3</v>
      </c>
      <c r="K23">
        <v>4</v>
      </c>
      <c r="L23">
        <v>26</v>
      </c>
      <c r="M23">
        <v>35</v>
      </c>
      <c r="N23">
        <v>45</v>
      </c>
      <c r="O23">
        <v>60</v>
      </c>
      <c r="P23">
        <v>36</v>
      </c>
      <c r="Q23">
        <v>36</v>
      </c>
      <c r="R23">
        <v>45</v>
      </c>
      <c r="S23">
        <v>29</v>
      </c>
    </row>
    <row r="24" spans="1:19" x14ac:dyDescent="0.25">
      <c r="A24" t="s">
        <v>21</v>
      </c>
      <c r="B24" t="s">
        <v>143</v>
      </c>
      <c r="C24" t="s">
        <v>42</v>
      </c>
      <c r="D24" t="str">
        <f>IFERROR(VLOOKUP(A24,[1]PARAMETER!D:E,2,0),"")</f>
        <v>ADISTI</v>
      </c>
      <c r="E24" t="str">
        <f t="shared" si="0"/>
        <v>ADISTITRX</v>
      </c>
      <c r="F24" t="str">
        <f t="shared" si="1"/>
        <v>MAP GROUPTRX</v>
      </c>
      <c r="G24" s="81">
        <f t="shared" si="2"/>
        <v>172680</v>
      </c>
      <c r="H24" s="81">
        <f>SUMIF(I$1:BI$1,"&lt;="&amp;PARAMETER!X$2,I24:BI24)</f>
        <v>172680</v>
      </c>
      <c r="I24">
        <v>9897</v>
      </c>
      <c r="J24">
        <v>10436</v>
      </c>
      <c r="K24">
        <v>12871</v>
      </c>
      <c r="L24">
        <v>11573</v>
      </c>
      <c r="M24">
        <v>16259</v>
      </c>
      <c r="N24">
        <v>29667</v>
      </c>
      <c r="O24">
        <v>32052</v>
      </c>
      <c r="P24">
        <v>31683</v>
      </c>
      <c r="Q24">
        <v>14595</v>
      </c>
      <c r="R24">
        <v>2005</v>
      </c>
      <c r="S24">
        <v>1642</v>
      </c>
    </row>
    <row r="25" spans="1:19" x14ac:dyDescent="0.25">
      <c r="A25" t="s">
        <v>23</v>
      </c>
      <c r="B25" t="s">
        <v>143</v>
      </c>
      <c r="C25" t="s">
        <v>42</v>
      </c>
      <c r="D25" t="str">
        <f>IFERROR(VLOOKUP(A25,[1]PARAMETER!D:E,2,0),"")</f>
        <v>ADISTI</v>
      </c>
      <c r="E25" t="str">
        <f t="shared" si="0"/>
        <v>ADISTITRX</v>
      </c>
      <c r="F25" t="str">
        <f t="shared" si="1"/>
        <v>MITRA10TRX</v>
      </c>
      <c r="G25" s="81">
        <f t="shared" si="2"/>
        <v>6660</v>
      </c>
      <c r="H25" s="81">
        <f>SUMIF(I$1:BI$1,"&lt;="&amp;PARAMETER!X$2,I25:BI25)</f>
        <v>6660</v>
      </c>
      <c r="I25">
        <v>268</v>
      </c>
      <c r="J25">
        <v>391</v>
      </c>
      <c r="K25">
        <v>473</v>
      </c>
      <c r="L25">
        <v>440</v>
      </c>
      <c r="M25">
        <v>579</v>
      </c>
      <c r="N25">
        <v>1162</v>
      </c>
      <c r="O25">
        <v>1090</v>
      </c>
      <c r="P25">
        <v>1065</v>
      </c>
      <c r="Q25">
        <v>971</v>
      </c>
      <c r="R25">
        <v>122</v>
      </c>
      <c r="S25">
        <v>99</v>
      </c>
    </row>
    <row r="26" spans="1:19" x14ac:dyDescent="0.25">
      <c r="A26" t="s">
        <v>25</v>
      </c>
      <c r="B26" t="s">
        <v>143</v>
      </c>
      <c r="C26" t="s">
        <v>42</v>
      </c>
      <c r="D26" t="str">
        <f>IFERROR(VLOOKUP(A26,[1]PARAMETER!D:E,2,0),"")</f>
        <v>ADISTI</v>
      </c>
      <c r="E26" t="str">
        <f t="shared" si="0"/>
        <v>ADISTITRX</v>
      </c>
      <c r="F26" t="str">
        <f t="shared" si="1"/>
        <v>OPTIK MELAWAITRX</v>
      </c>
      <c r="G26" s="81">
        <f t="shared" si="2"/>
        <v>488</v>
      </c>
      <c r="H26" s="81">
        <f>SUMIF(I$1:BI$1,"&lt;="&amp;PARAMETER!X$2,I26:BI26)</f>
        <v>488</v>
      </c>
      <c r="I26">
        <v>20</v>
      </c>
      <c r="J26">
        <v>40</v>
      </c>
      <c r="K26">
        <v>36</v>
      </c>
      <c r="L26">
        <v>56</v>
      </c>
      <c r="M26">
        <v>52</v>
      </c>
      <c r="N26">
        <v>72</v>
      </c>
      <c r="O26">
        <v>88</v>
      </c>
      <c r="P26">
        <v>80</v>
      </c>
      <c r="Q26">
        <v>44</v>
      </c>
      <c r="R26">
        <v>0</v>
      </c>
      <c r="S26">
        <v>0</v>
      </c>
    </row>
    <row r="27" spans="1:19" x14ac:dyDescent="0.25">
      <c r="A27" t="s">
        <v>26</v>
      </c>
      <c r="B27" t="s">
        <v>143</v>
      </c>
      <c r="C27" t="s">
        <v>42</v>
      </c>
      <c r="D27" t="str">
        <f>IFERROR(VLOOKUP(A27,[1]PARAMETER!D:E,2,0),"")</f>
        <v>RIFALDI</v>
      </c>
      <c r="E27" t="str">
        <f t="shared" si="0"/>
        <v>RIFALDITRX</v>
      </c>
      <c r="F27" t="str">
        <f t="shared" si="1"/>
        <v>PATRA JASATRX</v>
      </c>
      <c r="G27" s="81">
        <f t="shared" si="2"/>
        <v>30</v>
      </c>
      <c r="H27" s="81">
        <f>SUMIF(I$1:BI$1,"&lt;="&amp;PARAMETER!X$2,I27:BI27)</f>
        <v>30</v>
      </c>
      <c r="I27">
        <v>2</v>
      </c>
      <c r="J27">
        <v>2</v>
      </c>
      <c r="K27">
        <v>1</v>
      </c>
      <c r="L27">
        <v>4</v>
      </c>
      <c r="M27">
        <v>5</v>
      </c>
      <c r="N27">
        <v>4</v>
      </c>
      <c r="O27">
        <v>9</v>
      </c>
      <c r="P27">
        <v>2</v>
      </c>
      <c r="Q27">
        <v>0</v>
      </c>
      <c r="R27">
        <v>0</v>
      </c>
      <c r="S27">
        <v>1</v>
      </c>
    </row>
    <row r="28" spans="1:19" x14ac:dyDescent="0.25">
      <c r="A28" t="s">
        <v>27</v>
      </c>
      <c r="B28" t="s">
        <v>143</v>
      </c>
      <c r="C28" t="s">
        <v>42</v>
      </c>
      <c r="D28" t="str">
        <f>IFERROR(VLOOKUP(A28,[1]PARAMETER!D:E,2,0),"")</f>
        <v>RIFALDI</v>
      </c>
      <c r="E28" t="str">
        <f t="shared" si="0"/>
        <v>RIFALDITRX</v>
      </c>
      <c r="F28" t="str">
        <f t="shared" si="1"/>
        <v>PERTAMINA RETAILTRX</v>
      </c>
      <c r="G28" s="81">
        <f t="shared" si="2"/>
        <v>44692</v>
      </c>
      <c r="H28" s="81">
        <f>SUMIF(I$1:BI$1,"&lt;="&amp;PARAMETER!X$2,I28:BI28)</f>
        <v>44692</v>
      </c>
      <c r="I28">
        <v>355</v>
      </c>
      <c r="J28">
        <v>609</v>
      </c>
      <c r="K28">
        <v>618</v>
      </c>
      <c r="L28">
        <v>2009</v>
      </c>
      <c r="M28">
        <v>4731</v>
      </c>
      <c r="N28">
        <v>6094</v>
      </c>
      <c r="O28">
        <v>7988</v>
      </c>
      <c r="P28">
        <v>5556</v>
      </c>
      <c r="Q28">
        <v>5072</v>
      </c>
      <c r="R28">
        <v>6270</v>
      </c>
      <c r="S28">
        <v>5390</v>
      </c>
    </row>
    <row r="29" spans="1:19" x14ac:dyDescent="0.25">
      <c r="A29" t="s">
        <v>28</v>
      </c>
      <c r="B29" t="s">
        <v>143</v>
      </c>
      <c r="C29" t="s">
        <v>42</v>
      </c>
      <c r="D29" t="str">
        <f>IFERROR(VLOOKUP(A29,[1]PARAMETER!D:E,2,0),"")</f>
        <v>RIFALDI</v>
      </c>
      <c r="E29" t="str">
        <f t="shared" si="0"/>
        <v>RIFALDITRX</v>
      </c>
      <c r="F29" t="str">
        <f t="shared" si="1"/>
        <v>PIZZA HUTTRX</v>
      </c>
      <c r="G29" s="81">
        <f t="shared" si="2"/>
        <v>2189</v>
      </c>
      <c r="H29" s="81">
        <f>SUMIF(I$1:BI$1,"&lt;="&amp;PARAMETER!X$2,I29:BI29)</f>
        <v>2189</v>
      </c>
      <c r="I29">
        <v>130</v>
      </c>
      <c r="J29">
        <v>148</v>
      </c>
      <c r="K29">
        <v>183</v>
      </c>
      <c r="L29">
        <v>153</v>
      </c>
      <c r="M29">
        <v>256</v>
      </c>
      <c r="N29">
        <v>304</v>
      </c>
      <c r="O29">
        <v>314</v>
      </c>
      <c r="P29">
        <v>380</v>
      </c>
      <c r="Q29">
        <v>102</v>
      </c>
      <c r="R29">
        <v>116</v>
      </c>
      <c r="S29">
        <v>103</v>
      </c>
    </row>
    <row r="30" spans="1:19" x14ac:dyDescent="0.25">
      <c r="A30" t="s">
        <v>29</v>
      </c>
      <c r="B30" t="s">
        <v>143</v>
      </c>
      <c r="C30" t="s">
        <v>42</v>
      </c>
      <c r="D30" t="str">
        <f>IFERROR(VLOOKUP(A30,[1]PARAMETER!D:E,2,0),"")</f>
        <v>NINA</v>
      </c>
      <c r="E30" t="str">
        <f t="shared" si="0"/>
        <v>NINATRX</v>
      </c>
      <c r="F30" t="str">
        <f t="shared" si="1"/>
        <v>PLATINUM CINEPLEXTRX</v>
      </c>
      <c r="G30" s="81">
        <f t="shared" si="2"/>
        <v>67</v>
      </c>
      <c r="H30" s="81">
        <f>SUMIF(I$1:BI$1,"&lt;="&amp;PARAMETER!X$2,I30:BI30)</f>
        <v>67</v>
      </c>
      <c r="I30">
        <v>1</v>
      </c>
      <c r="J30">
        <v>5</v>
      </c>
      <c r="K30">
        <v>2</v>
      </c>
      <c r="L30">
        <v>2</v>
      </c>
      <c r="M30">
        <v>11</v>
      </c>
      <c r="N30">
        <v>14</v>
      </c>
      <c r="O30">
        <v>5</v>
      </c>
      <c r="P30">
        <v>11</v>
      </c>
      <c r="Q30">
        <v>0</v>
      </c>
      <c r="R30">
        <v>5</v>
      </c>
      <c r="S30">
        <v>11</v>
      </c>
    </row>
    <row r="31" spans="1:19" x14ac:dyDescent="0.25">
      <c r="A31" t="s">
        <v>49</v>
      </c>
      <c r="B31" t="s">
        <v>143</v>
      </c>
      <c r="C31" t="s">
        <v>42</v>
      </c>
      <c r="D31" t="str">
        <f>IFERROR(VLOOKUP(A31,[1]PARAMETER!D:E,2,0),"")</f>
        <v>NINA</v>
      </c>
      <c r="E31" t="str">
        <f t="shared" si="0"/>
        <v>NINATRX</v>
      </c>
      <c r="F31" t="str">
        <f t="shared" si="1"/>
        <v>POPEYESTRX</v>
      </c>
      <c r="G31" s="81">
        <f t="shared" si="2"/>
        <v>127</v>
      </c>
      <c r="H31" s="81">
        <f>SUMIF(I$1:BI$1,"&lt;="&amp;PARAMETER!X$2,I31:BI31)</f>
        <v>127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127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31</v>
      </c>
      <c r="B32" t="s">
        <v>143</v>
      </c>
      <c r="C32" t="s">
        <v>42</v>
      </c>
      <c r="D32" t="str">
        <f>IFERROR(VLOOKUP(A32,[1]PARAMETER!D:E,2,0),"")</f>
        <v>RIFALDI</v>
      </c>
      <c r="E32" t="str">
        <f t="shared" si="0"/>
        <v>RIFALDITRX</v>
      </c>
      <c r="F32" t="str">
        <f t="shared" si="1"/>
        <v>SARINAHTRX</v>
      </c>
      <c r="G32" s="81">
        <f t="shared" si="2"/>
        <v>817</v>
      </c>
      <c r="H32" s="81">
        <f>SUMIF(I$1:BI$1,"&lt;="&amp;PARAMETER!X$2,I32:BI32)</f>
        <v>817</v>
      </c>
      <c r="I32">
        <v>21</v>
      </c>
      <c r="J32">
        <v>12</v>
      </c>
      <c r="K32">
        <v>18</v>
      </c>
      <c r="L32">
        <v>22</v>
      </c>
      <c r="M32">
        <v>24</v>
      </c>
      <c r="N32">
        <v>80</v>
      </c>
      <c r="O32">
        <v>194</v>
      </c>
      <c r="P32">
        <v>103</v>
      </c>
      <c r="Q32">
        <v>103</v>
      </c>
      <c r="R32">
        <v>137</v>
      </c>
      <c r="S32">
        <v>103</v>
      </c>
    </row>
    <row r="33" spans="1:19" x14ac:dyDescent="0.25">
      <c r="A33" t="s">
        <v>32</v>
      </c>
      <c r="B33" t="s">
        <v>143</v>
      </c>
      <c r="C33" t="s">
        <v>42</v>
      </c>
      <c r="D33" t="str">
        <f>IFERROR(VLOOKUP(A33,[1]PARAMETER!D:E,2,0),"")</f>
        <v>ADISTI</v>
      </c>
      <c r="E33" t="str">
        <f t="shared" si="0"/>
        <v>ADISTITRX</v>
      </c>
      <c r="F33" t="str">
        <f t="shared" si="1"/>
        <v>SHIHLINTRX</v>
      </c>
      <c r="G33" s="81">
        <f t="shared" si="2"/>
        <v>1208</v>
      </c>
      <c r="H33" s="81">
        <f>SUMIF(I$1:BI$1,"&lt;="&amp;PARAMETER!X$2,I33:BI33)</f>
        <v>1208</v>
      </c>
      <c r="I33">
        <v>23</v>
      </c>
      <c r="J33">
        <v>45</v>
      </c>
      <c r="K33">
        <v>34</v>
      </c>
      <c r="L33">
        <v>44</v>
      </c>
      <c r="M33">
        <v>248</v>
      </c>
      <c r="N33">
        <v>198</v>
      </c>
      <c r="O33">
        <v>195</v>
      </c>
      <c r="P33">
        <v>111</v>
      </c>
      <c r="Q33">
        <v>82</v>
      </c>
      <c r="R33">
        <v>132</v>
      </c>
      <c r="S33">
        <v>96</v>
      </c>
    </row>
    <row r="34" spans="1:19" x14ac:dyDescent="0.25">
      <c r="A34" t="s">
        <v>33</v>
      </c>
      <c r="B34" t="s">
        <v>143</v>
      </c>
      <c r="C34" t="s">
        <v>42</v>
      </c>
      <c r="D34" t="str">
        <f>IFERROR(VLOOKUP(A34,[1]PARAMETER!D:E,2,0),"")</f>
        <v>NINA</v>
      </c>
      <c r="E34" t="str">
        <f t="shared" si="0"/>
        <v>NINATRX</v>
      </c>
      <c r="F34" t="str">
        <f t="shared" si="1"/>
        <v>SOLARIATRX</v>
      </c>
      <c r="G34" s="81">
        <f t="shared" si="2"/>
        <v>21155</v>
      </c>
      <c r="H34" s="81">
        <f>SUMIF(I$1:BI$1,"&lt;="&amp;PARAMETER!X$2,I34:BI34)</f>
        <v>21155</v>
      </c>
      <c r="I34">
        <v>888</v>
      </c>
      <c r="J34">
        <v>875</v>
      </c>
      <c r="K34">
        <v>964</v>
      </c>
      <c r="L34">
        <v>868</v>
      </c>
      <c r="M34">
        <v>1614</v>
      </c>
      <c r="N34">
        <v>2242</v>
      </c>
      <c r="O34">
        <v>8774</v>
      </c>
      <c r="P34">
        <v>2563</v>
      </c>
      <c r="Q34">
        <v>1682</v>
      </c>
      <c r="R34">
        <v>281</v>
      </c>
      <c r="S34">
        <v>404</v>
      </c>
    </row>
    <row r="35" spans="1:19" x14ac:dyDescent="0.25">
      <c r="A35" t="s">
        <v>34</v>
      </c>
      <c r="B35" t="s">
        <v>143</v>
      </c>
      <c r="C35" t="s">
        <v>42</v>
      </c>
      <c r="D35" t="str">
        <f>IFERROR(VLOOKUP(A35,[1]PARAMETER!D:E,2,0),"")</f>
        <v>RIFALDI</v>
      </c>
      <c r="E35" t="str">
        <f t="shared" si="0"/>
        <v>RIFALDITRX</v>
      </c>
      <c r="F35" t="str">
        <f t="shared" si="1"/>
        <v>SOUR SALLYTRX</v>
      </c>
      <c r="G35" s="81">
        <f t="shared" si="2"/>
        <v>556</v>
      </c>
      <c r="H35" s="81">
        <f>SUMIF(I$1:BI$1,"&lt;="&amp;PARAMETER!X$2,I35:BI35)</f>
        <v>556</v>
      </c>
      <c r="I35">
        <v>0</v>
      </c>
      <c r="J35">
        <v>8</v>
      </c>
      <c r="K35">
        <v>5</v>
      </c>
      <c r="L35">
        <v>34</v>
      </c>
      <c r="M35">
        <v>65</v>
      </c>
      <c r="N35">
        <v>29</v>
      </c>
      <c r="O35">
        <v>49</v>
      </c>
      <c r="P35">
        <v>95</v>
      </c>
      <c r="Q35">
        <v>31</v>
      </c>
      <c r="R35">
        <v>128</v>
      </c>
      <c r="S35">
        <v>112</v>
      </c>
    </row>
    <row r="36" spans="1:19" x14ac:dyDescent="0.25">
      <c r="A36" t="s">
        <v>53</v>
      </c>
      <c r="B36" t="s">
        <v>143</v>
      </c>
      <c r="C36" t="s">
        <v>42</v>
      </c>
      <c r="D36" t="str">
        <f>IFERROR(VLOOKUP(A36,[1]PARAMETER!D:E,2,0),"")</f>
        <v>NINA</v>
      </c>
      <c r="E36" t="str">
        <f t="shared" si="0"/>
        <v>NINATRX</v>
      </c>
      <c r="F36" t="str">
        <f t="shared" si="1"/>
        <v>STEVEN GROUPTRX</v>
      </c>
      <c r="G36" s="81">
        <f t="shared" si="2"/>
        <v>4713</v>
      </c>
      <c r="H36" s="81">
        <f>SUMIF(I$1:BI$1,"&lt;="&amp;PARAMETER!X$2,I36:BI36)</f>
        <v>4713</v>
      </c>
      <c r="I36">
        <v>24</v>
      </c>
      <c r="J36">
        <v>32</v>
      </c>
      <c r="K36">
        <v>23</v>
      </c>
      <c r="L36">
        <v>377</v>
      </c>
      <c r="M36">
        <v>508</v>
      </c>
      <c r="N36">
        <v>487</v>
      </c>
      <c r="O36">
        <v>790</v>
      </c>
      <c r="P36">
        <v>549</v>
      </c>
      <c r="Q36">
        <v>475</v>
      </c>
      <c r="R36">
        <v>683</v>
      </c>
      <c r="S36">
        <v>765</v>
      </c>
    </row>
    <row r="37" spans="1:19" x14ac:dyDescent="0.25">
      <c r="A37" t="s">
        <v>35</v>
      </c>
      <c r="B37" t="s">
        <v>143</v>
      </c>
      <c r="C37" t="s">
        <v>42</v>
      </c>
      <c r="D37" t="str">
        <f>IFERROR(VLOOKUP(A37,[1]PARAMETER!D:E,2,0),"")</f>
        <v>NINA</v>
      </c>
      <c r="E37" t="str">
        <f t="shared" si="0"/>
        <v>NINATRX</v>
      </c>
      <c r="F37" t="str">
        <f t="shared" si="1"/>
        <v>SURYA BUMI RETAILINDOTRX</v>
      </c>
      <c r="G37" s="81">
        <f t="shared" si="2"/>
        <v>8</v>
      </c>
      <c r="H37" s="81">
        <f>SUMIF(I$1:BI$1,"&lt;="&amp;PARAMETER!X$2,I37:BI37)</f>
        <v>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8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t="s">
        <v>38</v>
      </c>
      <c r="B38" t="s">
        <v>143</v>
      </c>
      <c r="C38" t="s">
        <v>42</v>
      </c>
      <c r="D38" t="str">
        <f>IFERROR(VLOOKUP(A38,[1]PARAMETER!D:E,2,0),"")</f>
        <v>NINA</v>
      </c>
      <c r="E38" t="str">
        <f t="shared" si="0"/>
        <v>NINATRX</v>
      </c>
      <c r="F38" t="str">
        <f t="shared" si="1"/>
        <v>YOSHINOYATRX</v>
      </c>
      <c r="G38" s="81">
        <f t="shared" si="2"/>
        <v>8210</v>
      </c>
      <c r="H38" s="81">
        <f>SUMIF(I$1:BI$1,"&lt;="&amp;PARAMETER!X$2,I38:BI38)</f>
        <v>8210</v>
      </c>
      <c r="I38">
        <v>192</v>
      </c>
      <c r="J38">
        <v>223</v>
      </c>
      <c r="K38">
        <v>261</v>
      </c>
      <c r="L38">
        <v>769</v>
      </c>
      <c r="M38">
        <v>1102</v>
      </c>
      <c r="N38">
        <v>972</v>
      </c>
      <c r="O38">
        <v>1107</v>
      </c>
      <c r="P38">
        <v>1131</v>
      </c>
      <c r="Q38">
        <v>905</v>
      </c>
      <c r="R38">
        <v>754</v>
      </c>
      <c r="S38">
        <v>794</v>
      </c>
    </row>
    <row r="39" spans="1:19" x14ac:dyDescent="0.25">
      <c r="A39" t="s">
        <v>1</v>
      </c>
      <c r="B39" t="s">
        <v>143</v>
      </c>
      <c r="C39" t="s">
        <v>41</v>
      </c>
      <c r="D39" t="str">
        <f>IFERROR(VLOOKUP(A39,[1]PARAMETER!D:E,2,0),"")</f>
        <v>NINA</v>
      </c>
      <c r="E39" t="str">
        <f t="shared" ref="E39" si="3">CONCATENATE(D39,C39)</f>
        <v>NINAVOL</v>
      </c>
      <c r="F39" t="str">
        <f t="shared" ref="F39" si="4">CONCATENATE(A39,C39)</f>
        <v>ALFA GROUPVOL</v>
      </c>
      <c r="G39" s="81">
        <f t="shared" si="2"/>
        <v>58909589632</v>
      </c>
      <c r="H39" s="81">
        <f>SUMIF(I$1:BI$1,"&lt;="&amp;PARAMETER!X$2,I39:BI39)</f>
        <v>58909589632</v>
      </c>
      <c r="I39">
        <v>2695302300</v>
      </c>
      <c r="J39">
        <v>3707298381</v>
      </c>
      <c r="K39">
        <v>3585279951</v>
      </c>
      <c r="L39">
        <v>3776551586</v>
      </c>
      <c r="M39">
        <v>5338073757</v>
      </c>
      <c r="N39">
        <v>8792409503</v>
      </c>
      <c r="O39">
        <v>8505735368</v>
      </c>
      <c r="P39">
        <v>9259559480</v>
      </c>
      <c r="Q39">
        <v>8049200380</v>
      </c>
      <c r="R39">
        <v>2826263494</v>
      </c>
      <c r="S39">
        <v>2373915432</v>
      </c>
    </row>
    <row r="40" spans="1:19" x14ac:dyDescent="0.25">
      <c r="A40" t="s">
        <v>2</v>
      </c>
      <c r="B40" t="s">
        <v>143</v>
      </c>
      <c r="C40" t="s">
        <v>41</v>
      </c>
      <c r="D40" t="str">
        <f>IFERROR(VLOOKUP(A40,[1]PARAMETER!D:E,2,0),"")</f>
        <v>ADISTI</v>
      </c>
      <c r="E40" t="str">
        <f t="shared" ref="E40:E75" si="5">CONCATENATE(D40,C40)</f>
        <v>ADISTIVOL</v>
      </c>
      <c r="F40" t="str">
        <f t="shared" ref="F40:F75" si="6">CONCATENATE(A40,C40)</f>
        <v>ANCOLVOL</v>
      </c>
      <c r="G40" s="81">
        <f t="shared" si="2"/>
        <v>15208100150</v>
      </c>
      <c r="H40" s="81">
        <f>SUMIF(I$1:BI$1,"&lt;="&amp;PARAMETER!X$2,I40:BI40)</f>
        <v>15208100150</v>
      </c>
      <c r="I40">
        <v>2804335632</v>
      </c>
      <c r="J40">
        <v>1665299600</v>
      </c>
      <c r="K40">
        <v>1070945641</v>
      </c>
      <c r="L40">
        <v>507299570</v>
      </c>
      <c r="M40">
        <v>868963185</v>
      </c>
      <c r="N40">
        <v>1862483260</v>
      </c>
      <c r="O40">
        <v>2214011212</v>
      </c>
      <c r="P40">
        <v>2028473367</v>
      </c>
      <c r="Q40">
        <v>813677409</v>
      </c>
      <c r="R40">
        <v>625518812</v>
      </c>
      <c r="S40">
        <v>747092462</v>
      </c>
    </row>
    <row r="41" spans="1:19" x14ac:dyDescent="0.25">
      <c r="A41" t="s">
        <v>3</v>
      </c>
      <c r="B41" t="s">
        <v>143</v>
      </c>
      <c r="C41" t="s">
        <v>41</v>
      </c>
      <c r="D41" t="str">
        <f>IFERROR(VLOOKUP(A41,[1]PARAMETER!D:E,2,0),"")</f>
        <v>NINA</v>
      </c>
      <c r="E41" t="str">
        <f t="shared" si="5"/>
        <v>NINAVOL</v>
      </c>
      <c r="F41" t="str">
        <f t="shared" si="6"/>
        <v>BANBAN TEAVOL</v>
      </c>
      <c r="G41" s="81">
        <f t="shared" si="2"/>
        <v>31667314</v>
      </c>
      <c r="H41" s="81">
        <f>SUMIF(I$1:BI$1,"&lt;="&amp;PARAMETER!X$2,I41:BI41)</f>
        <v>31667314</v>
      </c>
      <c r="I41">
        <v>1353398</v>
      </c>
      <c r="J41">
        <v>0</v>
      </c>
      <c r="K41">
        <v>0</v>
      </c>
      <c r="L41">
        <v>310200</v>
      </c>
      <c r="M41">
        <v>908600</v>
      </c>
      <c r="N41">
        <v>707100</v>
      </c>
      <c r="O41">
        <v>3965926</v>
      </c>
      <c r="P41">
        <v>1933099</v>
      </c>
      <c r="Q41">
        <v>248600</v>
      </c>
      <c r="R41">
        <v>10504478</v>
      </c>
      <c r="S41">
        <v>11735913</v>
      </c>
    </row>
    <row r="42" spans="1:19" x14ac:dyDescent="0.25">
      <c r="A42" t="s">
        <v>4</v>
      </c>
      <c r="B42" t="s">
        <v>143</v>
      </c>
      <c r="C42" t="s">
        <v>41</v>
      </c>
      <c r="D42" t="str">
        <f>IFERROR(VLOOKUP(A42,[1]PARAMETER!D:E,2,0),"")</f>
        <v>NINA</v>
      </c>
      <c r="E42" t="str">
        <f t="shared" si="5"/>
        <v>NINAVOL</v>
      </c>
      <c r="F42" t="str">
        <f t="shared" si="6"/>
        <v>BEARD PAPAVOL</v>
      </c>
      <c r="G42" s="81">
        <f t="shared" si="2"/>
        <v>52907767</v>
      </c>
      <c r="H42" s="81">
        <f>SUMIF(I$1:BI$1,"&lt;="&amp;PARAMETER!X$2,I42:BI42)</f>
        <v>52907767</v>
      </c>
      <c r="I42">
        <v>5867000</v>
      </c>
      <c r="J42">
        <v>6108001</v>
      </c>
      <c r="K42">
        <v>2861000</v>
      </c>
      <c r="L42">
        <v>1374003</v>
      </c>
      <c r="M42">
        <v>2544000</v>
      </c>
      <c r="N42">
        <v>1178000</v>
      </c>
      <c r="O42">
        <v>20893960</v>
      </c>
      <c r="P42">
        <v>561001</v>
      </c>
      <c r="Q42">
        <v>936001</v>
      </c>
      <c r="R42">
        <v>5048001</v>
      </c>
      <c r="S42">
        <v>5536800</v>
      </c>
    </row>
    <row r="43" spans="1:19" x14ac:dyDescent="0.25">
      <c r="A43" t="s">
        <v>6</v>
      </c>
      <c r="B43" t="s">
        <v>143</v>
      </c>
      <c r="C43" t="s">
        <v>41</v>
      </c>
      <c r="D43" t="str">
        <f>IFERROR(VLOOKUP(A43,[1]PARAMETER!D:E,2,0),"")</f>
        <v>RIFALDI</v>
      </c>
      <c r="E43" t="str">
        <f t="shared" si="5"/>
        <v>RIFALDIVOL</v>
      </c>
      <c r="F43" t="str">
        <f t="shared" si="6"/>
        <v>CHAMP RESTOVOL</v>
      </c>
      <c r="G43" s="81">
        <f t="shared" si="2"/>
        <v>312920875</v>
      </c>
      <c r="H43" s="81">
        <f>SUMIF(I$1:BI$1,"&lt;="&amp;PARAMETER!X$2,I43:BI43)</f>
        <v>312920875</v>
      </c>
      <c r="I43">
        <v>36473061</v>
      </c>
      <c r="J43">
        <v>31385982</v>
      </c>
      <c r="K43">
        <v>34560522</v>
      </c>
      <c r="L43">
        <v>33334597</v>
      </c>
      <c r="M43">
        <v>24828849</v>
      </c>
      <c r="N43">
        <v>27567148</v>
      </c>
      <c r="O43">
        <v>27233073</v>
      </c>
      <c r="P43">
        <v>22817402</v>
      </c>
      <c r="Q43">
        <v>7832443</v>
      </c>
      <c r="R43">
        <v>24224070</v>
      </c>
      <c r="S43">
        <v>42663728</v>
      </c>
    </row>
    <row r="44" spans="1:19" x14ac:dyDescent="0.25">
      <c r="A44" t="s">
        <v>7</v>
      </c>
      <c r="B44" t="s">
        <v>143</v>
      </c>
      <c r="C44" t="s">
        <v>41</v>
      </c>
      <c r="D44" t="str">
        <f>IFERROR(VLOOKUP(A44,[1]PARAMETER!D:E,2,0),"")</f>
        <v>NINA</v>
      </c>
      <c r="E44" t="str">
        <f t="shared" si="5"/>
        <v>NINAVOL</v>
      </c>
      <c r="F44" t="str">
        <f t="shared" si="6"/>
        <v>DAMRIVOL</v>
      </c>
      <c r="G44" s="81">
        <f t="shared" si="2"/>
        <v>26479550</v>
      </c>
      <c r="H44" s="81">
        <f>SUMIF(I$1:BI$1,"&lt;="&amp;PARAMETER!X$2,I44:BI44)</f>
        <v>26479550</v>
      </c>
      <c r="I44">
        <v>320000</v>
      </c>
      <c r="J44">
        <v>960000</v>
      </c>
      <c r="K44">
        <v>415000</v>
      </c>
      <c r="L44">
        <v>1050000</v>
      </c>
      <c r="M44">
        <v>3080000</v>
      </c>
      <c r="N44">
        <v>4622000</v>
      </c>
      <c r="O44">
        <v>4805550</v>
      </c>
      <c r="P44">
        <v>3247000</v>
      </c>
      <c r="Q44">
        <v>1486000</v>
      </c>
      <c r="R44">
        <v>3325000</v>
      </c>
      <c r="S44">
        <v>3169000</v>
      </c>
    </row>
    <row r="45" spans="1:19" x14ac:dyDescent="0.25">
      <c r="A45" t="s">
        <v>44</v>
      </c>
      <c r="B45" t="s">
        <v>143</v>
      </c>
      <c r="C45" t="s">
        <v>41</v>
      </c>
      <c r="D45" t="str">
        <f>IFERROR(VLOOKUP(A45,[1]PARAMETER!D:E,2,0),"")</f>
        <v>NINA</v>
      </c>
      <c r="E45" t="str">
        <f t="shared" si="5"/>
        <v>NINAVOL</v>
      </c>
      <c r="F45" t="str">
        <f t="shared" si="6"/>
        <v>DELTA WIBAWA BERSAMAVOL</v>
      </c>
      <c r="G45" s="81">
        <f t="shared" si="2"/>
        <v>190130839</v>
      </c>
      <c r="H45" s="81">
        <f>SUMIF(I$1:BI$1,"&lt;="&amp;PARAMETER!X$2,I45:BI45)</f>
        <v>190130839</v>
      </c>
      <c r="I45">
        <v>302610</v>
      </c>
      <c r="J45">
        <v>967890</v>
      </c>
      <c r="K45">
        <v>553245</v>
      </c>
      <c r="L45">
        <v>6043321</v>
      </c>
      <c r="M45">
        <v>29920361</v>
      </c>
      <c r="N45">
        <v>26711049</v>
      </c>
      <c r="O45">
        <v>18730451</v>
      </c>
      <c r="P45">
        <v>26698706</v>
      </c>
      <c r="Q45">
        <v>11026504</v>
      </c>
      <c r="R45">
        <v>26393204</v>
      </c>
      <c r="S45">
        <v>42783498</v>
      </c>
    </row>
    <row r="46" spans="1:19" x14ac:dyDescent="0.25">
      <c r="A46" t="s">
        <v>8</v>
      </c>
      <c r="B46" t="s">
        <v>143</v>
      </c>
      <c r="C46" t="s">
        <v>41</v>
      </c>
      <c r="D46" t="str">
        <f>IFERROR(VLOOKUP(A46,[1]PARAMETER!D:E,2,0),"")</f>
        <v>NINA</v>
      </c>
      <c r="E46" t="str">
        <f t="shared" si="5"/>
        <v>NINAVOL</v>
      </c>
      <c r="F46" t="str">
        <f t="shared" si="6"/>
        <v>DWIDAYAVOL</v>
      </c>
      <c r="G46" s="81">
        <f t="shared" si="2"/>
        <v>5794698181</v>
      </c>
      <c r="H46" s="81">
        <f>SUMIF(I$1:BI$1,"&lt;="&amp;PARAMETER!X$2,I46:BI46)</f>
        <v>5794698181</v>
      </c>
      <c r="I46">
        <v>182980000</v>
      </c>
      <c r="J46">
        <v>684080265</v>
      </c>
      <c r="K46">
        <v>104260000</v>
      </c>
      <c r="L46">
        <v>437440816</v>
      </c>
      <c r="M46">
        <v>1240085000</v>
      </c>
      <c r="N46">
        <v>1732437000</v>
      </c>
      <c r="O46">
        <v>817729100</v>
      </c>
      <c r="P46">
        <v>67240000</v>
      </c>
      <c r="Q46">
        <v>421794000</v>
      </c>
      <c r="R46">
        <v>56821000</v>
      </c>
      <c r="S46">
        <v>49831000</v>
      </c>
    </row>
    <row r="47" spans="1:19" x14ac:dyDescent="0.25">
      <c r="A47" t="s">
        <v>45</v>
      </c>
      <c r="B47" t="s">
        <v>143</v>
      </c>
      <c r="C47" t="s">
        <v>41</v>
      </c>
      <c r="D47" t="str">
        <f>IFERROR(VLOOKUP(A47,[1]PARAMETER!D:E,2,0),"")</f>
        <v>ADISTI</v>
      </c>
      <c r="E47" t="str">
        <f t="shared" si="5"/>
        <v>ADISTIVOL</v>
      </c>
      <c r="F47" t="str">
        <f t="shared" si="6"/>
        <v>EKA HOSPITALVOL</v>
      </c>
      <c r="G47" s="81">
        <f t="shared" si="2"/>
        <v>300938777</v>
      </c>
      <c r="H47" s="81">
        <f>SUMIF(I$1:BI$1,"&lt;="&amp;PARAMETER!X$2,I47:BI47)</f>
        <v>300938777</v>
      </c>
      <c r="I47">
        <v>4696001</v>
      </c>
      <c r="J47">
        <v>8559050</v>
      </c>
      <c r="K47">
        <v>8475285</v>
      </c>
      <c r="L47">
        <v>4403420</v>
      </c>
      <c r="M47">
        <v>21878854</v>
      </c>
      <c r="N47">
        <v>75545375</v>
      </c>
      <c r="O47">
        <v>90114394</v>
      </c>
      <c r="P47">
        <v>18611246</v>
      </c>
      <c r="Q47">
        <v>42398387</v>
      </c>
      <c r="R47">
        <v>20126570</v>
      </c>
      <c r="S47">
        <v>6130195</v>
      </c>
    </row>
    <row r="48" spans="1:19" x14ac:dyDescent="0.25">
      <c r="A48" t="s">
        <v>10</v>
      </c>
      <c r="B48" t="s">
        <v>143</v>
      </c>
      <c r="C48" t="s">
        <v>41</v>
      </c>
      <c r="D48" t="str">
        <f>IFERROR(VLOOKUP(A48,[1]PARAMETER!D:E,2,0),"")</f>
        <v>RIFALDI</v>
      </c>
      <c r="E48" t="str">
        <f t="shared" si="5"/>
        <v>RIFALDIVOL</v>
      </c>
      <c r="F48" t="str">
        <f t="shared" si="6"/>
        <v>GRAMEDIAVOL</v>
      </c>
      <c r="G48" s="81">
        <f t="shared" si="2"/>
        <v>4231600</v>
      </c>
      <c r="H48" s="81">
        <f>SUMIF(I$1:BI$1,"&lt;="&amp;PARAMETER!X$2,I48:BI48)</f>
        <v>4231600</v>
      </c>
      <c r="I48">
        <v>0</v>
      </c>
      <c r="J48">
        <v>1767600</v>
      </c>
      <c r="K48">
        <v>388000</v>
      </c>
      <c r="L48">
        <v>0</v>
      </c>
      <c r="M48">
        <v>0</v>
      </c>
      <c r="N48">
        <v>2076000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t="s">
        <v>11</v>
      </c>
      <c r="B49" t="s">
        <v>143</v>
      </c>
      <c r="C49" t="s">
        <v>41</v>
      </c>
      <c r="D49" t="str">
        <f>IFERROR(VLOOKUP(A49,[1]PARAMETER!D:E,2,0),"")</f>
        <v>RIFALDI</v>
      </c>
      <c r="E49" t="str">
        <f t="shared" si="5"/>
        <v>RIFALDIVOL</v>
      </c>
      <c r="F49" t="str">
        <f t="shared" si="6"/>
        <v>HAUSVOL</v>
      </c>
      <c r="G49" s="81">
        <f t="shared" si="2"/>
        <v>49417996</v>
      </c>
      <c r="H49" s="81">
        <f>SUMIF(I$1:BI$1,"&lt;="&amp;PARAMETER!X$2,I49:BI49)</f>
        <v>49417996</v>
      </c>
      <c r="I49">
        <v>0</v>
      </c>
      <c r="J49">
        <v>160000</v>
      </c>
      <c r="K49">
        <v>28000</v>
      </c>
      <c r="L49">
        <v>193000</v>
      </c>
      <c r="M49">
        <v>6283000</v>
      </c>
      <c r="N49">
        <v>14952788</v>
      </c>
      <c r="O49">
        <v>5447012</v>
      </c>
      <c r="P49">
        <v>3345000</v>
      </c>
      <c r="Q49">
        <v>1169000</v>
      </c>
      <c r="R49">
        <v>6081996</v>
      </c>
      <c r="S49">
        <v>11758200</v>
      </c>
    </row>
    <row r="50" spans="1:19" x14ac:dyDescent="0.25">
      <c r="A50" t="s">
        <v>13</v>
      </c>
      <c r="B50" t="s">
        <v>143</v>
      </c>
      <c r="C50" t="s">
        <v>41</v>
      </c>
      <c r="D50" t="str">
        <f>IFERROR(VLOOKUP(A50,[1]PARAMETER!D:E,2,0),"")</f>
        <v>RIFALDI</v>
      </c>
      <c r="E50" t="str">
        <f t="shared" si="5"/>
        <v>RIFALDIVOL</v>
      </c>
      <c r="F50" t="str">
        <f t="shared" si="6"/>
        <v>HERO GROUPVOL</v>
      </c>
      <c r="G50" s="81">
        <f t="shared" si="2"/>
        <v>784051210</v>
      </c>
      <c r="H50" s="81">
        <f>SUMIF(I$1:BI$1,"&lt;="&amp;PARAMETER!X$2,I50:BI50)</f>
        <v>784051210</v>
      </c>
      <c r="I50">
        <v>31787640</v>
      </c>
      <c r="J50">
        <v>6957162</v>
      </c>
      <c r="K50">
        <v>2491826</v>
      </c>
      <c r="L50">
        <v>47068201</v>
      </c>
      <c r="M50">
        <v>107545051</v>
      </c>
      <c r="N50">
        <v>172844605</v>
      </c>
      <c r="O50">
        <v>150886090</v>
      </c>
      <c r="P50">
        <v>109538282</v>
      </c>
      <c r="Q50">
        <v>73864079</v>
      </c>
      <c r="R50">
        <v>45019918</v>
      </c>
      <c r="S50">
        <v>36048356</v>
      </c>
    </row>
    <row r="51" spans="1:19" x14ac:dyDescent="0.25">
      <c r="A51" t="s">
        <v>46</v>
      </c>
      <c r="B51" t="s">
        <v>143</v>
      </c>
      <c r="C51" t="s">
        <v>41</v>
      </c>
      <c r="D51" t="str">
        <f>IFERROR(VLOOKUP(A51,[1]PARAMETER!D:E,2,0),"")</f>
        <v>ADISTI</v>
      </c>
      <c r="E51" t="str">
        <f t="shared" si="5"/>
        <v>ADISTIVOL</v>
      </c>
      <c r="F51" t="str">
        <f t="shared" si="6"/>
        <v>HOKBENVOL</v>
      </c>
      <c r="G51" s="81">
        <f t="shared" si="2"/>
        <v>1079000</v>
      </c>
      <c r="H51" s="81">
        <f>SUMIF(I$1:BI$1,"&lt;="&amp;PARAMETER!X$2,I51:BI51)</f>
        <v>1079000</v>
      </c>
      <c r="I51">
        <v>0</v>
      </c>
      <c r="J51">
        <v>0</v>
      </c>
      <c r="K51">
        <v>0</v>
      </c>
      <c r="L51">
        <v>0</v>
      </c>
      <c r="M51">
        <v>699000</v>
      </c>
      <c r="N51">
        <v>159000</v>
      </c>
      <c r="O51">
        <v>0</v>
      </c>
      <c r="P51">
        <v>103000</v>
      </c>
      <c r="Q51">
        <v>36000</v>
      </c>
      <c r="R51">
        <v>62000</v>
      </c>
      <c r="S51">
        <v>20000</v>
      </c>
    </row>
    <row r="52" spans="1:19" x14ac:dyDescent="0.25">
      <c r="A52" t="s">
        <v>14</v>
      </c>
      <c r="B52" t="s">
        <v>143</v>
      </c>
      <c r="C52" t="s">
        <v>41</v>
      </c>
      <c r="D52" t="str">
        <f>IFERROR(VLOOKUP(A52,[1]PARAMETER!D:E,2,0),"")</f>
        <v>NINA</v>
      </c>
      <c r="E52" t="str">
        <f t="shared" si="5"/>
        <v>NINAVOL</v>
      </c>
      <c r="F52" t="str">
        <f t="shared" si="6"/>
        <v>HOKKAIDO BAKED CHEESEVOL</v>
      </c>
      <c r="G52" s="81">
        <f t="shared" si="2"/>
        <v>91410105</v>
      </c>
      <c r="H52" s="81">
        <f>SUMIF(I$1:BI$1,"&lt;="&amp;PARAMETER!X$2,I52:BI52)</f>
        <v>91410105</v>
      </c>
      <c r="I52">
        <v>641200</v>
      </c>
      <c r="J52">
        <v>3478200</v>
      </c>
      <c r="K52">
        <v>1818200</v>
      </c>
      <c r="L52">
        <v>4841690</v>
      </c>
      <c r="M52">
        <v>9802694</v>
      </c>
      <c r="N52">
        <v>15266047</v>
      </c>
      <c r="O52">
        <v>11956000</v>
      </c>
      <c r="P52">
        <v>10245600</v>
      </c>
      <c r="Q52">
        <v>6227155</v>
      </c>
      <c r="R52">
        <v>12875831</v>
      </c>
      <c r="S52">
        <v>14257488</v>
      </c>
    </row>
    <row r="53" spans="1:19" x14ac:dyDescent="0.25">
      <c r="A53" t="s">
        <v>15</v>
      </c>
      <c r="B53" t="s">
        <v>143</v>
      </c>
      <c r="C53" t="s">
        <v>41</v>
      </c>
      <c r="D53" t="str">
        <f>IFERROR(VLOOKUP(A53,[1]PARAMETER!D:E,2,0),"")</f>
        <v>NINA</v>
      </c>
      <c r="E53" t="str">
        <f t="shared" si="5"/>
        <v>NINAVOL</v>
      </c>
      <c r="F53" t="str">
        <f t="shared" si="6"/>
        <v>HOP HOPVOL</v>
      </c>
      <c r="G53" s="81">
        <f t="shared" si="2"/>
        <v>302099410</v>
      </c>
      <c r="H53" s="81">
        <f>SUMIF(I$1:BI$1,"&lt;="&amp;PARAMETER!X$2,I53:BI53)</f>
        <v>302099410</v>
      </c>
      <c r="I53">
        <v>0</v>
      </c>
      <c r="J53">
        <v>0</v>
      </c>
      <c r="K53">
        <v>0</v>
      </c>
      <c r="L53">
        <v>3977000</v>
      </c>
      <c r="M53">
        <v>57290500</v>
      </c>
      <c r="N53">
        <v>27280002</v>
      </c>
      <c r="O53">
        <v>23911769</v>
      </c>
      <c r="P53">
        <v>53660090</v>
      </c>
      <c r="Q53">
        <v>10666000</v>
      </c>
      <c r="R53">
        <v>33743000</v>
      </c>
      <c r="S53">
        <v>91571049</v>
      </c>
    </row>
    <row r="54" spans="1:19" x14ac:dyDescent="0.25">
      <c r="A54" t="s">
        <v>16</v>
      </c>
      <c r="B54" t="s">
        <v>143</v>
      </c>
      <c r="C54" t="s">
        <v>41</v>
      </c>
      <c r="D54" t="str">
        <f>IFERROR(VLOOKUP(A54,[1]PARAMETER!D:E,2,0),"")</f>
        <v>ADISTI</v>
      </c>
      <c r="E54" t="str">
        <f t="shared" si="5"/>
        <v>ADISTIVOL</v>
      </c>
      <c r="F54" t="str">
        <f t="shared" si="6"/>
        <v>IKEAVOL</v>
      </c>
      <c r="G54" s="81">
        <f t="shared" si="2"/>
        <v>390948234</v>
      </c>
      <c r="H54" s="81">
        <f>SUMIF(I$1:BI$1,"&lt;="&amp;PARAMETER!X$2,I54:BI54)</f>
        <v>390948234</v>
      </c>
      <c r="I54">
        <v>126725600</v>
      </c>
      <c r="J54">
        <v>19860400</v>
      </c>
      <c r="K54">
        <v>1950000</v>
      </c>
      <c r="L54">
        <v>3534200</v>
      </c>
      <c r="M54">
        <v>20714000</v>
      </c>
      <c r="N54">
        <v>88791940</v>
      </c>
      <c r="O54">
        <v>65397102</v>
      </c>
      <c r="P54">
        <v>22963717</v>
      </c>
      <c r="Q54">
        <v>24911105</v>
      </c>
      <c r="R54">
        <v>12625050</v>
      </c>
      <c r="S54">
        <v>3475120</v>
      </c>
    </row>
    <row r="55" spans="1:19" x14ac:dyDescent="0.25">
      <c r="A55" t="s">
        <v>17</v>
      </c>
      <c r="B55" t="s">
        <v>143</v>
      </c>
      <c r="C55" t="s">
        <v>41</v>
      </c>
      <c r="D55" t="str">
        <f>IFERROR(VLOOKUP(A55,[1]PARAMETER!D:E,2,0),"")</f>
        <v>ADISTI</v>
      </c>
      <c r="E55" t="str">
        <f t="shared" si="5"/>
        <v>ADISTIVOL</v>
      </c>
      <c r="F55" t="str">
        <f t="shared" si="6"/>
        <v>INDOMARETVOL</v>
      </c>
      <c r="G55" s="81">
        <f t="shared" si="2"/>
        <v>60306965971</v>
      </c>
      <c r="H55" s="81">
        <f>SUMIF(I$1:BI$1,"&lt;="&amp;PARAMETER!X$2,I55:BI55)</f>
        <v>60306965971</v>
      </c>
      <c r="I55">
        <v>2735691321</v>
      </c>
      <c r="J55">
        <v>4122337407</v>
      </c>
      <c r="K55">
        <v>4128261625</v>
      </c>
      <c r="L55">
        <v>4269958071</v>
      </c>
      <c r="M55">
        <v>5366988435</v>
      </c>
      <c r="N55">
        <v>9412059892</v>
      </c>
      <c r="O55">
        <v>9351870288</v>
      </c>
      <c r="P55">
        <v>9022710174</v>
      </c>
      <c r="Q55">
        <v>8098285288</v>
      </c>
      <c r="R55">
        <v>1990386372</v>
      </c>
      <c r="S55">
        <v>1808417098</v>
      </c>
    </row>
    <row r="56" spans="1:19" x14ac:dyDescent="0.25">
      <c r="A56" t="s">
        <v>18</v>
      </c>
      <c r="B56" t="s">
        <v>143</v>
      </c>
      <c r="C56" t="s">
        <v>41</v>
      </c>
      <c r="D56" t="str">
        <f>IFERROR(VLOOKUP(A56,[1]PARAMETER!D:E,2,0),"")</f>
        <v>RIFALDI</v>
      </c>
      <c r="E56" t="str">
        <f t="shared" si="5"/>
        <v>RIFALDIVOL</v>
      </c>
      <c r="F56" t="str">
        <f t="shared" si="6"/>
        <v>KAWAN LAMAVOL</v>
      </c>
      <c r="G56" s="81">
        <f t="shared" si="2"/>
        <v>30835647466</v>
      </c>
      <c r="H56" s="81">
        <f>SUMIF(I$1:BI$1,"&lt;="&amp;PARAMETER!X$2,I56:BI56)</f>
        <v>30835647466</v>
      </c>
      <c r="I56">
        <v>2237262526</v>
      </c>
      <c r="J56">
        <v>2132606384</v>
      </c>
      <c r="K56">
        <v>2362583880</v>
      </c>
      <c r="L56">
        <v>2098126474</v>
      </c>
      <c r="M56">
        <v>3773892744</v>
      </c>
      <c r="N56">
        <v>3682490149</v>
      </c>
      <c r="O56">
        <v>4416819434</v>
      </c>
      <c r="P56">
        <v>5664023178</v>
      </c>
      <c r="Q56">
        <v>2868400699</v>
      </c>
      <c r="R56">
        <v>768711159</v>
      </c>
      <c r="S56">
        <v>830730839</v>
      </c>
    </row>
    <row r="57" spans="1:19" x14ac:dyDescent="0.25">
      <c r="A57" t="s">
        <v>19</v>
      </c>
      <c r="B57" t="s">
        <v>143</v>
      </c>
      <c r="C57" t="s">
        <v>41</v>
      </c>
      <c r="D57" t="str">
        <f>IFERROR(VLOOKUP(A57,[1]PARAMETER!D:E,2,0),"")</f>
        <v>RIFALDI</v>
      </c>
      <c r="E57" t="str">
        <f t="shared" si="5"/>
        <v>RIFALDIVOL</v>
      </c>
      <c r="F57" t="str">
        <f t="shared" si="6"/>
        <v>KCICVOL</v>
      </c>
      <c r="G57" s="81">
        <f t="shared" si="2"/>
        <v>5912866600</v>
      </c>
      <c r="H57" s="81">
        <f>SUMIF(I$1:BI$1,"&lt;="&amp;PARAMETER!X$2,I57:BI57)</f>
        <v>5912866600</v>
      </c>
      <c r="I57">
        <v>147750000</v>
      </c>
      <c r="J57">
        <v>285760000</v>
      </c>
      <c r="K57">
        <v>317935000</v>
      </c>
      <c r="L57">
        <v>342745000</v>
      </c>
      <c r="M57">
        <v>779555000</v>
      </c>
      <c r="N57">
        <v>1038286600</v>
      </c>
      <c r="O57">
        <v>1188935000</v>
      </c>
      <c r="P57">
        <v>773460000</v>
      </c>
      <c r="Q57">
        <v>369120000</v>
      </c>
      <c r="R57">
        <v>350210000</v>
      </c>
      <c r="S57">
        <v>319110000</v>
      </c>
    </row>
    <row r="58" spans="1:19" x14ac:dyDescent="0.25">
      <c r="A58" t="s">
        <v>20</v>
      </c>
      <c r="B58" t="s">
        <v>143</v>
      </c>
      <c r="C58" t="s">
        <v>41</v>
      </c>
      <c r="D58" t="str">
        <f>IFERROR(VLOOKUP(A58,[1]PARAMETER!D:E,2,0),"")</f>
        <v>ADISTI</v>
      </c>
      <c r="E58" t="str">
        <f t="shared" si="5"/>
        <v>ADISTIVOL</v>
      </c>
      <c r="F58" t="str">
        <f t="shared" si="6"/>
        <v>KIMIA FARMAVOL</v>
      </c>
      <c r="G58" s="81">
        <f t="shared" si="2"/>
        <v>217200</v>
      </c>
      <c r="H58" s="81">
        <f>SUMIF(I$1:BI$1,"&lt;="&amp;PARAMETER!X$2,I58:BI58)</f>
        <v>217200</v>
      </c>
      <c r="I58">
        <v>0</v>
      </c>
      <c r="J58">
        <v>0</v>
      </c>
      <c r="K58">
        <v>0</v>
      </c>
      <c r="L58">
        <v>0</v>
      </c>
      <c r="M58">
        <v>217200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t="s">
        <v>47</v>
      </c>
      <c r="B59" t="s">
        <v>143</v>
      </c>
      <c r="C59" t="s">
        <v>41</v>
      </c>
      <c r="D59" t="str">
        <f>IFERROR(VLOOKUP(A59,[1]PARAMETER!D:E,2,0),"")</f>
        <v>ADISTI</v>
      </c>
      <c r="E59" t="str">
        <f t="shared" si="5"/>
        <v>ADISTIVOL</v>
      </c>
      <c r="F59" t="str">
        <f t="shared" si="6"/>
        <v>LOTTE GROUPVOL</v>
      </c>
      <c r="G59" s="81">
        <f t="shared" si="2"/>
        <v>13872372823</v>
      </c>
      <c r="H59" s="81">
        <f>SUMIF(I$1:BI$1,"&lt;="&amp;PARAMETER!X$2,I59:BI59)</f>
        <v>13872372823</v>
      </c>
      <c r="I59">
        <v>333580200</v>
      </c>
      <c r="J59">
        <v>646154926</v>
      </c>
      <c r="K59">
        <v>570346760</v>
      </c>
      <c r="L59">
        <v>746679160</v>
      </c>
      <c r="M59">
        <v>1181645540</v>
      </c>
      <c r="N59">
        <v>1790566194</v>
      </c>
      <c r="O59">
        <v>2802597336</v>
      </c>
      <c r="P59">
        <v>3135860368</v>
      </c>
      <c r="Q59">
        <v>2634777200</v>
      </c>
      <c r="R59">
        <v>16388939</v>
      </c>
      <c r="S59">
        <v>13776200</v>
      </c>
    </row>
    <row r="60" spans="1:19" x14ac:dyDescent="0.25">
      <c r="A60" t="s">
        <v>48</v>
      </c>
      <c r="B60" t="s">
        <v>143</v>
      </c>
      <c r="C60" t="s">
        <v>41</v>
      </c>
      <c r="D60" t="str">
        <f>IFERROR(VLOOKUP(A60,[1]PARAMETER!D:E,2,0),"")</f>
        <v>ADISTI</v>
      </c>
      <c r="E60" t="str">
        <f t="shared" si="5"/>
        <v>ADISTIVOL</v>
      </c>
      <c r="F60" t="str">
        <f t="shared" si="6"/>
        <v>MAMA ROZVOL</v>
      </c>
      <c r="G60" s="81">
        <f t="shared" si="2"/>
        <v>33446584</v>
      </c>
      <c r="H60" s="81">
        <f>SUMIF(I$1:BI$1,"&lt;="&amp;PARAMETER!X$2,I60:BI60)</f>
        <v>33446584</v>
      </c>
      <c r="I60">
        <v>328560</v>
      </c>
      <c r="J60">
        <v>4009340</v>
      </c>
      <c r="K60">
        <v>2868380</v>
      </c>
      <c r="L60">
        <v>3435900</v>
      </c>
      <c r="M60">
        <v>2888220</v>
      </c>
      <c r="N60">
        <v>3093360</v>
      </c>
      <c r="O60">
        <v>4734180</v>
      </c>
      <c r="P60">
        <v>2362981</v>
      </c>
      <c r="Q60">
        <v>2630701</v>
      </c>
      <c r="R60">
        <v>3146221</v>
      </c>
      <c r="S60">
        <v>3948741</v>
      </c>
    </row>
    <row r="61" spans="1:19" x14ac:dyDescent="0.25">
      <c r="A61" t="s">
        <v>21</v>
      </c>
      <c r="B61" t="s">
        <v>143</v>
      </c>
      <c r="C61" t="s">
        <v>41</v>
      </c>
      <c r="D61" t="str">
        <f>IFERROR(VLOOKUP(A61,[1]PARAMETER!D:E,2,0),"")</f>
        <v>ADISTI</v>
      </c>
      <c r="E61" t="str">
        <f t="shared" si="5"/>
        <v>ADISTIVOL</v>
      </c>
      <c r="F61" t="str">
        <f t="shared" si="6"/>
        <v>MAP GROUPVOL</v>
      </c>
      <c r="G61" s="81">
        <f t="shared" si="2"/>
        <v>137966475667</v>
      </c>
      <c r="H61" s="81">
        <f>SUMIF(I$1:BI$1,"&lt;="&amp;PARAMETER!X$2,I61:BI61)</f>
        <v>137966475667</v>
      </c>
      <c r="I61">
        <v>8906309876</v>
      </c>
      <c r="J61">
        <v>8978519087</v>
      </c>
      <c r="K61">
        <v>10205782137</v>
      </c>
      <c r="L61">
        <v>8408103569</v>
      </c>
      <c r="M61">
        <v>13140982767</v>
      </c>
      <c r="N61">
        <v>23442096639</v>
      </c>
      <c r="O61">
        <v>27142568710</v>
      </c>
      <c r="P61">
        <v>26689503952</v>
      </c>
      <c r="Q61">
        <v>10361134042</v>
      </c>
      <c r="R61">
        <v>430104488</v>
      </c>
      <c r="S61">
        <v>261370400</v>
      </c>
    </row>
    <row r="62" spans="1:19" x14ac:dyDescent="0.25">
      <c r="A62" t="s">
        <v>23</v>
      </c>
      <c r="B62" t="s">
        <v>143</v>
      </c>
      <c r="C62" t="s">
        <v>41</v>
      </c>
      <c r="D62" t="str">
        <f>IFERROR(VLOOKUP(A62,[1]PARAMETER!D:E,2,0),"")</f>
        <v>ADISTI</v>
      </c>
      <c r="E62" t="str">
        <f t="shared" si="5"/>
        <v>ADISTIVOL</v>
      </c>
      <c r="F62" t="str">
        <f t="shared" si="6"/>
        <v>MITRA10VOL</v>
      </c>
      <c r="G62" s="81">
        <f t="shared" si="2"/>
        <v>13100694993</v>
      </c>
      <c r="H62" s="81">
        <f>SUMIF(I$1:BI$1,"&lt;="&amp;PARAMETER!X$2,I62:BI62)</f>
        <v>13100694993</v>
      </c>
      <c r="I62">
        <v>646173824</v>
      </c>
      <c r="J62">
        <v>872920101</v>
      </c>
      <c r="K62">
        <v>1069064795</v>
      </c>
      <c r="L62">
        <v>696822467</v>
      </c>
      <c r="M62">
        <v>890316158</v>
      </c>
      <c r="N62">
        <v>2072648968</v>
      </c>
      <c r="O62">
        <v>2040812484</v>
      </c>
      <c r="P62">
        <v>2196613266</v>
      </c>
      <c r="Q62">
        <v>2611364430</v>
      </c>
      <c r="R62">
        <v>2243000</v>
      </c>
      <c r="S62">
        <v>1715500</v>
      </c>
    </row>
    <row r="63" spans="1:19" x14ac:dyDescent="0.25">
      <c r="A63" t="s">
        <v>25</v>
      </c>
      <c r="B63" t="s">
        <v>143</v>
      </c>
      <c r="C63" t="s">
        <v>41</v>
      </c>
      <c r="D63" t="str">
        <f>IFERROR(VLOOKUP(A63,[1]PARAMETER!D:E,2,0),"")</f>
        <v>ADISTI</v>
      </c>
      <c r="E63" t="str">
        <f t="shared" si="5"/>
        <v>ADISTIVOL</v>
      </c>
      <c r="F63" t="str">
        <f t="shared" si="6"/>
        <v>OPTIK MELAWAIVOL</v>
      </c>
      <c r="G63" s="81">
        <f t="shared" si="2"/>
        <v>973456000</v>
      </c>
      <c r="H63" s="81">
        <f>SUMIF(I$1:BI$1,"&lt;="&amp;PARAMETER!X$2,I63:BI63)</f>
        <v>973456000</v>
      </c>
      <c r="I63">
        <v>29997000</v>
      </c>
      <c r="J63">
        <v>79022000</v>
      </c>
      <c r="K63">
        <v>81316000</v>
      </c>
      <c r="L63">
        <v>80516000</v>
      </c>
      <c r="M63">
        <v>97283000</v>
      </c>
      <c r="N63">
        <v>167556000</v>
      </c>
      <c r="O63">
        <v>159728000</v>
      </c>
      <c r="P63">
        <v>213864000</v>
      </c>
      <c r="Q63">
        <v>64174000</v>
      </c>
      <c r="R63">
        <v>0</v>
      </c>
      <c r="S63">
        <v>0</v>
      </c>
    </row>
    <row r="64" spans="1:19" x14ac:dyDescent="0.25">
      <c r="A64" t="s">
        <v>26</v>
      </c>
      <c r="B64" t="s">
        <v>143</v>
      </c>
      <c r="C64" t="s">
        <v>41</v>
      </c>
      <c r="D64" t="str">
        <f>IFERROR(VLOOKUP(A64,[1]PARAMETER!D:E,2,0),"")</f>
        <v>RIFALDI</v>
      </c>
      <c r="E64" t="str">
        <f t="shared" si="5"/>
        <v>RIFALDIVOL</v>
      </c>
      <c r="F64" t="str">
        <f t="shared" si="6"/>
        <v>PATRA JASAVOL</v>
      </c>
      <c r="G64" s="81">
        <f t="shared" si="2"/>
        <v>25717278</v>
      </c>
      <c r="H64" s="81">
        <f>SUMIF(I$1:BI$1,"&lt;="&amp;PARAMETER!X$2,I64:BI64)</f>
        <v>25717278</v>
      </c>
      <c r="I64">
        <v>1200000</v>
      </c>
      <c r="J64">
        <v>4193860</v>
      </c>
      <c r="K64">
        <v>158730</v>
      </c>
      <c r="L64">
        <v>4843470</v>
      </c>
      <c r="M64">
        <v>1231910</v>
      </c>
      <c r="N64">
        <v>6112308</v>
      </c>
      <c r="O64">
        <v>440000</v>
      </c>
      <c r="P64">
        <v>2537000</v>
      </c>
      <c r="Q64">
        <v>0</v>
      </c>
      <c r="R64">
        <v>0</v>
      </c>
      <c r="S64">
        <v>5000000</v>
      </c>
    </row>
    <row r="65" spans="1:19" x14ac:dyDescent="0.25">
      <c r="A65" t="s">
        <v>27</v>
      </c>
      <c r="B65" t="s">
        <v>143</v>
      </c>
      <c r="C65" t="s">
        <v>41</v>
      </c>
      <c r="D65" t="str">
        <f>IFERROR(VLOOKUP(A65,[1]PARAMETER!D:E,2,0),"")</f>
        <v>RIFALDI</v>
      </c>
      <c r="E65" t="str">
        <f t="shared" si="5"/>
        <v>RIFALDIVOL</v>
      </c>
      <c r="F65" t="str">
        <f t="shared" si="6"/>
        <v>PERTAMINA RETAILVOL</v>
      </c>
      <c r="G65" s="81">
        <f t="shared" si="2"/>
        <v>6671747093</v>
      </c>
      <c r="H65" s="81">
        <f>SUMIF(I$1:BI$1,"&lt;="&amp;PARAMETER!X$2,I65:BI65)</f>
        <v>6671747093</v>
      </c>
      <c r="I65">
        <v>139772910</v>
      </c>
      <c r="J65">
        <v>230425399</v>
      </c>
      <c r="K65">
        <v>244361458</v>
      </c>
      <c r="L65">
        <v>302568960</v>
      </c>
      <c r="M65">
        <v>599819733</v>
      </c>
      <c r="N65">
        <v>877523370</v>
      </c>
      <c r="O65">
        <v>1182007840</v>
      </c>
      <c r="P65">
        <v>776974926</v>
      </c>
      <c r="Q65">
        <v>711557759</v>
      </c>
      <c r="R65">
        <v>870968349</v>
      </c>
      <c r="S65">
        <v>735766389</v>
      </c>
    </row>
    <row r="66" spans="1:19" x14ac:dyDescent="0.25">
      <c r="A66" t="s">
        <v>28</v>
      </c>
      <c r="B66" t="s">
        <v>143</v>
      </c>
      <c r="C66" t="s">
        <v>41</v>
      </c>
      <c r="D66" t="str">
        <f>IFERROR(VLOOKUP(A66,[1]PARAMETER!D:E,2,0),"")</f>
        <v>RIFALDI</v>
      </c>
      <c r="E66" t="str">
        <f t="shared" si="5"/>
        <v>RIFALDIVOL</v>
      </c>
      <c r="F66" t="str">
        <f t="shared" si="6"/>
        <v>PIZZA HUTVOL</v>
      </c>
      <c r="G66" s="81">
        <f t="shared" si="2"/>
        <v>399065985</v>
      </c>
      <c r="H66" s="81">
        <f>SUMIF(I$1:BI$1,"&lt;="&amp;PARAMETER!X$2,I66:BI66)</f>
        <v>399065985</v>
      </c>
      <c r="I66">
        <v>42208118</v>
      </c>
      <c r="J66">
        <v>33828084</v>
      </c>
      <c r="K66">
        <v>43248064</v>
      </c>
      <c r="L66">
        <v>32801068</v>
      </c>
      <c r="M66">
        <v>41921656</v>
      </c>
      <c r="N66">
        <v>38869064</v>
      </c>
      <c r="O66">
        <v>62114200</v>
      </c>
      <c r="P66">
        <v>85167152</v>
      </c>
      <c r="Q66">
        <v>16716080</v>
      </c>
      <c r="R66">
        <v>1154000</v>
      </c>
      <c r="S66">
        <v>1038499</v>
      </c>
    </row>
    <row r="67" spans="1:19" x14ac:dyDescent="0.25">
      <c r="A67" t="s">
        <v>29</v>
      </c>
      <c r="B67" t="s">
        <v>143</v>
      </c>
      <c r="C67" t="s">
        <v>41</v>
      </c>
      <c r="D67" t="str">
        <f>IFERROR(VLOOKUP(A67,[1]PARAMETER!D:E,2,0),"")</f>
        <v>NINA</v>
      </c>
      <c r="E67" t="str">
        <f t="shared" si="5"/>
        <v>NINAVOL</v>
      </c>
      <c r="F67" t="str">
        <f t="shared" si="6"/>
        <v>PLATINUM CINEPLEXVOL</v>
      </c>
      <c r="G67" s="81">
        <f t="shared" ref="G67:G112" si="7">SUM(I67:BI67)</f>
        <v>6344030</v>
      </c>
      <c r="H67" s="81">
        <f>SUMIF(I$1:BI$1,"&lt;="&amp;PARAMETER!X$2,I67:BI67)</f>
        <v>6344030</v>
      </c>
      <c r="I67">
        <v>235000</v>
      </c>
      <c r="J67">
        <v>455000</v>
      </c>
      <c r="K67">
        <v>285000</v>
      </c>
      <c r="L67">
        <v>270000</v>
      </c>
      <c r="M67">
        <v>755000</v>
      </c>
      <c r="N67">
        <v>1020000</v>
      </c>
      <c r="O67">
        <v>280030</v>
      </c>
      <c r="P67">
        <v>1639000</v>
      </c>
      <c r="Q67">
        <v>0</v>
      </c>
      <c r="R67">
        <v>380000</v>
      </c>
      <c r="S67">
        <v>1025000</v>
      </c>
    </row>
    <row r="68" spans="1:19" x14ac:dyDescent="0.25">
      <c r="A68" t="s">
        <v>49</v>
      </c>
      <c r="B68" t="s">
        <v>143</v>
      </c>
      <c r="C68" t="s">
        <v>41</v>
      </c>
      <c r="D68" t="str">
        <f>IFERROR(VLOOKUP(A68,[1]PARAMETER!D:E,2,0),"")</f>
        <v>NINA</v>
      </c>
      <c r="E68" t="str">
        <f t="shared" si="5"/>
        <v>NINAVOL</v>
      </c>
      <c r="F68" t="str">
        <f t="shared" si="6"/>
        <v>POPEYESVOL</v>
      </c>
      <c r="G68" s="81">
        <f t="shared" si="7"/>
        <v>15780505</v>
      </c>
      <c r="H68" s="81">
        <f>SUMIF(I$1:BI$1,"&lt;="&amp;PARAMETER!X$2,I68:BI68)</f>
        <v>15780505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15078863</v>
      </c>
      <c r="P68">
        <v>70398</v>
      </c>
      <c r="Q68">
        <v>0</v>
      </c>
      <c r="R68">
        <v>631244</v>
      </c>
      <c r="S68">
        <v>0</v>
      </c>
    </row>
    <row r="69" spans="1:19" x14ac:dyDescent="0.25">
      <c r="A69" t="s">
        <v>31</v>
      </c>
      <c r="B69" t="s">
        <v>143</v>
      </c>
      <c r="C69" t="s">
        <v>41</v>
      </c>
      <c r="D69" t="str">
        <f>IFERROR(VLOOKUP(A69,[1]PARAMETER!D:E,2,0),"")</f>
        <v>RIFALDI</v>
      </c>
      <c r="E69" t="str">
        <f t="shared" si="5"/>
        <v>RIFALDIVOL</v>
      </c>
      <c r="F69" t="str">
        <f t="shared" si="6"/>
        <v>SARINAHVOL</v>
      </c>
      <c r="G69" s="81">
        <f t="shared" si="7"/>
        <v>485952244</v>
      </c>
      <c r="H69" s="81">
        <f>SUMIF(I$1:BI$1,"&lt;="&amp;PARAMETER!X$2,I69:BI69)</f>
        <v>485952244</v>
      </c>
      <c r="I69">
        <v>12025210</v>
      </c>
      <c r="J69">
        <v>6741385</v>
      </c>
      <c r="K69">
        <v>27285350</v>
      </c>
      <c r="L69">
        <v>28120100</v>
      </c>
      <c r="M69">
        <v>44661055</v>
      </c>
      <c r="N69">
        <v>48313601</v>
      </c>
      <c r="O69">
        <v>111450441</v>
      </c>
      <c r="P69">
        <v>70492570</v>
      </c>
      <c r="Q69">
        <v>43685866</v>
      </c>
      <c r="R69">
        <v>42526239</v>
      </c>
      <c r="S69">
        <v>50650427</v>
      </c>
    </row>
    <row r="70" spans="1:19" x14ac:dyDescent="0.25">
      <c r="A70" t="s">
        <v>32</v>
      </c>
      <c r="B70" t="s">
        <v>143</v>
      </c>
      <c r="C70" t="s">
        <v>41</v>
      </c>
      <c r="D70" t="str">
        <f>IFERROR(VLOOKUP(A70,[1]PARAMETER!D:E,2,0),"")</f>
        <v>ADISTI</v>
      </c>
      <c r="E70" t="str">
        <f t="shared" si="5"/>
        <v>ADISTIVOL</v>
      </c>
      <c r="F70" t="str">
        <f t="shared" si="6"/>
        <v>SHIHLINVOL</v>
      </c>
      <c r="G70" s="81">
        <f t="shared" si="7"/>
        <v>248919204</v>
      </c>
      <c r="H70" s="81">
        <f>SUMIF(I$1:BI$1,"&lt;="&amp;PARAMETER!X$2,I70:BI70)</f>
        <v>248919204</v>
      </c>
      <c r="I70">
        <v>18048000</v>
      </c>
      <c r="J70">
        <v>21565000</v>
      </c>
      <c r="K70">
        <v>25979000</v>
      </c>
      <c r="L70">
        <v>20079000</v>
      </c>
      <c r="M70">
        <v>25403001</v>
      </c>
      <c r="N70">
        <v>12646001</v>
      </c>
      <c r="O70">
        <v>70739200</v>
      </c>
      <c r="P70">
        <v>6511000</v>
      </c>
      <c r="Q70">
        <v>8573002</v>
      </c>
      <c r="R70">
        <v>20135000</v>
      </c>
      <c r="S70">
        <v>19241000</v>
      </c>
    </row>
    <row r="71" spans="1:19" x14ac:dyDescent="0.25">
      <c r="A71" t="s">
        <v>33</v>
      </c>
      <c r="B71" t="s">
        <v>143</v>
      </c>
      <c r="C71" t="s">
        <v>41</v>
      </c>
      <c r="D71" t="str">
        <f>IFERROR(VLOOKUP(A71,[1]PARAMETER!D:E,2,0),"")</f>
        <v>NINA</v>
      </c>
      <c r="E71" t="str">
        <f t="shared" si="5"/>
        <v>NINAVOL</v>
      </c>
      <c r="F71" t="str">
        <f t="shared" si="6"/>
        <v>SOLARIAVOL</v>
      </c>
      <c r="G71" s="81">
        <f t="shared" si="7"/>
        <v>3867412609</v>
      </c>
      <c r="H71" s="81">
        <f>SUMIF(I$1:BI$1,"&lt;="&amp;PARAMETER!X$2,I71:BI71)</f>
        <v>3867412609</v>
      </c>
      <c r="I71">
        <v>189154800</v>
      </c>
      <c r="J71">
        <v>148797000</v>
      </c>
      <c r="K71">
        <v>170266400</v>
      </c>
      <c r="L71">
        <v>144378200</v>
      </c>
      <c r="M71">
        <v>286292800</v>
      </c>
      <c r="N71">
        <v>372111400</v>
      </c>
      <c r="O71">
        <v>1122957800</v>
      </c>
      <c r="P71">
        <v>490212970</v>
      </c>
      <c r="Q71">
        <v>333202770</v>
      </c>
      <c r="R71">
        <v>273144051</v>
      </c>
      <c r="S71">
        <v>336894418</v>
      </c>
    </row>
    <row r="72" spans="1:19" x14ac:dyDescent="0.25">
      <c r="A72" t="s">
        <v>34</v>
      </c>
      <c r="B72" t="s">
        <v>143</v>
      </c>
      <c r="C72" t="s">
        <v>41</v>
      </c>
      <c r="D72" t="str">
        <f>IFERROR(VLOOKUP(A72,[1]PARAMETER!D:E,2,0),"")</f>
        <v>RIFALDI</v>
      </c>
      <c r="E72" t="str">
        <f t="shared" si="5"/>
        <v>RIFALDIVOL</v>
      </c>
      <c r="F72" t="str">
        <f t="shared" si="6"/>
        <v>SOUR SALLYVOL</v>
      </c>
      <c r="G72" s="81">
        <f t="shared" si="7"/>
        <v>53829827</v>
      </c>
      <c r="H72" s="81">
        <f>SUMIF(I$1:BI$1,"&lt;="&amp;PARAMETER!X$2,I72:BI72)</f>
        <v>53829827</v>
      </c>
      <c r="I72">
        <v>3764001</v>
      </c>
      <c r="J72">
        <v>2380002</v>
      </c>
      <c r="K72">
        <v>1705016</v>
      </c>
      <c r="L72">
        <v>3150001</v>
      </c>
      <c r="M72">
        <v>4011970</v>
      </c>
      <c r="N72">
        <v>2101000</v>
      </c>
      <c r="O72">
        <v>4185916</v>
      </c>
      <c r="P72">
        <v>7315002</v>
      </c>
      <c r="Q72">
        <v>2657000</v>
      </c>
      <c r="R72">
        <v>11195017</v>
      </c>
      <c r="S72">
        <v>11364902</v>
      </c>
    </row>
    <row r="73" spans="1:19" x14ac:dyDescent="0.25">
      <c r="A73" t="s">
        <v>53</v>
      </c>
      <c r="B73" t="s">
        <v>143</v>
      </c>
      <c r="C73" t="s">
        <v>41</v>
      </c>
      <c r="D73" t="str">
        <f>IFERROR(VLOOKUP(A73,[1]PARAMETER!D:E,2,0),"")</f>
        <v>NINA</v>
      </c>
      <c r="E73" t="str">
        <f t="shared" si="5"/>
        <v>NINAVOL</v>
      </c>
      <c r="F73" t="str">
        <f t="shared" si="6"/>
        <v>STEVEN GROUPVOL</v>
      </c>
      <c r="G73" s="81">
        <f t="shared" si="7"/>
        <v>488541508</v>
      </c>
      <c r="H73" s="81">
        <f>SUMIF(I$1:BI$1,"&lt;="&amp;PARAMETER!X$2,I73:BI73)</f>
        <v>488541508</v>
      </c>
      <c r="I73">
        <v>45850381</v>
      </c>
      <c r="J73">
        <v>36623464</v>
      </c>
      <c r="K73">
        <v>36963403</v>
      </c>
      <c r="L73">
        <v>31104340</v>
      </c>
      <c r="M73">
        <v>33947898</v>
      </c>
      <c r="N73">
        <v>40128703</v>
      </c>
      <c r="O73">
        <v>85685561</v>
      </c>
      <c r="P73">
        <v>37357227</v>
      </c>
      <c r="Q73">
        <v>32894093</v>
      </c>
      <c r="R73">
        <v>56890514</v>
      </c>
      <c r="S73">
        <v>51095924</v>
      </c>
    </row>
    <row r="74" spans="1:19" x14ac:dyDescent="0.25">
      <c r="A74" t="s">
        <v>35</v>
      </c>
      <c r="B74" t="s">
        <v>143</v>
      </c>
      <c r="C74" t="s">
        <v>41</v>
      </c>
      <c r="D74" t="str">
        <f>IFERROR(VLOOKUP(A74,[1]PARAMETER!D:E,2,0),"")</f>
        <v>NINA</v>
      </c>
      <c r="E74" t="str">
        <f t="shared" si="5"/>
        <v>NINAVOL</v>
      </c>
      <c r="F74" t="str">
        <f t="shared" si="6"/>
        <v>SURYA BUMI RETAILINDOVOL</v>
      </c>
      <c r="G74" s="81">
        <f t="shared" si="7"/>
        <v>4320000</v>
      </c>
      <c r="H74" s="81">
        <f>SUMIF(I$1:BI$1,"&lt;="&amp;PARAMETER!X$2,I74:BI74)</f>
        <v>4320000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4320000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 t="s">
        <v>38</v>
      </c>
      <c r="B75" t="s">
        <v>143</v>
      </c>
      <c r="C75" t="s">
        <v>41</v>
      </c>
      <c r="D75" t="str">
        <f>IFERROR(VLOOKUP(A75,[1]PARAMETER!D:E,2,0),"")</f>
        <v>NINA</v>
      </c>
      <c r="E75" t="str">
        <f t="shared" si="5"/>
        <v>NINAVOL</v>
      </c>
      <c r="F75" t="str">
        <f t="shared" si="6"/>
        <v>YOSHINOYAVOL</v>
      </c>
      <c r="G75" s="81">
        <f t="shared" si="7"/>
        <v>1696426358</v>
      </c>
      <c r="H75" s="81">
        <f>SUMIF(I$1:BI$1,"&lt;="&amp;PARAMETER!X$2,I75:BI75)</f>
        <v>1696426358</v>
      </c>
      <c r="I75">
        <v>185380000</v>
      </c>
      <c r="J75">
        <v>154419800</v>
      </c>
      <c r="K75">
        <v>153094201</v>
      </c>
      <c r="L75">
        <v>134726002</v>
      </c>
      <c r="M75">
        <v>160945502</v>
      </c>
      <c r="N75">
        <v>172510000</v>
      </c>
      <c r="O75">
        <v>166795350</v>
      </c>
      <c r="P75">
        <v>196686900</v>
      </c>
      <c r="Q75">
        <v>130837503</v>
      </c>
      <c r="R75">
        <v>117052500</v>
      </c>
      <c r="S75">
        <v>123978600</v>
      </c>
    </row>
    <row r="76" spans="1:19" x14ac:dyDescent="0.25">
      <c r="A76" t="s">
        <v>1</v>
      </c>
      <c r="B76" t="s">
        <v>143</v>
      </c>
      <c r="C76" t="s">
        <v>40</v>
      </c>
      <c r="D76" t="str">
        <f>IFERROR(VLOOKUP(A76,[1]PARAMETER!D:E,2,0),"")</f>
        <v>NINA</v>
      </c>
      <c r="E76" t="str">
        <f t="shared" ref="E76" si="8">CONCATENATE(D76,C76)</f>
        <v>NINAFBI</v>
      </c>
      <c r="F76" t="str">
        <f t="shared" ref="F76" si="9">CONCATENATE(A76,C76)</f>
        <v>ALFA GROUPFBI</v>
      </c>
      <c r="G76" s="81">
        <f t="shared" si="7"/>
        <v>469052118</v>
      </c>
      <c r="H76" s="81">
        <f>SUMIF(I$1:BI$1,"&lt;="&amp;PARAMETER!X$2,I76:BI76)</f>
        <v>469052118</v>
      </c>
      <c r="I76">
        <v>20637968</v>
      </c>
      <c r="J76">
        <v>27506077</v>
      </c>
      <c r="K76">
        <v>26445239</v>
      </c>
      <c r="L76">
        <v>27581031</v>
      </c>
      <c r="M76">
        <v>42505778</v>
      </c>
      <c r="N76">
        <v>67255529</v>
      </c>
      <c r="O76">
        <v>66048870</v>
      </c>
      <c r="P76">
        <v>70441667</v>
      </c>
      <c r="Q76">
        <v>64785534</v>
      </c>
      <c r="R76">
        <v>30499352</v>
      </c>
      <c r="S76">
        <v>25345073</v>
      </c>
    </row>
    <row r="77" spans="1:19" x14ac:dyDescent="0.25">
      <c r="A77" t="s">
        <v>2</v>
      </c>
      <c r="B77" t="s">
        <v>143</v>
      </c>
      <c r="C77" t="s">
        <v>40</v>
      </c>
      <c r="D77" t="str">
        <f>IFERROR(VLOOKUP(A77,[1]PARAMETER!D:E,2,0),"")</f>
        <v>ADISTI</v>
      </c>
      <c r="E77" t="str">
        <f t="shared" ref="E77:E112" si="10">CONCATENATE(D77,C77)</f>
        <v>ADISTIFBI</v>
      </c>
      <c r="F77" t="str">
        <f t="shared" ref="F77:F112" si="11">CONCATENATE(A77,C77)</f>
        <v>ANCOLFBI</v>
      </c>
      <c r="G77" s="81">
        <f t="shared" si="7"/>
        <v>119342942</v>
      </c>
      <c r="H77" s="81">
        <f>SUMIF(I$1:BI$1,"&lt;="&amp;PARAMETER!X$2,I77:BI77)</f>
        <v>119342942</v>
      </c>
      <c r="I77">
        <v>22267231</v>
      </c>
      <c r="J77">
        <v>13631239</v>
      </c>
      <c r="K77">
        <v>9012203</v>
      </c>
      <c r="L77">
        <v>4128066</v>
      </c>
      <c r="M77">
        <v>6521026</v>
      </c>
      <c r="N77">
        <v>14631529</v>
      </c>
      <c r="O77">
        <v>17281847</v>
      </c>
      <c r="P77">
        <v>16422036</v>
      </c>
      <c r="Q77">
        <v>5603815</v>
      </c>
      <c r="R77">
        <v>4490156</v>
      </c>
      <c r="S77">
        <v>5353794</v>
      </c>
    </row>
    <row r="78" spans="1:19" x14ac:dyDescent="0.25">
      <c r="A78" t="s">
        <v>3</v>
      </c>
      <c r="B78" t="s">
        <v>143</v>
      </c>
      <c r="C78" t="s">
        <v>40</v>
      </c>
      <c r="D78" t="str">
        <f>IFERROR(VLOOKUP(A78,[1]PARAMETER!D:E,2,0),"")</f>
        <v>NINA</v>
      </c>
      <c r="E78" t="str">
        <f t="shared" si="10"/>
        <v>NINAFBI</v>
      </c>
      <c r="F78" t="str">
        <f t="shared" si="11"/>
        <v>BANBAN TEAFBI</v>
      </c>
      <c r="G78" s="81">
        <f t="shared" si="7"/>
        <v>219924</v>
      </c>
      <c r="H78" s="81">
        <f>SUMIF(I$1:BI$1,"&lt;="&amp;PARAMETER!X$2,I78:BI78)</f>
        <v>219924</v>
      </c>
      <c r="I78">
        <v>10205</v>
      </c>
      <c r="J78">
        <v>0</v>
      </c>
      <c r="K78">
        <v>0</v>
      </c>
      <c r="L78">
        <v>2172</v>
      </c>
      <c r="M78">
        <v>6358</v>
      </c>
      <c r="N78">
        <v>4950</v>
      </c>
      <c r="O78">
        <v>25281</v>
      </c>
      <c r="P78">
        <v>13534</v>
      </c>
      <c r="Q78">
        <v>1740</v>
      </c>
      <c r="R78">
        <v>73531</v>
      </c>
      <c r="S78">
        <v>82153</v>
      </c>
    </row>
    <row r="79" spans="1:19" x14ac:dyDescent="0.25">
      <c r="A79" t="s">
        <v>4</v>
      </c>
      <c r="B79" t="s">
        <v>143</v>
      </c>
      <c r="C79" t="s">
        <v>40</v>
      </c>
      <c r="D79" t="str">
        <f>IFERROR(VLOOKUP(A79,[1]PARAMETER!D:E,2,0),"")</f>
        <v>NINA</v>
      </c>
      <c r="E79" t="str">
        <f t="shared" si="10"/>
        <v>NINAFBI</v>
      </c>
      <c r="F79" t="str">
        <f t="shared" si="11"/>
        <v>BEARD PAPAFBI</v>
      </c>
      <c r="G79" s="81">
        <f t="shared" si="7"/>
        <v>292218</v>
      </c>
      <c r="H79" s="81">
        <f>SUMIF(I$1:BI$1,"&lt;="&amp;PARAMETER!X$2,I79:BI79)</f>
        <v>292218</v>
      </c>
      <c r="I79">
        <v>31389</v>
      </c>
      <c r="J79">
        <v>27114</v>
      </c>
      <c r="K79">
        <v>17805</v>
      </c>
      <c r="L79">
        <v>7968</v>
      </c>
      <c r="M79">
        <v>14194</v>
      </c>
      <c r="N79">
        <v>4770</v>
      </c>
      <c r="O79">
        <v>105759</v>
      </c>
      <c r="P79">
        <v>3927</v>
      </c>
      <c r="Q79">
        <v>5199</v>
      </c>
      <c r="R79">
        <v>35336</v>
      </c>
      <c r="S79">
        <v>38757</v>
      </c>
    </row>
    <row r="80" spans="1:19" x14ac:dyDescent="0.25">
      <c r="A80" t="s">
        <v>6</v>
      </c>
      <c r="B80" t="s">
        <v>143</v>
      </c>
      <c r="C80" t="s">
        <v>40</v>
      </c>
      <c r="D80" t="str">
        <f>IFERROR(VLOOKUP(A80,[1]PARAMETER!D:E,2,0),"")</f>
        <v>RIFALDI</v>
      </c>
      <c r="E80" t="str">
        <f t="shared" si="10"/>
        <v>RIFALDIFBI</v>
      </c>
      <c r="F80" t="str">
        <f t="shared" si="11"/>
        <v>CHAMP RESTOFBI</v>
      </c>
      <c r="G80" s="81">
        <f t="shared" si="7"/>
        <v>1393729</v>
      </c>
      <c r="H80" s="81">
        <f>SUMIF(I$1:BI$1,"&lt;="&amp;PARAMETER!X$2,I80:BI80)</f>
        <v>1393729</v>
      </c>
      <c r="I80">
        <v>192466</v>
      </c>
      <c r="J80">
        <v>153662</v>
      </c>
      <c r="K80">
        <v>199704</v>
      </c>
      <c r="L80">
        <v>194051</v>
      </c>
      <c r="M80">
        <v>64705</v>
      </c>
      <c r="N80">
        <v>55972</v>
      </c>
      <c r="O80">
        <v>74695</v>
      </c>
      <c r="P80">
        <v>80908</v>
      </c>
      <c r="Q80">
        <v>50769</v>
      </c>
      <c r="R80">
        <v>97584</v>
      </c>
      <c r="S80">
        <v>229213</v>
      </c>
    </row>
    <row r="81" spans="1:19" x14ac:dyDescent="0.25">
      <c r="A81" t="s">
        <v>7</v>
      </c>
      <c r="B81" t="s">
        <v>143</v>
      </c>
      <c r="C81" t="s">
        <v>40</v>
      </c>
      <c r="D81" t="str">
        <f>IFERROR(VLOOKUP(A81,[1]PARAMETER!D:E,2,0),"")</f>
        <v>NINA</v>
      </c>
      <c r="E81" t="str">
        <f t="shared" si="10"/>
        <v>NINAFBI</v>
      </c>
      <c r="F81" t="str">
        <f t="shared" si="11"/>
        <v>DAMRIFBI</v>
      </c>
      <c r="G81" s="81">
        <f t="shared" si="7"/>
        <v>203845</v>
      </c>
      <c r="H81" s="81">
        <f>SUMIF(I$1:BI$1,"&lt;="&amp;PARAMETER!X$2,I81:BI81)</f>
        <v>203845</v>
      </c>
      <c r="I81">
        <v>3200</v>
      </c>
      <c r="J81">
        <v>9600</v>
      </c>
      <c r="K81">
        <v>4150</v>
      </c>
      <c r="L81">
        <v>8310</v>
      </c>
      <c r="M81">
        <v>21560</v>
      </c>
      <c r="N81">
        <v>35414</v>
      </c>
      <c r="O81">
        <v>39039</v>
      </c>
      <c r="P81">
        <v>22729</v>
      </c>
      <c r="Q81">
        <v>11932</v>
      </c>
      <c r="R81">
        <v>23275</v>
      </c>
      <c r="S81">
        <v>24636</v>
      </c>
    </row>
    <row r="82" spans="1:19" x14ac:dyDescent="0.25">
      <c r="A82" t="s">
        <v>44</v>
      </c>
      <c r="B82" t="s">
        <v>143</v>
      </c>
      <c r="C82" t="s">
        <v>40</v>
      </c>
      <c r="D82" t="str">
        <f>IFERROR(VLOOKUP(A82,[1]PARAMETER!D:E,2,0),"")</f>
        <v>NINA</v>
      </c>
      <c r="E82" t="str">
        <f t="shared" si="10"/>
        <v>NINAFBI</v>
      </c>
      <c r="F82" t="str">
        <f t="shared" si="11"/>
        <v>DELTA WIBAWA BERSAMAFBI</v>
      </c>
      <c r="G82" s="81">
        <f t="shared" si="7"/>
        <v>1386069</v>
      </c>
      <c r="H82" s="81">
        <f>SUMIF(I$1:BI$1,"&lt;="&amp;PARAMETER!X$2,I82:BI82)</f>
        <v>1386069</v>
      </c>
      <c r="I82">
        <v>4851</v>
      </c>
      <c r="J82">
        <v>13895</v>
      </c>
      <c r="K82">
        <v>10349</v>
      </c>
      <c r="L82">
        <v>46853</v>
      </c>
      <c r="M82">
        <v>230839</v>
      </c>
      <c r="N82">
        <v>193254</v>
      </c>
      <c r="O82">
        <v>132290</v>
      </c>
      <c r="P82">
        <v>186893</v>
      </c>
      <c r="Q82">
        <v>77185</v>
      </c>
      <c r="R82">
        <v>184752</v>
      </c>
      <c r="S82">
        <v>304908</v>
      </c>
    </row>
    <row r="83" spans="1:19" x14ac:dyDescent="0.25">
      <c r="A83" t="s">
        <v>8</v>
      </c>
      <c r="B83" t="s">
        <v>143</v>
      </c>
      <c r="C83" t="s">
        <v>40</v>
      </c>
      <c r="D83" t="str">
        <f>IFERROR(VLOOKUP(A83,[1]PARAMETER!D:E,2,0),"")</f>
        <v>NINA</v>
      </c>
      <c r="E83" t="str">
        <f t="shared" si="10"/>
        <v>NINAFBI</v>
      </c>
      <c r="F83" t="str">
        <f t="shared" si="11"/>
        <v>DWIDAYAFBI</v>
      </c>
      <c r="G83" s="81">
        <f t="shared" si="7"/>
        <v>14095352</v>
      </c>
      <c r="H83" s="81">
        <f>SUMIF(I$1:BI$1,"&lt;="&amp;PARAMETER!X$2,I83:BI83)</f>
        <v>14095352</v>
      </c>
      <c r="I83">
        <v>274470</v>
      </c>
      <c r="J83">
        <v>1297783</v>
      </c>
      <c r="K83">
        <v>1042600</v>
      </c>
      <c r="L83">
        <v>2158168</v>
      </c>
      <c r="M83">
        <v>2549740</v>
      </c>
      <c r="N83">
        <v>3335346</v>
      </c>
      <c r="O83">
        <v>1496791</v>
      </c>
      <c r="P83">
        <v>470680</v>
      </c>
      <c r="Q83">
        <v>723210</v>
      </c>
      <c r="R83">
        <v>397747</v>
      </c>
      <c r="S83">
        <v>348817</v>
      </c>
    </row>
    <row r="84" spans="1:19" x14ac:dyDescent="0.25">
      <c r="A84" t="s">
        <v>45</v>
      </c>
      <c r="B84" t="s">
        <v>143</v>
      </c>
      <c r="C84" t="s">
        <v>40</v>
      </c>
      <c r="D84" t="str">
        <f>IFERROR(VLOOKUP(A84,[1]PARAMETER!D:E,2,0),"")</f>
        <v>ADISTI</v>
      </c>
      <c r="E84" t="str">
        <f t="shared" si="10"/>
        <v>ADISTIFBI</v>
      </c>
      <c r="F84" t="str">
        <f t="shared" si="11"/>
        <v>EKA HOSPITALFBI</v>
      </c>
      <c r="G84" s="81">
        <f t="shared" si="7"/>
        <v>3186811</v>
      </c>
      <c r="H84" s="81">
        <f>SUMIF(I$1:BI$1,"&lt;="&amp;PARAMETER!X$2,I84:BI84)</f>
        <v>3186811</v>
      </c>
      <c r="I84">
        <v>10729</v>
      </c>
      <c r="J84">
        <v>60760</v>
      </c>
      <c r="K84">
        <v>45747</v>
      </c>
      <c r="L84">
        <v>49952</v>
      </c>
      <c r="M84">
        <v>202064</v>
      </c>
      <c r="N84">
        <v>784414</v>
      </c>
      <c r="O84">
        <v>1036664</v>
      </c>
      <c r="P84">
        <v>206710</v>
      </c>
      <c r="Q84">
        <v>503861</v>
      </c>
      <c r="R84">
        <v>219145</v>
      </c>
      <c r="S84">
        <v>66765</v>
      </c>
    </row>
    <row r="85" spans="1:19" x14ac:dyDescent="0.25">
      <c r="A85" t="s">
        <v>10</v>
      </c>
      <c r="B85" t="s">
        <v>143</v>
      </c>
      <c r="C85" t="s">
        <v>40</v>
      </c>
      <c r="D85" t="str">
        <f>IFERROR(VLOOKUP(A85,[1]PARAMETER!D:E,2,0),"")</f>
        <v>RIFALDI</v>
      </c>
      <c r="E85" t="str">
        <f t="shared" si="10"/>
        <v>RIFALDIFBI</v>
      </c>
      <c r="F85" t="str">
        <f t="shared" si="11"/>
        <v>GRAMEDIAFBI</v>
      </c>
      <c r="G85" s="81">
        <f t="shared" si="7"/>
        <v>6347</v>
      </c>
      <c r="H85" s="81">
        <f>SUMIF(I$1:BI$1,"&lt;="&amp;PARAMETER!X$2,I85:BI85)</f>
        <v>6347</v>
      </c>
      <c r="I85">
        <v>0</v>
      </c>
      <c r="J85">
        <v>2651</v>
      </c>
      <c r="K85">
        <v>582</v>
      </c>
      <c r="L85">
        <v>0</v>
      </c>
      <c r="M85">
        <v>0</v>
      </c>
      <c r="N85">
        <v>3114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t="s">
        <v>11</v>
      </c>
      <c r="B86" t="s">
        <v>143</v>
      </c>
      <c r="C86" t="s">
        <v>40</v>
      </c>
      <c r="D86" t="str">
        <f>IFERROR(VLOOKUP(A86,[1]PARAMETER!D:E,2,0),"")</f>
        <v>RIFALDI</v>
      </c>
      <c r="E86" t="str">
        <f t="shared" si="10"/>
        <v>RIFALDIFBI</v>
      </c>
      <c r="F86" t="str">
        <f t="shared" si="11"/>
        <v>HAUSFBI</v>
      </c>
      <c r="G86" s="81">
        <f t="shared" si="7"/>
        <v>55346</v>
      </c>
      <c r="H86" s="81">
        <f>SUMIF(I$1:BI$1,"&lt;="&amp;PARAMETER!X$2,I86:BI86)</f>
        <v>55346</v>
      </c>
      <c r="I86">
        <v>0</v>
      </c>
      <c r="J86">
        <v>240</v>
      </c>
      <c r="K86">
        <v>280</v>
      </c>
      <c r="L86">
        <v>0</v>
      </c>
      <c r="M86">
        <v>10626</v>
      </c>
      <c r="N86">
        <v>30000</v>
      </c>
      <c r="O86">
        <v>400</v>
      </c>
      <c r="P86">
        <v>0</v>
      </c>
      <c r="Q86">
        <v>0</v>
      </c>
      <c r="R86">
        <v>0</v>
      </c>
      <c r="S86">
        <v>13800</v>
      </c>
    </row>
    <row r="87" spans="1:19" x14ac:dyDescent="0.25">
      <c r="A87" t="s">
        <v>13</v>
      </c>
      <c r="B87" t="s">
        <v>143</v>
      </c>
      <c r="C87" t="s">
        <v>40</v>
      </c>
      <c r="D87" t="str">
        <f>IFERROR(VLOOKUP(A87,[1]PARAMETER!D:E,2,0),"")</f>
        <v>RIFALDI</v>
      </c>
      <c r="E87" t="str">
        <f t="shared" si="10"/>
        <v>RIFALDIFBI</v>
      </c>
      <c r="F87" t="str">
        <f t="shared" si="11"/>
        <v>HERO GROUPFBI</v>
      </c>
      <c r="G87" s="81">
        <f t="shared" si="7"/>
        <v>1237894</v>
      </c>
      <c r="H87" s="81">
        <f>SUMIF(I$1:BI$1,"&lt;="&amp;PARAMETER!X$2,I87:BI87)</f>
        <v>1237894</v>
      </c>
      <c r="I87">
        <v>47681</v>
      </c>
      <c r="J87">
        <v>19741</v>
      </c>
      <c r="K87">
        <v>5680</v>
      </c>
      <c r="L87">
        <v>74998</v>
      </c>
      <c r="M87">
        <v>167001</v>
      </c>
      <c r="N87">
        <v>279973</v>
      </c>
      <c r="O87">
        <v>229932</v>
      </c>
      <c r="P87">
        <v>171618</v>
      </c>
      <c r="Q87">
        <v>111792</v>
      </c>
      <c r="R87">
        <v>73465</v>
      </c>
      <c r="S87">
        <v>56013</v>
      </c>
    </row>
    <row r="88" spans="1:19" x14ac:dyDescent="0.25">
      <c r="A88" t="s">
        <v>46</v>
      </c>
      <c r="B88" t="s">
        <v>143</v>
      </c>
      <c r="C88" t="s">
        <v>40</v>
      </c>
      <c r="D88" t="str">
        <f>IFERROR(VLOOKUP(A88,[1]PARAMETER!D:E,2,0),"")</f>
        <v>ADISTI</v>
      </c>
      <c r="E88" t="str">
        <f t="shared" si="10"/>
        <v>ADISTIFBI</v>
      </c>
      <c r="F88" t="str">
        <f t="shared" si="11"/>
        <v>HOKBENFBI</v>
      </c>
      <c r="G88" s="81">
        <f t="shared" si="7"/>
        <v>0</v>
      </c>
      <c r="H88" s="81">
        <f>SUMIF(I$1:BI$1,"&lt;="&amp;PARAMETER!X$2,I88:BI88)</f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 t="s">
        <v>14</v>
      </c>
      <c r="B89" t="s">
        <v>143</v>
      </c>
      <c r="C89" t="s">
        <v>40</v>
      </c>
      <c r="D89" t="str">
        <f>IFERROR(VLOOKUP(A89,[1]PARAMETER!D:E,2,0),"")</f>
        <v>NINA</v>
      </c>
      <c r="E89" t="str">
        <f t="shared" si="10"/>
        <v>NINAFBI</v>
      </c>
      <c r="F89" t="str">
        <f t="shared" si="11"/>
        <v>HOKKAIDO BAKED CHEESEFBI</v>
      </c>
      <c r="G89" s="81">
        <f t="shared" si="7"/>
        <v>735328</v>
      </c>
      <c r="H89" s="81">
        <f>SUMIF(I$1:BI$1,"&lt;="&amp;PARAMETER!X$2,I89:BI89)</f>
        <v>735328</v>
      </c>
      <c r="I89">
        <v>4968</v>
      </c>
      <c r="J89">
        <v>24628</v>
      </c>
      <c r="K89">
        <v>16579</v>
      </c>
      <c r="L89">
        <v>36971</v>
      </c>
      <c r="M89">
        <v>55936</v>
      </c>
      <c r="N89">
        <v>155214</v>
      </c>
      <c r="O89">
        <v>96515</v>
      </c>
      <c r="P89">
        <v>107574</v>
      </c>
      <c r="Q89">
        <v>61486</v>
      </c>
      <c r="R89">
        <v>80711</v>
      </c>
      <c r="S89">
        <v>94746</v>
      </c>
    </row>
    <row r="90" spans="1:19" x14ac:dyDescent="0.25">
      <c r="A90" t="s">
        <v>15</v>
      </c>
      <c r="B90" t="s">
        <v>143</v>
      </c>
      <c r="C90" t="s">
        <v>40</v>
      </c>
      <c r="D90" t="str">
        <f>IFERROR(VLOOKUP(A90,[1]PARAMETER!D:E,2,0),"")</f>
        <v>NINA</v>
      </c>
      <c r="E90" t="str">
        <f t="shared" si="10"/>
        <v>NINAFBI</v>
      </c>
      <c r="F90" t="str">
        <f t="shared" si="11"/>
        <v>HOP HOPFBI</v>
      </c>
      <c r="G90" s="81">
        <f t="shared" si="7"/>
        <v>6367</v>
      </c>
      <c r="H90" s="81">
        <f>SUMIF(I$1:BI$1,"&lt;="&amp;PARAMETER!X$2,I90:BI90)</f>
        <v>6367</v>
      </c>
      <c r="I90">
        <v>0</v>
      </c>
      <c r="J90">
        <v>0</v>
      </c>
      <c r="K90">
        <v>0</v>
      </c>
      <c r="L90">
        <v>0</v>
      </c>
      <c r="M90">
        <v>2146</v>
      </c>
      <c r="N90">
        <v>2520</v>
      </c>
      <c r="O90">
        <v>0</v>
      </c>
      <c r="P90">
        <v>0</v>
      </c>
      <c r="Q90">
        <v>0</v>
      </c>
      <c r="R90">
        <v>0</v>
      </c>
      <c r="S90">
        <v>1701</v>
      </c>
    </row>
    <row r="91" spans="1:19" x14ac:dyDescent="0.25">
      <c r="A91" t="s">
        <v>16</v>
      </c>
      <c r="B91" t="s">
        <v>143</v>
      </c>
      <c r="C91" t="s">
        <v>40</v>
      </c>
      <c r="D91" t="str">
        <f>IFERROR(VLOOKUP(A91,[1]PARAMETER!D:E,2,0),"")</f>
        <v>ADISTI</v>
      </c>
      <c r="E91" t="str">
        <f t="shared" si="10"/>
        <v>ADISTIFBI</v>
      </c>
      <c r="F91" t="str">
        <f t="shared" si="11"/>
        <v>IKEAFBI</v>
      </c>
      <c r="G91" s="81">
        <f t="shared" si="7"/>
        <v>876837</v>
      </c>
      <c r="H91" s="81">
        <f>SUMIF(I$1:BI$1,"&lt;="&amp;PARAMETER!X$2,I91:BI91)</f>
        <v>876837</v>
      </c>
      <c r="I91">
        <v>190088</v>
      </c>
      <c r="J91">
        <v>29791</v>
      </c>
      <c r="K91">
        <v>2925</v>
      </c>
      <c r="L91">
        <v>5301</v>
      </c>
      <c r="M91">
        <v>31071</v>
      </c>
      <c r="N91">
        <v>207724</v>
      </c>
      <c r="O91">
        <v>201711</v>
      </c>
      <c r="P91">
        <v>45519</v>
      </c>
      <c r="Q91">
        <v>50007</v>
      </c>
      <c r="R91">
        <v>88375</v>
      </c>
      <c r="S91">
        <v>24325</v>
      </c>
    </row>
    <row r="92" spans="1:19" x14ac:dyDescent="0.25">
      <c r="A92" t="s">
        <v>17</v>
      </c>
      <c r="B92" t="s">
        <v>143</v>
      </c>
      <c r="C92" t="s">
        <v>40</v>
      </c>
      <c r="D92" t="str">
        <f>IFERROR(VLOOKUP(A92,[1]PARAMETER!D:E,2,0),"")</f>
        <v>ADISTI</v>
      </c>
      <c r="E92" t="str">
        <f t="shared" si="10"/>
        <v>ADISTIFBI</v>
      </c>
      <c r="F92" t="str">
        <f t="shared" si="11"/>
        <v>INDOMARETFBI</v>
      </c>
      <c r="G92" s="81">
        <f t="shared" si="7"/>
        <v>473581845</v>
      </c>
      <c r="H92" s="81">
        <f>SUMIF(I$1:BI$1,"&lt;="&amp;PARAMETER!X$2,I92:BI92)</f>
        <v>473581845</v>
      </c>
      <c r="I92">
        <v>21076754</v>
      </c>
      <c r="J92">
        <v>31462782</v>
      </c>
      <c r="K92">
        <v>32150614</v>
      </c>
      <c r="L92">
        <v>32585498</v>
      </c>
      <c r="M92">
        <v>40271680</v>
      </c>
      <c r="N92">
        <v>66754851</v>
      </c>
      <c r="O92">
        <v>72122151</v>
      </c>
      <c r="P92">
        <v>71089721</v>
      </c>
      <c r="Q92">
        <v>62311846</v>
      </c>
      <c r="R92">
        <v>22938812</v>
      </c>
      <c r="S92">
        <v>20817136</v>
      </c>
    </row>
    <row r="93" spans="1:19" x14ac:dyDescent="0.25">
      <c r="A93" t="s">
        <v>18</v>
      </c>
      <c r="B93" t="s">
        <v>143</v>
      </c>
      <c r="C93" t="s">
        <v>40</v>
      </c>
      <c r="D93" t="str">
        <f>IFERROR(VLOOKUP(A93,[1]PARAMETER!D:E,2,0),"")</f>
        <v>RIFALDI</v>
      </c>
      <c r="E93" t="str">
        <f t="shared" si="10"/>
        <v>RIFALDIFBI</v>
      </c>
      <c r="F93" t="str">
        <f t="shared" si="11"/>
        <v>KAWAN LAMAFBI</v>
      </c>
      <c r="G93" s="81">
        <f t="shared" si="7"/>
        <v>63032184</v>
      </c>
      <c r="H93" s="81">
        <f>SUMIF(I$1:BI$1,"&lt;="&amp;PARAMETER!X$2,I93:BI93)</f>
        <v>63032184</v>
      </c>
      <c r="I93">
        <v>5185287</v>
      </c>
      <c r="J93">
        <v>3547176</v>
      </c>
      <c r="K93">
        <v>3547218</v>
      </c>
      <c r="L93">
        <v>3148687</v>
      </c>
      <c r="M93">
        <v>5673533</v>
      </c>
      <c r="N93">
        <v>5519675</v>
      </c>
      <c r="O93">
        <v>8654934</v>
      </c>
      <c r="P93">
        <v>10688313</v>
      </c>
      <c r="Q93">
        <v>6084400</v>
      </c>
      <c r="R93">
        <v>5277417</v>
      </c>
      <c r="S93">
        <v>5705544</v>
      </c>
    </row>
    <row r="94" spans="1:19" x14ac:dyDescent="0.25">
      <c r="A94" t="s">
        <v>19</v>
      </c>
      <c r="B94" t="s">
        <v>143</v>
      </c>
      <c r="C94" t="s">
        <v>40</v>
      </c>
      <c r="D94" t="str">
        <f>IFERROR(VLOOKUP(A94,[1]PARAMETER!D:E,2,0),"")</f>
        <v>RIFALDI</v>
      </c>
      <c r="E94" t="str">
        <f t="shared" si="10"/>
        <v>RIFALDIFBI</v>
      </c>
      <c r="F94" t="str">
        <f t="shared" si="11"/>
        <v>KCICFBI</v>
      </c>
      <c r="G94" s="81">
        <f t="shared" si="7"/>
        <v>71279996</v>
      </c>
      <c r="H94" s="81">
        <f>SUMIF(I$1:BI$1,"&lt;="&amp;PARAMETER!X$2,I94:BI94)</f>
        <v>71279996</v>
      </c>
      <c r="I94">
        <v>2398070</v>
      </c>
      <c r="J94">
        <v>4387820</v>
      </c>
      <c r="K94">
        <v>4638480</v>
      </c>
      <c r="L94">
        <v>4840245</v>
      </c>
      <c r="M94">
        <v>8672232</v>
      </c>
      <c r="N94">
        <v>11950804</v>
      </c>
      <c r="O94">
        <v>14264635</v>
      </c>
      <c r="P94">
        <v>9887910</v>
      </c>
      <c r="Q94">
        <v>4575725</v>
      </c>
      <c r="R94">
        <v>3013630</v>
      </c>
      <c r="S94">
        <v>2650445</v>
      </c>
    </row>
    <row r="95" spans="1:19" x14ac:dyDescent="0.25">
      <c r="A95" t="s">
        <v>20</v>
      </c>
      <c r="B95" t="s">
        <v>143</v>
      </c>
      <c r="C95" t="s">
        <v>40</v>
      </c>
      <c r="D95" t="str">
        <f>IFERROR(VLOOKUP(A95,[1]PARAMETER!D:E,2,0),"")</f>
        <v>ADISTI</v>
      </c>
      <c r="E95" t="str">
        <f t="shared" si="10"/>
        <v>ADISTIFBI</v>
      </c>
      <c r="F95" t="str">
        <f t="shared" si="11"/>
        <v>KIMIA FARMAFBI</v>
      </c>
      <c r="G95" s="81">
        <f t="shared" si="7"/>
        <v>1520</v>
      </c>
      <c r="H95" s="81">
        <f>SUMIF(I$1:BI$1,"&lt;="&amp;PARAMETER!X$2,I95:BI95)</f>
        <v>1520</v>
      </c>
      <c r="I95">
        <v>0</v>
      </c>
      <c r="J95">
        <v>0</v>
      </c>
      <c r="K95">
        <v>0</v>
      </c>
      <c r="L95">
        <v>0</v>
      </c>
      <c r="M95">
        <v>1520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 t="s">
        <v>47</v>
      </c>
      <c r="B96" t="s">
        <v>143</v>
      </c>
      <c r="C96" t="s">
        <v>40</v>
      </c>
      <c r="D96" t="str">
        <f>IFERROR(VLOOKUP(A96,[1]PARAMETER!D:E,2,0),"")</f>
        <v>ADISTI</v>
      </c>
      <c r="E96" t="str">
        <f t="shared" si="10"/>
        <v>ADISTIFBI</v>
      </c>
      <c r="F96" t="str">
        <f t="shared" si="11"/>
        <v>LOTTE GROUPFBI</v>
      </c>
      <c r="G96" s="81">
        <f t="shared" si="7"/>
        <v>21000876</v>
      </c>
      <c r="H96" s="81">
        <f>SUMIF(I$1:BI$1,"&lt;="&amp;PARAMETER!X$2,I96:BI96)</f>
        <v>21000876</v>
      </c>
      <c r="I96">
        <v>500369</v>
      </c>
      <c r="J96">
        <v>968524</v>
      </c>
      <c r="K96">
        <v>855519</v>
      </c>
      <c r="L96">
        <v>1114133</v>
      </c>
      <c r="M96">
        <v>1773352</v>
      </c>
      <c r="N96">
        <v>2691355</v>
      </c>
      <c r="O96">
        <v>4204502</v>
      </c>
      <c r="P96">
        <v>4705344</v>
      </c>
      <c r="Q96">
        <v>3959113</v>
      </c>
      <c r="R96">
        <v>37617</v>
      </c>
      <c r="S96">
        <v>191048</v>
      </c>
    </row>
    <row r="97" spans="1:19" x14ac:dyDescent="0.25">
      <c r="A97" t="s">
        <v>48</v>
      </c>
      <c r="B97" t="s">
        <v>143</v>
      </c>
      <c r="C97" t="s">
        <v>40</v>
      </c>
      <c r="D97" t="str">
        <f>IFERROR(VLOOKUP(A97,[1]PARAMETER!D:E,2,0),"")</f>
        <v>ADISTI</v>
      </c>
      <c r="E97" t="str">
        <f t="shared" si="10"/>
        <v>ADISTIFBI</v>
      </c>
      <c r="F97" t="str">
        <f t="shared" si="11"/>
        <v>MAMA ROZFBI</v>
      </c>
      <c r="G97" s="81">
        <f t="shared" si="7"/>
        <v>252509</v>
      </c>
      <c r="H97" s="81">
        <f>SUMIF(I$1:BI$1,"&lt;="&amp;PARAMETER!X$2,I97:BI97)</f>
        <v>252509</v>
      </c>
      <c r="I97">
        <v>2860</v>
      </c>
      <c r="J97">
        <v>30226</v>
      </c>
      <c r="K97">
        <v>21307</v>
      </c>
      <c r="L97">
        <v>24053</v>
      </c>
      <c r="M97">
        <v>20217</v>
      </c>
      <c r="N97">
        <v>21653</v>
      </c>
      <c r="O97">
        <v>33139</v>
      </c>
      <c r="P97">
        <v>17394</v>
      </c>
      <c r="Q97">
        <v>20545</v>
      </c>
      <c r="R97">
        <v>22222</v>
      </c>
      <c r="S97">
        <v>38893</v>
      </c>
    </row>
    <row r="98" spans="1:19" x14ac:dyDescent="0.25">
      <c r="A98" t="s">
        <v>21</v>
      </c>
      <c r="B98" t="s">
        <v>143</v>
      </c>
      <c r="C98" t="s">
        <v>40</v>
      </c>
      <c r="D98" t="str">
        <f>IFERROR(VLOOKUP(A98,[1]PARAMETER!D:E,2,0),"")</f>
        <v>ADISTI</v>
      </c>
      <c r="E98" t="str">
        <f t="shared" si="10"/>
        <v>ADISTIFBI</v>
      </c>
      <c r="F98" t="str">
        <f t="shared" si="11"/>
        <v>MAP GROUPFBI</v>
      </c>
      <c r="G98" s="81">
        <f t="shared" si="7"/>
        <v>1422913500</v>
      </c>
      <c r="H98" s="81">
        <f>SUMIF(I$1:BI$1,"&lt;="&amp;PARAMETER!X$2,I98:BI98)</f>
        <v>1422913500</v>
      </c>
      <c r="I98">
        <v>92587027</v>
      </c>
      <c r="J98">
        <v>87204210</v>
      </c>
      <c r="K98">
        <v>100427385</v>
      </c>
      <c r="L98">
        <v>83375686</v>
      </c>
      <c r="M98">
        <v>135334110</v>
      </c>
      <c r="N98">
        <v>242544995</v>
      </c>
      <c r="O98">
        <v>287141459</v>
      </c>
      <c r="P98">
        <v>286143792</v>
      </c>
      <c r="Q98">
        <v>100458991</v>
      </c>
      <c r="R98">
        <v>4934294</v>
      </c>
      <c r="S98">
        <v>2761551</v>
      </c>
    </row>
    <row r="99" spans="1:19" x14ac:dyDescent="0.25">
      <c r="A99" t="s">
        <v>23</v>
      </c>
      <c r="B99" t="s">
        <v>143</v>
      </c>
      <c r="C99" t="s">
        <v>40</v>
      </c>
      <c r="D99" t="str">
        <f>IFERROR(VLOOKUP(A99,[1]PARAMETER!D:E,2,0),"")</f>
        <v>ADISTI</v>
      </c>
      <c r="E99" t="str">
        <f t="shared" si="10"/>
        <v>ADISTIFBI</v>
      </c>
      <c r="F99" t="str">
        <f t="shared" si="11"/>
        <v>MITRA10FBI</v>
      </c>
      <c r="G99" s="81">
        <f t="shared" si="7"/>
        <v>19792410</v>
      </c>
      <c r="H99" s="81">
        <f>SUMIF(I$1:BI$1,"&lt;="&amp;PARAMETER!X$2,I99:BI99)</f>
        <v>19792410</v>
      </c>
      <c r="I99">
        <v>969260</v>
      </c>
      <c r="J99">
        <v>1313013</v>
      </c>
      <c r="K99">
        <v>1603596</v>
      </c>
      <c r="L99">
        <v>1057948</v>
      </c>
      <c r="M99">
        <v>1329990</v>
      </c>
      <c r="N99">
        <v>3104741</v>
      </c>
      <c r="O99">
        <v>3205363</v>
      </c>
      <c r="P99">
        <v>3292498</v>
      </c>
      <c r="Q99">
        <v>3916001</v>
      </c>
      <c r="R99">
        <v>0</v>
      </c>
      <c r="S99">
        <v>0</v>
      </c>
    </row>
    <row r="100" spans="1:19" x14ac:dyDescent="0.25">
      <c r="A100" t="s">
        <v>25</v>
      </c>
      <c r="B100" t="s">
        <v>143</v>
      </c>
      <c r="C100" t="s">
        <v>40</v>
      </c>
      <c r="D100" t="str">
        <f>IFERROR(VLOOKUP(A100,[1]PARAMETER!D:E,2,0),"")</f>
        <v>ADISTI</v>
      </c>
      <c r="E100" t="str">
        <f t="shared" si="10"/>
        <v>ADISTIFBI</v>
      </c>
      <c r="F100" t="str">
        <f t="shared" si="11"/>
        <v>OPTIK MELAWAIFBI</v>
      </c>
      <c r="G100" s="81">
        <f t="shared" si="7"/>
        <v>1460184</v>
      </c>
      <c r="H100" s="81">
        <f>SUMIF(I$1:BI$1,"&lt;="&amp;PARAMETER!X$2,I100:BI100)</f>
        <v>1460184</v>
      </c>
      <c r="I100">
        <v>44996</v>
      </c>
      <c r="J100">
        <v>118533</v>
      </c>
      <c r="K100">
        <v>121974</v>
      </c>
      <c r="L100">
        <v>120774</v>
      </c>
      <c r="M100">
        <v>145924</v>
      </c>
      <c r="N100">
        <v>251334</v>
      </c>
      <c r="O100">
        <v>239592</v>
      </c>
      <c r="P100">
        <v>320796</v>
      </c>
      <c r="Q100">
        <v>96261</v>
      </c>
      <c r="R100">
        <v>0</v>
      </c>
      <c r="S100">
        <v>0</v>
      </c>
    </row>
    <row r="101" spans="1:19" x14ac:dyDescent="0.25">
      <c r="A101" t="s">
        <v>26</v>
      </c>
      <c r="B101" t="s">
        <v>143</v>
      </c>
      <c r="C101" t="s">
        <v>40</v>
      </c>
      <c r="D101" t="str">
        <f>IFERROR(VLOOKUP(A101,[1]PARAMETER!D:E,2,0),"")</f>
        <v>RIFALDI</v>
      </c>
      <c r="E101" t="str">
        <f t="shared" si="10"/>
        <v>RIFALDIFBI</v>
      </c>
      <c r="F101" t="str">
        <f t="shared" si="11"/>
        <v>PATRA JASAFBI</v>
      </c>
      <c r="G101" s="81">
        <f t="shared" si="7"/>
        <v>423240</v>
      </c>
      <c r="H101" s="81">
        <f>SUMIF(I$1:BI$1,"&lt;="&amp;PARAMETER!X$2,I101:BI101)</f>
        <v>423240</v>
      </c>
      <c r="I101">
        <v>21600</v>
      </c>
      <c r="J101">
        <v>75489</v>
      </c>
      <c r="K101">
        <v>2857</v>
      </c>
      <c r="L101">
        <v>56836</v>
      </c>
      <c r="M101">
        <v>17690</v>
      </c>
      <c r="N101">
        <v>110022</v>
      </c>
      <c r="O101">
        <v>3080</v>
      </c>
      <c r="P101">
        <v>45666</v>
      </c>
      <c r="Q101">
        <v>0</v>
      </c>
      <c r="R101">
        <v>0</v>
      </c>
      <c r="S101">
        <v>90000</v>
      </c>
    </row>
    <row r="102" spans="1:19" x14ac:dyDescent="0.25">
      <c r="A102" t="s">
        <v>27</v>
      </c>
      <c r="B102" t="s">
        <v>143</v>
      </c>
      <c r="C102" t="s">
        <v>40</v>
      </c>
      <c r="D102" t="str">
        <f>IFERROR(VLOOKUP(A102,[1]PARAMETER!D:E,2,0),"")</f>
        <v>RIFALDI</v>
      </c>
      <c r="E102" t="str">
        <f t="shared" si="10"/>
        <v>RIFALDIFBI</v>
      </c>
      <c r="F102" t="str">
        <f t="shared" si="11"/>
        <v>PERTAMINA RETAILFBI</v>
      </c>
      <c r="G102" s="81">
        <f t="shared" si="7"/>
        <v>35980902</v>
      </c>
      <c r="H102" s="81">
        <f>SUMIF(I$1:BI$1,"&lt;="&amp;PARAMETER!X$2,I102:BI102)</f>
        <v>35980902</v>
      </c>
      <c r="I102">
        <v>530251</v>
      </c>
      <c r="J102">
        <v>1029925</v>
      </c>
      <c r="K102">
        <v>987763</v>
      </c>
      <c r="L102">
        <v>1324777</v>
      </c>
      <c r="M102">
        <v>2457963</v>
      </c>
      <c r="N102">
        <v>5317531</v>
      </c>
      <c r="O102">
        <v>7476150</v>
      </c>
      <c r="P102">
        <v>4670710</v>
      </c>
      <c r="Q102">
        <v>4711683</v>
      </c>
      <c r="R102">
        <v>3889132</v>
      </c>
      <c r="S102">
        <v>3585017</v>
      </c>
    </row>
    <row r="103" spans="1:19" x14ac:dyDescent="0.25">
      <c r="A103" t="s">
        <v>28</v>
      </c>
      <c r="B103" t="s">
        <v>143</v>
      </c>
      <c r="C103" t="s">
        <v>40</v>
      </c>
      <c r="D103" t="str">
        <f>IFERROR(VLOOKUP(A103,[1]PARAMETER!D:E,2,0),"")</f>
        <v>RIFALDI</v>
      </c>
      <c r="E103" t="str">
        <f t="shared" si="10"/>
        <v>RIFALDIFBI</v>
      </c>
      <c r="F103" t="str">
        <f t="shared" si="11"/>
        <v>PIZZA HUTFBI</v>
      </c>
      <c r="G103" s="81">
        <f t="shared" si="7"/>
        <v>585968</v>
      </c>
      <c r="H103" s="81">
        <f>SUMIF(I$1:BI$1,"&lt;="&amp;PARAMETER!X$2,I103:BI103)</f>
        <v>585968</v>
      </c>
      <c r="I103">
        <v>63312</v>
      </c>
      <c r="J103">
        <v>50742</v>
      </c>
      <c r="K103">
        <v>64872</v>
      </c>
      <c r="L103">
        <v>47769</v>
      </c>
      <c r="M103">
        <v>60698</v>
      </c>
      <c r="N103">
        <v>55776</v>
      </c>
      <c r="O103">
        <v>91056</v>
      </c>
      <c r="P103">
        <v>126797</v>
      </c>
      <c r="Q103">
        <v>24546</v>
      </c>
      <c r="R103">
        <v>0</v>
      </c>
      <c r="S103">
        <v>400</v>
      </c>
    </row>
    <row r="104" spans="1:19" x14ac:dyDescent="0.25">
      <c r="A104" t="s">
        <v>29</v>
      </c>
      <c r="B104" t="s">
        <v>143</v>
      </c>
      <c r="C104" t="s">
        <v>40</v>
      </c>
      <c r="D104" t="str">
        <f>IFERROR(VLOOKUP(A104,[1]PARAMETER!D:E,2,0),"")</f>
        <v>NINA</v>
      </c>
      <c r="E104" t="str">
        <f t="shared" si="10"/>
        <v>NINAFBI</v>
      </c>
      <c r="F104" t="str">
        <f t="shared" si="11"/>
        <v>PLATINUM CINEPLEXFBI</v>
      </c>
      <c r="G104" s="81">
        <f t="shared" si="7"/>
        <v>49970</v>
      </c>
      <c r="H104" s="81">
        <f>SUMIF(I$1:BI$1,"&lt;="&amp;PARAMETER!X$2,I104:BI104)</f>
        <v>49970</v>
      </c>
      <c r="I104">
        <v>2350</v>
      </c>
      <c r="J104">
        <v>4550</v>
      </c>
      <c r="K104">
        <v>2850</v>
      </c>
      <c r="L104">
        <v>2250</v>
      </c>
      <c r="M104">
        <v>5510</v>
      </c>
      <c r="N104">
        <v>7140</v>
      </c>
      <c r="O104">
        <v>1960</v>
      </c>
      <c r="P104">
        <v>13525</v>
      </c>
      <c r="Q104">
        <v>0</v>
      </c>
      <c r="R104">
        <v>2660</v>
      </c>
      <c r="S104">
        <v>7175</v>
      </c>
    </row>
    <row r="105" spans="1:19" x14ac:dyDescent="0.25">
      <c r="A105" t="s">
        <v>49</v>
      </c>
      <c r="B105" t="s">
        <v>143</v>
      </c>
      <c r="C105" t="s">
        <v>40</v>
      </c>
      <c r="D105" t="str">
        <f>IFERROR(VLOOKUP(A105,[1]PARAMETER!D:E,2,0),"")</f>
        <v>NINA</v>
      </c>
      <c r="E105" t="str">
        <f t="shared" si="10"/>
        <v>NINAFBI</v>
      </c>
      <c r="F105" t="str">
        <f t="shared" si="11"/>
        <v>POPEYESFBI</v>
      </c>
      <c r="G105" s="81">
        <f t="shared" si="7"/>
        <v>45112</v>
      </c>
      <c r="H105" s="81">
        <f>SUMIF(I$1:BI$1,"&lt;="&amp;PARAMETER!X$2,I105:BI105)</f>
        <v>45112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40199</v>
      </c>
      <c r="P105">
        <v>493</v>
      </c>
      <c r="Q105">
        <v>0</v>
      </c>
      <c r="R105">
        <v>4420</v>
      </c>
      <c r="S105">
        <v>0</v>
      </c>
    </row>
    <row r="106" spans="1:19" x14ac:dyDescent="0.25">
      <c r="A106" t="s">
        <v>31</v>
      </c>
      <c r="B106" t="s">
        <v>143</v>
      </c>
      <c r="C106" t="s">
        <v>40</v>
      </c>
      <c r="D106" t="str">
        <f>IFERROR(VLOOKUP(A106,[1]PARAMETER!D:E,2,0),"")</f>
        <v>RIFALDI</v>
      </c>
      <c r="E106" t="str">
        <f t="shared" si="10"/>
        <v>RIFALDIFBI</v>
      </c>
      <c r="F106" t="str">
        <f t="shared" si="11"/>
        <v>SARINAHFBI</v>
      </c>
      <c r="G106" s="81">
        <f t="shared" si="7"/>
        <v>3974982</v>
      </c>
      <c r="H106" s="81">
        <f>SUMIF(I$1:BI$1,"&lt;="&amp;PARAMETER!X$2,I106:BI106)</f>
        <v>3974982</v>
      </c>
      <c r="I106">
        <v>198264</v>
      </c>
      <c r="J106">
        <v>89579</v>
      </c>
      <c r="K106">
        <v>368442</v>
      </c>
      <c r="L106">
        <v>421611</v>
      </c>
      <c r="M106">
        <v>743101</v>
      </c>
      <c r="N106">
        <v>240028</v>
      </c>
      <c r="O106">
        <v>569976</v>
      </c>
      <c r="P106">
        <v>789075</v>
      </c>
      <c r="Q106">
        <v>187157</v>
      </c>
      <c r="R106">
        <v>128031</v>
      </c>
      <c r="S106">
        <v>239718</v>
      </c>
    </row>
    <row r="107" spans="1:19" x14ac:dyDescent="0.25">
      <c r="A107" t="s">
        <v>32</v>
      </c>
      <c r="B107" t="s">
        <v>143</v>
      </c>
      <c r="C107" t="s">
        <v>40</v>
      </c>
      <c r="D107" t="str">
        <f>IFERROR(VLOOKUP(A107,[1]PARAMETER!D:E,2,0),"")</f>
        <v>ADISTI</v>
      </c>
      <c r="E107" t="str">
        <f t="shared" si="10"/>
        <v>ADISTIFBI</v>
      </c>
      <c r="F107" t="str">
        <f t="shared" si="11"/>
        <v>SHIHLINFBI</v>
      </c>
      <c r="G107" s="81">
        <f t="shared" si="7"/>
        <v>1579111</v>
      </c>
      <c r="H107" s="81">
        <f>SUMIF(I$1:BI$1,"&lt;="&amp;PARAMETER!X$2,I107:BI107)</f>
        <v>1579111</v>
      </c>
      <c r="I107">
        <v>116366</v>
      </c>
      <c r="J107">
        <v>133978</v>
      </c>
      <c r="K107">
        <v>172466</v>
      </c>
      <c r="L107">
        <v>126562</v>
      </c>
      <c r="M107">
        <v>149472</v>
      </c>
      <c r="N107">
        <v>62238</v>
      </c>
      <c r="O107">
        <v>480474</v>
      </c>
      <c r="P107">
        <v>35919</v>
      </c>
      <c r="Q107">
        <v>45106</v>
      </c>
      <c r="R107">
        <v>127666</v>
      </c>
      <c r="S107">
        <v>128864</v>
      </c>
    </row>
    <row r="108" spans="1:19" x14ac:dyDescent="0.25">
      <c r="A108" t="s">
        <v>33</v>
      </c>
      <c r="B108" t="s">
        <v>143</v>
      </c>
      <c r="C108" t="s">
        <v>40</v>
      </c>
      <c r="D108" t="str">
        <f>IFERROR(VLOOKUP(A108,[1]PARAMETER!D:E,2,0),"")</f>
        <v>NINA</v>
      </c>
      <c r="E108" t="str">
        <f t="shared" si="10"/>
        <v>NINAFBI</v>
      </c>
      <c r="F108" t="str">
        <f t="shared" si="11"/>
        <v>SOLARIAFBI</v>
      </c>
      <c r="G108" s="81">
        <f t="shared" si="7"/>
        <v>10978817</v>
      </c>
      <c r="H108" s="81">
        <f>SUMIF(I$1:BI$1,"&lt;="&amp;PARAMETER!X$2,I108:BI108)</f>
        <v>10978817</v>
      </c>
      <c r="I108">
        <v>283732</v>
      </c>
      <c r="J108">
        <v>223740</v>
      </c>
      <c r="K108">
        <v>255400</v>
      </c>
      <c r="L108">
        <v>261959</v>
      </c>
      <c r="M108">
        <v>820280</v>
      </c>
      <c r="N108">
        <v>745735</v>
      </c>
      <c r="O108">
        <v>1888160</v>
      </c>
      <c r="P108">
        <v>1058765</v>
      </c>
      <c r="Q108">
        <v>1159016</v>
      </c>
      <c r="R108">
        <v>1913275</v>
      </c>
      <c r="S108">
        <v>2368755</v>
      </c>
    </row>
    <row r="109" spans="1:19" x14ac:dyDescent="0.25">
      <c r="A109" t="s">
        <v>34</v>
      </c>
      <c r="B109" t="s">
        <v>143</v>
      </c>
      <c r="C109" t="s">
        <v>40</v>
      </c>
      <c r="D109" t="str">
        <f>IFERROR(VLOOKUP(A109,[1]PARAMETER!D:E,2,0),"")</f>
        <v>RIFALDI</v>
      </c>
      <c r="E109" t="str">
        <f t="shared" si="10"/>
        <v>RIFALDIFBI</v>
      </c>
      <c r="F109" t="str">
        <f t="shared" si="11"/>
        <v>SOUR SALLYFBI</v>
      </c>
      <c r="G109" s="81">
        <f t="shared" si="7"/>
        <v>373898</v>
      </c>
      <c r="H109" s="81">
        <f>SUMIF(I$1:BI$1,"&lt;="&amp;PARAMETER!X$2,I109:BI109)</f>
        <v>373898</v>
      </c>
      <c r="I109">
        <v>26348</v>
      </c>
      <c r="J109">
        <v>19669</v>
      </c>
      <c r="K109">
        <v>10959</v>
      </c>
      <c r="L109">
        <v>17950</v>
      </c>
      <c r="M109">
        <v>27193</v>
      </c>
      <c r="N109">
        <v>14707</v>
      </c>
      <c r="O109">
        <v>26565</v>
      </c>
      <c r="P109">
        <v>51205</v>
      </c>
      <c r="Q109">
        <v>18599</v>
      </c>
      <c r="R109">
        <v>78581</v>
      </c>
      <c r="S109">
        <v>82122</v>
      </c>
    </row>
    <row r="110" spans="1:19" x14ac:dyDescent="0.25">
      <c r="A110" t="s">
        <v>53</v>
      </c>
      <c r="B110" t="s">
        <v>143</v>
      </c>
      <c r="C110" t="s">
        <v>40</v>
      </c>
      <c r="D110" t="str">
        <f>IFERROR(VLOOKUP(A110,[1]PARAMETER!D:E,2,0),"")</f>
        <v>NINA</v>
      </c>
      <c r="E110" t="str">
        <f t="shared" si="10"/>
        <v>NINAFBI</v>
      </c>
      <c r="F110" t="str">
        <f t="shared" si="11"/>
        <v>STEVEN GROUPFBI</v>
      </c>
      <c r="G110" s="81">
        <f t="shared" si="7"/>
        <v>1070795</v>
      </c>
      <c r="H110" s="81">
        <f>SUMIF(I$1:BI$1,"&lt;="&amp;PARAMETER!X$2,I110:BI110)</f>
        <v>1070795</v>
      </c>
      <c r="I110">
        <v>107798</v>
      </c>
      <c r="J110">
        <v>46450</v>
      </c>
      <c r="K110">
        <v>83369</v>
      </c>
      <c r="L110">
        <v>60378</v>
      </c>
      <c r="M110">
        <v>47435</v>
      </c>
      <c r="N110">
        <v>84594</v>
      </c>
      <c r="O110">
        <v>344623</v>
      </c>
      <c r="P110">
        <v>82735</v>
      </c>
      <c r="Q110">
        <v>33335</v>
      </c>
      <c r="R110">
        <v>126741</v>
      </c>
      <c r="S110">
        <v>53337</v>
      </c>
    </row>
    <row r="111" spans="1:19" x14ac:dyDescent="0.25">
      <c r="A111" t="s">
        <v>35</v>
      </c>
      <c r="B111" t="s">
        <v>143</v>
      </c>
      <c r="C111" t="s">
        <v>40</v>
      </c>
      <c r="D111" t="str">
        <f>IFERROR(VLOOKUP(A111,[1]PARAMETER!D:E,2,0),"")</f>
        <v>NINA</v>
      </c>
      <c r="E111" t="str">
        <f t="shared" si="10"/>
        <v>NINAFBI</v>
      </c>
      <c r="F111" t="str">
        <f t="shared" si="11"/>
        <v>SURYA BUMI RETAILINDOFBI</v>
      </c>
      <c r="G111" s="81">
        <f t="shared" si="7"/>
        <v>6480</v>
      </c>
      <c r="H111" s="81">
        <f>SUMIF(I$1:BI$1,"&lt;="&amp;PARAMETER!X$2,I111:BI111)</f>
        <v>6480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6480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t="s">
        <v>38</v>
      </c>
      <c r="B112" t="s">
        <v>143</v>
      </c>
      <c r="C112" t="s">
        <v>40</v>
      </c>
      <c r="D112" t="str">
        <f>IFERROR(VLOOKUP(A112,[1]PARAMETER!D:E,2,0),"")</f>
        <v>NINA</v>
      </c>
      <c r="E112" t="str">
        <f t="shared" si="10"/>
        <v>NINAFBI</v>
      </c>
      <c r="F112" t="str">
        <f t="shared" si="11"/>
        <v>YOSHINOYAFBI</v>
      </c>
      <c r="G112" s="81">
        <f t="shared" si="7"/>
        <v>9509132</v>
      </c>
      <c r="H112" s="81">
        <f>SUMIF(I$1:BI$1,"&lt;="&amp;PARAMETER!X$2,I112:BI112)</f>
        <v>9509132</v>
      </c>
      <c r="I112">
        <v>1112984</v>
      </c>
      <c r="J112">
        <v>878610</v>
      </c>
      <c r="K112">
        <v>869308</v>
      </c>
      <c r="L112">
        <v>760179</v>
      </c>
      <c r="M112">
        <v>882652</v>
      </c>
      <c r="N112">
        <v>924356</v>
      </c>
      <c r="O112">
        <v>806177</v>
      </c>
      <c r="P112">
        <v>852444</v>
      </c>
      <c r="Q112">
        <v>734986</v>
      </c>
      <c r="R112">
        <v>819364</v>
      </c>
      <c r="S112">
        <v>868072</v>
      </c>
    </row>
  </sheetData>
  <phoneticPr fontId="15" type="noConversion"/>
  <dataValidations count="1">
    <dataValidation type="list" allowBlank="1" sqref="C2:C112" xr:uid="{C51EC19E-0F7F-4A80-9717-E56EF4E09D3E}">
      <formula1>"TRX,VOL,FBI"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3910-6298-43C9-A5FD-FE7CE37F2A02}">
  <sheetPr codeName="Sheet7"/>
  <dimension ref="A1:BI136"/>
  <sheetViews>
    <sheetView zoomScale="71" zoomScaleNormal="26" workbookViewId="0">
      <selection activeCell="F8" sqref="F8"/>
    </sheetView>
  </sheetViews>
  <sheetFormatPr defaultRowHeight="15.75" x14ac:dyDescent="0.25"/>
  <cols>
    <col min="1" max="1" width="24.875" bestFit="1" customWidth="1"/>
    <col min="2" max="2" width="12" bestFit="1" customWidth="1"/>
    <col min="3" max="3" width="13.875" bestFit="1" customWidth="1"/>
    <col min="4" max="4" width="8.375" bestFit="1" customWidth="1"/>
    <col min="5" max="5" width="11.625" bestFit="1" customWidth="1"/>
    <col min="6" max="6" width="28.75" bestFit="1" customWidth="1"/>
    <col min="7" max="8" width="16.5" bestFit="1" customWidth="1"/>
    <col min="9" max="9" width="13.875" bestFit="1" customWidth="1"/>
    <col min="10" max="11" width="14.75" bestFit="1" customWidth="1"/>
    <col min="12" max="12" width="14.5" bestFit="1" customWidth="1"/>
    <col min="13" max="13" width="13.875" bestFit="1" customWidth="1"/>
    <col min="14" max="14" width="14.75" bestFit="1" customWidth="1"/>
    <col min="15" max="15" width="13.625" bestFit="1" customWidth="1"/>
    <col min="16" max="16" width="13.875" bestFit="1" customWidth="1"/>
    <col min="17" max="18" width="13.625" bestFit="1" customWidth="1"/>
    <col min="19" max="20" width="14.5" bestFit="1" customWidth="1"/>
    <col min="21" max="21" width="14.75" bestFit="1" customWidth="1"/>
    <col min="22" max="22" width="14.5" bestFit="1" customWidth="1"/>
    <col min="23" max="23" width="13.625" bestFit="1" customWidth="1"/>
    <col min="24" max="24" width="14.5" bestFit="1" customWidth="1"/>
    <col min="25" max="25" width="13.625" bestFit="1" customWidth="1"/>
    <col min="26" max="27" width="14.375" bestFit="1" customWidth="1"/>
    <col min="28" max="28" width="13.875" bestFit="1" customWidth="1"/>
    <col min="29" max="29" width="14.375" bestFit="1" customWidth="1"/>
    <col min="30" max="30" width="13.875" bestFit="1" customWidth="1"/>
    <col min="31" max="31" width="14.5" bestFit="1" customWidth="1"/>
    <col min="32" max="32" width="13.25" bestFit="1" customWidth="1"/>
    <col min="33" max="34" width="14.375" bestFit="1" customWidth="1"/>
    <col min="35" max="36" width="14.75" bestFit="1" customWidth="1"/>
    <col min="37" max="37" width="13.875" bestFit="1" customWidth="1"/>
    <col min="38" max="38" width="13.625" bestFit="1" customWidth="1"/>
    <col min="39" max="40" width="13.875" bestFit="1" customWidth="1"/>
    <col min="41" max="42" width="14.375" bestFit="1" customWidth="1"/>
    <col min="43" max="43" width="13.875" bestFit="1" customWidth="1"/>
    <col min="44" max="44" width="14.375" bestFit="1" customWidth="1"/>
    <col min="45" max="46" width="14.5" bestFit="1" customWidth="1"/>
    <col min="47" max="47" width="14.375" bestFit="1" customWidth="1"/>
    <col min="48" max="48" width="14.75" bestFit="1" customWidth="1"/>
    <col min="49" max="49" width="14.375" bestFit="1" customWidth="1"/>
    <col min="50" max="50" width="13.625" bestFit="1" customWidth="1"/>
    <col min="51" max="51" width="13.875" bestFit="1" customWidth="1"/>
    <col min="52" max="52" width="14.375" bestFit="1" customWidth="1"/>
    <col min="53" max="53" width="13.625" bestFit="1" customWidth="1"/>
    <col min="54" max="54" width="14.75" bestFit="1" customWidth="1"/>
    <col min="55" max="55" width="13.5" bestFit="1" customWidth="1"/>
    <col min="56" max="56" width="14.75" bestFit="1" customWidth="1"/>
    <col min="57" max="57" width="13.625" bestFit="1" customWidth="1"/>
    <col min="58" max="59" width="14.5" bestFit="1" customWidth="1"/>
    <col min="60" max="60" width="14.75" bestFit="1" customWidth="1"/>
    <col min="61" max="61" width="14.5" bestFit="1" customWidth="1"/>
  </cols>
  <sheetData>
    <row r="1" spans="1:61" x14ac:dyDescent="0.25">
      <c r="A1" s="94" t="s">
        <v>133</v>
      </c>
      <c r="B1" s="94" t="s">
        <v>135</v>
      </c>
      <c r="C1" s="94" t="s">
        <v>134</v>
      </c>
      <c r="D1" s="94" t="s">
        <v>58</v>
      </c>
      <c r="E1" s="94" t="s">
        <v>139</v>
      </c>
      <c r="F1" s="94" t="s">
        <v>142</v>
      </c>
      <c r="G1" s="94" t="s">
        <v>73</v>
      </c>
      <c r="H1" s="94" t="s">
        <v>74</v>
      </c>
      <c r="I1" s="94">
        <v>1</v>
      </c>
      <c r="J1" s="94">
        <v>2</v>
      </c>
      <c r="K1" s="94">
        <v>3</v>
      </c>
      <c r="L1" s="94">
        <v>4</v>
      </c>
      <c r="M1" s="94">
        <v>5</v>
      </c>
      <c r="N1" s="94">
        <v>6</v>
      </c>
      <c r="O1" s="94">
        <v>7</v>
      </c>
      <c r="P1" s="94">
        <v>8</v>
      </c>
      <c r="Q1" s="94">
        <v>9</v>
      </c>
      <c r="R1" s="94">
        <v>10</v>
      </c>
      <c r="S1" s="94">
        <v>11</v>
      </c>
      <c r="T1" s="94">
        <v>12</v>
      </c>
      <c r="U1" s="94">
        <v>13</v>
      </c>
      <c r="V1" s="94">
        <v>14</v>
      </c>
      <c r="W1" s="94">
        <v>15</v>
      </c>
      <c r="X1" s="94">
        <v>16</v>
      </c>
      <c r="Y1" s="94">
        <v>17</v>
      </c>
      <c r="Z1" s="94">
        <v>18</v>
      </c>
      <c r="AA1" s="94">
        <v>19</v>
      </c>
      <c r="AB1" s="94">
        <v>20</v>
      </c>
      <c r="AC1" s="94">
        <v>21</v>
      </c>
      <c r="AD1" s="94">
        <v>22</v>
      </c>
      <c r="AE1" s="94">
        <v>23</v>
      </c>
      <c r="AF1" s="94">
        <v>24</v>
      </c>
      <c r="AG1" s="94">
        <v>25</v>
      </c>
      <c r="AH1" s="94">
        <v>26</v>
      </c>
      <c r="AI1" s="94">
        <v>27</v>
      </c>
      <c r="AJ1" s="94">
        <v>28</v>
      </c>
      <c r="AK1" s="94">
        <v>29</v>
      </c>
      <c r="AL1" s="94">
        <v>30</v>
      </c>
      <c r="AM1" s="94">
        <v>31</v>
      </c>
      <c r="AN1" s="94">
        <v>32</v>
      </c>
      <c r="AO1" s="94">
        <v>33</v>
      </c>
      <c r="AP1" s="94">
        <v>34</v>
      </c>
      <c r="AQ1" s="94">
        <v>35</v>
      </c>
      <c r="AR1" s="94">
        <v>36</v>
      </c>
      <c r="AS1" s="94">
        <v>37</v>
      </c>
      <c r="AT1" s="94">
        <v>38</v>
      </c>
      <c r="AU1" s="94">
        <v>39</v>
      </c>
      <c r="AV1" s="94">
        <v>40</v>
      </c>
      <c r="AW1" s="94">
        <v>41</v>
      </c>
      <c r="AX1" s="94">
        <v>42</v>
      </c>
      <c r="AY1" s="94">
        <v>43</v>
      </c>
      <c r="AZ1" s="94">
        <v>44</v>
      </c>
      <c r="BA1" s="94">
        <v>45</v>
      </c>
      <c r="BB1" s="94">
        <v>46</v>
      </c>
      <c r="BC1" s="94">
        <v>47</v>
      </c>
      <c r="BD1" s="94">
        <v>48</v>
      </c>
      <c r="BE1" s="94">
        <v>49</v>
      </c>
      <c r="BF1" s="94">
        <v>50</v>
      </c>
      <c r="BG1" s="94">
        <v>51</v>
      </c>
      <c r="BH1" s="94">
        <v>52</v>
      </c>
      <c r="BI1" s="94">
        <v>53</v>
      </c>
    </row>
    <row r="2" spans="1:61" x14ac:dyDescent="0.25">
      <c r="A2" s="95" t="s">
        <v>38</v>
      </c>
      <c r="B2" s="95" t="s">
        <v>136</v>
      </c>
      <c r="C2" s="96" t="s">
        <v>41</v>
      </c>
      <c r="D2" s="96" t="s">
        <v>54</v>
      </c>
      <c r="E2" s="96" t="s">
        <v>145</v>
      </c>
      <c r="F2" s="96" t="s">
        <v>146</v>
      </c>
      <c r="G2" s="97">
        <f t="shared" ref="G2:G65" si="0">SUM(I2:BI2)</f>
        <v>113999999999.99997</v>
      </c>
      <c r="H2" s="97">
        <f>SUMIF(I$1:BI$1,"&lt;="&amp;[2]PARAMETER!X$2,I2:BI2)</f>
        <v>8507170705.7526779</v>
      </c>
      <c r="I2" s="97">
        <v>430743457.62290603</v>
      </c>
      <c r="J2" s="97">
        <v>287190729.82540298</v>
      </c>
      <c r="K2" s="97">
        <v>270977418.57984</v>
      </c>
      <c r="L2" s="97">
        <v>387755708.71172798</v>
      </c>
      <c r="M2" s="97">
        <v>429975785.58730298</v>
      </c>
      <c r="N2" s="97">
        <v>437349609.78861499</v>
      </c>
      <c r="O2" s="97">
        <v>553068821.12751305</v>
      </c>
      <c r="P2" s="97">
        <v>2755957457.36412</v>
      </c>
      <c r="Q2" s="97">
        <v>2954151717.1452498</v>
      </c>
      <c r="R2" s="97">
        <v>2757166130.8251801</v>
      </c>
      <c r="S2" s="97">
        <v>3290251465.80374</v>
      </c>
      <c r="T2" s="97">
        <v>4052781014.9264898</v>
      </c>
      <c r="U2" s="97">
        <v>4991127996.3253098</v>
      </c>
      <c r="V2" s="97">
        <v>5068236447.8643799</v>
      </c>
      <c r="W2" s="97">
        <v>3225556875.4414601</v>
      </c>
      <c r="X2" s="97">
        <v>3067694986.9913101</v>
      </c>
      <c r="Y2" s="97">
        <v>3421959497.8856702</v>
      </c>
      <c r="Z2" s="97">
        <v>3611401880.32268</v>
      </c>
      <c r="AA2" s="97">
        <v>3561380925.8999701</v>
      </c>
      <c r="AB2" s="97">
        <v>2798987425.0246801</v>
      </c>
      <c r="AC2" s="97">
        <v>2876475772.9121099</v>
      </c>
      <c r="AD2" s="97">
        <v>2961060984.0461602</v>
      </c>
      <c r="AE2" s="97">
        <v>2935719855.1362901</v>
      </c>
      <c r="AF2" s="97">
        <v>2367045290.16887</v>
      </c>
      <c r="AG2" s="97">
        <v>2778964514.3366399</v>
      </c>
      <c r="AH2" s="97">
        <v>3252578632.7392902</v>
      </c>
      <c r="AI2" s="97">
        <v>3162617562.1803799</v>
      </c>
      <c r="AJ2" s="97">
        <v>3119015868.0472202</v>
      </c>
      <c r="AK2" s="97">
        <v>2624370896.8571301</v>
      </c>
      <c r="AL2" s="97">
        <v>2723407632.0571499</v>
      </c>
      <c r="AM2" s="97">
        <v>3238384848.46842</v>
      </c>
      <c r="AN2" s="97">
        <v>3303802904.00915</v>
      </c>
      <c r="AO2" s="97">
        <v>3677738413.8092098</v>
      </c>
      <c r="AP2" s="97">
        <v>3191889276.2185702</v>
      </c>
      <c r="AQ2" s="97">
        <v>2929629250.78019</v>
      </c>
      <c r="AR2" s="97">
        <v>3593909249.5707898</v>
      </c>
      <c r="AS2" s="97">
        <v>3053744396.4721398</v>
      </c>
      <c r="AT2" s="97">
        <v>2844063846.1293802</v>
      </c>
      <c r="AU2" s="97">
        <v>3232765979.76264</v>
      </c>
      <c r="AV2" s="97">
        <v>1891108717.3115799</v>
      </c>
      <c r="AW2" s="97">
        <v>631639382.53261197</v>
      </c>
      <c r="AX2" s="97">
        <v>476577766.15436703</v>
      </c>
      <c r="AY2" s="97">
        <v>455494285.59250599</v>
      </c>
      <c r="AZ2" s="97">
        <v>470801742.26283503</v>
      </c>
      <c r="BA2" s="97">
        <v>461122938.907125</v>
      </c>
      <c r="BB2" s="97">
        <v>418364842.89597201</v>
      </c>
      <c r="BC2" s="97">
        <v>466884353.40867102</v>
      </c>
      <c r="BD2" s="97">
        <v>407525895.121638</v>
      </c>
      <c r="BE2" s="97">
        <v>411601154.072855</v>
      </c>
      <c r="BF2" s="97">
        <v>415717165.61358398</v>
      </c>
      <c r="BG2" s="97">
        <v>419874337.269719</v>
      </c>
      <c r="BH2" s="97">
        <v>424073080.642416</v>
      </c>
      <c r="BI2" s="97">
        <v>428313811.44884002</v>
      </c>
    </row>
    <row r="3" spans="1:61" x14ac:dyDescent="0.25">
      <c r="A3" s="95" t="s">
        <v>38</v>
      </c>
      <c r="B3" s="95" t="s">
        <v>136</v>
      </c>
      <c r="C3" s="96" t="s">
        <v>42</v>
      </c>
      <c r="D3" s="96" t="s">
        <v>54</v>
      </c>
      <c r="E3" s="96" t="s">
        <v>147</v>
      </c>
      <c r="F3" s="96" t="s">
        <v>148</v>
      </c>
      <c r="G3" s="97">
        <f t="shared" si="0"/>
        <v>592000.00000000012</v>
      </c>
      <c r="H3" s="97">
        <f>SUMIF(I$1:BI$1,"&lt;="&amp;[2]PARAMETER!X$2,I3:BI3)</f>
        <v>44177.588226364867</v>
      </c>
      <c r="I3" s="97">
        <v>2236.8432185329898</v>
      </c>
      <c r="J3" s="97">
        <v>1491.37642154946</v>
      </c>
      <c r="K3" s="97">
        <v>1407.1809806953099</v>
      </c>
      <c r="L3" s="97">
        <v>2013.6085926082701</v>
      </c>
      <c r="M3" s="97">
        <v>2232.85671112003</v>
      </c>
      <c r="N3" s="97">
        <v>2271.1488508321099</v>
      </c>
      <c r="O3" s="97">
        <v>2872.0766851533999</v>
      </c>
      <c r="P3" s="97">
        <v>14311.6387259611</v>
      </c>
      <c r="Q3" s="97">
        <v>15340.8580399122</v>
      </c>
      <c r="R3" s="97">
        <v>14317.915346039499</v>
      </c>
      <c r="S3" s="97">
        <v>17086.2181382089</v>
      </c>
      <c r="T3" s="97">
        <v>21046.020709091899</v>
      </c>
      <c r="U3" s="97">
        <v>25918.840121268298</v>
      </c>
      <c r="V3" s="97">
        <v>26319.2629573308</v>
      </c>
      <c r="W3" s="97">
        <v>16750.260265450401</v>
      </c>
      <c r="X3" s="97">
        <v>15930.4862482356</v>
      </c>
      <c r="Y3" s="97">
        <v>17770.175638143101</v>
      </c>
      <c r="Z3" s="97">
        <v>18753.946606588001</v>
      </c>
      <c r="AA3" s="97">
        <v>18494.1886678314</v>
      </c>
      <c r="AB3" s="97">
        <v>14535.092593110599</v>
      </c>
      <c r="AC3" s="97">
        <v>14937.4882242454</v>
      </c>
      <c r="AD3" s="97">
        <v>15376.737741713399</v>
      </c>
      <c r="AE3" s="97">
        <v>15245.1417038657</v>
      </c>
      <c r="AF3" s="97">
        <v>12292.0246647366</v>
      </c>
      <c r="AG3" s="97">
        <v>14431.113969186799</v>
      </c>
      <c r="AH3" s="97">
        <v>16890.583777032101</v>
      </c>
      <c r="AI3" s="97">
        <v>16423.417515884099</v>
      </c>
      <c r="AJ3" s="97">
        <v>16196.994683192601</v>
      </c>
      <c r="AK3" s="97">
        <v>13628.3120257844</v>
      </c>
      <c r="AL3" s="97">
        <v>14142.6080541915</v>
      </c>
      <c r="AM3" s="97">
        <v>16816.8757043273</v>
      </c>
      <c r="AN3" s="97">
        <v>17156.590519065099</v>
      </c>
      <c r="AO3" s="97">
        <v>19098.4310611847</v>
      </c>
      <c r="AP3" s="97">
        <v>16575.425013345601</v>
      </c>
      <c r="AQ3" s="97">
        <v>15213.5133022971</v>
      </c>
      <c r="AR3" s="97">
        <v>18663.107681981601</v>
      </c>
      <c r="AS3" s="97">
        <v>15858.041076416701</v>
      </c>
      <c r="AT3" s="97">
        <v>14769.173657092901</v>
      </c>
      <c r="AU3" s="97">
        <v>16787.6970177148</v>
      </c>
      <c r="AV3" s="97">
        <v>9820.4943916531392</v>
      </c>
      <c r="AW3" s="97">
        <v>3280.0922320991799</v>
      </c>
      <c r="AX3" s="97">
        <v>2474.8599786261898</v>
      </c>
      <c r="AY3" s="97">
        <v>2365.3738339540701</v>
      </c>
      <c r="AZ3" s="97">
        <v>2444.8651878912201</v>
      </c>
      <c r="BA3" s="97">
        <v>2394.60333186858</v>
      </c>
      <c r="BB3" s="97">
        <v>2172.5612894247001</v>
      </c>
      <c r="BC3" s="97">
        <v>2424.5222562976601</v>
      </c>
      <c r="BD3" s="97">
        <v>2116.2748237895598</v>
      </c>
      <c r="BE3" s="97">
        <v>2137.4375720274602</v>
      </c>
      <c r="BF3" s="97">
        <v>2158.8119477477298</v>
      </c>
      <c r="BG3" s="97">
        <v>2180.40006722521</v>
      </c>
      <c r="BH3" s="97">
        <v>2202.2040678974599</v>
      </c>
      <c r="BI3" s="97">
        <v>2224.2261085764399</v>
      </c>
    </row>
    <row r="4" spans="1:61" x14ac:dyDescent="0.25">
      <c r="A4" s="95" t="s">
        <v>38</v>
      </c>
      <c r="B4" s="95" t="s">
        <v>136</v>
      </c>
      <c r="C4" s="96" t="s">
        <v>40</v>
      </c>
      <c r="D4" s="96" t="s">
        <v>54</v>
      </c>
      <c r="E4" s="96" t="s">
        <v>149</v>
      </c>
      <c r="F4" s="96" t="s">
        <v>150</v>
      </c>
      <c r="G4" s="97">
        <f t="shared" si="0"/>
        <v>1000000000.0000002</v>
      </c>
      <c r="H4" s="97">
        <f>SUMIF(I$1:BI$1,"&lt;="&amp;[2]PARAMETER!X$2,I4:BI4)</f>
        <v>74624304.436427072</v>
      </c>
      <c r="I4" s="97">
        <v>3778451.3826570702</v>
      </c>
      <c r="J4" s="97">
        <v>2519216.9282930102</v>
      </c>
      <c r="K4" s="97">
        <v>2376994.8998231501</v>
      </c>
      <c r="L4" s="97">
        <v>3401365.8658923502</v>
      </c>
      <c r="M4" s="97">
        <v>3771717.4174324898</v>
      </c>
      <c r="N4" s="97">
        <v>3836400.0858650501</v>
      </c>
      <c r="O4" s="97">
        <v>4851480.8870834503</v>
      </c>
      <c r="P4" s="97">
        <v>24175065.415474799</v>
      </c>
      <c r="Q4" s="97">
        <v>25913611.553905699</v>
      </c>
      <c r="R4" s="97">
        <v>24185667.814256001</v>
      </c>
      <c r="S4" s="97">
        <v>28861854.963190701</v>
      </c>
      <c r="T4" s="97">
        <v>35550710.657249898</v>
      </c>
      <c r="U4" s="97">
        <v>43781824.529169403</v>
      </c>
      <c r="V4" s="97">
        <v>44458214.454950698</v>
      </c>
      <c r="W4" s="97">
        <v>28294358.556504</v>
      </c>
      <c r="X4" s="97">
        <v>26909605.149046499</v>
      </c>
      <c r="Y4" s="97">
        <v>30017188.577944402</v>
      </c>
      <c r="Z4" s="97">
        <v>31678963.862479702</v>
      </c>
      <c r="AA4" s="97">
        <v>31240183.560525998</v>
      </c>
      <c r="AB4" s="97">
        <v>24552521.2721464</v>
      </c>
      <c r="AC4" s="97">
        <v>25232243.622036099</v>
      </c>
      <c r="AD4" s="97">
        <v>25974219.158299599</v>
      </c>
      <c r="AE4" s="97">
        <v>25751928.5538271</v>
      </c>
      <c r="AF4" s="97">
        <v>20763555.1769199</v>
      </c>
      <c r="AG4" s="97">
        <v>24376881.704707399</v>
      </c>
      <c r="AH4" s="97">
        <v>28531391.5152569</v>
      </c>
      <c r="AI4" s="97">
        <v>27742259.3173717</v>
      </c>
      <c r="AJ4" s="97">
        <v>27359788.316203699</v>
      </c>
      <c r="AK4" s="97">
        <v>23020797.3408521</v>
      </c>
      <c r="AL4" s="97">
        <v>23889540.632080302</v>
      </c>
      <c r="AM4" s="97">
        <v>28406884.635687899</v>
      </c>
      <c r="AN4" s="97">
        <v>28980727.228150502</v>
      </c>
      <c r="AO4" s="97">
        <v>32260863.279028099</v>
      </c>
      <c r="AP4" s="97">
        <v>27999028.738759398</v>
      </c>
      <c r="AQ4" s="97">
        <v>25698502.1998262</v>
      </c>
      <c r="AR4" s="97">
        <v>31525519.733077101</v>
      </c>
      <c r="AS4" s="97">
        <v>26787231.5480012</v>
      </c>
      <c r="AT4" s="97">
        <v>24947928.474819101</v>
      </c>
      <c r="AU4" s="97">
        <v>28357596.3137074</v>
      </c>
      <c r="AV4" s="97">
        <v>16588672.9588736</v>
      </c>
      <c r="AW4" s="97">
        <v>5540696.3380053705</v>
      </c>
      <c r="AX4" s="97">
        <v>4180506.7206523502</v>
      </c>
      <c r="AY4" s="97">
        <v>3995563.9087061901</v>
      </c>
      <c r="AZ4" s="97">
        <v>4129839.84441084</v>
      </c>
      <c r="BA4" s="97">
        <v>4044938.0605888199</v>
      </c>
      <c r="BB4" s="97">
        <v>3669867.0429471298</v>
      </c>
      <c r="BC4" s="97">
        <v>4095476.7842865898</v>
      </c>
      <c r="BD4" s="97">
        <v>3574788.5536985798</v>
      </c>
      <c r="BE4" s="97">
        <v>3610536.4392355699</v>
      </c>
      <c r="BF4" s="97">
        <v>3646641.8036279301</v>
      </c>
      <c r="BG4" s="97">
        <v>3683108.2216642001</v>
      </c>
      <c r="BH4" s="97">
        <v>3719939.3038808499</v>
      </c>
      <c r="BI4" s="97">
        <v>3757138.6969196601</v>
      </c>
    </row>
    <row r="5" spans="1:61" x14ac:dyDescent="0.25">
      <c r="A5" s="95" t="s">
        <v>17</v>
      </c>
      <c r="B5" s="95" t="s">
        <v>136</v>
      </c>
      <c r="C5" s="96" t="s">
        <v>41</v>
      </c>
      <c r="D5" s="96" t="s">
        <v>55</v>
      </c>
      <c r="E5" s="96" t="s">
        <v>151</v>
      </c>
      <c r="F5" s="96" t="s">
        <v>152</v>
      </c>
      <c r="G5" s="97">
        <f t="shared" si="0"/>
        <v>159700000000.00003</v>
      </c>
      <c r="H5" s="97">
        <f>SUMIF(I$1:BI$1,"&lt;="&amp;[2]PARAMETER!X$2,I5:BI5)</f>
        <v>28306098720.155846</v>
      </c>
      <c r="I5" s="97">
        <v>3357362896.2993102</v>
      </c>
      <c r="J5" s="97">
        <v>2795382491.62918</v>
      </c>
      <c r="K5" s="97">
        <v>2817989732.5690398</v>
      </c>
      <c r="L5" s="97">
        <v>3418213509.8366199</v>
      </c>
      <c r="M5" s="97">
        <v>3169056099.2779799</v>
      </c>
      <c r="N5" s="97">
        <v>2971981323.38872</v>
      </c>
      <c r="O5" s="97">
        <v>2975692955.69034</v>
      </c>
      <c r="P5" s="97">
        <v>2995486545.8140702</v>
      </c>
      <c r="Q5" s="97">
        <v>3804933165.6505799</v>
      </c>
      <c r="R5" s="97">
        <v>3105136120.2871499</v>
      </c>
      <c r="S5" s="97">
        <v>3413898165.3873401</v>
      </c>
      <c r="T5" s="97">
        <v>4042268867.2403498</v>
      </c>
      <c r="U5" s="97">
        <v>4281305568.7351098</v>
      </c>
      <c r="V5" s="97">
        <v>3210544140.8162098</v>
      </c>
      <c r="W5" s="97">
        <v>2708063516.3053999</v>
      </c>
      <c r="X5" s="97">
        <v>2703220867.1795201</v>
      </c>
      <c r="Y5" s="97">
        <v>2831165733.1258402</v>
      </c>
      <c r="Z5" s="97">
        <v>2964716580.2562199</v>
      </c>
      <c r="AA5" s="97">
        <v>2930953888.1920199</v>
      </c>
      <c r="AB5" s="97">
        <v>2775695213.32973</v>
      </c>
      <c r="AC5" s="97">
        <v>2965180527.9979901</v>
      </c>
      <c r="AD5" s="97">
        <v>1450973657.4951501</v>
      </c>
      <c r="AE5" s="97">
        <v>3315593787.0619302</v>
      </c>
      <c r="AF5" s="97">
        <v>2951770568.3413501</v>
      </c>
      <c r="AG5" s="97">
        <v>3186282919.6238198</v>
      </c>
      <c r="AH5" s="97">
        <v>3616064745.4789901</v>
      </c>
      <c r="AI5" s="97">
        <v>3673344185.5488601</v>
      </c>
      <c r="AJ5" s="97">
        <v>3396041069.9408398</v>
      </c>
      <c r="AK5" s="97">
        <v>3243097334.9451098</v>
      </c>
      <c r="AL5" s="97">
        <v>3351616582.7356</v>
      </c>
      <c r="AM5" s="97">
        <v>3006764608.5373602</v>
      </c>
      <c r="AN5" s="97">
        <v>2763978051.1799502</v>
      </c>
      <c r="AO5" s="97">
        <v>3173284160.0949101</v>
      </c>
      <c r="AP5" s="97">
        <v>3084850924.2438302</v>
      </c>
      <c r="AQ5" s="97">
        <v>3514190210.6806202</v>
      </c>
      <c r="AR5" s="97">
        <v>3266672941.1049299</v>
      </c>
      <c r="AS5" s="97">
        <v>2983474121.9798999</v>
      </c>
      <c r="AT5" s="97">
        <v>2931509279.7058702</v>
      </c>
      <c r="AU5" s="97">
        <v>3134818221.0935001</v>
      </c>
      <c r="AV5" s="97">
        <v>3380405208.3386998</v>
      </c>
      <c r="AW5" s="97">
        <v>2894345315.4810801</v>
      </c>
      <c r="AX5" s="97">
        <v>2799910543.3156099</v>
      </c>
      <c r="AY5" s="97">
        <v>2879847656.1068301</v>
      </c>
      <c r="AZ5" s="97">
        <v>3146408586.8566699</v>
      </c>
      <c r="BA5" s="97">
        <v>2965893373.6206102</v>
      </c>
      <c r="BB5" s="97">
        <v>2837965246.8248801</v>
      </c>
      <c r="BC5" s="97">
        <v>2944220736.6842999</v>
      </c>
      <c r="BD5" s="97">
        <v>2205525819.0069399</v>
      </c>
      <c r="BE5" s="97">
        <v>2227581077.19701</v>
      </c>
      <c r="BF5" s="97">
        <v>2249856887.9689798</v>
      </c>
      <c r="BG5" s="97">
        <v>2272355456.84867</v>
      </c>
      <c r="BH5" s="97">
        <v>2295079011.41715</v>
      </c>
      <c r="BI5" s="97">
        <v>2318029801.5313301</v>
      </c>
    </row>
    <row r="6" spans="1:61" x14ac:dyDescent="0.25">
      <c r="A6" s="95" t="s">
        <v>17</v>
      </c>
      <c r="B6" s="95" t="s">
        <v>136</v>
      </c>
      <c r="C6" s="96" t="s">
        <v>42</v>
      </c>
      <c r="D6" s="96" t="s">
        <v>55</v>
      </c>
      <c r="E6" s="96" t="s">
        <v>153</v>
      </c>
      <c r="F6" s="96" t="s">
        <v>154</v>
      </c>
      <c r="G6" s="97">
        <f t="shared" si="0"/>
        <v>1406000.0000000005</v>
      </c>
      <c r="H6" s="97">
        <f>SUMIF(I$1:BI$1,"&lt;="&amp;[2]PARAMETER!X$2,I6:BI6)</f>
        <v>249207.10582679458</v>
      </c>
      <c r="I6" s="97">
        <v>29558.248166542398</v>
      </c>
      <c r="J6" s="97">
        <v>24610.5684610559</v>
      </c>
      <c r="K6" s="97">
        <v>24809.602780163299</v>
      </c>
      <c r="L6" s="97">
        <v>30093.9774253619</v>
      </c>
      <c r="M6" s="97">
        <v>27900.3937106126</v>
      </c>
      <c r="N6" s="97">
        <v>26165.345902846198</v>
      </c>
      <c r="O6" s="97">
        <v>26198.023141519199</v>
      </c>
      <c r="P6" s="97">
        <v>26372.286057699301</v>
      </c>
      <c r="Q6" s="97">
        <v>33498.6601809938</v>
      </c>
      <c r="R6" s="97">
        <v>27337.641735277</v>
      </c>
      <c r="S6" s="97">
        <v>30055.985100404501</v>
      </c>
      <c r="T6" s="97">
        <v>35588.165481151802</v>
      </c>
      <c r="U6" s="97">
        <v>37692.646397254699</v>
      </c>
      <c r="V6" s="97">
        <v>28265.654740060101</v>
      </c>
      <c r="W6" s="97">
        <v>23841.811546182798</v>
      </c>
      <c r="X6" s="97">
        <v>23799.176826890402</v>
      </c>
      <c r="Y6" s="97">
        <v>24925.6043880709</v>
      </c>
      <c r="Z6" s="97">
        <v>26101.3870497198</v>
      </c>
      <c r="AA6" s="97">
        <v>25804.140055090698</v>
      </c>
      <c r="AB6" s="97">
        <v>24437.241514975602</v>
      </c>
      <c r="AC6" s="97">
        <v>26105.471649124502</v>
      </c>
      <c r="AD6" s="97">
        <v>12774.3829833324</v>
      </c>
      <c r="AE6" s="97">
        <v>29190.5126149598</v>
      </c>
      <c r="AF6" s="97">
        <v>25987.410263543701</v>
      </c>
      <c r="AG6" s="97">
        <v>28052.058766381298</v>
      </c>
      <c r="AH6" s="97">
        <v>31835.861190628999</v>
      </c>
      <c r="AI6" s="97">
        <v>32340.149811406998</v>
      </c>
      <c r="AJ6" s="97">
        <v>29898.771097913799</v>
      </c>
      <c r="AK6" s="97">
        <v>28552.2533057785</v>
      </c>
      <c r="AL6" s="97">
        <v>29507.657578749298</v>
      </c>
      <c r="AM6" s="97">
        <v>26471.5782066596</v>
      </c>
      <c r="AN6" s="97">
        <v>24334.083531365199</v>
      </c>
      <c r="AO6" s="97">
        <v>27937.617589814901</v>
      </c>
      <c r="AP6" s="97">
        <v>27159.050716886799</v>
      </c>
      <c r="AQ6" s="97">
        <v>30938.9570207699</v>
      </c>
      <c r="AR6" s="97">
        <v>28759.813119558799</v>
      </c>
      <c r="AS6" s="97">
        <v>26266.5285880009</v>
      </c>
      <c r="AT6" s="97">
        <v>25809.029726151901</v>
      </c>
      <c r="AU6" s="97">
        <v>27598.963173810102</v>
      </c>
      <c r="AV6" s="97">
        <v>29761.1128548792</v>
      </c>
      <c r="AW6" s="97">
        <v>25481.8379058635</v>
      </c>
      <c r="AX6" s="97">
        <v>24650.433462127399</v>
      </c>
      <c r="AY6" s="97">
        <v>25354.200403795901</v>
      </c>
      <c r="AZ6" s="97">
        <v>27701.004841080001</v>
      </c>
      <c r="BA6" s="97">
        <v>26111.747547342398</v>
      </c>
      <c r="BB6" s="97">
        <v>24985.467357769499</v>
      </c>
      <c r="BC6" s="97">
        <v>25920.941488904999</v>
      </c>
      <c r="BD6" s="97">
        <v>19417.465883054199</v>
      </c>
      <c r="BE6" s="97">
        <v>19611.640541884699</v>
      </c>
      <c r="BF6" s="97">
        <v>19807.756947303598</v>
      </c>
      <c r="BG6" s="97">
        <v>20005.834516776598</v>
      </c>
      <c r="BH6" s="97">
        <v>20205.892861944401</v>
      </c>
      <c r="BI6" s="97">
        <v>20407.951790563799</v>
      </c>
    </row>
    <row r="7" spans="1:61" x14ac:dyDescent="0.25">
      <c r="A7" s="95" t="s">
        <v>17</v>
      </c>
      <c r="B7" s="95" t="s">
        <v>136</v>
      </c>
      <c r="C7" s="96" t="s">
        <v>40</v>
      </c>
      <c r="D7" s="96" t="s">
        <v>55</v>
      </c>
      <c r="E7" s="96" t="s">
        <v>155</v>
      </c>
      <c r="F7" s="96" t="s">
        <v>156</v>
      </c>
      <c r="G7" s="97">
        <f t="shared" si="0"/>
        <v>1300000000.0000005</v>
      </c>
      <c r="H7" s="97">
        <f>SUMIF(I$1:BI$1,"&lt;="&amp;[2]PARAMETER!X$2,I7:BI7)</f>
        <v>230419087.89106202</v>
      </c>
      <c r="I7" s="97">
        <v>27329816.939192899</v>
      </c>
      <c r="J7" s="97">
        <v>22755148.648202501</v>
      </c>
      <c r="K7" s="97">
        <v>22939177.535001598</v>
      </c>
      <c r="L7" s="97">
        <v>27825156.936678801</v>
      </c>
      <c r="M7" s="97">
        <v>25796950.0880487</v>
      </c>
      <c r="N7" s="97">
        <v>24192709.583001502</v>
      </c>
      <c r="O7" s="97">
        <v>24222923.2460704</v>
      </c>
      <c r="P7" s="97">
        <v>24384048.275255401</v>
      </c>
      <c r="Q7" s="97">
        <v>30973156.639610201</v>
      </c>
      <c r="R7" s="97">
        <v>25276624.648549099</v>
      </c>
      <c r="S7" s="97">
        <v>27790028.897955801</v>
      </c>
      <c r="T7" s="97">
        <v>32905131.668205801</v>
      </c>
      <c r="U7" s="97">
        <v>34850953.2833791</v>
      </c>
      <c r="V7" s="97">
        <v>26134673.657239102</v>
      </c>
      <c r="W7" s="97">
        <v>22044349.224777799</v>
      </c>
      <c r="X7" s="97">
        <v>22004928.787309799</v>
      </c>
      <c r="Y7" s="97">
        <v>23046433.644731302</v>
      </c>
      <c r="Z7" s="97">
        <v>24133572.6633256</v>
      </c>
      <c r="AA7" s="97">
        <v>23858735.470567498</v>
      </c>
      <c r="AB7" s="97">
        <v>22594889.025226399</v>
      </c>
      <c r="AC7" s="97">
        <v>24137349.319958601</v>
      </c>
      <c r="AD7" s="97">
        <v>11811307.1680882</v>
      </c>
      <c r="AE7" s="97">
        <v>26989805.4050126</v>
      </c>
      <c r="AF7" s="97">
        <v>24028188.721626502</v>
      </c>
      <c r="AG7" s="97">
        <v>25937180.936198901</v>
      </c>
      <c r="AH7" s="97">
        <v>29435718.028319899</v>
      </c>
      <c r="AI7" s="97">
        <v>29901987.734586801</v>
      </c>
      <c r="AJ7" s="97">
        <v>27644667.444728199</v>
      </c>
      <c r="AK7" s="97">
        <v>26399665.218714099</v>
      </c>
      <c r="AL7" s="97">
        <v>27283040.435543399</v>
      </c>
      <c r="AM7" s="97">
        <v>24475854.671875801</v>
      </c>
      <c r="AN7" s="97">
        <v>22499508.243794199</v>
      </c>
      <c r="AO7" s="97">
        <v>25831367.615049299</v>
      </c>
      <c r="AP7" s="97">
        <v>25111497.817889702</v>
      </c>
      <c r="AQ7" s="97">
        <v>28606432.522760201</v>
      </c>
      <c r="AR7" s="97">
        <v>26591576.853077099</v>
      </c>
      <c r="AS7" s="97">
        <v>24286263.986060601</v>
      </c>
      <c r="AT7" s="97">
        <v>23863256.5035544</v>
      </c>
      <c r="AU7" s="97">
        <v>25518244.755300902</v>
      </c>
      <c r="AV7" s="97">
        <v>27517387.419162899</v>
      </c>
      <c r="AW7" s="97">
        <v>23560732.060897999</v>
      </c>
      <c r="AX7" s="97">
        <v>22792008.1797764</v>
      </c>
      <c r="AY7" s="97">
        <v>23442717.300806999</v>
      </c>
      <c r="AZ7" s="97">
        <v>25612593.380799498</v>
      </c>
      <c r="BA7" s="97">
        <v>24143152.0708002</v>
      </c>
      <c r="BB7" s="97">
        <v>23101783.474466801</v>
      </c>
      <c r="BC7" s="97">
        <v>23966731.1063844</v>
      </c>
      <c r="BD7" s="97">
        <v>17953560.204815399</v>
      </c>
      <c r="BE7" s="97">
        <v>18133095.806863599</v>
      </c>
      <c r="BF7" s="97">
        <v>18314426.7649322</v>
      </c>
      <c r="BG7" s="97">
        <v>18497571.032581501</v>
      </c>
      <c r="BH7" s="97">
        <v>18682546.742907301</v>
      </c>
      <c r="BI7" s="97">
        <v>18869372.210336398</v>
      </c>
    </row>
    <row r="8" spans="1:61" x14ac:dyDescent="0.25">
      <c r="A8" s="95" t="s">
        <v>1</v>
      </c>
      <c r="B8" s="95" t="s">
        <v>136</v>
      </c>
      <c r="C8" s="96" t="s">
        <v>41</v>
      </c>
      <c r="D8" s="96" t="s">
        <v>54</v>
      </c>
      <c r="E8" s="96" t="s">
        <v>145</v>
      </c>
      <c r="F8" s="96" t="s">
        <v>157</v>
      </c>
      <c r="G8" s="97">
        <f t="shared" si="0"/>
        <v>170299999999.99997</v>
      </c>
      <c r="H8" s="97">
        <f>SUMIF(I$1:BI$1,"&lt;="&amp;[2]PARAMETER!X$2,I8:BI8)</f>
        <v>29606990545.672813</v>
      </c>
      <c r="I8" s="97">
        <v>3237657560.04561</v>
      </c>
      <c r="J8" s="97">
        <v>2856334139.7150602</v>
      </c>
      <c r="K8" s="97">
        <v>2807531672.1083598</v>
      </c>
      <c r="L8" s="97">
        <v>3423890267.3400602</v>
      </c>
      <c r="M8" s="97">
        <v>3424473156.6203799</v>
      </c>
      <c r="N8" s="97">
        <v>3244021039.9644299</v>
      </c>
      <c r="O8" s="97">
        <v>3119533332.6572299</v>
      </c>
      <c r="P8" s="97">
        <v>3222032754.0955601</v>
      </c>
      <c r="Q8" s="97">
        <v>4271516623.1261201</v>
      </c>
      <c r="R8" s="97">
        <v>3415331971.7007098</v>
      </c>
      <c r="S8" s="97">
        <v>3534373703.74577</v>
      </c>
      <c r="T8" s="97">
        <v>4313554047.76933</v>
      </c>
      <c r="U8" s="97">
        <v>4805920451.4356203</v>
      </c>
      <c r="V8" s="97">
        <v>3374408353.4180498</v>
      </c>
      <c r="W8" s="97">
        <v>2930181706.9092398</v>
      </c>
      <c r="X8" s="97">
        <v>2949335755.35847</v>
      </c>
      <c r="Y8" s="97">
        <v>3189464519.0602598</v>
      </c>
      <c r="Z8" s="97">
        <v>3190440168.3449001</v>
      </c>
      <c r="AA8" s="97">
        <v>3076677884.22927</v>
      </c>
      <c r="AB8" s="97">
        <v>2935219821.6317601</v>
      </c>
      <c r="AC8" s="97">
        <v>3313831503.01089</v>
      </c>
      <c r="AD8" s="97">
        <v>1625973508.2266099</v>
      </c>
      <c r="AE8" s="97">
        <v>3643260278.5131102</v>
      </c>
      <c r="AF8" s="97">
        <v>3198149734.6567001</v>
      </c>
      <c r="AG8" s="97">
        <v>3176417142.6374302</v>
      </c>
      <c r="AH8" s="97">
        <v>3785755055.7072001</v>
      </c>
      <c r="AI8" s="97">
        <v>3571441744.85426</v>
      </c>
      <c r="AJ8" s="97">
        <v>3274822260.1345201</v>
      </c>
      <c r="AK8" s="97">
        <v>3237869875.5896902</v>
      </c>
      <c r="AL8" s="97">
        <v>3515730437.6290698</v>
      </c>
      <c r="AM8" s="97">
        <v>3081681263.9370899</v>
      </c>
      <c r="AN8" s="97">
        <v>2713598771.30863</v>
      </c>
      <c r="AO8" s="97">
        <v>3096480123.7864799</v>
      </c>
      <c r="AP8" s="97">
        <v>3154640743.51125</v>
      </c>
      <c r="AQ8" s="97">
        <v>3842069612.9219398</v>
      </c>
      <c r="AR8" s="97">
        <v>3251379959.1929202</v>
      </c>
      <c r="AS8" s="97">
        <v>3014226998.3271599</v>
      </c>
      <c r="AT8" s="97">
        <v>3037586492.2548699</v>
      </c>
      <c r="AU8" s="97">
        <v>3438944616.0972099</v>
      </c>
      <c r="AV8" s="97">
        <v>3699266556.9546199</v>
      </c>
      <c r="AW8" s="97">
        <v>3102783969.8333001</v>
      </c>
      <c r="AX8" s="97">
        <v>3102780060.1735501</v>
      </c>
      <c r="AY8" s="97">
        <v>3134180908.6429901</v>
      </c>
      <c r="AZ8" s="97">
        <v>3530612153.8885899</v>
      </c>
      <c r="BA8" s="97">
        <v>3095183784.6608701</v>
      </c>
      <c r="BB8" s="97">
        <v>2978996625.52106</v>
      </c>
      <c r="BC8" s="97">
        <v>3118449547.6490202</v>
      </c>
      <c r="BD8" s="97">
        <v>2640108514.43507</v>
      </c>
      <c r="BE8" s="97">
        <v>2666509599.5794201</v>
      </c>
      <c r="BF8" s="97">
        <v>2693174695.5752201</v>
      </c>
      <c r="BG8" s="97">
        <v>2720106442.5309701</v>
      </c>
      <c r="BH8" s="97">
        <v>2747307506.9562802</v>
      </c>
      <c r="BI8" s="97">
        <v>2774780582.0258398</v>
      </c>
    </row>
    <row r="9" spans="1:61" x14ac:dyDescent="0.25">
      <c r="A9" s="95" t="s">
        <v>1</v>
      </c>
      <c r="B9" s="95" t="s">
        <v>136</v>
      </c>
      <c r="C9" s="96" t="s">
        <v>42</v>
      </c>
      <c r="D9" s="96" t="s">
        <v>54</v>
      </c>
      <c r="E9" s="96" t="s">
        <v>147</v>
      </c>
      <c r="F9" s="96" t="s">
        <v>158</v>
      </c>
      <c r="G9" s="97">
        <f t="shared" si="0"/>
        <v>1495000.0000000005</v>
      </c>
      <c r="H9" s="97">
        <f>SUMIF(I$1:BI$1,"&lt;="&amp;[2]PARAMETER!X$2,I9:BI9)</f>
        <v>259908.69562995218</v>
      </c>
      <c r="I9" s="97">
        <v>28422.184687423302</v>
      </c>
      <c r="J9" s="97">
        <v>25074.689012765801</v>
      </c>
      <c r="K9" s="97">
        <v>24646.270404004699</v>
      </c>
      <c r="L9" s="97">
        <v>30057.051965199</v>
      </c>
      <c r="M9" s="97">
        <v>30062.1689321636</v>
      </c>
      <c r="N9" s="97">
        <v>28478.047297397701</v>
      </c>
      <c r="O9" s="97">
        <v>27385.216279052001</v>
      </c>
      <c r="P9" s="97">
        <v>28285.020360380899</v>
      </c>
      <c r="Q9" s="97">
        <v>37498.0466915652</v>
      </c>
      <c r="R9" s="97">
        <v>29981.921888975699</v>
      </c>
      <c r="S9" s="97">
        <v>31026.944727539201</v>
      </c>
      <c r="T9" s="97">
        <v>37867.077518585698</v>
      </c>
      <c r="U9" s="97">
        <v>42189.378008786</v>
      </c>
      <c r="V9" s="97">
        <v>29622.668751379799</v>
      </c>
      <c r="W9" s="97">
        <v>25722.969182790999</v>
      </c>
      <c r="X9" s="97">
        <v>25891.1154096354</v>
      </c>
      <c r="Y9" s="97">
        <v>27999.116007017601</v>
      </c>
      <c r="Z9" s="97">
        <v>28007.680867149898</v>
      </c>
      <c r="AA9" s="97">
        <v>27009.0043272035</v>
      </c>
      <c r="AB9" s="97">
        <v>25767.196907454399</v>
      </c>
      <c r="AC9" s="97">
        <v>29090.887240172</v>
      </c>
      <c r="AD9" s="97">
        <v>14273.8132401573</v>
      </c>
      <c r="AE9" s="97">
        <v>31982.819238855602</v>
      </c>
      <c r="AF9" s="97">
        <v>28075.3602660703</v>
      </c>
      <c r="AG9" s="97">
        <v>27884.577969717899</v>
      </c>
      <c r="AH9" s="97">
        <v>33233.727588269299</v>
      </c>
      <c r="AI9" s="97">
        <v>31352.351195285501</v>
      </c>
      <c r="AJ9" s="97">
        <v>28748.439688203802</v>
      </c>
      <c r="AK9" s="97">
        <v>28424.048526169099</v>
      </c>
      <c r="AL9" s="97">
        <v>30863.282467736099</v>
      </c>
      <c r="AM9" s="97">
        <v>27052.927126165301</v>
      </c>
      <c r="AN9" s="97">
        <v>23821.668603090999</v>
      </c>
      <c r="AO9" s="97">
        <v>27182.840781331699</v>
      </c>
      <c r="AP9" s="97">
        <v>27693.411107159802</v>
      </c>
      <c r="AQ9" s="97">
        <v>33728.0920218338</v>
      </c>
      <c r="AR9" s="97">
        <v>28542.648496731799</v>
      </c>
      <c r="AS9" s="97">
        <v>26460.771359360599</v>
      </c>
      <c r="AT9" s="97">
        <v>26665.835619031299</v>
      </c>
      <c r="AU9" s="97">
        <v>30189.208461922099</v>
      </c>
      <c r="AV9" s="97">
        <v>32474.4774083802</v>
      </c>
      <c r="AW9" s="97">
        <v>27238.179887849601</v>
      </c>
      <c r="AX9" s="97">
        <v>27238.145566408999</v>
      </c>
      <c r="AY9" s="97">
        <v>27513.801869766699</v>
      </c>
      <c r="AZ9" s="97">
        <v>30993.923488334902</v>
      </c>
      <c r="BA9" s="97">
        <v>27171.460705038098</v>
      </c>
      <c r="BB9" s="97">
        <v>26151.4970942689</v>
      </c>
      <c r="BC9" s="97">
        <v>27375.702135850199</v>
      </c>
      <c r="BD9" s="97">
        <v>23176.525126720098</v>
      </c>
      <c r="BE9" s="97">
        <v>23408.290377987301</v>
      </c>
      <c r="BF9" s="97">
        <v>23642.373281767199</v>
      </c>
      <c r="BG9" s="97">
        <v>23878.797014584801</v>
      </c>
      <c r="BH9" s="97">
        <v>24117.5849847307</v>
      </c>
      <c r="BI9" s="97">
        <v>24358.760834577999</v>
      </c>
    </row>
    <row r="10" spans="1:61" x14ac:dyDescent="0.25">
      <c r="A10" s="95" t="s">
        <v>1</v>
      </c>
      <c r="B10" s="95" t="s">
        <v>136</v>
      </c>
      <c r="C10" s="96" t="s">
        <v>40</v>
      </c>
      <c r="D10" s="96" t="s">
        <v>54</v>
      </c>
      <c r="E10" s="96" t="s">
        <v>149</v>
      </c>
      <c r="F10" s="96" t="s">
        <v>159</v>
      </c>
      <c r="G10" s="97">
        <f t="shared" si="0"/>
        <v>1400000000.0000005</v>
      </c>
      <c r="H10" s="97">
        <f>SUMIF(I$1:BI$1,"&lt;="&amp;[2]PARAMETER!X$2,I10:BI10)</f>
        <v>243392758.44945341</v>
      </c>
      <c r="I10" s="97">
        <v>26616092.6838746</v>
      </c>
      <c r="J10" s="97">
        <v>23481314.125666901</v>
      </c>
      <c r="K10" s="97">
        <v>23080119.441877302</v>
      </c>
      <c r="L10" s="97">
        <v>28147072.0744339</v>
      </c>
      <c r="M10" s="97">
        <v>28151863.882962599</v>
      </c>
      <c r="N10" s="97">
        <v>26668405.4958908</v>
      </c>
      <c r="O10" s="97">
        <v>25645018.589078799</v>
      </c>
      <c r="P10" s="97">
        <v>26487644.484637599</v>
      </c>
      <c r="Q10" s="97">
        <v>35115227.671030901</v>
      </c>
      <c r="R10" s="97">
        <v>28076716.150211301</v>
      </c>
      <c r="S10" s="97">
        <v>29055332.855220702</v>
      </c>
      <c r="T10" s="97">
        <v>35460808.378608704</v>
      </c>
      <c r="U10" s="97">
        <v>39508447.633645698</v>
      </c>
      <c r="V10" s="97">
        <v>27740291.807312202</v>
      </c>
      <c r="W10" s="97">
        <v>24088399.234720699</v>
      </c>
      <c r="X10" s="97">
        <v>24245860.584274001</v>
      </c>
      <c r="Y10" s="97">
        <v>26219907.966437899</v>
      </c>
      <c r="Z10" s="97">
        <v>26227928.571244098</v>
      </c>
      <c r="AA10" s="97">
        <v>25292713.082331099</v>
      </c>
      <c r="AB10" s="97">
        <v>24129816.501963999</v>
      </c>
      <c r="AC10" s="97">
        <v>27242302.432268102</v>
      </c>
      <c r="AD10" s="97">
        <v>13366781.6295787</v>
      </c>
      <c r="AE10" s="97">
        <v>29950466.1768547</v>
      </c>
      <c r="AF10" s="97">
        <v>26291307.272574201</v>
      </c>
      <c r="AG10" s="97">
        <v>26112648.265956499</v>
      </c>
      <c r="AH10" s="97">
        <v>31121885.366941199</v>
      </c>
      <c r="AI10" s="97">
        <v>29360061.319999799</v>
      </c>
      <c r="AJ10" s="97">
        <v>26921615.761528701</v>
      </c>
      <c r="AK10" s="97">
        <v>26617838.084706798</v>
      </c>
      <c r="AL10" s="97">
        <v>28902070.538348202</v>
      </c>
      <c r="AM10" s="97">
        <v>25333844.8004223</v>
      </c>
      <c r="AN10" s="97">
        <v>22307917.086506601</v>
      </c>
      <c r="AO10" s="97">
        <v>25455503.072818901</v>
      </c>
      <c r="AP10" s="97">
        <v>25933629.130450599</v>
      </c>
      <c r="AQ10" s="97">
        <v>31584835.3381721</v>
      </c>
      <c r="AR10" s="97">
        <v>26728901.602290601</v>
      </c>
      <c r="AS10" s="97">
        <v>24779317.660939701</v>
      </c>
      <c r="AT10" s="97">
        <v>24971351.081367102</v>
      </c>
      <c r="AU10" s="97">
        <v>28270830.666682899</v>
      </c>
      <c r="AV10" s="97">
        <v>30410881.8540016</v>
      </c>
      <c r="AW10" s="97">
        <v>25507325.6474845</v>
      </c>
      <c r="AX10" s="97">
        <v>25507293.507005099</v>
      </c>
      <c r="AY10" s="97">
        <v>25765433.189079199</v>
      </c>
      <c r="AZ10" s="97">
        <v>29024409.955631401</v>
      </c>
      <c r="BA10" s="97">
        <v>25444846.145186201</v>
      </c>
      <c r="BB10" s="97">
        <v>24489696.275569499</v>
      </c>
      <c r="BC10" s="97">
        <v>25636109.023538701</v>
      </c>
      <c r="BD10" s="97">
        <v>21703769.349436902</v>
      </c>
      <c r="BE10" s="97">
        <v>21920807.0429313</v>
      </c>
      <c r="BF10" s="97">
        <v>22140015.113360599</v>
      </c>
      <c r="BG10" s="97">
        <v>22361415.264494199</v>
      </c>
      <c r="BH10" s="97">
        <v>22585029.417139102</v>
      </c>
      <c r="BI10" s="97">
        <v>22810879.711310498</v>
      </c>
    </row>
    <row r="11" spans="1:61" x14ac:dyDescent="0.25">
      <c r="A11" s="95" t="s">
        <v>21</v>
      </c>
      <c r="B11" s="95" t="s">
        <v>136</v>
      </c>
      <c r="C11" s="96" t="s">
        <v>41</v>
      </c>
      <c r="D11" s="96" t="s">
        <v>55</v>
      </c>
      <c r="E11" s="96" t="s">
        <v>151</v>
      </c>
      <c r="F11" s="96" t="s">
        <v>160</v>
      </c>
      <c r="G11" s="97">
        <f t="shared" si="0"/>
        <v>527699999999.99982</v>
      </c>
      <c r="H11" s="97">
        <f>SUMIF(I$1:BI$1,"&lt;="&amp;[2]PARAMETER!X$2,I11:BI11)</f>
        <v>1526409.3750423358</v>
      </c>
      <c r="I11" s="97">
        <v>312605.05314590898</v>
      </c>
      <c r="J11" s="97">
        <v>124792.933566614</v>
      </c>
      <c r="K11" s="97">
        <v>0</v>
      </c>
      <c r="L11" s="97">
        <v>608272.14325283701</v>
      </c>
      <c r="M11" s="97">
        <v>0</v>
      </c>
      <c r="N11" s="97">
        <v>304634.24700991798</v>
      </c>
      <c r="O11" s="97">
        <v>0</v>
      </c>
      <c r="P11" s="97">
        <v>176104.99806705801</v>
      </c>
      <c r="Q11" s="97">
        <v>0</v>
      </c>
      <c r="R11" s="97">
        <v>208237.310302773</v>
      </c>
      <c r="S11" s="97">
        <v>0</v>
      </c>
      <c r="T11" s="97">
        <v>0</v>
      </c>
      <c r="U11" s="97">
        <v>149701.70274158701</v>
      </c>
      <c r="V11" s="97">
        <v>492944.54197271302</v>
      </c>
      <c r="W11" s="97">
        <v>0</v>
      </c>
      <c r="X11" s="97">
        <v>208984.573378022</v>
      </c>
      <c r="Y11" s="97">
        <v>393558.55296457099</v>
      </c>
      <c r="Z11" s="97">
        <v>8204948.5662360499</v>
      </c>
      <c r="AA11" s="97">
        <v>330539.36695189</v>
      </c>
      <c r="AB11" s="97">
        <v>322568.560815898</v>
      </c>
      <c r="AC11" s="97">
        <v>375873.32685034</v>
      </c>
      <c r="AD11" s="97">
        <v>0</v>
      </c>
      <c r="AE11" s="97">
        <v>0</v>
      </c>
      <c r="AF11" s="97">
        <v>1079795.14373507</v>
      </c>
      <c r="AG11" s="97">
        <v>827967.48737609701</v>
      </c>
      <c r="AH11" s="97">
        <v>540769.37878866005</v>
      </c>
      <c r="AI11" s="97">
        <v>0</v>
      </c>
      <c r="AJ11" s="97">
        <v>544256.60647315695</v>
      </c>
      <c r="AK11" s="97">
        <v>0</v>
      </c>
      <c r="AL11" s="97">
        <v>288692.63473793498</v>
      </c>
      <c r="AM11" s="97">
        <v>359931.71457835799</v>
      </c>
      <c r="AN11" s="97">
        <v>153498055.72417501</v>
      </c>
      <c r="AO11" s="97">
        <v>228690159.72354299</v>
      </c>
      <c r="AP11" s="97">
        <v>1250827035.05619</v>
      </c>
      <c r="AQ11" s="97">
        <v>741995184.41917002</v>
      </c>
      <c r="AR11" s="97">
        <v>2674556191.5312099</v>
      </c>
      <c r="AS11" s="97">
        <v>21458305852.373402</v>
      </c>
      <c r="AT11" s="97">
        <v>38839993443.895798</v>
      </c>
      <c r="AU11" s="97">
        <v>52345924655.607498</v>
      </c>
      <c r="AV11" s="97">
        <v>39224189226.431</v>
      </c>
      <c r="AW11" s="97">
        <v>34622142494.204201</v>
      </c>
      <c r="AX11" s="97">
        <v>29962691015.0275</v>
      </c>
      <c r="AY11" s="97">
        <v>27766889492.2798</v>
      </c>
      <c r="AZ11" s="97">
        <v>27316745235.040901</v>
      </c>
      <c r="BA11" s="97">
        <v>27286768323.437599</v>
      </c>
      <c r="BB11" s="97">
        <v>28471754669.015999</v>
      </c>
      <c r="BC11" s="97">
        <v>26729052400.539001</v>
      </c>
      <c r="BD11" s="97">
        <v>27407299842.3559</v>
      </c>
      <c r="BE11" s="97">
        <v>27681372840.779499</v>
      </c>
      <c r="BF11" s="97">
        <v>27958186569.187302</v>
      </c>
      <c r="BG11" s="97">
        <v>28237768434.879101</v>
      </c>
      <c r="BH11" s="97">
        <v>28520146119.227901</v>
      </c>
      <c r="BI11" s="97">
        <v>28805347580.4202</v>
      </c>
    </row>
    <row r="12" spans="1:61" x14ac:dyDescent="0.25">
      <c r="A12" s="95" t="s">
        <v>21</v>
      </c>
      <c r="B12" s="95" t="s">
        <v>136</v>
      </c>
      <c r="C12" s="96" t="s">
        <v>42</v>
      </c>
      <c r="D12" s="96" t="s">
        <v>55</v>
      </c>
      <c r="E12" s="96" t="s">
        <v>153</v>
      </c>
      <c r="F12" s="96" t="s">
        <v>161</v>
      </c>
      <c r="G12" s="97">
        <f t="shared" si="0"/>
        <v>628000.00000000047</v>
      </c>
      <c r="H12" s="97">
        <f>SUMIF(I$1:BI$1,"&lt;="&amp;[2]PARAMETER!X$2,I12:BI12)</f>
        <v>1.8165341814034242</v>
      </c>
      <c r="I12" s="97">
        <v>0.37202193173324</v>
      </c>
      <c r="J12" s="97">
        <v>0.148512340875182</v>
      </c>
      <c r="K12" s="97">
        <v>0</v>
      </c>
      <c r="L12" s="97">
        <v>0.72388649983471998</v>
      </c>
      <c r="M12" s="97">
        <v>0</v>
      </c>
      <c r="N12" s="97">
        <v>0.362536113553588</v>
      </c>
      <c r="O12" s="97">
        <v>0</v>
      </c>
      <c r="P12" s="97">
        <v>0.20957729540669401</v>
      </c>
      <c r="Q12" s="97">
        <v>0</v>
      </c>
      <c r="R12" s="97">
        <v>0.24781699994341799</v>
      </c>
      <c r="S12" s="97">
        <v>0</v>
      </c>
      <c r="T12" s="97">
        <v>0</v>
      </c>
      <c r="U12" s="97">
        <v>0.17815552268659601</v>
      </c>
      <c r="V12" s="97">
        <v>0.58663856804787495</v>
      </c>
      <c r="W12" s="97">
        <v>0</v>
      </c>
      <c r="X12" s="97">
        <v>0.24870629539776001</v>
      </c>
      <c r="Y12" s="97">
        <v>0.46836227262033497</v>
      </c>
      <c r="Z12" s="97">
        <v>9.7644640886796292</v>
      </c>
      <c r="AA12" s="97">
        <v>0.39336502263745798</v>
      </c>
      <c r="AB12" s="97">
        <v>0.38387920445780599</v>
      </c>
      <c r="AC12" s="97">
        <v>0.44731561353423099</v>
      </c>
      <c r="AD12" s="97">
        <v>0</v>
      </c>
      <c r="AE12" s="97">
        <v>0</v>
      </c>
      <c r="AF12" s="97">
        <v>1.28503193152478</v>
      </c>
      <c r="AG12" s="97">
        <v>0.98533936341138695</v>
      </c>
      <c r="AH12" s="97">
        <v>0.64355347712578903</v>
      </c>
      <c r="AI12" s="97">
        <v>0</v>
      </c>
      <c r="AJ12" s="97">
        <v>0.64770352257938701</v>
      </c>
      <c r="AK12" s="97">
        <v>0</v>
      </c>
      <c r="AL12" s="97">
        <v>0.34356447719428401</v>
      </c>
      <c r="AM12" s="97">
        <v>0.428343977174926</v>
      </c>
      <c r="AN12" s="97">
        <v>182.67344891942801</v>
      </c>
      <c r="AO12" s="97">
        <v>272.15732481786</v>
      </c>
      <c r="AP12" s="97">
        <v>1488.5718741999001</v>
      </c>
      <c r="AQ12" s="97">
        <v>883.02629489338403</v>
      </c>
      <c r="AR12" s="97">
        <v>3182.9093960235</v>
      </c>
      <c r="AS12" s="97">
        <v>25536.888526227998</v>
      </c>
      <c r="AT12" s="97">
        <v>46222.315487524298</v>
      </c>
      <c r="AU12" s="97">
        <v>62295.320605877401</v>
      </c>
      <c r="AV12" s="97">
        <v>46679.535406857402</v>
      </c>
      <c r="AW12" s="97">
        <v>41202.777120258099</v>
      </c>
      <c r="AX12" s="97">
        <v>35657.703159820601</v>
      </c>
      <c r="AY12" s="97">
        <v>33044.545387818303</v>
      </c>
      <c r="AZ12" s="97">
        <v>32508.842159571101</v>
      </c>
      <c r="BA12" s="97">
        <v>32473.1675329143</v>
      </c>
      <c r="BB12" s="97">
        <v>33883.384370176398</v>
      </c>
      <c r="BC12" s="97">
        <v>31809.446480080602</v>
      </c>
      <c r="BD12" s="97">
        <v>32616.608491566301</v>
      </c>
      <c r="BE12" s="97">
        <v>32942.774576481897</v>
      </c>
      <c r="BF12" s="97">
        <v>33272.202322246798</v>
      </c>
      <c r="BG12" s="97">
        <v>33604.924345469197</v>
      </c>
      <c r="BH12" s="97">
        <v>33940.973588923902</v>
      </c>
      <c r="BI12" s="97">
        <v>34280.3833248132</v>
      </c>
    </row>
    <row r="13" spans="1:61" x14ac:dyDescent="0.25">
      <c r="A13" s="95" t="s">
        <v>21</v>
      </c>
      <c r="B13" s="95" t="s">
        <v>136</v>
      </c>
      <c r="C13" s="96" t="s">
        <v>40</v>
      </c>
      <c r="D13" s="96" t="s">
        <v>55</v>
      </c>
      <c r="E13" s="96" t="s">
        <v>155</v>
      </c>
      <c r="F13" s="96" t="s">
        <v>162</v>
      </c>
      <c r="G13" s="97">
        <f t="shared" si="0"/>
        <v>2056190000.000001</v>
      </c>
      <c r="H13" s="97">
        <f>SUMIF(I$1:BI$1,"&lt;="&amp;[2]PARAMETER!X$2,I13:BI13)</f>
        <v>5947.6742332164113</v>
      </c>
      <c r="I13" s="97">
        <v>1218.0697067047299</v>
      </c>
      <c r="J13" s="97">
        <v>486.25730921041497</v>
      </c>
      <c r="K13" s="97">
        <v>0</v>
      </c>
      <c r="L13" s="97">
        <v>2370.14041734897</v>
      </c>
      <c r="M13" s="97">
        <v>0</v>
      </c>
      <c r="N13" s="97">
        <v>1187.0113556174399</v>
      </c>
      <c r="O13" s="97">
        <v>0</v>
      </c>
      <c r="P13" s="97">
        <v>686.19544433485703</v>
      </c>
      <c r="Q13" s="97">
        <v>0</v>
      </c>
      <c r="R13" s="97">
        <v>811.39942215550298</v>
      </c>
      <c r="S13" s="97">
        <v>0</v>
      </c>
      <c r="T13" s="97">
        <v>0</v>
      </c>
      <c r="U13" s="97">
        <v>583.314656358202</v>
      </c>
      <c r="V13" s="97">
        <v>1920.7649000547101</v>
      </c>
      <c r="W13" s="97">
        <v>0</v>
      </c>
      <c r="X13" s="97">
        <v>814.31114256993601</v>
      </c>
      <c r="Y13" s="97">
        <v>1533.50608493504</v>
      </c>
      <c r="Z13" s="97">
        <v>31970.690150481201</v>
      </c>
      <c r="AA13" s="97">
        <v>1287.95099665114</v>
      </c>
      <c r="AB13" s="97">
        <v>1256.89264556385</v>
      </c>
      <c r="AC13" s="97">
        <v>1464.59536846011</v>
      </c>
      <c r="AD13" s="97">
        <v>0</v>
      </c>
      <c r="AE13" s="97">
        <v>0</v>
      </c>
      <c r="AF13" s="97">
        <v>4207.4359988565802</v>
      </c>
      <c r="AG13" s="97">
        <v>3226.1862191924502</v>
      </c>
      <c r="AH13" s="97">
        <v>2107.11500657846</v>
      </c>
      <c r="AI13" s="97">
        <v>0</v>
      </c>
      <c r="AJ13" s="97">
        <v>2120.70303517915</v>
      </c>
      <c r="AK13" s="97">
        <v>0</v>
      </c>
      <c r="AL13" s="97">
        <v>1124.8946534428601</v>
      </c>
      <c r="AM13" s="97">
        <v>1402.4786662855299</v>
      </c>
      <c r="AN13" s="97">
        <v>598107.19575420104</v>
      </c>
      <c r="AO13" s="97">
        <v>891094.21929496096</v>
      </c>
      <c r="AP13" s="97">
        <v>4873864.0159412203</v>
      </c>
      <c r="AQ13" s="97">
        <v>2891194.00843444</v>
      </c>
      <c r="AR13" s="97">
        <v>10421443.4251744</v>
      </c>
      <c r="AS13" s="97">
        <v>83612571.367427796</v>
      </c>
      <c r="AT13" s="97">
        <v>151340545.99091199</v>
      </c>
      <c r="AU13" s="97">
        <v>203966584.83534899</v>
      </c>
      <c r="AV13" s="97">
        <v>152837569.91755801</v>
      </c>
      <c r="AW13" s="97">
        <v>134905634.21481499</v>
      </c>
      <c r="AX13" s="97">
        <v>116750020.15954</v>
      </c>
      <c r="AY13" s="97">
        <v>108194050.606653</v>
      </c>
      <c r="AZ13" s="97">
        <v>106440057.579759</v>
      </c>
      <c r="BA13" s="97">
        <v>106323252.14889</v>
      </c>
      <c r="BB13" s="97">
        <v>110940567.051135</v>
      </c>
      <c r="BC13" s="97">
        <v>104150104.709995</v>
      </c>
      <c r="BD13" s="97">
        <v>106792904.799799</v>
      </c>
      <c r="BE13" s="97">
        <v>107860833.84779701</v>
      </c>
      <c r="BF13" s="97">
        <v>108939442.18627501</v>
      </c>
      <c r="BG13" s="97">
        <v>110028836.608137</v>
      </c>
      <c r="BH13" s="97">
        <v>111129124.97421899</v>
      </c>
      <c r="BI13" s="97">
        <v>112240416.223961</v>
      </c>
    </row>
    <row r="14" spans="1:61" x14ac:dyDescent="0.25">
      <c r="A14" s="95" t="s">
        <v>11</v>
      </c>
      <c r="B14" s="95" t="s">
        <v>136</v>
      </c>
      <c r="C14" s="96" t="s">
        <v>41</v>
      </c>
      <c r="D14" s="96" t="s">
        <v>54</v>
      </c>
      <c r="E14" s="96" t="s">
        <v>145</v>
      </c>
      <c r="F14" s="96" t="s">
        <v>163</v>
      </c>
      <c r="G14" s="97">
        <f t="shared" si="0"/>
        <v>9800000000</v>
      </c>
      <c r="H14" s="97">
        <f>SUMIF(I$1:BI$1,"&lt;="&amp;[2]PARAMETER!X$2,I14:BI14)</f>
        <v>2960395337.3466816</v>
      </c>
      <c r="I14" s="97">
        <v>715080811.07983398</v>
      </c>
      <c r="J14" s="97">
        <v>577388807.87123299</v>
      </c>
      <c r="K14" s="97">
        <v>574375559.21169996</v>
      </c>
      <c r="L14" s="97">
        <v>596279646.46330297</v>
      </c>
      <c r="M14" s="97">
        <v>486310620.14216101</v>
      </c>
      <c r="N14" s="97">
        <v>340728.00667872402</v>
      </c>
      <c r="O14" s="97">
        <v>584896.80388169596</v>
      </c>
      <c r="P14" s="97">
        <v>472801.72913725203</v>
      </c>
      <c r="Q14" s="97">
        <v>9561466.0387529992</v>
      </c>
      <c r="R14" s="97">
        <v>51886650.194402598</v>
      </c>
      <c r="S14" s="97">
        <v>2354044.2937515299</v>
      </c>
      <c r="T14" s="97">
        <v>15407121.1358764</v>
      </c>
      <c r="U14" s="97">
        <v>5499364.4560163803</v>
      </c>
      <c r="V14" s="97">
        <v>17551375.755339801</v>
      </c>
      <c r="W14" s="97">
        <v>311236787.94977701</v>
      </c>
      <c r="X14" s="97">
        <v>117649.9401302</v>
      </c>
      <c r="Y14" s="97">
        <v>1678113.17947306</v>
      </c>
      <c r="Z14" s="97">
        <v>14551971.5295377</v>
      </c>
      <c r="AA14" s="97">
        <v>8567036.3681077603</v>
      </c>
      <c r="AB14" s="97">
        <v>285119420.207614</v>
      </c>
      <c r="AC14" s="97">
        <v>307354422.05535799</v>
      </c>
      <c r="AD14" s="97">
        <v>351728971.96513301</v>
      </c>
      <c r="AE14" s="97">
        <v>308572495.82279098</v>
      </c>
      <c r="AF14" s="97">
        <v>226266714.660797</v>
      </c>
      <c r="AG14" s="97">
        <v>202515157.98218</v>
      </c>
      <c r="AH14" s="97">
        <v>275580156.98245603</v>
      </c>
      <c r="AI14" s="97">
        <v>309635673.75049698</v>
      </c>
      <c r="AJ14" s="97">
        <v>330375587.74165303</v>
      </c>
      <c r="AK14" s="97">
        <v>310440971.63085502</v>
      </c>
      <c r="AL14" s="97">
        <v>270700845.35748601</v>
      </c>
      <c r="AM14" s="97">
        <v>324980298.48879701</v>
      </c>
      <c r="AN14" s="97">
        <v>275833218.00372899</v>
      </c>
      <c r="AO14" s="97">
        <v>246861348.66711199</v>
      </c>
      <c r="AP14" s="97">
        <v>232219535.930132</v>
      </c>
      <c r="AQ14" s="97">
        <v>240997470.72587901</v>
      </c>
      <c r="AR14" s="97">
        <v>242811727.496216</v>
      </c>
      <c r="AS14" s="97">
        <v>223326975.571513</v>
      </c>
      <c r="AT14" s="97">
        <v>209651353.14556399</v>
      </c>
      <c r="AU14" s="97">
        <v>217849710.711813</v>
      </c>
      <c r="AV14" s="97">
        <v>208909690.38244</v>
      </c>
      <c r="AW14" s="97">
        <v>195314307.737268</v>
      </c>
      <c r="AX14" s="97">
        <v>171864113.326994</v>
      </c>
      <c r="AY14" s="97">
        <v>183894472.30487701</v>
      </c>
      <c r="AZ14" s="97">
        <v>172477979.78048599</v>
      </c>
      <c r="BA14" s="97">
        <v>68912526.805344298</v>
      </c>
      <c r="BB14" s="97">
        <v>10320618.026402101</v>
      </c>
      <c r="BC14" s="97">
        <v>452824.19128638197</v>
      </c>
      <c r="BD14" s="97">
        <v>940498.08749039203</v>
      </c>
      <c r="BE14" s="97">
        <v>949903.068365296</v>
      </c>
      <c r="BF14" s="97">
        <v>959402.09904895001</v>
      </c>
      <c r="BG14" s="97">
        <v>968996.12003943895</v>
      </c>
      <c r="BH14" s="97">
        <v>978686.08123983303</v>
      </c>
      <c r="BI14" s="97">
        <v>988472.94205223199</v>
      </c>
    </row>
    <row r="15" spans="1:61" x14ac:dyDescent="0.25">
      <c r="A15" s="95" t="s">
        <v>11</v>
      </c>
      <c r="B15" s="95" t="s">
        <v>136</v>
      </c>
      <c r="C15" s="96" t="s">
        <v>42</v>
      </c>
      <c r="D15" s="96" t="s">
        <v>54</v>
      </c>
      <c r="E15" s="96" t="s">
        <v>147</v>
      </c>
      <c r="F15" s="96" t="s">
        <v>164</v>
      </c>
      <c r="G15" s="97">
        <f t="shared" si="0"/>
        <v>208999.99999999994</v>
      </c>
      <c r="H15" s="97">
        <f>SUMIF(I$1:BI$1,"&lt;="&amp;[2]PARAMETER!X$2,I15:BI15)</f>
        <v>63134.961786271037</v>
      </c>
      <c r="I15" s="97">
        <v>15250.192807723</v>
      </c>
      <c r="J15" s="97">
        <v>12313.700086233401</v>
      </c>
      <c r="K15" s="97">
        <v>12249.4379464536</v>
      </c>
      <c r="L15" s="97">
        <v>12716.576133758201</v>
      </c>
      <c r="M15" s="97">
        <v>10371.3183275216</v>
      </c>
      <c r="N15" s="97">
        <v>7.2665462648829804</v>
      </c>
      <c r="O15" s="97">
        <v>12.4738195929872</v>
      </c>
      <c r="P15" s="97">
        <v>10.0832205499679</v>
      </c>
      <c r="Q15" s="97">
        <v>203.91289817340601</v>
      </c>
      <c r="R15" s="97">
        <v>1106.5622337377699</v>
      </c>
      <c r="S15" s="97">
        <v>50.2035976932724</v>
      </c>
      <c r="T15" s="97">
        <v>328.58044055083298</v>
      </c>
      <c r="U15" s="97">
        <v>117.282364419125</v>
      </c>
      <c r="V15" s="97">
        <v>374.30995233326797</v>
      </c>
      <c r="W15" s="97">
        <v>6637.6008858676896</v>
      </c>
      <c r="X15" s="97">
        <v>2.50906504971549</v>
      </c>
      <c r="Y15" s="97">
        <v>35.788332092843902</v>
      </c>
      <c r="Z15" s="97">
        <v>310.34306629320298</v>
      </c>
      <c r="AA15" s="97">
        <v>182.70516336066601</v>
      </c>
      <c r="AB15" s="97">
        <v>6080.6080432031904</v>
      </c>
      <c r="AC15" s="97">
        <v>6554.8034907724305</v>
      </c>
      <c r="AD15" s="97">
        <v>7501.1586878278304</v>
      </c>
      <c r="AE15" s="97">
        <v>6580.78077826156</v>
      </c>
      <c r="AF15" s="97">
        <v>4825.4840167455804</v>
      </c>
      <c r="AG15" s="97">
        <v>4318.9457161505698</v>
      </c>
      <c r="AH15" s="97">
        <v>5877.1686540135897</v>
      </c>
      <c r="AI15" s="97">
        <v>6603.4546748830498</v>
      </c>
      <c r="AJ15" s="97">
        <v>7045.7650855107504</v>
      </c>
      <c r="AK15" s="97">
        <v>6620.6288847804899</v>
      </c>
      <c r="AL15" s="97">
        <v>5773.1098652769797</v>
      </c>
      <c r="AM15" s="97">
        <v>6930.7022840978098</v>
      </c>
      <c r="AN15" s="97">
        <v>5882.5655676305296</v>
      </c>
      <c r="AO15" s="97">
        <v>5264.6961093292202</v>
      </c>
      <c r="AP15" s="97">
        <v>4952.4370417752598</v>
      </c>
      <c r="AQ15" s="97">
        <v>5139.6399369090404</v>
      </c>
      <c r="AR15" s="97">
        <v>5178.3317394601099</v>
      </c>
      <c r="AS15" s="97">
        <v>4762.7895810659502</v>
      </c>
      <c r="AT15" s="97">
        <v>4471.1360007574303</v>
      </c>
      <c r="AU15" s="97">
        <v>4645.97852436417</v>
      </c>
      <c r="AV15" s="97">
        <v>4455.3189071357001</v>
      </c>
      <c r="AW15" s="97">
        <v>4165.3765629682703</v>
      </c>
      <c r="AX15" s="97">
        <v>3665.2652740144599</v>
      </c>
      <c r="AY15" s="97">
        <v>3921.8310930325802</v>
      </c>
      <c r="AZ15" s="97">
        <v>3678.3569157266902</v>
      </c>
      <c r="BA15" s="97">
        <v>1469.66511248132</v>
      </c>
      <c r="BB15" s="97">
        <v>220.10297627735099</v>
      </c>
      <c r="BC15" s="97">
        <v>9.6571689774340594</v>
      </c>
      <c r="BD15" s="97">
        <v>20.0575612536216</v>
      </c>
      <c r="BE15" s="97">
        <v>20.258136866157901</v>
      </c>
      <c r="BF15" s="97">
        <v>20.460718234819399</v>
      </c>
      <c r="BG15" s="97">
        <v>20.665325417167601</v>
      </c>
      <c r="BH15" s="97">
        <v>20.871978671339299</v>
      </c>
      <c r="BI15" s="97">
        <v>21.080698458052701</v>
      </c>
    </row>
    <row r="16" spans="1:61" x14ac:dyDescent="0.25">
      <c r="A16" s="95" t="s">
        <v>11</v>
      </c>
      <c r="B16" s="95" t="s">
        <v>136</v>
      </c>
      <c r="C16" s="96" t="s">
        <v>40</v>
      </c>
      <c r="D16" s="96" t="s">
        <v>54</v>
      </c>
      <c r="E16" s="96" t="s">
        <v>149</v>
      </c>
      <c r="F16" s="96" t="s">
        <v>165</v>
      </c>
      <c r="G16" s="97">
        <f t="shared" si="0"/>
        <v>50000000.00000003</v>
      </c>
      <c r="H16" s="97">
        <f>SUMIF(I$1:BI$1,"&lt;="&amp;[2]PARAMETER!X$2,I16:BI16)</f>
        <v>15104057.843605528</v>
      </c>
      <c r="I16" s="97">
        <v>3648371.4851012002</v>
      </c>
      <c r="J16" s="97">
        <v>2945861.26464915</v>
      </c>
      <c r="K16" s="97">
        <v>2930487.5469984701</v>
      </c>
      <c r="L16" s="97">
        <v>3042243.0942005301</v>
      </c>
      <c r="M16" s="97">
        <v>2481176.6333783702</v>
      </c>
      <c r="N16" s="97">
        <v>1738.40819734043</v>
      </c>
      <c r="O16" s="97">
        <v>2984.1673667433502</v>
      </c>
      <c r="P16" s="97">
        <v>2412.2537200880201</v>
      </c>
      <c r="Q16" s="97">
        <v>48782.989993637799</v>
      </c>
      <c r="R16" s="97">
        <v>264727.80711429898</v>
      </c>
      <c r="S16" s="97">
        <v>12010.430070160901</v>
      </c>
      <c r="T16" s="97">
        <v>78607.760897328393</v>
      </c>
      <c r="U16" s="97">
        <v>28057.9819184509</v>
      </c>
      <c r="V16" s="97">
        <v>89547.835486427794</v>
      </c>
      <c r="W16" s="97">
        <v>1587942.79566213</v>
      </c>
      <c r="X16" s="97">
        <v>600.25479658265294</v>
      </c>
      <c r="Y16" s="97">
        <v>8561.8019360870494</v>
      </c>
      <c r="Z16" s="97">
        <v>74244.752701723206</v>
      </c>
      <c r="AA16" s="97">
        <v>43709.369225039598</v>
      </c>
      <c r="AB16" s="97">
        <v>1454690.9194266</v>
      </c>
      <c r="AC16" s="97">
        <v>1568134.80640489</v>
      </c>
      <c r="AD16" s="97">
        <v>1794535.5712506799</v>
      </c>
      <c r="AE16" s="97">
        <v>1574349.4684836301</v>
      </c>
      <c r="AF16" s="97">
        <v>1154422.0135755001</v>
      </c>
      <c r="AG16" s="97">
        <v>1033240.6019499</v>
      </c>
      <c r="AH16" s="97">
        <v>1406021.20909416</v>
      </c>
      <c r="AI16" s="97">
        <v>1579773.8456657999</v>
      </c>
      <c r="AJ16" s="97">
        <v>1685589.7333757801</v>
      </c>
      <c r="AK16" s="97">
        <v>1583882.5083206899</v>
      </c>
      <c r="AL16" s="97">
        <v>1381126.7620279901</v>
      </c>
      <c r="AM16" s="97">
        <v>1658062.74739182</v>
      </c>
      <c r="AN16" s="97">
        <v>1407312.33675372</v>
      </c>
      <c r="AO16" s="97">
        <v>1259496.6768730199</v>
      </c>
      <c r="AP16" s="97">
        <v>1184793.5506639399</v>
      </c>
      <c r="AQ16" s="97">
        <v>1229578.9322748899</v>
      </c>
      <c r="AR16" s="97">
        <v>1238835.3443684501</v>
      </c>
      <c r="AS16" s="97">
        <v>1139423.34475262</v>
      </c>
      <c r="AT16" s="97">
        <v>1069649.7609467499</v>
      </c>
      <c r="AU16" s="97">
        <v>1111478.1158765999</v>
      </c>
      <c r="AV16" s="97">
        <v>1065865.76725735</v>
      </c>
      <c r="AW16" s="97">
        <v>996501.57008810202</v>
      </c>
      <c r="AX16" s="97">
        <v>876857.72105609195</v>
      </c>
      <c r="AY16" s="97">
        <v>938237.10359631001</v>
      </c>
      <c r="AZ16" s="97">
        <v>879989.69275758101</v>
      </c>
      <c r="BA16" s="97">
        <v>351594.52451706299</v>
      </c>
      <c r="BB16" s="97">
        <v>52656.214420418997</v>
      </c>
      <c r="BC16" s="97">
        <v>2310.3275065631701</v>
      </c>
      <c r="BD16" s="97">
        <v>4798.4596300530202</v>
      </c>
      <c r="BE16" s="97">
        <v>4846.4442263535502</v>
      </c>
      <c r="BF16" s="97">
        <v>4894.9086686170904</v>
      </c>
      <c r="BG16" s="97">
        <v>4943.8577553032601</v>
      </c>
      <c r="BH16" s="97">
        <v>4993.2963328562901</v>
      </c>
      <c r="BI16" s="97">
        <v>5043.2292961848498</v>
      </c>
    </row>
    <row r="17" spans="1:61" x14ac:dyDescent="0.25">
      <c r="A17" s="95" t="s">
        <v>15</v>
      </c>
      <c r="B17" s="95" t="s">
        <v>136</v>
      </c>
      <c r="C17" s="96" t="s">
        <v>41</v>
      </c>
      <c r="D17" s="96" t="s">
        <v>54</v>
      </c>
      <c r="E17" s="96" t="s">
        <v>145</v>
      </c>
      <c r="F17" s="96" t="s">
        <v>166</v>
      </c>
      <c r="G17" s="97">
        <f t="shared" si="0"/>
        <v>4000000000</v>
      </c>
      <c r="H17" s="97">
        <f>SUMIF(I$1:BI$1,"&lt;="&amp;[2]PARAMETER!X$2,I17:BI17)</f>
        <v>337306796.35097641</v>
      </c>
      <c r="I17" s="97">
        <v>1078269.88127758</v>
      </c>
      <c r="J17" s="97">
        <v>662057.70710443205</v>
      </c>
      <c r="K17" s="97">
        <v>3064443.0025908798</v>
      </c>
      <c r="L17" s="97">
        <v>9229990.1837360691</v>
      </c>
      <c r="M17" s="97">
        <v>30282131.345799498</v>
      </c>
      <c r="N17" s="97">
        <v>100363608.36076</v>
      </c>
      <c r="O17" s="97">
        <v>73360631.585930496</v>
      </c>
      <c r="P17" s="97">
        <v>73332705.474275306</v>
      </c>
      <c r="Q17" s="97">
        <v>45932958.809502102</v>
      </c>
      <c r="R17" s="97">
        <v>52291778.318977199</v>
      </c>
      <c r="S17" s="97">
        <v>147945396.01132801</v>
      </c>
      <c r="T17" s="97">
        <v>125655642.55801199</v>
      </c>
      <c r="U17" s="97">
        <v>145773081.16040999</v>
      </c>
      <c r="V17" s="97">
        <v>112569046.542436</v>
      </c>
      <c r="W17" s="97">
        <v>89364855.533602595</v>
      </c>
      <c r="X17" s="97">
        <v>108441700.082645</v>
      </c>
      <c r="Y17" s="97">
        <v>90957455.835170105</v>
      </c>
      <c r="Z17" s="97">
        <v>91026465.107571796</v>
      </c>
      <c r="AA17" s="97">
        <v>116825152.44355901</v>
      </c>
      <c r="AB17" s="97">
        <v>117358225.350925</v>
      </c>
      <c r="AC17" s="97">
        <v>97139177.064534396</v>
      </c>
      <c r="AD17" s="97">
        <v>85365577.344151303</v>
      </c>
      <c r="AE17" s="97">
        <v>115926830.70968799</v>
      </c>
      <c r="AF17" s="97">
        <v>94454557.862433195</v>
      </c>
      <c r="AG17" s="97">
        <v>84001575.648764104</v>
      </c>
      <c r="AH17" s="97">
        <v>101522883.266868</v>
      </c>
      <c r="AI17" s="97">
        <v>67315310.418277904</v>
      </c>
      <c r="AJ17" s="97">
        <v>67045742.947958499</v>
      </c>
      <c r="AK17" s="97">
        <v>115862383.59715401</v>
      </c>
      <c r="AL17" s="97">
        <v>62686730.204175599</v>
      </c>
      <c r="AM17" s="97">
        <v>70448439.212306097</v>
      </c>
      <c r="AN17" s="97">
        <v>48104943.709836699</v>
      </c>
      <c r="AO17" s="97">
        <v>125502822.602548</v>
      </c>
      <c r="AP17" s="97">
        <v>54342645.476627402</v>
      </c>
      <c r="AQ17" s="97">
        <v>73761209.925095007</v>
      </c>
      <c r="AR17" s="97">
        <v>70449301.828211203</v>
      </c>
      <c r="AS17" s="97">
        <v>112970980.26684099</v>
      </c>
      <c r="AT17" s="97">
        <v>82551992.751169801</v>
      </c>
      <c r="AU17" s="97">
        <v>80493928.142062098</v>
      </c>
      <c r="AV17" s="97">
        <v>65373346.362097003</v>
      </c>
      <c r="AW17" s="97">
        <v>81750109.318940803</v>
      </c>
      <c r="AX17" s="97">
        <v>67607522.634373993</v>
      </c>
      <c r="AY17" s="97">
        <v>101440395.620951</v>
      </c>
      <c r="AZ17" s="97">
        <v>57733805.3315152</v>
      </c>
      <c r="BA17" s="97">
        <v>55914762.963530101</v>
      </c>
      <c r="BB17" s="97">
        <v>66441815.8484236</v>
      </c>
      <c r="BC17" s="97">
        <v>64270817.565030403</v>
      </c>
      <c r="BD17" s="97">
        <v>47789999.408103503</v>
      </c>
      <c r="BE17" s="97">
        <v>48267899.402184598</v>
      </c>
      <c r="BF17" s="97">
        <v>48750578.396206401</v>
      </c>
      <c r="BG17" s="97">
        <v>49238084.180168502</v>
      </c>
      <c r="BH17" s="97">
        <v>49730465.021970198</v>
      </c>
      <c r="BI17" s="97">
        <v>50227769.672189802</v>
      </c>
    </row>
    <row r="18" spans="1:61" x14ac:dyDescent="0.25">
      <c r="A18" s="95" t="s">
        <v>15</v>
      </c>
      <c r="B18" s="95" t="s">
        <v>136</v>
      </c>
      <c r="C18" s="96" t="s">
        <v>42</v>
      </c>
      <c r="D18" s="96" t="s">
        <v>54</v>
      </c>
      <c r="E18" s="96" t="s">
        <v>147</v>
      </c>
      <c r="F18" s="96" t="s">
        <v>167</v>
      </c>
      <c r="G18" s="97">
        <f t="shared" si="0"/>
        <v>168999.99999999997</v>
      </c>
      <c r="H18" s="97">
        <f>SUMIF(I$1:BI$1,"&lt;="&amp;[2]PARAMETER!X$2,I18:BI18)</f>
        <v>14251.212145828744</v>
      </c>
      <c r="I18" s="97">
        <v>45.556902483977602</v>
      </c>
      <c r="J18" s="97">
        <v>27.9719381251623</v>
      </c>
      <c r="K18" s="97">
        <v>129.47271685946501</v>
      </c>
      <c r="L18" s="97">
        <v>389.96708526284903</v>
      </c>
      <c r="M18" s="97">
        <v>1279.4200493600299</v>
      </c>
      <c r="N18" s="97">
        <v>4240.3624532420999</v>
      </c>
      <c r="O18" s="97">
        <v>3099.4866845055599</v>
      </c>
      <c r="P18" s="97">
        <v>3098.3068062881298</v>
      </c>
      <c r="Q18" s="97">
        <v>1940.66750970147</v>
      </c>
      <c r="R18" s="97">
        <v>2209.3276339767899</v>
      </c>
      <c r="S18" s="97">
        <v>6250.6929814786299</v>
      </c>
      <c r="T18" s="97">
        <v>5308.9508980760002</v>
      </c>
      <c r="U18" s="97">
        <v>6158.9126790273303</v>
      </c>
      <c r="V18" s="97">
        <v>4756.0422164178999</v>
      </c>
      <c r="W18" s="97">
        <v>3775.6651462947102</v>
      </c>
      <c r="X18" s="97">
        <v>4581.6618284917604</v>
      </c>
      <c r="Y18" s="97">
        <v>3842.9525090359298</v>
      </c>
      <c r="Z18" s="97">
        <v>3845.86815079491</v>
      </c>
      <c r="AA18" s="97">
        <v>4935.8626907403604</v>
      </c>
      <c r="AB18" s="97">
        <v>4958.3850210765904</v>
      </c>
      <c r="AC18" s="97">
        <v>4104.1302309765797</v>
      </c>
      <c r="AD18" s="97">
        <v>3606.6956427903901</v>
      </c>
      <c r="AE18" s="97">
        <v>4897.9085974843301</v>
      </c>
      <c r="AF18" s="97">
        <v>3990.7050696878</v>
      </c>
      <c r="AG18" s="97">
        <v>3549.0665711602901</v>
      </c>
      <c r="AH18" s="97">
        <v>4289.3418180251902</v>
      </c>
      <c r="AI18" s="97">
        <v>2844.07186517224</v>
      </c>
      <c r="AJ18" s="97">
        <v>2832.6826395512498</v>
      </c>
      <c r="AK18" s="97">
        <v>4895.1857069797597</v>
      </c>
      <c r="AL18" s="97">
        <v>2648.51435112642</v>
      </c>
      <c r="AM18" s="97">
        <v>2976.44655671994</v>
      </c>
      <c r="AN18" s="97">
        <v>2032.4338717405999</v>
      </c>
      <c r="AO18" s="97">
        <v>5302.4942549576499</v>
      </c>
      <c r="AP18" s="97">
        <v>2295.9767713875099</v>
      </c>
      <c r="AQ18" s="97">
        <v>3116.4111193352601</v>
      </c>
      <c r="AR18" s="97">
        <v>2976.4830022419201</v>
      </c>
      <c r="AS18" s="97">
        <v>4773.0239162740199</v>
      </c>
      <c r="AT18" s="97">
        <v>3487.8216937369202</v>
      </c>
      <c r="AU18" s="97">
        <v>3400.8684640021202</v>
      </c>
      <c r="AV18" s="97">
        <v>2762.0238837985999</v>
      </c>
      <c r="AW18" s="97">
        <v>3453.9421187252501</v>
      </c>
      <c r="AX18" s="97">
        <v>2856.4178313022999</v>
      </c>
      <c r="AY18" s="97">
        <v>4285.8567149851597</v>
      </c>
      <c r="AZ18" s="97">
        <v>2439.2532752565198</v>
      </c>
      <c r="BA18" s="97">
        <v>2362.3987352091499</v>
      </c>
      <c r="BB18" s="97">
        <v>2807.1667195958998</v>
      </c>
      <c r="BC18" s="97">
        <v>2715.44204212254</v>
      </c>
      <c r="BD18" s="97">
        <v>2019.12747499237</v>
      </c>
      <c r="BE18" s="97">
        <v>2039.3187497423</v>
      </c>
      <c r="BF18" s="97">
        <v>2059.7119372397201</v>
      </c>
      <c r="BG18" s="97">
        <v>2080.30905661212</v>
      </c>
      <c r="BH18" s="97">
        <v>2101.1121471782399</v>
      </c>
      <c r="BI18" s="97">
        <v>2122.1232686500198</v>
      </c>
    </row>
    <row r="19" spans="1:61" x14ac:dyDescent="0.25">
      <c r="A19" s="95" t="s">
        <v>15</v>
      </c>
      <c r="B19" s="95" t="s">
        <v>136</v>
      </c>
      <c r="C19" s="96" t="s">
        <v>40</v>
      </c>
      <c r="D19" s="96" t="s">
        <v>54</v>
      </c>
      <c r="E19" s="96" t="s">
        <v>149</v>
      </c>
      <c r="F19" s="96" t="s">
        <v>168</v>
      </c>
      <c r="G19" s="97">
        <f t="shared" si="0"/>
        <v>0</v>
      </c>
      <c r="H19" s="97">
        <f>SUMIF(I$1:BI$1,"&lt;="&amp;[2]PARAMETER!X$2,I19:BI19)</f>
        <v>0</v>
      </c>
      <c r="I19" s="97">
        <v>0</v>
      </c>
      <c r="J19" s="97">
        <v>0</v>
      </c>
      <c r="K19" s="97">
        <v>0</v>
      </c>
      <c r="L19" s="97">
        <v>0</v>
      </c>
      <c r="M19" s="97">
        <v>0</v>
      </c>
      <c r="N19" s="97">
        <v>0</v>
      </c>
      <c r="O19" s="97">
        <v>0</v>
      </c>
      <c r="P19" s="97">
        <v>0</v>
      </c>
      <c r="Q19" s="97">
        <v>0</v>
      </c>
      <c r="R19" s="97">
        <v>0</v>
      </c>
      <c r="S19" s="97">
        <v>0</v>
      </c>
      <c r="T19" s="97">
        <v>0</v>
      </c>
      <c r="U19" s="97">
        <v>0</v>
      </c>
      <c r="V19" s="97">
        <v>0</v>
      </c>
      <c r="W19" s="97">
        <v>0</v>
      </c>
      <c r="X19" s="97">
        <v>0</v>
      </c>
      <c r="Y19" s="97">
        <v>0</v>
      </c>
      <c r="Z19" s="97">
        <v>0</v>
      </c>
      <c r="AA19" s="97">
        <v>0</v>
      </c>
      <c r="AB19" s="97">
        <v>0</v>
      </c>
      <c r="AC19" s="97">
        <v>0</v>
      </c>
      <c r="AD19" s="97">
        <v>0</v>
      </c>
      <c r="AE19" s="97">
        <v>0</v>
      </c>
      <c r="AF19" s="97">
        <v>0</v>
      </c>
      <c r="AG19" s="97">
        <v>0</v>
      </c>
      <c r="AH19" s="97">
        <v>0</v>
      </c>
      <c r="AI19" s="97">
        <v>0</v>
      </c>
      <c r="AJ19" s="97">
        <v>0</v>
      </c>
      <c r="AK19" s="97">
        <v>0</v>
      </c>
      <c r="AL19" s="97">
        <v>0</v>
      </c>
      <c r="AM19" s="97">
        <v>0</v>
      </c>
      <c r="AN19" s="97">
        <v>0</v>
      </c>
      <c r="AO19" s="97">
        <v>0</v>
      </c>
      <c r="AP19" s="97">
        <v>0</v>
      </c>
      <c r="AQ19" s="97">
        <v>0</v>
      </c>
      <c r="AR19" s="97">
        <v>0</v>
      </c>
      <c r="AS19" s="97">
        <v>0</v>
      </c>
      <c r="AT19" s="97">
        <v>0</v>
      </c>
      <c r="AU19" s="97">
        <v>0</v>
      </c>
      <c r="AV19" s="97">
        <v>0</v>
      </c>
      <c r="AW19" s="97">
        <v>0</v>
      </c>
      <c r="AX19" s="97">
        <v>0</v>
      </c>
      <c r="AY19" s="97">
        <v>0</v>
      </c>
      <c r="AZ19" s="97">
        <v>0</v>
      </c>
      <c r="BA19" s="97">
        <v>0</v>
      </c>
      <c r="BB19" s="97">
        <v>0</v>
      </c>
      <c r="BC19" s="97">
        <v>0</v>
      </c>
      <c r="BD19" s="97">
        <v>0</v>
      </c>
      <c r="BE19" s="97">
        <v>0</v>
      </c>
      <c r="BF19" s="97">
        <v>0</v>
      </c>
      <c r="BG19" s="97">
        <v>0</v>
      </c>
      <c r="BH19" s="97">
        <v>0</v>
      </c>
      <c r="BI19" s="97">
        <v>0</v>
      </c>
    </row>
    <row r="20" spans="1:61" x14ac:dyDescent="0.25">
      <c r="A20" s="95" t="s">
        <v>37</v>
      </c>
      <c r="B20" s="95" t="s">
        <v>136</v>
      </c>
      <c r="C20" s="96" t="s">
        <v>41</v>
      </c>
      <c r="D20" s="96" t="s">
        <v>54</v>
      </c>
      <c r="E20" s="96" t="s">
        <v>145</v>
      </c>
      <c r="F20" s="96" t="s">
        <v>169</v>
      </c>
      <c r="G20" s="97">
        <f t="shared" si="0"/>
        <v>5100000000.0000029</v>
      </c>
      <c r="H20" s="97">
        <f>SUMIF(I$1:BI$1,"&lt;="&amp;[2]PARAMETER!X$2,I20:BI20)</f>
        <v>1016020647.4114535</v>
      </c>
      <c r="I20" s="97">
        <v>74984763.081210002</v>
      </c>
      <c r="J20" s="97">
        <v>129504697.07218</v>
      </c>
      <c r="K20" s="97">
        <v>88750300.589922801</v>
      </c>
      <c r="L20" s="97">
        <v>94618886.719091699</v>
      </c>
      <c r="M20" s="97">
        <v>119621586.195608</v>
      </c>
      <c r="N20" s="97">
        <v>116724475.82312299</v>
      </c>
      <c r="O20" s="97">
        <v>136519765.11770001</v>
      </c>
      <c r="P20" s="97">
        <v>120713497.169052</v>
      </c>
      <c r="Q20" s="97">
        <v>134582675.64356601</v>
      </c>
      <c r="R20" s="97">
        <v>129104178.560515</v>
      </c>
      <c r="S20" s="97">
        <v>121536712.11927199</v>
      </c>
      <c r="T20" s="97">
        <v>134775287.04708001</v>
      </c>
      <c r="U20" s="97">
        <v>231523019.250231</v>
      </c>
      <c r="V20" s="97">
        <v>216658735.011646</v>
      </c>
      <c r="W20" s="97">
        <v>173371383.99267</v>
      </c>
      <c r="X20" s="97">
        <v>183905186.436768</v>
      </c>
      <c r="Y20" s="97">
        <v>127099554.17840301</v>
      </c>
      <c r="Z20" s="97">
        <v>135688472.50628501</v>
      </c>
      <c r="AA20" s="97">
        <v>132723197.82510599</v>
      </c>
      <c r="AB20" s="97">
        <v>110363493.462411</v>
      </c>
      <c r="AC20" s="97">
        <v>102917255.30159099</v>
      </c>
      <c r="AD20" s="97">
        <v>102874068.48571999</v>
      </c>
      <c r="AE20" s="97">
        <v>137543065.07690901</v>
      </c>
      <c r="AF20" s="97">
        <v>113102423.60743301</v>
      </c>
      <c r="AG20" s="97">
        <v>123066828.556282</v>
      </c>
      <c r="AH20" s="97">
        <v>135972794.77512601</v>
      </c>
      <c r="AI20" s="97">
        <v>135014162.571307</v>
      </c>
      <c r="AJ20" s="97">
        <v>147623968.29644299</v>
      </c>
      <c r="AK20" s="97">
        <v>128305049.80411901</v>
      </c>
      <c r="AL20" s="97">
        <v>99013180.875379294</v>
      </c>
      <c r="AM20" s="97">
        <v>119410621.847405</v>
      </c>
      <c r="AN20" s="97">
        <v>104597874.544585</v>
      </c>
      <c r="AO20" s="97">
        <v>114464548.135694</v>
      </c>
      <c r="AP20" s="97">
        <v>94826082.0552921</v>
      </c>
      <c r="AQ20" s="97">
        <v>106389816.39902499</v>
      </c>
      <c r="AR20" s="97">
        <v>130861960.64156</v>
      </c>
      <c r="AS20" s="97">
        <v>46011172.378702797</v>
      </c>
      <c r="AT20" s="97">
        <v>44366241.0011089</v>
      </c>
      <c r="AU20" s="97">
        <v>22702233.525219999</v>
      </c>
      <c r="AV20" s="97">
        <v>26610978.822848499</v>
      </c>
      <c r="AW20" s="97">
        <v>19784408.899322499</v>
      </c>
      <c r="AX20" s="97">
        <v>22491254.3924364</v>
      </c>
      <c r="AY20" s="97">
        <v>23700755.5834442</v>
      </c>
      <c r="AZ20" s="97">
        <v>23181377.492370099</v>
      </c>
      <c r="BA20" s="97">
        <v>27226861.151476201</v>
      </c>
      <c r="BB20" s="97">
        <v>28503451.600962602</v>
      </c>
      <c r="BC20" s="97">
        <v>24365353.105032802</v>
      </c>
      <c r="BD20" s="97">
        <v>29632948.146327101</v>
      </c>
      <c r="BE20" s="97">
        <v>29929277.627790399</v>
      </c>
      <c r="BF20" s="97">
        <v>30228570.404068299</v>
      </c>
      <c r="BG20" s="97">
        <v>30530856.108109001</v>
      </c>
      <c r="BH20" s="97">
        <v>30836164.669190101</v>
      </c>
      <c r="BI20" s="97">
        <v>31144526.315882001</v>
      </c>
    </row>
    <row r="21" spans="1:61" x14ac:dyDescent="0.25">
      <c r="A21" s="95" t="s">
        <v>37</v>
      </c>
      <c r="B21" s="95" t="s">
        <v>136</v>
      </c>
      <c r="C21" s="96" t="s">
        <v>42</v>
      </c>
      <c r="D21" s="96" t="s">
        <v>54</v>
      </c>
      <c r="E21" s="96" t="s">
        <v>147</v>
      </c>
      <c r="F21" s="96" t="s">
        <v>170</v>
      </c>
      <c r="G21" s="97">
        <f t="shared" si="0"/>
        <v>101999.99999999999</v>
      </c>
      <c r="H21" s="97">
        <f>SUMIF(I$1:BI$1,"&lt;="&amp;[2]PARAMETER!X$2,I21:BI21)</f>
        <v>20320.41294822907</v>
      </c>
      <c r="I21" s="97">
        <v>1499.6952616241999</v>
      </c>
      <c r="J21" s="97">
        <v>2590.0939414436102</v>
      </c>
      <c r="K21" s="97">
        <v>1775.0060117984599</v>
      </c>
      <c r="L21" s="97">
        <v>1892.3777343818299</v>
      </c>
      <c r="M21" s="97">
        <v>2392.4317239121601</v>
      </c>
      <c r="N21" s="97">
        <v>2334.48951646246</v>
      </c>
      <c r="O21" s="97">
        <v>2730.3953023539898</v>
      </c>
      <c r="P21" s="97">
        <v>2414.2699433810499</v>
      </c>
      <c r="Q21" s="97">
        <v>2691.6535128713099</v>
      </c>
      <c r="R21" s="97">
        <v>2582.0835712102999</v>
      </c>
      <c r="S21" s="97">
        <v>2430.7342423854302</v>
      </c>
      <c r="T21" s="97">
        <v>2695.5057409416099</v>
      </c>
      <c r="U21" s="97">
        <v>4630.4603850046196</v>
      </c>
      <c r="V21" s="97">
        <v>4333.1747002329103</v>
      </c>
      <c r="W21" s="97">
        <v>3467.4276798533901</v>
      </c>
      <c r="X21" s="97">
        <v>3678.1037287353602</v>
      </c>
      <c r="Y21" s="97">
        <v>2541.9910835680498</v>
      </c>
      <c r="Z21" s="97">
        <v>2713.7694501257001</v>
      </c>
      <c r="AA21" s="97">
        <v>2654.4639565021298</v>
      </c>
      <c r="AB21" s="97">
        <v>2207.2698692482099</v>
      </c>
      <c r="AC21" s="97">
        <v>2058.3451060318198</v>
      </c>
      <c r="AD21" s="97">
        <v>2057.4813697144</v>
      </c>
      <c r="AE21" s="97">
        <v>2750.8613015381802</v>
      </c>
      <c r="AF21" s="97">
        <v>2262.04847214866</v>
      </c>
      <c r="AG21" s="97">
        <v>2461.3365711256502</v>
      </c>
      <c r="AH21" s="97">
        <v>2719.45589550252</v>
      </c>
      <c r="AI21" s="97">
        <v>2700.2832514261299</v>
      </c>
      <c r="AJ21" s="97">
        <v>2952.4793659288598</v>
      </c>
      <c r="AK21" s="97">
        <v>2566.1009960823799</v>
      </c>
      <c r="AL21" s="97">
        <v>1980.26361750759</v>
      </c>
      <c r="AM21" s="97">
        <v>2388.2124369480998</v>
      </c>
      <c r="AN21" s="97">
        <v>2091.9574908917002</v>
      </c>
      <c r="AO21" s="97">
        <v>2289.2909627138802</v>
      </c>
      <c r="AP21" s="97">
        <v>1896.52164110584</v>
      </c>
      <c r="AQ21" s="97">
        <v>2127.7963279804899</v>
      </c>
      <c r="AR21" s="97">
        <v>2617.2392128311899</v>
      </c>
      <c r="AS21" s="97">
        <v>920.22344757405494</v>
      </c>
      <c r="AT21" s="97">
        <v>887.32482002217898</v>
      </c>
      <c r="AU21" s="97">
        <v>454.04467050439899</v>
      </c>
      <c r="AV21" s="97">
        <v>532.21957645697</v>
      </c>
      <c r="AW21" s="97">
        <v>395.68817798644898</v>
      </c>
      <c r="AX21" s="97">
        <v>449.825087848728</v>
      </c>
      <c r="AY21" s="97">
        <v>474.01511166888503</v>
      </c>
      <c r="AZ21" s="97">
        <v>463.62754984740099</v>
      </c>
      <c r="BA21" s="97">
        <v>544.53722302952497</v>
      </c>
      <c r="BB21" s="97">
        <v>570.06903201925104</v>
      </c>
      <c r="BC21" s="97">
        <v>487.30706210065699</v>
      </c>
      <c r="BD21" s="97">
        <v>592.65896292654304</v>
      </c>
      <c r="BE21" s="97">
        <v>598.58555255580802</v>
      </c>
      <c r="BF21" s="97">
        <v>604.57140808136603</v>
      </c>
      <c r="BG21" s="97">
        <v>610.61712216217995</v>
      </c>
      <c r="BH21" s="97">
        <v>616.72329338380098</v>
      </c>
      <c r="BI21" s="97">
        <v>622.89052631764002</v>
      </c>
    </row>
    <row r="22" spans="1:61" x14ac:dyDescent="0.25">
      <c r="A22" s="95" t="s">
        <v>37</v>
      </c>
      <c r="B22" s="95" t="s">
        <v>136</v>
      </c>
      <c r="C22" s="96" t="s">
        <v>40</v>
      </c>
      <c r="D22" s="96" t="s">
        <v>54</v>
      </c>
      <c r="E22" s="96" t="s">
        <v>149</v>
      </c>
      <c r="F22" s="96" t="s">
        <v>171</v>
      </c>
      <c r="G22" s="97">
        <f t="shared" si="0"/>
        <v>20000.000000000007</v>
      </c>
      <c r="H22" s="97">
        <f>SUMIF(I$1:BI$1,"&lt;="&amp;[2]PARAMETER!X$2,I22:BI22)</f>
        <v>3984.3946957311914</v>
      </c>
      <c r="I22" s="97">
        <v>294.05789443611798</v>
      </c>
      <c r="J22" s="97">
        <v>507.86155714580502</v>
      </c>
      <c r="K22" s="97">
        <v>348.040394470286</v>
      </c>
      <c r="L22" s="97">
        <v>371.05445772192797</v>
      </c>
      <c r="M22" s="97">
        <v>469.10425959061899</v>
      </c>
      <c r="N22" s="97">
        <v>457.74304244362003</v>
      </c>
      <c r="O22" s="97">
        <v>535.37162791254798</v>
      </c>
      <c r="P22" s="97">
        <v>473.38626340804899</v>
      </c>
      <c r="Q22" s="97">
        <v>527.77519860221798</v>
      </c>
      <c r="R22" s="97">
        <v>506.29089631574499</v>
      </c>
      <c r="S22" s="97">
        <v>476.614557330477</v>
      </c>
      <c r="T22" s="97">
        <v>528.53053743953103</v>
      </c>
      <c r="U22" s="97">
        <v>907.93340882443601</v>
      </c>
      <c r="V22" s="97">
        <v>849.64209808488397</v>
      </c>
      <c r="W22" s="97">
        <v>679.88778036341</v>
      </c>
      <c r="X22" s="97">
        <v>721.19680955595197</v>
      </c>
      <c r="Y22" s="97">
        <v>498.42962422903003</v>
      </c>
      <c r="Z22" s="97">
        <v>532.11165688739197</v>
      </c>
      <c r="AA22" s="97">
        <v>520.48312872590702</v>
      </c>
      <c r="AB22" s="97">
        <v>432.798013578081</v>
      </c>
      <c r="AC22" s="97">
        <v>403.59707961408202</v>
      </c>
      <c r="AD22" s="97">
        <v>403.42771955184202</v>
      </c>
      <c r="AE22" s="97">
        <v>539.38456892905504</v>
      </c>
      <c r="AF22" s="97">
        <v>443.53891610758097</v>
      </c>
      <c r="AG22" s="97">
        <v>482.61501394620501</v>
      </c>
      <c r="AH22" s="97">
        <v>533.22664617696398</v>
      </c>
      <c r="AI22" s="97">
        <v>529.46730420120298</v>
      </c>
      <c r="AJ22" s="97">
        <v>578.91752273114798</v>
      </c>
      <c r="AK22" s="97">
        <v>503.157058055368</v>
      </c>
      <c r="AL22" s="97">
        <v>388.28698382501699</v>
      </c>
      <c r="AM22" s="97">
        <v>468.27694842119598</v>
      </c>
      <c r="AN22" s="97">
        <v>410.18774331209897</v>
      </c>
      <c r="AO22" s="97">
        <v>448.88058092428997</v>
      </c>
      <c r="AP22" s="97">
        <v>371.86698845212601</v>
      </c>
      <c r="AQ22" s="97">
        <v>417.21496627068501</v>
      </c>
      <c r="AR22" s="97">
        <v>513.18415937866598</v>
      </c>
      <c r="AS22" s="97">
        <v>180.43597011256</v>
      </c>
      <c r="AT22" s="97">
        <v>173.985258827878</v>
      </c>
      <c r="AU22" s="97">
        <v>89.028366765568407</v>
      </c>
      <c r="AV22" s="97">
        <v>104.35677969744501</v>
      </c>
      <c r="AW22" s="97">
        <v>77.585917252244897</v>
      </c>
      <c r="AX22" s="97">
        <v>88.200997617397704</v>
      </c>
      <c r="AY22" s="97">
        <v>92.944139542918606</v>
      </c>
      <c r="AZ22" s="97">
        <v>90.907362715176703</v>
      </c>
      <c r="BA22" s="97">
        <v>106.772004515593</v>
      </c>
      <c r="BB22" s="97">
        <v>111.778241572402</v>
      </c>
      <c r="BC22" s="97">
        <v>95.550404333462097</v>
      </c>
      <c r="BD22" s="97">
        <v>116.207639789518</v>
      </c>
      <c r="BE22" s="97">
        <v>117.369716187413</v>
      </c>
      <c r="BF22" s="97">
        <v>118.543413349288</v>
      </c>
      <c r="BG22" s="97">
        <v>119.72884748278</v>
      </c>
      <c r="BH22" s="97">
        <v>120.926135957608</v>
      </c>
      <c r="BI22" s="97">
        <v>122.135397317184</v>
      </c>
    </row>
    <row r="23" spans="1:61" x14ac:dyDescent="0.25">
      <c r="A23" s="95" t="s">
        <v>18</v>
      </c>
      <c r="B23" s="95" t="s">
        <v>136</v>
      </c>
      <c r="C23" s="96" t="s">
        <v>41</v>
      </c>
      <c r="D23" s="96" t="s">
        <v>55</v>
      </c>
      <c r="E23" s="96" t="s">
        <v>151</v>
      </c>
      <c r="F23" s="96" t="s">
        <v>172</v>
      </c>
      <c r="G23" s="97">
        <f t="shared" si="0"/>
        <v>60300000000.000008</v>
      </c>
      <c r="H23" s="97">
        <f>SUMIF(I$1:BI$1,"&lt;="&amp;[2]PARAMETER!X$2,I23:BI23)</f>
        <v>11268237834.779497</v>
      </c>
      <c r="I23" s="97">
        <v>1160993922.0562999</v>
      </c>
      <c r="J23" s="97">
        <v>1188416189.1961999</v>
      </c>
      <c r="K23" s="97">
        <v>1090620011.9586201</v>
      </c>
      <c r="L23" s="97">
        <v>1484978471.2555499</v>
      </c>
      <c r="M23" s="97">
        <v>1214777900.82212</v>
      </c>
      <c r="N23" s="97">
        <v>1321098486.2434001</v>
      </c>
      <c r="O23" s="97">
        <v>1296133347.3603799</v>
      </c>
      <c r="P23" s="97">
        <v>1207521893.6907699</v>
      </c>
      <c r="Q23" s="97">
        <v>1303697612.1961601</v>
      </c>
      <c r="R23" s="97">
        <v>1390629759.1213601</v>
      </c>
      <c r="S23" s="97">
        <v>1700615083.1989</v>
      </c>
      <c r="T23" s="97">
        <v>1771380153.0845499</v>
      </c>
      <c r="U23" s="97">
        <v>1495888479.5704</v>
      </c>
      <c r="V23" s="97">
        <v>1612629690.9384501</v>
      </c>
      <c r="W23" s="97">
        <v>1162990360.4379499</v>
      </c>
      <c r="X23" s="97">
        <v>1468514631.0121801</v>
      </c>
      <c r="Y23" s="97">
        <v>902858262.49770606</v>
      </c>
      <c r="Z23" s="97">
        <v>953843983.44130194</v>
      </c>
      <c r="AA23" s="97">
        <v>737242299.10472906</v>
      </c>
      <c r="AB23" s="97">
        <v>1206653630.3892901</v>
      </c>
      <c r="AC23" s="97">
        <v>690350833.08430195</v>
      </c>
      <c r="AD23" s="97">
        <v>440926726.90877801</v>
      </c>
      <c r="AE23" s="97">
        <v>1098271485.3938899</v>
      </c>
      <c r="AF23" s="97">
        <v>988226181.437657</v>
      </c>
      <c r="AG23" s="97">
        <v>834346022.261657</v>
      </c>
      <c r="AH23" s="97">
        <v>1066764856.09812</v>
      </c>
      <c r="AI23" s="97">
        <v>1162783844.17311</v>
      </c>
      <c r="AJ23" s="97">
        <v>1290456680.6506701</v>
      </c>
      <c r="AK23" s="97">
        <v>1353147688.66343</v>
      </c>
      <c r="AL23" s="97">
        <v>1021106747.84717</v>
      </c>
      <c r="AM23" s="97">
        <v>1015747888.14473</v>
      </c>
      <c r="AN23" s="97">
        <v>1065489816.93451</v>
      </c>
      <c r="AO23" s="97">
        <v>1544501825.4159501</v>
      </c>
      <c r="AP23" s="97">
        <v>1231077322.3151801</v>
      </c>
      <c r="AQ23" s="97">
        <v>1254773705.1224899</v>
      </c>
      <c r="AR23" s="97">
        <v>1729727581.89517</v>
      </c>
      <c r="AS23" s="97">
        <v>1445396662.17612</v>
      </c>
      <c r="AT23" s="97">
        <v>1243743426.45103</v>
      </c>
      <c r="AU23" s="97">
        <v>1652967577.5878</v>
      </c>
      <c r="AV23" s="97">
        <v>1221328248.6549599</v>
      </c>
      <c r="AW23" s="97">
        <v>1129234413.74698</v>
      </c>
      <c r="AX23" s="97">
        <v>1279840489.67136</v>
      </c>
      <c r="AY23" s="97">
        <v>664566093.86965799</v>
      </c>
      <c r="AZ23" s="97">
        <v>883869197.21381605</v>
      </c>
      <c r="BA23" s="97">
        <v>858473122.71596301</v>
      </c>
      <c r="BB23" s="97">
        <v>1149220376.37889</v>
      </c>
      <c r="BC23" s="97">
        <v>706241353.52886701</v>
      </c>
      <c r="BD23" s="97">
        <v>748687319.37183797</v>
      </c>
      <c r="BE23" s="97">
        <v>756174192.56555605</v>
      </c>
      <c r="BF23" s="97">
        <v>763735934.49121201</v>
      </c>
      <c r="BG23" s="97">
        <v>771373293.83612394</v>
      </c>
      <c r="BH23" s="97">
        <v>779087026.77448499</v>
      </c>
      <c r="BI23" s="97">
        <v>786877897.04223001</v>
      </c>
    </row>
    <row r="24" spans="1:61" x14ac:dyDescent="0.25">
      <c r="A24" s="95" t="s">
        <v>18</v>
      </c>
      <c r="B24" s="95" t="s">
        <v>136</v>
      </c>
      <c r="C24" s="96" t="s">
        <v>42</v>
      </c>
      <c r="D24" s="96" t="s">
        <v>55</v>
      </c>
      <c r="E24" s="96" t="s">
        <v>153</v>
      </c>
      <c r="F24" s="96" t="s">
        <v>173</v>
      </c>
      <c r="G24" s="97">
        <f t="shared" si="0"/>
        <v>40000.000000000007</v>
      </c>
      <c r="H24" s="97">
        <f>SUMIF(I$1:BI$1,"&lt;="&amp;[2]PARAMETER!X$2,I24:BI24)</f>
        <v>7474.7846333528996</v>
      </c>
      <c r="I24" s="97">
        <v>770.14522192789605</v>
      </c>
      <c r="J24" s="97">
        <v>788.33578056132899</v>
      </c>
      <c r="K24" s="97">
        <v>723.46269449991098</v>
      </c>
      <c r="L24" s="97">
        <v>985.06034577482399</v>
      </c>
      <c r="M24" s="97">
        <v>805.82281978249898</v>
      </c>
      <c r="N24" s="97">
        <v>876.35057130573898</v>
      </c>
      <c r="O24" s="97">
        <v>859.78994849776404</v>
      </c>
      <c r="P24" s="97">
        <v>801.00954805357901</v>
      </c>
      <c r="Q24" s="97">
        <v>864.80770294935803</v>
      </c>
      <c r="R24" s="97">
        <v>922.474135403888</v>
      </c>
      <c r="S24" s="97">
        <v>1128.10287442713</v>
      </c>
      <c r="T24" s="97">
        <v>1175.04487766803</v>
      </c>
      <c r="U24" s="97">
        <v>992.29749888583399</v>
      </c>
      <c r="V24" s="97">
        <v>1069.7377717668001</v>
      </c>
      <c r="W24" s="97">
        <v>771.46955916282195</v>
      </c>
      <c r="X24" s="97">
        <v>974.13905871454494</v>
      </c>
      <c r="Y24" s="97">
        <v>598.91095356398398</v>
      </c>
      <c r="Z24" s="97">
        <v>632.73232732424697</v>
      </c>
      <c r="AA24" s="97">
        <v>489.04961797992001</v>
      </c>
      <c r="AB24" s="97">
        <v>800.43358566454003</v>
      </c>
      <c r="AC24" s="97">
        <v>457.94416788345097</v>
      </c>
      <c r="AD24" s="97">
        <v>292.48870773384903</v>
      </c>
      <c r="AE24" s="97">
        <v>728.53829876874704</v>
      </c>
      <c r="AF24" s="97">
        <v>655.53975551420001</v>
      </c>
      <c r="AG24" s="97">
        <v>553.46336468435004</v>
      </c>
      <c r="AH24" s="97">
        <v>707.63837883789097</v>
      </c>
      <c r="AI24" s="97">
        <v>771.33256661566099</v>
      </c>
      <c r="AJ24" s="97">
        <v>856.02433210657796</v>
      </c>
      <c r="AK24" s="97">
        <v>897.610407073587</v>
      </c>
      <c r="AL24" s="97">
        <v>677.35107651553699</v>
      </c>
      <c r="AM24" s="97">
        <v>673.796277376273</v>
      </c>
      <c r="AN24" s="97">
        <v>706.79258171443303</v>
      </c>
      <c r="AO24" s="97">
        <v>1024.54515782152</v>
      </c>
      <c r="AP24" s="97">
        <v>816.63503967839699</v>
      </c>
      <c r="AQ24" s="97">
        <v>832.35403324875006</v>
      </c>
      <c r="AR24" s="97">
        <v>1147.4146480233301</v>
      </c>
      <c r="AS24" s="97">
        <v>958.80375600406205</v>
      </c>
      <c r="AT24" s="97">
        <v>825.03709880665201</v>
      </c>
      <c r="AU24" s="97">
        <v>1096.49590553088</v>
      </c>
      <c r="AV24" s="97">
        <v>810.16799247426695</v>
      </c>
      <c r="AW24" s="97">
        <v>749.07755472436395</v>
      </c>
      <c r="AX24" s="97">
        <v>848.98208270073303</v>
      </c>
      <c r="AY24" s="97">
        <v>440.83986326345502</v>
      </c>
      <c r="AZ24" s="97">
        <v>586.31455868246496</v>
      </c>
      <c r="BA24" s="97">
        <v>569.46807477012396</v>
      </c>
      <c r="BB24" s="97">
        <v>762.33524137903305</v>
      </c>
      <c r="BC24" s="97">
        <v>468.48514330273099</v>
      </c>
      <c r="BD24" s="97">
        <v>496.64167122510003</v>
      </c>
      <c r="BE24" s="97">
        <v>501.608087937351</v>
      </c>
      <c r="BF24" s="97">
        <v>506.62416881672402</v>
      </c>
      <c r="BG24" s="97">
        <v>511.69041050489102</v>
      </c>
      <c r="BH24" s="97">
        <v>516.80731460994105</v>
      </c>
      <c r="BI24" s="97">
        <v>521.97538775604005</v>
      </c>
    </row>
    <row r="25" spans="1:61" x14ac:dyDescent="0.25">
      <c r="A25" s="95" t="s">
        <v>18</v>
      </c>
      <c r="B25" s="95" t="s">
        <v>136</v>
      </c>
      <c r="C25" s="96" t="s">
        <v>40</v>
      </c>
      <c r="D25" s="96" t="s">
        <v>55</v>
      </c>
      <c r="E25" s="96" t="s">
        <v>155</v>
      </c>
      <c r="F25" s="96" t="s">
        <v>174</v>
      </c>
      <c r="G25" s="97">
        <f t="shared" si="0"/>
        <v>80000000.000000015</v>
      </c>
      <c r="H25" s="97">
        <f>SUMIF(I$1:BI$1,"&lt;="&amp;[2]PARAMETER!X$2,I25:BI25)</f>
        <v>14949569.266705809</v>
      </c>
      <c r="I25" s="97">
        <v>1540290.44385579</v>
      </c>
      <c r="J25" s="97">
        <v>1576671.5611226601</v>
      </c>
      <c r="K25" s="97">
        <v>1446925.38899982</v>
      </c>
      <c r="L25" s="97">
        <v>1970120.6915496499</v>
      </c>
      <c r="M25" s="97">
        <v>1611645.6395650001</v>
      </c>
      <c r="N25" s="97">
        <v>1752701.1426114801</v>
      </c>
      <c r="O25" s="97">
        <v>1719579.89699553</v>
      </c>
      <c r="P25" s="97">
        <v>1602019.09610716</v>
      </c>
      <c r="Q25" s="97">
        <v>1729615.40589872</v>
      </c>
      <c r="R25" s="97">
        <v>1844948.2708077801</v>
      </c>
      <c r="S25" s="97">
        <v>2256205.74885426</v>
      </c>
      <c r="T25" s="97">
        <v>2350089.7553360499</v>
      </c>
      <c r="U25" s="97">
        <v>1984594.9977716701</v>
      </c>
      <c r="V25" s="97">
        <v>2139475.5435335999</v>
      </c>
      <c r="W25" s="97">
        <v>1542939.11832564</v>
      </c>
      <c r="X25" s="97">
        <v>1948278.11742909</v>
      </c>
      <c r="Y25" s="97">
        <v>1197821.9071279699</v>
      </c>
      <c r="Z25" s="97">
        <v>1265464.65464849</v>
      </c>
      <c r="AA25" s="97">
        <v>978099.23595983896</v>
      </c>
      <c r="AB25" s="97">
        <v>1600867.1713290799</v>
      </c>
      <c r="AC25" s="97">
        <v>915888.33576690103</v>
      </c>
      <c r="AD25" s="97">
        <v>584977.41546769894</v>
      </c>
      <c r="AE25" s="97">
        <v>1457076.5975374901</v>
      </c>
      <c r="AF25" s="97">
        <v>1311079.5110283999</v>
      </c>
      <c r="AG25" s="97">
        <v>1106926.7293686999</v>
      </c>
      <c r="AH25" s="97">
        <v>1415276.75767578</v>
      </c>
      <c r="AI25" s="97">
        <v>1542665.13323132</v>
      </c>
      <c r="AJ25" s="97">
        <v>1712048.6642131601</v>
      </c>
      <c r="AK25" s="97">
        <v>1795220.8141471699</v>
      </c>
      <c r="AL25" s="97">
        <v>1354702.15303108</v>
      </c>
      <c r="AM25" s="97">
        <v>1347592.5547525501</v>
      </c>
      <c r="AN25" s="97">
        <v>1413585.16342887</v>
      </c>
      <c r="AO25" s="97">
        <v>2049090.31564305</v>
      </c>
      <c r="AP25" s="97">
        <v>1633270.0793567901</v>
      </c>
      <c r="AQ25" s="97">
        <v>1664708.0664975001</v>
      </c>
      <c r="AR25" s="97">
        <v>2294829.2960466598</v>
      </c>
      <c r="AS25" s="97">
        <v>1917607.5120081201</v>
      </c>
      <c r="AT25" s="97">
        <v>1650074.1976133001</v>
      </c>
      <c r="AU25" s="97">
        <v>2192991.8110617502</v>
      </c>
      <c r="AV25" s="97">
        <v>1620335.9849485401</v>
      </c>
      <c r="AW25" s="97">
        <v>1498155.10944873</v>
      </c>
      <c r="AX25" s="97">
        <v>1697964.1654014699</v>
      </c>
      <c r="AY25" s="97">
        <v>881679.72652690997</v>
      </c>
      <c r="AZ25" s="97">
        <v>1172629.11736493</v>
      </c>
      <c r="BA25" s="97">
        <v>1138936.14954025</v>
      </c>
      <c r="BB25" s="97">
        <v>1524670.4827580701</v>
      </c>
      <c r="BC25" s="97">
        <v>936970.28660546301</v>
      </c>
      <c r="BD25" s="97">
        <v>993283.3424502</v>
      </c>
      <c r="BE25" s="97">
        <v>1003216.1758747</v>
      </c>
      <c r="BF25" s="97">
        <v>1013248.33763345</v>
      </c>
      <c r="BG25" s="97">
        <v>1023380.82100978</v>
      </c>
      <c r="BH25" s="97">
        <v>1033614.62921988</v>
      </c>
      <c r="BI25" s="97">
        <v>1043950.7755120801</v>
      </c>
    </row>
    <row r="26" spans="1:61" x14ac:dyDescent="0.25">
      <c r="A26" s="95" t="s">
        <v>19</v>
      </c>
      <c r="B26" s="95" t="s">
        <v>136</v>
      </c>
      <c r="C26" s="96" t="s">
        <v>41</v>
      </c>
      <c r="D26" s="96" t="s">
        <v>56</v>
      </c>
      <c r="E26" s="96" t="s">
        <v>175</v>
      </c>
      <c r="F26" s="96" t="s">
        <v>176</v>
      </c>
      <c r="G26" s="97">
        <f t="shared" si="0"/>
        <v>35500000000.000008</v>
      </c>
      <c r="H26" s="97">
        <f>SUMIF(I$1:BI$1,"&lt;="&amp;[2]PARAMETER!X$2,I26:BI26)</f>
        <v>5067470608.8375711</v>
      </c>
      <c r="I26" s="97">
        <v>441549401.47467399</v>
      </c>
      <c r="J26" s="97">
        <v>449506451.33845598</v>
      </c>
      <c r="K26" s="97">
        <v>620516157.44453299</v>
      </c>
      <c r="L26" s="97">
        <v>581031804.96921003</v>
      </c>
      <c r="M26" s="97">
        <v>596110080.13125205</v>
      </c>
      <c r="N26" s="97">
        <v>728939320.08422196</v>
      </c>
      <c r="O26" s="97">
        <v>704499809.78831899</v>
      </c>
      <c r="P26" s="97">
        <v>571503404.92224395</v>
      </c>
      <c r="Q26" s="97">
        <v>373814178.68466198</v>
      </c>
      <c r="R26" s="97">
        <v>396515173.88427597</v>
      </c>
      <c r="S26" s="97">
        <v>394141432.11818999</v>
      </c>
      <c r="T26" s="97">
        <v>306714182.564448</v>
      </c>
      <c r="U26" s="97">
        <v>319819911.751854</v>
      </c>
      <c r="V26" s="97">
        <v>408350449.73208702</v>
      </c>
      <c r="W26" s="97">
        <v>420018560.66679299</v>
      </c>
      <c r="X26" s="97">
        <v>576083734.23986697</v>
      </c>
      <c r="Y26" s="97">
        <v>582770320.06549895</v>
      </c>
      <c r="Z26" s="97">
        <v>577788805.65497994</v>
      </c>
      <c r="AA26" s="97">
        <v>619145405.15707505</v>
      </c>
      <c r="AB26" s="97">
        <v>563880684.88467097</v>
      </c>
      <c r="AC26" s="97">
        <v>452615718.72220302</v>
      </c>
      <c r="AD26" s="97">
        <v>198491617.820485</v>
      </c>
      <c r="AE26" s="97">
        <v>479863599.55826402</v>
      </c>
      <c r="AF26" s="97">
        <v>661772457.99876595</v>
      </c>
      <c r="AG26" s="97">
        <v>638937730.86866796</v>
      </c>
      <c r="AH26" s="97">
        <v>658913269.32502401</v>
      </c>
      <c r="AI26" s="97">
        <v>763274993.23592103</v>
      </c>
      <c r="AJ26" s="97">
        <v>805300252.39043498</v>
      </c>
      <c r="AK26" s="97">
        <v>720360416.74369001</v>
      </c>
      <c r="AL26" s="97">
        <v>718427990.34819996</v>
      </c>
      <c r="AM26" s="97">
        <v>629810526.61315298</v>
      </c>
      <c r="AN26" s="97">
        <v>663176643.26884496</v>
      </c>
      <c r="AO26" s="97">
        <v>849150952.39605105</v>
      </c>
      <c r="AP26" s="97">
        <v>783508634.31811094</v>
      </c>
      <c r="AQ26" s="97">
        <v>797577233.40499902</v>
      </c>
      <c r="AR26" s="97">
        <v>721717795.83809996</v>
      </c>
      <c r="AS26" s="97">
        <v>912218930.81218195</v>
      </c>
      <c r="AT26" s="97">
        <v>914880196.22880805</v>
      </c>
      <c r="AU26" s="97">
        <v>729888816.79065597</v>
      </c>
      <c r="AV26" s="97">
        <v>1857683619.5426199</v>
      </c>
      <c r="AW26" s="97">
        <v>1892066098.8699901</v>
      </c>
      <c r="AX26" s="97">
        <v>995501827.84023297</v>
      </c>
      <c r="AY26" s="97">
        <v>709040008.82824194</v>
      </c>
      <c r="AZ26" s="97">
        <v>666466448.75874496</v>
      </c>
      <c r="BA26" s="97">
        <v>680148562.56653595</v>
      </c>
      <c r="BB26" s="97">
        <v>781449162.58866096</v>
      </c>
      <c r="BC26" s="97">
        <v>694657139.70471597</v>
      </c>
      <c r="BD26" s="97">
        <v>632378179.67844105</v>
      </c>
      <c r="BE26" s="97">
        <v>638701961.47522497</v>
      </c>
      <c r="BF26" s="97">
        <v>645088981.08997703</v>
      </c>
      <c r="BG26" s="97">
        <v>651539870.900877</v>
      </c>
      <c r="BH26" s="97">
        <v>658055269.60988605</v>
      </c>
      <c r="BI26" s="97">
        <v>664635822.30598497</v>
      </c>
    </row>
    <row r="27" spans="1:61" x14ac:dyDescent="0.25">
      <c r="A27" s="95" t="s">
        <v>19</v>
      </c>
      <c r="B27" s="95" t="s">
        <v>136</v>
      </c>
      <c r="C27" s="96" t="s">
        <v>42</v>
      </c>
      <c r="D27" s="96" t="s">
        <v>56</v>
      </c>
      <c r="E27" s="96" t="s">
        <v>177</v>
      </c>
      <c r="F27" s="96" t="s">
        <v>178</v>
      </c>
      <c r="G27" s="97">
        <f t="shared" si="0"/>
        <v>39000.000000000007</v>
      </c>
      <c r="H27" s="97">
        <f>SUMIF(I$1:BI$1,"&lt;="&amp;[2]PARAMETER!X$2,I27:BI27)</f>
        <v>5567.0803871736707</v>
      </c>
      <c r="I27" s="97">
        <v>485.08244105668399</v>
      </c>
      <c r="J27" s="97">
        <v>493.82398879435999</v>
      </c>
      <c r="K27" s="97">
        <v>681.69380677005097</v>
      </c>
      <c r="L27" s="97">
        <v>638.31663081124498</v>
      </c>
      <c r="M27" s="97">
        <v>654.88149648221997</v>
      </c>
      <c r="N27" s="97">
        <v>800.80657699393396</v>
      </c>
      <c r="O27" s="97">
        <v>773.95753751392795</v>
      </c>
      <c r="P27" s="97">
        <v>627.84881104133899</v>
      </c>
      <c r="Q27" s="97">
        <v>410.66909770990998</v>
      </c>
      <c r="R27" s="97">
        <v>435.60821919681001</v>
      </c>
      <c r="S27" s="97">
        <v>433.00044655237798</v>
      </c>
      <c r="T27" s="97">
        <v>336.95360901446401</v>
      </c>
      <c r="U27" s="97">
        <v>351.351452347107</v>
      </c>
      <c r="V27" s="97">
        <v>448.61035322679999</v>
      </c>
      <c r="W27" s="97">
        <v>461.428841295913</v>
      </c>
      <c r="X27" s="97">
        <v>632.88072212267002</v>
      </c>
      <c r="Y27" s="97">
        <v>640.22654880435095</v>
      </c>
      <c r="Z27" s="97">
        <v>634.75389917025996</v>
      </c>
      <c r="AA27" s="97">
        <v>680.18790989087097</v>
      </c>
      <c r="AB27" s="97">
        <v>619.47455522541395</v>
      </c>
      <c r="AC27" s="97">
        <v>497.23980366664603</v>
      </c>
      <c r="AD27" s="97">
        <v>218.061213943631</v>
      </c>
      <c r="AE27" s="97">
        <v>527.17409528936105</v>
      </c>
      <c r="AF27" s="97">
        <v>727.01762991413705</v>
      </c>
      <c r="AG27" s="97">
        <v>701.93159165853695</v>
      </c>
      <c r="AH27" s="97">
        <v>723.87654939932202</v>
      </c>
      <c r="AI27" s="97">
        <v>838.52745735777205</v>
      </c>
      <c r="AJ27" s="97">
        <v>884.69605192188703</v>
      </c>
      <c r="AK27" s="97">
        <v>791.38186628180097</v>
      </c>
      <c r="AL27" s="97">
        <v>789.25891897407905</v>
      </c>
      <c r="AM27" s="97">
        <v>691.90452219473104</v>
      </c>
      <c r="AN27" s="97">
        <v>728.56025598549195</v>
      </c>
      <c r="AO27" s="97">
        <v>932.87006037876097</v>
      </c>
      <c r="AP27" s="97">
        <v>860.755964462149</v>
      </c>
      <c r="AQ27" s="97">
        <v>876.21160852943603</v>
      </c>
      <c r="AR27" s="97">
        <v>792.87307148411003</v>
      </c>
      <c r="AS27" s="97">
        <v>1002.15600849789</v>
      </c>
      <c r="AT27" s="97">
        <v>1005.07965219503</v>
      </c>
      <c r="AU27" s="97">
        <v>801.84968605170695</v>
      </c>
      <c r="AV27" s="97">
        <v>2040.83552569471</v>
      </c>
      <c r="AW27" s="97">
        <v>2078.6078269275899</v>
      </c>
      <c r="AX27" s="97">
        <v>1093.6498953737801</v>
      </c>
      <c r="AY27" s="97">
        <v>778.94536181130798</v>
      </c>
      <c r="AZ27" s="97">
        <v>732.17440849552202</v>
      </c>
      <c r="BA27" s="97">
        <v>747.20546310126497</v>
      </c>
      <c r="BB27" s="97">
        <v>858.49344622416197</v>
      </c>
      <c r="BC27" s="97">
        <v>763.14446333757598</v>
      </c>
      <c r="BD27" s="97">
        <v>694.72532415377998</v>
      </c>
      <c r="BE27" s="97">
        <v>701.67257739531794</v>
      </c>
      <c r="BF27" s="97">
        <v>708.68930316927106</v>
      </c>
      <c r="BG27" s="97">
        <v>715.776196200963</v>
      </c>
      <c r="BH27" s="97">
        <v>722.933958162973</v>
      </c>
      <c r="BI27" s="97">
        <v>730.16329774460303</v>
      </c>
    </row>
    <row r="28" spans="1:61" x14ac:dyDescent="0.25">
      <c r="A28" s="95" t="s">
        <v>19</v>
      </c>
      <c r="B28" s="95" t="s">
        <v>136</v>
      </c>
      <c r="C28" s="96" t="s">
        <v>40</v>
      </c>
      <c r="D28" s="96" t="s">
        <v>56</v>
      </c>
      <c r="E28" s="96" t="s">
        <v>179</v>
      </c>
      <c r="F28" s="96" t="s">
        <v>180</v>
      </c>
      <c r="G28" s="97">
        <f t="shared" si="0"/>
        <v>290000000.00000006</v>
      </c>
      <c r="H28" s="97">
        <f>SUMIF(I$1:BI$1,"&lt;="&amp;[2]PARAMETER!X$2,I28:BI28)</f>
        <v>41396238.77641961</v>
      </c>
      <c r="I28" s="97">
        <v>3607023.27965227</v>
      </c>
      <c r="J28" s="97">
        <v>3672024.5320606302</v>
      </c>
      <c r="K28" s="97">
        <v>5069005.2298285803</v>
      </c>
      <c r="L28" s="97">
        <v>4746456.9983400302</v>
      </c>
      <c r="M28" s="97">
        <v>4869631.6405088101</v>
      </c>
      <c r="N28" s="97">
        <v>5954715.5725189997</v>
      </c>
      <c r="O28" s="97">
        <v>5755068.8686933098</v>
      </c>
      <c r="P28" s="97">
        <v>4668619.3641535398</v>
      </c>
      <c r="Q28" s="97">
        <v>3053693.2906634398</v>
      </c>
      <c r="R28" s="97">
        <v>3239138.04018141</v>
      </c>
      <c r="S28" s="97">
        <v>3219746.9102612701</v>
      </c>
      <c r="T28" s="97">
        <v>2505552.4772870401</v>
      </c>
      <c r="U28" s="97">
        <v>2612613.36360669</v>
      </c>
      <c r="V28" s="97">
        <v>3335820.5752762002</v>
      </c>
      <c r="W28" s="97">
        <v>3431137.5378414099</v>
      </c>
      <c r="X28" s="97">
        <v>4706036.1388608804</v>
      </c>
      <c r="Y28" s="97">
        <v>4760658.95264774</v>
      </c>
      <c r="Z28" s="97">
        <v>4719964.8912660303</v>
      </c>
      <c r="AA28" s="97">
        <v>5057807.5350859696</v>
      </c>
      <c r="AB28" s="97">
        <v>4606349.2568043601</v>
      </c>
      <c r="AC28" s="97">
        <v>3697424.18111096</v>
      </c>
      <c r="AD28" s="97">
        <v>1621480.8216321301</v>
      </c>
      <c r="AE28" s="97">
        <v>3920012.50343371</v>
      </c>
      <c r="AF28" s="97">
        <v>5406028.5301307598</v>
      </c>
      <c r="AG28" s="97">
        <v>5219491.3225891199</v>
      </c>
      <c r="AH28" s="97">
        <v>5382671.7775846999</v>
      </c>
      <c r="AI28" s="97">
        <v>6235204.1700962596</v>
      </c>
      <c r="AJ28" s="97">
        <v>6578509.1040345402</v>
      </c>
      <c r="AK28" s="97">
        <v>5884634.3903005701</v>
      </c>
      <c r="AL28" s="97">
        <v>5868848.37185854</v>
      </c>
      <c r="AM28" s="97">
        <v>5144931.0624736398</v>
      </c>
      <c r="AN28" s="97">
        <v>5417499.3393793004</v>
      </c>
      <c r="AO28" s="97">
        <v>6936726.0899959197</v>
      </c>
      <c r="AP28" s="97">
        <v>6400493.0690775197</v>
      </c>
      <c r="AQ28" s="97">
        <v>6515419.6531675998</v>
      </c>
      <c r="AR28" s="97">
        <v>5895722.8392408201</v>
      </c>
      <c r="AS28" s="97">
        <v>7451929.2939586705</v>
      </c>
      <c r="AT28" s="97">
        <v>7473669.2086297004</v>
      </c>
      <c r="AU28" s="97">
        <v>5962472.0244870503</v>
      </c>
      <c r="AV28" s="97">
        <v>15175443.6526017</v>
      </c>
      <c r="AW28" s="97">
        <v>15456314.6104872</v>
      </c>
      <c r="AX28" s="97">
        <v>8132268.4527793704</v>
      </c>
      <c r="AY28" s="97">
        <v>5792157.8185969098</v>
      </c>
      <c r="AZ28" s="97">
        <v>5444373.8067615796</v>
      </c>
      <c r="BA28" s="97">
        <v>5556143.1871632496</v>
      </c>
      <c r="BB28" s="97">
        <v>6383669.2155130003</v>
      </c>
      <c r="BC28" s="97">
        <v>5674663.9581511999</v>
      </c>
      <c r="BD28" s="97">
        <v>5165906.2565281102</v>
      </c>
      <c r="BE28" s="97">
        <v>5217565.3190933904</v>
      </c>
      <c r="BF28" s="97">
        <v>5269740.9722843198</v>
      </c>
      <c r="BG28" s="97">
        <v>5322438.3820071602</v>
      </c>
      <c r="BH28" s="97">
        <v>5375662.7658272404</v>
      </c>
      <c r="BI28" s="97">
        <v>5429419.3934855098</v>
      </c>
    </row>
    <row r="29" spans="1:61" x14ac:dyDescent="0.25">
      <c r="A29" s="95" t="s">
        <v>52</v>
      </c>
      <c r="B29" s="95" t="s">
        <v>136</v>
      </c>
      <c r="C29" s="96" t="s">
        <v>41</v>
      </c>
      <c r="D29" s="96" t="s">
        <v>54</v>
      </c>
      <c r="E29" s="96" t="s">
        <v>145</v>
      </c>
      <c r="F29" s="96" t="s">
        <v>181</v>
      </c>
      <c r="G29" s="97">
        <f t="shared" si="0"/>
        <v>11200000000.000002</v>
      </c>
      <c r="H29" s="97">
        <f>SUMIF(I$1:BI$1,"&lt;="&amp;[2]PARAMETER!X$2,I29:BI29)</f>
        <v>1901886792.4528286</v>
      </c>
      <c r="I29" s="97">
        <v>211320754.71698099</v>
      </c>
      <c r="J29" s="97">
        <v>211320754.71698099</v>
      </c>
      <c r="K29" s="97">
        <v>211320754.71698099</v>
      </c>
      <c r="L29" s="97">
        <v>211320754.71698099</v>
      </c>
      <c r="M29" s="97">
        <v>211320754.71698099</v>
      </c>
      <c r="N29" s="97">
        <v>211320754.71698099</v>
      </c>
      <c r="O29" s="97">
        <v>211320754.71698099</v>
      </c>
      <c r="P29" s="97">
        <v>211320754.71698099</v>
      </c>
      <c r="Q29" s="97">
        <v>211320754.71698099</v>
      </c>
      <c r="R29" s="97">
        <v>211320754.71698099</v>
      </c>
      <c r="S29" s="97">
        <v>211320754.71698099</v>
      </c>
      <c r="T29" s="97">
        <v>211320754.71698099</v>
      </c>
      <c r="U29" s="97">
        <v>211320754.71698099</v>
      </c>
      <c r="V29" s="97">
        <v>211320754.71698099</v>
      </c>
      <c r="W29" s="97">
        <v>211320754.71698099</v>
      </c>
      <c r="X29" s="97">
        <v>211320754.71698099</v>
      </c>
      <c r="Y29" s="97">
        <v>211320754.71698099</v>
      </c>
      <c r="Z29" s="97">
        <v>211320754.71698099</v>
      </c>
      <c r="AA29" s="97">
        <v>211320754.71698099</v>
      </c>
      <c r="AB29" s="97">
        <v>211320754.71698099</v>
      </c>
      <c r="AC29" s="97">
        <v>211320754.71698099</v>
      </c>
      <c r="AD29" s="97">
        <v>211320754.71698099</v>
      </c>
      <c r="AE29" s="97">
        <v>211320754.71698099</v>
      </c>
      <c r="AF29" s="97">
        <v>211320754.71698099</v>
      </c>
      <c r="AG29" s="97">
        <v>211320754.71698099</v>
      </c>
      <c r="AH29" s="97">
        <v>211320754.71698099</v>
      </c>
      <c r="AI29" s="97">
        <v>211320754.71698099</v>
      </c>
      <c r="AJ29" s="97">
        <v>211320754.71698099</v>
      </c>
      <c r="AK29" s="97">
        <v>211320754.71698099</v>
      </c>
      <c r="AL29" s="97">
        <v>211320754.71698099</v>
      </c>
      <c r="AM29" s="97">
        <v>211320754.71698099</v>
      </c>
      <c r="AN29" s="97">
        <v>211320754.71698099</v>
      </c>
      <c r="AO29" s="97">
        <v>211320754.71698099</v>
      </c>
      <c r="AP29" s="97">
        <v>211320754.71698099</v>
      </c>
      <c r="AQ29" s="97">
        <v>211320754.71698099</v>
      </c>
      <c r="AR29" s="97">
        <v>211320754.71698099</v>
      </c>
      <c r="AS29" s="97">
        <v>211320754.71698099</v>
      </c>
      <c r="AT29" s="97">
        <v>211320754.71698099</v>
      </c>
      <c r="AU29" s="97">
        <v>211320754.71698099</v>
      </c>
      <c r="AV29" s="97">
        <v>211320754.71698099</v>
      </c>
      <c r="AW29" s="97">
        <v>211320754.71698099</v>
      </c>
      <c r="AX29" s="97">
        <v>211320754.71698099</v>
      </c>
      <c r="AY29" s="97">
        <v>211320754.71698099</v>
      </c>
      <c r="AZ29" s="97">
        <v>211320754.71698099</v>
      </c>
      <c r="BA29" s="97">
        <v>211320754.71698099</v>
      </c>
      <c r="BB29" s="97">
        <v>211320754.71698099</v>
      </c>
      <c r="BC29" s="97">
        <v>211320754.71698099</v>
      </c>
      <c r="BD29" s="97">
        <v>211320754.71698099</v>
      </c>
      <c r="BE29" s="97">
        <v>211320754.71698099</v>
      </c>
      <c r="BF29" s="97">
        <v>211320754.71698099</v>
      </c>
      <c r="BG29" s="97">
        <v>211320754.71698099</v>
      </c>
      <c r="BH29" s="97">
        <v>211320754.71698099</v>
      </c>
      <c r="BI29" s="97">
        <v>211320754.71698099</v>
      </c>
    </row>
    <row r="30" spans="1:61" x14ac:dyDescent="0.25">
      <c r="A30" s="95" t="s">
        <v>52</v>
      </c>
      <c r="B30" s="95" t="s">
        <v>136</v>
      </c>
      <c r="C30" s="96" t="s">
        <v>42</v>
      </c>
      <c r="D30" s="96" t="s">
        <v>54</v>
      </c>
      <c r="E30" s="96" t="s">
        <v>147</v>
      </c>
      <c r="F30" s="96" t="s">
        <v>182</v>
      </c>
      <c r="G30" s="97">
        <f t="shared" si="0"/>
        <v>42000.000000000007</v>
      </c>
      <c r="H30" s="97">
        <f>SUMIF(I$1:BI$1,"&lt;="&amp;[2]PARAMETER!X$2,I30:BI30)</f>
        <v>7132.0754716981101</v>
      </c>
      <c r="I30" s="97">
        <v>792.45283018867894</v>
      </c>
      <c r="J30" s="97">
        <v>792.45283018867894</v>
      </c>
      <c r="K30" s="97">
        <v>792.45283018867894</v>
      </c>
      <c r="L30" s="97">
        <v>792.45283018867894</v>
      </c>
      <c r="M30" s="97">
        <v>792.45283018867894</v>
      </c>
      <c r="N30" s="97">
        <v>792.45283018867894</v>
      </c>
      <c r="O30" s="97">
        <v>792.45283018867894</v>
      </c>
      <c r="P30" s="97">
        <v>792.45283018867894</v>
      </c>
      <c r="Q30" s="97">
        <v>792.45283018867894</v>
      </c>
      <c r="R30" s="97">
        <v>792.45283018867894</v>
      </c>
      <c r="S30" s="97">
        <v>792.45283018867894</v>
      </c>
      <c r="T30" s="97">
        <v>792.45283018867894</v>
      </c>
      <c r="U30" s="97">
        <v>792.45283018867894</v>
      </c>
      <c r="V30" s="97">
        <v>792.45283018867894</v>
      </c>
      <c r="W30" s="97">
        <v>792.45283018867894</v>
      </c>
      <c r="X30" s="97">
        <v>792.45283018867894</v>
      </c>
      <c r="Y30" s="97">
        <v>792.45283018867894</v>
      </c>
      <c r="Z30" s="97">
        <v>792.45283018867894</v>
      </c>
      <c r="AA30" s="97">
        <v>792.45283018867894</v>
      </c>
      <c r="AB30" s="97">
        <v>792.45283018867894</v>
      </c>
      <c r="AC30" s="97">
        <v>792.45283018867894</v>
      </c>
      <c r="AD30" s="97">
        <v>792.45283018867894</v>
      </c>
      <c r="AE30" s="97">
        <v>792.45283018867894</v>
      </c>
      <c r="AF30" s="97">
        <v>792.45283018867894</v>
      </c>
      <c r="AG30" s="97">
        <v>792.45283018867894</v>
      </c>
      <c r="AH30" s="97">
        <v>792.45283018867894</v>
      </c>
      <c r="AI30" s="97">
        <v>792.45283018867894</v>
      </c>
      <c r="AJ30" s="97">
        <v>792.45283018867894</v>
      </c>
      <c r="AK30" s="97">
        <v>792.45283018867894</v>
      </c>
      <c r="AL30" s="97">
        <v>792.45283018867894</v>
      </c>
      <c r="AM30" s="97">
        <v>792.45283018867894</v>
      </c>
      <c r="AN30" s="97">
        <v>792.45283018867894</v>
      </c>
      <c r="AO30" s="97">
        <v>792.45283018867894</v>
      </c>
      <c r="AP30" s="97">
        <v>792.45283018867894</v>
      </c>
      <c r="AQ30" s="97">
        <v>792.45283018867894</v>
      </c>
      <c r="AR30" s="97">
        <v>792.45283018867894</v>
      </c>
      <c r="AS30" s="97">
        <v>792.45283018867894</v>
      </c>
      <c r="AT30" s="97">
        <v>792.45283018867894</v>
      </c>
      <c r="AU30" s="97">
        <v>792.45283018867894</v>
      </c>
      <c r="AV30" s="97">
        <v>792.45283018867894</v>
      </c>
      <c r="AW30" s="97">
        <v>792.45283018867894</v>
      </c>
      <c r="AX30" s="97">
        <v>792.45283018867894</v>
      </c>
      <c r="AY30" s="97">
        <v>792.45283018867894</v>
      </c>
      <c r="AZ30" s="97">
        <v>792.45283018867894</v>
      </c>
      <c r="BA30" s="97">
        <v>792.45283018867894</v>
      </c>
      <c r="BB30" s="97">
        <v>792.45283018867894</v>
      </c>
      <c r="BC30" s="97">
        <v>792.45283018867894</v>
      </c>
      <c r="BD30" s="97">
        <v>792.45283018867894</v>
      </c>
      <c r="BE30" s="97">
        <v>792.45283018867894</v>
      </c>
      <c r="BF30" s="97">
        <v>792.45283018867894</v>
      </c>
      <c r="BG30" s="97">
        <v>792.45283018867894</v>
      </c>
      <c r="BH30" s="97">
        <v>792.45283018867894</v>
      </c>
      <c r="BI30" s="97">
        <v>792.45283018867894</v>
      </c>
    </row>
    <row r="31" spans="1:61" x14ac:dyDescent="0.25">
      <c r="A31" s="95" t="s">
        <v>52</v>
      </c>
      <c r="B31" s="95" t="s">
        <v>136</v>
      </c>
      <c r="C31" s="96" t="s">
        <v>40</v>
      </c>
      <c r="D31" s="96" t="s">
        <v>54</v>
      </c>
      <c r="E31" s="96" t="s">
        <v>149</v>
      </c>
      <c r="F31" s="96" t="s">
        <v>183</v>
      </c>
      <c r="G31" s="97">
        <f t="shared" si="0"/>
        <v>59999999.999999873</v>
      </c>
      <c r="H31" s="97">
        <f>SUMIF(I$1:BI$1,"&lt;="&amp;[2]PARAMETER!X$2,I31:BI31)</f>
        <v>10188679.245282989</v>
      </c>
      <c r="I31" s="97">
        <v>1132075.47169811</v>
      </c>
      <c r="J31" s="97">
        <v>1132075.47169811</v>
      </c>
      <c r="K31" s="97">
        <v>1132075.47169811</v>
      </c>
      <c r="L31" s="97">
        <v>1132075.47169811</v>
      </c>
      <c r="M31" s="97">
        <v>1132075.47169811</v>
      </c>
      <c r="N31" s="97">
        <v>1132075.47169811</v>
      </c>
      <c r="O31" s="97">
        <v>1132075.47169811</v>
      </c>
      <c r="P31" s="97">
        <v>1132075.47169811</v>
      </c>
      <c r="Q31" s="97">
        <v>1132075.47169811</v>
      </c>
      <c r="R31" s="97">
        <v>1132075.47169811</v>
      </c>
      <c r="S31" s="97">
        <v>1132075.47169811</v>
      </c>
      <c r="T31" s="97">
        <v>1132075.47169811</v>
      </c>
      <c r="U31" s="97">
        <v>1132075.47169811</v>
      </c>
      <c r="V31" s="97">
        <v>1132075.47169811</v>
      </c>
      <c r="W31" s="97">
        <v>1132075.47169811</v>
      </c>
      <c r="X31" s="97">
        <v>1132075.47169811</v>
      </c>
      <c r="Y31" s="97">
        <v>1132075.47169811</v>
      </c>
      <c r="Z31" s="97">
        <v>1132075.47169811</v>
      </c>
      <c r="AA31" s="97">
        <v>1132075.47169811</v>
      </c>
      <c r="AB31" s="97">
        <v>1132075.47169811</v>
      </c>
      <c r="AC31" s="97">
        <v>1132075.47169811</v>
      </c>
      <c r="AD31" s="97">
        <v>1132075.47169811</v>
      </c>
      <c r="AE31" s="97">
        <v>1132075.47169811</v>
      </c>
      <c r="AF31" s="97">
        <v>1132075.47169811</v>
      </c>
      <c r="AG31" s="97">
        <v>1132075.47169811</v>
      </c>
      <c r="AH31" s="97">
        <v>1132075.47169811</v>
      </c>
      <c r="AI31" s="97">
        <v>1132075.47169811</v>
      </c>
      <c r="AJ31" s="97">
        <v>1132075.47169811</v>
      </c>
      <c r="AK31" s="97">
        <v>1132075.47169811</v>
      </c>
      <c r="AL31" s="97">
        <v>1132075.47169811</v>
      </c>
      <c r="AM31" s="97">
        <v>1132075.47169811</v>
      </c>
      <c r="AN31" s="97">
        <v>1132075.47169811</v>
      </c>
      <c r="AO31" s="97">
        <v>1132075.47169811</v>
      </c>
      <c r="AP31" s="97">
        <v>1132075.47169811</v>
      </c>
      <c r="AQ31" s="97">
        <v>1132075.47169811</v>
      </c>
      <c r="AR31" s="97">
        <v>1132075.47169811</v>
      </c>
      <c r="AS31" s="97">
        <v>1132075.47169811</v>
      </c>
      <c r="AT31" s="97">
        <v>1132075.47169811</v>
      </c>
      <c r="AU31" s="97">
        <v>1132075.47169811</v>
      </c>
      <c r="AV31" s="97">
        <v>1132075.47169811</v>
      </c>
      <c r="AW31" s="97">
        <v>1132075.47169811</v>
      </c>
      <c r="AX31" s="97">
        <v>1132075.47169811</v>
      </c>
      <c r="AY31" s="97">
        <v>1132075.47169811</v>
      </c>
      <c r="AZ31" s="97">
        <v>1132075.47169811</v>
      </c>
      <c r="BA31" s="97">
        <v>1132075.47169811</v>
      </c>
      <c r="BB31" s="97">
        <v>1132075.47169811</v>
      </c>
      <c r="BC31" s="97">
        <v>1132075.47169811</v>
      </c>
      <c r="BD31" s="97">
        <v>1132075.47169811</v>
      </c>
      <c r="BE31" s="97">
        <v>1132075.47169811</v>
      </c>
      <c r="BF31" s="97">
        <v>1132075.47169811</v>
      </c>
      <c r="BG31" s="97">
        <v>1132075.47169811</v>
      </c>
      <c r="BH31" s="97">
        <v>1132075.47169811</v>
      </c>
      <c r="BI31" s="97">
        <v>1132075.47169811</v>
      </c>
    </row>
    <row r="32" spans="1:61" x14ac:dyDescent="0.25">
      <c r="A32" s="95" t="s">
        <v>14</v>
      </c>
      <c r="B32" s="95" t="s">
        <v>136</v>
      </c>
      <c r="C32" s="96" t="s">
        <v>41</v>
      </c>
      <c r="D32" s="96" t="s">
        <v>54</v>
      </c>
      <c r="E32" s="96" t="s">
        <v>145</v>
      </c>
      <c r="F32" s="96" t="s">
        <v>184</v>
      </c>
      <c r="G32" s="97">
        <f t="shared" si="0"/>
        <v>2299999999.9999995</v>
      </c>
      <c r="H32" s="97">
        <f>SUMIF(I$1:BI$1,"&lt;="&amp;[2]PARAMETER!X$2,I32:BI32)</f>
        <v>294105925.84782439</v>
      </c>
      <c r="I32" s="97">
        <v>42898798.4000865</v>
      </c>
      <c r="J32" s="97">
        <v>23473041.268960599</v>
      </c>
      <c r="K32" s="97">
        <v>21957316.5332601</v>
      </c>
      <c r="L32" s="97">
        <v>21094378.926977899</v>
      </c>
      <c r="M32" s="97">
        <v>24485593.9847482</v>
      </c>
      <c r="N32" s="97">
        <v>44575239.295773499</v>
      </c>
      <c r="O32" s="97">
        <v>28316124.390017301</v>
      </c>
      <c r="P32" s="97">
        <v>24993794.048329901</v>
      </c>
      <c r="Q32" s="97">
        <v>62311638.999670401</v>
      </c>
      <c r="R32" s="97">
        <v>77853244.306579307</v>
      </c>
      <c r="S32" s="97">
        <v>100749423.458983</v>
      </c>
      <c r="T32" s="97">
        <v>130953056.80068401</v>
      </c>
      <c r="U32" s="97">
        <v>198763100.26769</v>
      </c>
      <c r="V32" s="97">
        <v>118098411.10365</v>
      </c>
      <c r="W32" s="97">
        <v>68305873.818212807</v>
      </c>
      <c r="X32" s="97">
        <v>87121929.649117306</v>
      </c>
      <c r="Y32" s="97">
        <v>83223009.564814404</v>
      </c>
      <c r="Z32" s="97">
        <v>85766185.767325893</v>
      </c>
      <c r="AA32" s="97">
        <v>69883110.532019407</v>
      </c>
      <c r="AB32" s="97">
        <v>58648569.893093102</v>
      </c>
      <c r="AC32" s="97">
        <v>38269640.672304101</v>
      </c>
      <c r="AD32" s="97">
        <v>42592199.585668303</v>
      </c>
      <c r="AE32" s="97">
        <v>44604355.345145904</v>
      </c>
      <c r="AF32" s="97">
        <v>27506166.104418602</v>
      </c>
      <c r="AG32" s="97">
        <v>41580671.120177001</v>
      </c>
      <c r="AH32" s="97">
        <v>48358695.613108702</v>
      </c>
      <c r="AI32" s="97">
        <v>37029791.384703197</v>
      </c>
      <c r="AJ32" s="97">
        <v>23034707.710421301</v>
      </c>
      <c r="AK32" s="97">
        <v>47752741.266953804</v>
      </c>
      <c r="AL32" s="97">
        <v>32343538.693489801</v>
      </c>
      <c r="AM32" s="97">
        <v>40181009.788371898</v>
      </c>
      <c r="AN32" s="97">
        <v>47198712.993199997</v>
      </c>
      <c r="AO32" s="97">
        <v>112970941.625561</v>
      </c>
      <c r="AP32" s="97">
        <v>29020717.457322702</v>
      </c>
      <c r="AQ32" s="97">
        <v>20928499.054173298</v>
      </c>
      <c r="AR32" s="97">
        <v>19807387.1990471</v>
      </c>
      <c r="AS32" s="97">
        <v>30665777.353790902</v>
      </c>
      <c r="AT32" s="97">
        <v>26121297.888115901</v>
      </c>
      <c r="AU32" s="97">
        <v>14859459.7878053</v>
      </c>
      <c r="AV32" s="97">
        <v>18994897.803514998</v>
      </c>
      <c r="AW32" s="97">
        <v>7150397.9894190198</v>
      </c>
      <c r="AX32" s="97">
        <v>20605789.787167799</v>
      </c>
      <c r="AY32" s="97">
        <v>19028138.816416301</v>
      </c>
      <c r="AZ32" s="97">
        <v>12361228.392530899</v>
      </c>
      <c r="BA32" s="97">
        <v>22018648.309595101</v>
      </c>
      <c r="BB32" s="97">
        <v>24487794.724768002</v>
      </c>
      <c r="BC32" s="97">
        <v>20321702.730777901</v>
      </c>
      <c r="BD32" s="97">
        <v>9221897.0918961093</v>
      </c>
      <c r="BE32" s="97">
        <v>9314116.0628150795</v>
      </c>
      <c r="BF32" s="97">
        <v>9407257.2234432306</v>
      </c>
      <c r="BG32" s="97">
        <v>9501329.79567766</v>
      </c>
      <c r="BH32" s="97">
        <v>9596343.0936344303</v>
      </c>
      <c r="BI32" s="97">
        <v>9692306.5245707799</v>
      </c>
    </row>
    <row r="33" spans="1:61" x14ac:dyDescent="0.25">
      <c r="A33" s="95" t="s">
        <v>14</v>
      </c>
      <c r="B33" s="95" t="s">
        <v>136</v>
      </c>
      <c r="C33" s="96" t="s">
        <v>42</v>
      </c>
      <c r="D33" s="96" t="s">
        <v>54</v>
      </c>
      <c r="E33" s="96" t="s">
        <v>147</v>
      </c>
      <c r="F33" s="96" t="s">
        <v>185</v>
      </c>
      <c r="G33" s="97">
        <f t="shared" si="0"/>
        <v>30000</v>
      </c>
      <c r="H33" s="97">
        <f>SUMIF(I$1:BI$1,"&lt;="&amp;[2]PARAMETER!X$2,I33:BI33)</f>
        <v>3836.1642501890151</v>
      </c>
      <c r="I33" s="97">
        <v>559.54954434895501</v>
      </c>
      <c r="J33" s="97">
        <v>306.17010350818202</v>
      </c>
      <c r="K33" s="97">
        <v>286.39978086860998</v>
      </c>
      <c r="L33" s="97">
        <v>275.14407296058101</v>
      </c>
      <c r="M33" s="97">
        <v>319.37731284454202</v>
      </c>
      <c r="N33" s="97">
        <v>581.41616472748001</v>
      </c>
      <c r="O33" s="97">
        <v>369.340752913269</v>
      </c>
      <c r="P33" s="97">
        <v>326.00600932604198</v>
      </c>
      <c r="Q33" s="97">
        <v>812.76050869135395</v>
      </c>
      <c r="R33" s="97">
        <v>1015.47709965103</v>
      </c>
      <c r="S33" s="97">
        <v>1314.12291468239</v>
      </c>
      <c r="T33" s="97">
        <v>1708.0833495741399</v>
      </c>
      <c r="U33" s="97">
        <v>2592.5621774046499</v>
      </c>
      <c r="V33" s="97">
        <v>1540.4140578736999</v>
      </c>
      <c r="W33" s="97">
        <v>890.946180237558</v>
      </c>
      <c r="X33" s="97">
        <v>1136.3729954232699</v>
      </c>
      <c r="Y33" s="97">
        <v>1085.5175160628</v>
      </c>
      <c r="Z33" s="97">
        <v>1118.6893795738199</v>
      </c>
      <c r="AA33" s="97">
        <v>911.51883302634099</v>
      </c>
      <c r="AB33" s="97">
        <v>764.98134643164997</v>
      </c>
      <c r="AC33" s="97">
        <v>499.16922616048902</v>
      </c>
      <c r="AD33" s="97">
        <v>555.55042937828205</v>
      </c>
      <c r="AE33" s="97">
        <v>581.79593928451197</v>
      </c>
      <c r="AF33" s="97">
        <v>358.776079622851</v>
      </c>
      <c r="AG33" s="97">
        <v>542.35657982839598</v>
      </c>
      <c r="AH33" s="97">
        <v>630.76559495359095</v>
      </c>
      <c r="AI33" s="97">
        <v>482.99727893091102</v>
      </c>
      <c r="AJ33" s="97">
        <v>300.45270926636499</v>
      </c>
      <c r="AK33" s="97">
        <v>622.86184261244102</v>
      </c>
      <c r="AL33" s="97">
        <v>421.87224382812701</v>
      </c>
      <c r="AM33" s="97">
        <v>524.10012767441594</v>
      </c>
      <c r="AN33" s="97">
        <v>615.63538686782601</v>
      </c>
      <c r="AO33" s="97">
        <v>1473.5340212029701</v>
      </c>
      <c r="AP33" s="97">
        <v>378.53109726942603</v>
      </c>
      <c r="AQ33" s="97">
        <v>272.98042244573799</v>
      </c>
      <c r="AR33" s="97">
        <v>258.35722433539701</v>
      </c>
      <c r="AS33" s="97">
        <v>399.98840026683803</v>
      </c>
      <c r="AT33" s="97">
        <v>340.71258114933801</v>
      </c>
      <c r="AU33" s="97">
        <v>193.819040710504</v>
      </c>
      <c r="AV33" s="97">
        <v>247.75953656758699</v>
      </c>
      <c r="AW33" s="97">
        <v>93.2660607315524</v>
      </c>
      <c r="AX33" s="97">
        <v>268.77117113697199</v>
      </c>
      <c r="AY33" s="97">
        <v>248.19311499673401</v>
      </c>
      <c r="AZ33" s="97">
        <v>161.23341381562</v>
      </c>
      <c r="BA33" s="97">
        <v>287.19976055993601</v>
      </c>
      <c r="BB33" s="97">
        <v>319.406018149148</v>
      </c>
      <c r="BC33" s="97">
        <v>265.065687792755</v>
      </c>
      <c r="BD33" s="97">
        <v>120.285614242123</v>
      </c>
      <c r="BE33" s="97">
        <v>121.488470384545</v>
      </c>
      <c r="BF33" s="97">
        <v>122.70335508839</v>
      </c>
      <c r="BG33" s="97">
        <v>123.930388639274</v>
      </c>
      <c r="BH33" s="97">
        <v>125.169692525667</v>
      </c>
      <c r="BI33" s="97">
        <v>126.421389450923</v>
      </c>
    </row>
    <row r="34" spans="1:61" x14ac:dyDescent="0.25">
      <c r="A34" s="95" t="s">
        <v>14</v>
      </c>
      <c r="B34" s="95" t="s">
        <v>136</v>
      </c>
      <c r="C34" s="96" t="s">
        <v>40</v>
      </c>
      <c r="D34" s="96" t="s">
        <v>54</v>
      </c>
      <c r="E34" s="96" t="s">
        <v>149</v>
      </c>
      <c r="F34" s="96" t="s">
        <v>186</v>
      </c>
      <c r="G34" s="97">
        <f t="shared" si="0"/>
        <v>12000000.000000002</v>
      </c>
      <c r="H34" s="97">
        <f>SUMIF(I$1:BI$1,"&lt;="&amp;[2]PARAMETER!X$2,I34:BI34)</f>
        <v>1534465.7000756059</v>
      </c>
      <c r="I34" s="97">
        <v>223819.81773958201</v>
      </c>
      <c r="J34" s="97">
        <v>122468.041403273</v>
      </c>
      <c r="K34" s="97">
        <v>114559.912347444</v>
      </c>
      <c r="L34" s="97">
        <v>110057.62918423201</v>
      </c>
      <c r="M34" s="97">
        <v>127750.925137817</v>
      </c>
      <c r="N34" s="97">
        <v>232566.465890992</v>
      </c>
      <c r="O34" s="97">
        <v>147736.30116530799</v>
      </c>
      <c r="P34" s="97">
        <v>130402.40373041701</v>
      </c>
      <c r="Q34" s="97">
        <v>325104.20347654098</v>
      </c>
      <c r="R34" s="97">
        <v>406190.83986041398</v>
      </c>
      <c r="S34" s="97">
        <v>525649.165872955</v>
      </c>
      <c r="T34" s="97">
        <v>683233.33982965595</v>
      </c>
      <c r="U34" s="97">
        <v>1037024.8709618601</v>
      </c>
      <c r="V34" s="97">
        <v>616165.62314947997</v>
      </c>
      <c r="W34" s="97">
        <v>356378.47209502303</v>
      </c>
      <c r="X34" s="97">
        <v>454549.19816930703</v>
      </c>
      <c r="Y34" s="97">
        <v>434207.00642511901</v>
      </c>
      <c r="Z34" s="97">
        <v>447475.75182952703</v>
      </c>
      <c r="AA34" s="97">
        <v>364607.533210536</v>
      </c>
      <c r="AB34" s="97">
        <v>305992.53857266001</v>
      </c>
      <c r="AC34" s="97">
        <v>199667.690464196</v>
      </c>
      <c r="AD34" s="97">
        <v>222220.171751313</v>
      </c>
      <c r="AE34" s="97">
        <v>232718.375713805</v>
      </c>
      <c r="AF34" s="97">
        <v>143510.43184914</v>
      </c>
      <c r="AG34" s="97">
        <v>216942.63193135799</v>
      </c>
      <c r="AH34" s="97">
        <v>252306.23798143701</v>
      </c>
      <c r="AI34" s="97">
        <v>193198.911572365</v>
      </c>
      <c r="AJ34" s="97">
        <v>120181.08370654599</v>
      </c>
      <c r="AK34" s="97">
        <v>249144.73704497601</v>
      </c>
      <c r="AL34" s="97">
        <v>168748.89753125099</v>
      </c>
      <c r="AM34" s="97">
        <v>209640.05106976599</v>
      </c>
      <c r="AN34" s="97">
        <v>246254.15474713099</v>
      </c>
      <c r="AO34" s="97">
        <v>589413.608481189</v>
      </c>
      <c r="AP34" s="97">
        <v>151412.43890777</v>
      </c>
      <c r="AQ34" s="97">
        <v>109192.168978295</v>
      </c>
      <c r="AR34" s="97">
        <v>103342.88973415901</v>
      </c>
      <c r="AS34" s="97">
        <v>159995.360106735</v>
      </c>
      <c r="AT34" s="97">
        <v>136285.032459735</v>
      </c>
      <c r="AU34" s="97">
        <v>77527.616284201504</v>
      </c>
      <c r="AV34" s="97">
        <v>99103.814627034895</v>
      </c>
      <c r="AW34" s="97">
        <v>37306.424292620999</v>
      </c>
      <c r="AX34" s="97">
        <v>107508.46845478901</v>
      </c>
      <c r="AY34" s="97">
        <v>99277.245998693703</v>
      </c>
      <c r="AZ34" s="97">
        <v>64493.365526247901</v>
      </c>
      <c r="BA34" s="97">
        <v>114879.904223975</v>
      </c>
      <c r="BB34" s="97">
        <v>127762.407259659</v>
      </c>
      <c r="BC34" s="97">
        <v>106026.27511710201</v>
      </c>
      <c r="BD34" s="97">
        <v>48114.245696849299</v>
      </c>
      <c r="BE34" s="97">
        <v>48595.388153817803</v>
      </c>
      <c r="BF34" s="97">
        <v>49081.342035356</v>
      </c>
      <c r="BG34" s="97">
        <v>49572.155455709501</v>
      </c>
      <c r="BH34" s="97">
        <v>50067.877010266602</v>
      </c>
      <c r="BI34" s="97">
        <v>50568.555780369301</v>
      </c>
    </row>
    <row r="35" spans="1:61" x14ac:dyDescent="0.25">
      <c r="A35" s="95" t="s">
        <v>2</v>
      </c>
      <c r="B35" s="95" t="s">
        <v>136</v>
      </c>
      <c r="C35" s="96" t="s">
        <v>41</v>
      </c>
      <c r="D35" s="96" t="s">
        <v>56</v>
      </c>
      <c r="E35" s="96" t="s">
        <v>175</v>
      </c>
      <c r="F35" s="96" t="s">
        <v>187</v>
      </c>
      <c r="G35" s="97">
        <f t="shared" si="0"/>
        <v>400000000000</v>
      </c>
      <c r="H35" s="97">
        <f>SUMIF(I$1:BI$1,"&lt;="&amp;[2]PARAMETER!X$2,I35:BI35)</f>
        <v>5013270735.5413952</v>
      </c>
      <c r="I35" s="97">
        <v>523264947.76043099</v>
      </c>
      <c r="J35" s="97">
        <v>323705033.93053102</v>
      </c>
      <c r="K35" s="97">
        <v>277318950.48593998</v>
      </c>
      <c r="L35" s="97">
        <v>276820175.39513803</v>
      </c>
      <c r="M35" s="97">
        <v>543161086.13252497</v>
      </c>
      <c r="N35" s="97">
        <v>631486673.08720601</v>
      </c>
      <c r="O35" s="97">
        <v>424956377.36334699</v>
      </c>
      <c r="P35" s="97">
        <v>189035759.413977</v>
      </c>
      <c r="Q35" s="97">
        <v>1823521731.9723001</v>
      </c>
      <c r="R35" s="97">
        <v>1929466549.0095601</v>
      </c>
      <c r="S35" s="97">
        <v>2867379689.3317299</v>
      </c>
      <c r="T35" s="97">
        <v>536681997.70300603</v>
      </c>
      <c r="U35" s="97">
        <v>3222984881.7446899</v>
      </c>
      <c r="V35" s="97">
        <v>10511186263.562401</v>
      </c>
      <c r="W35" s="97">
        <v>716440540.42806494</v>
      </c>
      <c r="X35" s="97">
        <v>769759597.63480496</v>
      </c>
      <c r="Y35" s="97">
        <v>603517859.87048101</v>
      </c>
      <c r="Z35" s="97">
        <v>313729532.11448997</v>
      </c>
      <c r="AA35" s="97">
        <v>5403575711.02145</v>
      </c>
      <c r="AB35" s="97">
        <v>774652082.50048196</v>
      </c>
      <c r="AC35" s="97">
        <v>2002192944.9994099</v>
      </c>
      <c r="AD35" s="97">
        <v>2376668295.4226799</v>
      </c>
      <c r="AE35" s="97">
        <v>2143184692.5669701</v>
      </c>
      <c r="AF35" s="97">
        <v>2059785008.40905</v>
      </c>
      <c r="AG35" s="97">
        <v>1558367905.95102</v>
      </c>
      <c r="AH35" s="97">
        <v>18765213736.108898</v>
      </c>
      <c r="AI35" s="97">
        <v>14235007673.559401</v>
      </c>
      <c r="AJ35" s="97">
        <v>14161547080.6359</v>
      </c>
      <c r="AK35" s="97">
        <v>12525062516.288799</v>
      </c>
      <c r="AL35" s="97">
        <v>865962339.59852302</v>
      </c>
      <c r="AM35" s="97">
        <v>2136954991.6828499</v>
      </c>
      <c r="AN35" s="97">
        <v>2687465528.7783399</v>
      </c>
      <c r="AO35" s="97">
        <v>9438209317.6268597</v>
      </c>
      <c r="AP35" s="97">
        <v>15122176433.6936</v>
      </c>
      <c r="AQ35" s="97">
        <v>11905195806.492001</v>
      </c>
      <c r="AR35" s="97">
        <v>2378869888.67348</v>
      </c>
      <c r="AS35" s="97">
        <v>2997464721.9887199</v>
      </c>
      <c r="AT35" s="97">
        <v>13482590485.8318</v>
      </c>
      <c r="AU35" s="97">
        <v>15895706771.0149</v>
      </c>
      <c r="AV35" s="97">
        <v>6472929554.6974096</v>
      </c>
      <c r="AW35" s="97">
        <v>5267306366.0136003</v>
      </c>
      <c r="AX35" s="97">
        <v>5094591026.3457603</v>
      </c>
      <c r="AY35" s="97">
        <v>6749279883.9570198</v>
      </c>
      <c r="AZ35" s="97">
        <v>6573773897.6561403</v>
      </c>
      <c r="BA35" s="97">
        <v>6829667465.3415804</v>
      </c>
      <c r="BB35" s="97">
        <v>9181614472.1637497</v>
      </c>
      <c r="BC35" s="97">
        <v>13805885526.637699</v>
      </c>
      <c r="BD35" s="97">
        <v>26109279424.4217</v>
      </c>
      <c r="BE35" s="97">
        <v>26370372218.665901</v>
      </c>
      <c r="BF35" s="97">
        <v>26634075940.8526</v>
      </c>
      <c r="BG35" s="97">
        <v>26900416700.261101</v>
      </c>
      <c r="BH35" s="97">
        <v>27169420867.263699</v>
      </c>
      <c r="BI35" s="97">
        <v>27441115075.936298</v>
      </c>
    </row>
    <row r="36" spans="1:61" x14ac:dyDescent="0.25">
      <c r="A36" s="95" t="s">
        <v>2</v>
      </c>
      <c r="B36" s="95" t="s">
        <v>136</v>
      </c>
      <c r="C36" s="96" t="s">
        <v>42</v>
      </c>
      <c r="D36" s="96" t="s">
        <v>56</v>
      </c>
      <c r="E36" s="96" t="s">
        <v>177</v>
      </c>
      <c r="F36" s="96" t="s">
        <v>188</v>
      </c>
      <c r="G36" s="97">
        <f t="shared" si="0"/>
        <v>1015999.9999999999</v>
      </c>
      <c r="H36" s="97">
        <f>SUMIF(I$1:BI$1,"&lt;="&amp;[2]PARAMETER!X$2,I36:BI36)</f>
        <v>12733.707668275129</v>
      </c>
      <c r="I36" s="97">
        <v>1329.0929673114999</v>
      </c>
      <c r="J36" s="97">
        <v>822.21078618354795</v>
      </c>
      <c r="K36" s="97">
        <v>704.39013423428798</v>
      </c>
      <c r="L36" s="97">
        <v>703.12324550365099</v>
      </c>
      <c r="M36" s="97">
        <v>1379.62915877661</v>
      </c>
      <c r="N36" s="97">
        <v>1603.9761496414999</v>
      </c>
      <c r="O36" s="97">
        <v>1079.3891985028999</v>
      </c>
      <c r="P36" s="97">
        <v>480.150828911502</v>
      </c>
      <c r="Q36" s="97">
        <v>4631.7451992096303</v>
      </c>
      <c r="R36" s="97">
        <v>4900.8450344842804</v>
      </c>
      <c r="S36" s="97">
        <v>7283.1444109025997</v>
      </c>
      <c r="T36" s="97">
        <v>1363.1722741656399</v>
      </c>
      <c r="U36" s="97">
        <v>8186.3815996315197</v>
      </c>
      <c r="V36" s="97">
        <v>26698.413109448498</v>
      </c>
      <c r="W36" s="97">
        <v>1819.75897268729</v>
      </c>
      <c r="X36" s="97">
        <v>1955.1893779924101</v>
      </c>
      <c r="Y36" s="97">
        <v>1532.9353640710201</v>
      </c>
      <c r="Z36" s="97">
        <v>796.87301157080401</v>
      </c>
      <c r="AA36" s="97">
        <v>13725.0823059945</v>
      </c>
      <c r="AB36" s="97">
        <v>1967.61628955123</v>
      </c>
      <c r="AC36" s="97">
        <v>5085.5700802984902</v>
      </c>
      <c r="AD36" s="97">
        <v>6036.7374703736004</v>
      </c>
      <c r="AE36" s="97">
        <v>5443.6891191201003</v>
      </c>
      <c r="AF36" s="97">
        <v>5231.8539213589802</v>
      </c>
      <c r="AG36" s="97">
        <v>3958.2544811155899</v>
      </c>
      <c r="AH36" s="97">
        <v>47663.642889716502</v>
      </c>
      <c r="AI36" s="97">
        <v>36156.919490840999</v>
      </c>
      <c r="AJ36" s="97">
        <v>35970.329584815299</v>
      </c>
      <c r="AK36" s="97">
        <v>31813.658791373498</v>
      </c>
      <c r="AL36" s="97">
        <v>2199.54434258025</v>
      </c>
      <c r="AM36" s="97">
        <v>5427.8656788744402</v>
      </c>
      <c r="AN36" s="97">
        <v>6826.1624430969896</v>
      </c>
      <c r="AO36" s="97">
        <v>23973.0516667722</v>
      </c>
      <c r="AP36" s="97">
        <v>38410.328141581696</v>
      </c>
      <c r="AQ36" s="97">
        <v>30239.197348489601</v>
      </c>
      <c r="AR36" s="97">
        <v>6042.3295172306398</v>
      </c>
      <c r="AS36" s="97">
        <v>7613.5603938513595</v>
      </c>
      <c r="AT36" s="97">
        <v>34245.779834012799</v>
      </c>
      <c r="AU36" s="97">
        <v>40375.095198377698</v>
      </c>
      <c r="AV36" s="97">
        <v>16441.241068931398</v>
      </c>
      <c r="AW36" s="97">
        <v>13378.958169674601</v>
      </c>
      <c r="AX36" s="97">
        <v>12940.2612069182</v>
      </c>
      <c r="AY36" s="97">
        <v>17143.170905250801</v>
      </c>
      <c r="AZ36" s="97">
        <v>16697.385700046601</v>
      </c>
      <c r="BA36" s="97">
        <v>17347.355361967599</v>
      </c>
      <c r="BB36" s="97">
        <v>23321.3007592959</v>
      </c>
      <c r="BC36" s="97">
        <v>35066.949237659799</v>
      </c>
      <c r="BD36" s="97">
        <v>66317.569738031103</v>
      </c>
      <c r="BE36" s="97">
        <v>66980.745435411402</v>
      </c>
      <c r="BF36" s="97">
        <v>67650.552889765502</v>
      </c>
      <c r="BG36" s="97">
        <v>68327.058418663204</v>
      </c>
      <c r="BH36" s="97">
        <v>69010.329002849801</v>
      </c>
      <c r="BI36" s="97">
        <v>69700.432292878293</v>
      </c>
    </row>
    <row r="37" spans="1:61" x14ac:dyDescent="0.25">
      <c r="A37" s="95" t="s">
        <v>2</v>
      </c>
      <c r="B37" s="95" t="s">
        <v>136</v>
      </c>
      <c r="C37" s="96" t="s">
        <v>40</v>
      </c>
      <c r="D37" s="96" t="s">
        <v>56</v>
      </c>
      <c r="E37" s="96" t="s">
        <v>179</v>
      </c>
      <c r="F37" s="96" t="s">
        <v>189</v>
      </c>
      <c r="G37" s="97">
        <f t="shared" si="0"/>
        <v>90000000.000000015</v>
      </c>
      <c r="H37" s="97">
        <f>SUMIF(I$1:BI$1,"&lt;="&amp;[2]PARAMETER!X$2,I37:BI37)</f>
        <v>1127985.9154968131</v>
      </c>
      <c r="I37" s="97">
        <v>117734.613246097</v>
      </c>
      <c r="J37" s="97">
        <v>72833.632634369496</v>
      </c>
      <c r="K37" s="97">
        <v>62396.763859336497</v>
      </c>
      <c r="L37" s="97">
        <v>62284.539463906098</v>
      </c>
      <c r="M37" s="97">
        <v>122211.244379818</v>
      </c>
      <c r="N37" s="97">
        <v>142084.50144462101</v>
      </c>
      <c r="O37" s="97">
        <v>95615.1849067531</v>
      </c>
      <c r="P37" s="97">
        <v>42533.045868144902</v>
      </c>
      <c r="Q37" s="97">
        <v>410292.38969376701</v>
      </c>
      <c r="R37" s="97">
        <v>434129.97352715099</v>
      </c>
      <c r="S37" s="97">
        <v>645160.43009964004</v>
      </c>
      <c r="T37" s="97">
        <v>120753.44948317599</v>
      </c>
      <c r="U37" s="97">
        <v>725171.59839255502</v>
      </c>
      <c r="V37" s="97">
        <v>2365016.9093015399</v>
      </c>
      <c r="W37" s="97">
        <v>161199.121596315</v>
      </c>
      <c r="X37" s="97">
        <v>173195.90946783099</v>
      </c>
      <c r="Y37" s="97">
        <v>135791.51847085799</v>
      </c>
      <c r="Z37" s="97">
        <v>70589.144725760198</v>
      </c>
      <c r="AA37" s="97">
        <v>1215804.53497983</v>
      </c>
      <c r="AB37" s="97">
        <v>174296.71856260899</v>
      </c>
      <c r="AC37" s="97">
        <v>450493.41262486699</v>
      </c>
      <c r="AD37" s="97">
        <v>534750.36647010304</v>
      </c>
      <c r="AE37" s="97">
        <v>482216.55582756799</v>
      </c>
      <c r="AF37" s="97">
        <v>463451.626892036</v>
      </c>
      <c r="AG37" s="97">
        <v>350632.77883897902</v>
      </c>
      <c r="AH37" s="97">
        <v>4222173.0906245001</v>
      </c>
      <c r="AI37" s="97">
        <v>3202876.7265508701</v>
      </c>
      <c r="AJ37" s="97">
        <v>3186348.0931430901</v>
      </c>
      <c r="AK37" s="97">
        <v>2818139.0661649699</v>
      </c>
      <c r="AL37" s="97">
        <v>194841.526409668</v>
      </c>
      <c r="AM37" s="97">
        <v>480814.87312864099</v>
      </c>
      <c r="AN37" s="97">
        <v>604679.743975127</v>
      </c>
      <c r="AO37" s="97">
        <v>2123597.0964660398</v>
      </c>
      <c r="AP37" s="97">
        <v>3402489.6975810602</v>
      </c>
      <c r="AQ37" s="97">
        <v>2678669.0564607</v>
      </c>
      <c r="AR37" s="97">
        <v>535245.72495153302</v>
      </c>
      <c r="AS37" s="97">
        <v>674429.56244746305</v>
      </c>
      <c r="AT37" s="97">
        <v>3033582.8593121599</v>
      </c>
      <c r="AU37" s="97">
        <v>3576534.0234783399</v>
      </c>
      <c r="AV37" s="97">
        <v>1456409.14980692</v>
      </c>
      <c r="AW37" s="97">
        <v>1185143.93235306</v>
      </c>
      <c r="AX37" s="97">
        <v>1146282.9809278001</v>
      </c>
      <c r="AY37" s="97">
        <v>1518587.9738903299</v>
      </c>
      <c r="AZ37" s="97">
        <v>1479099.1269726299</v>
      </c>
      <c r="BA37" s="97">
        <v>1536675.1797018601</v>
      </c>
      <c r="BB37" s="97">
        <v>2065863.25623684</v>
      </c>
      <c r="BC37" s="97">
        <v>3106324.2434934899</v>
      </c>
      <c r="BD37" s="97">
        <v>5874587.8704948798</v>
      </c>
      <c r="BE37" s="97">
        <v>5933333.74919983</v>
      </c>
      <c r="BF37" s="97">
        <v>5992667.0866918303</v>
      </c>
      <c r="BG37" s="97">
        <v>6052593.75755875</v>
      </c>
      <c r="BH37" s="97">
        <v>6113119.6951343296</v>
      </c>
      <c r="BI37" s="97">
        <v>6174250.8920856798</v>
      </c>
    </row>
    <row r="38" spans="1:61" x14ac:dyDescent="0.25">
      <c r="A38" s="95" t="s">
        <v>32</v>
      </c>
      <c r="B38" s="95" t="s">
        <v>136</v>
      </c>
      <c r="C38" s="96" t="s">
        <v>41</v>
      </c>
      <c r="D38" s="96" t="s">
        <v>54</v>
      </c>
      <c r="E38" s="96" t="s">
        <v>145</v>
      </c>
      <c r="F38" s="96" t="s">
        <v>190</v>
      </c>
      <c r="G38" s="97">
        <f t="shared" si="0"/>
        <v>1600000000.0000005</v>
      </c>
      <c r="H38" s="97">
        <f>SUMIF(I$1:BI$1,"&lt;="&amp;[2]PARAMETER!X$2,I38:BI38)</f>
        <v>370955128.43455076</v>
      </c>
      <c r="I38" s="97">
        <v>17917955.1469464</v>
      </c>
      <c r="J38" s="97">
        <v>14127400.072378499</v>
      </c>
      <c r="K38" s="97">
        <v>12247655.5775289</v>
      </c>
      <c r="L38" s="97">
        <v>32457841.561907101</v>
      </c>
      <c r="M38" s="97">
        <v>61081464.158298798</v>
      </c>
      <c r="N38" s="97">
        <v>84115920.4715195</v>
      </c>
      <c r="O38" s="97">
        <v>57833609.444105603</v>
      </c>
      <c r="P38" s="97">
        <v>53662328.446690202</v>
      </c>
      <c r="Q38" s="97">
        <v>37510953.555175699</v>
      </c>
      <c r="R38" s="97">
        <v>19680148.234669801</v>
      </c>
      <c r="S38" s="97">
        <v>23193223.437989298</v>
      </c>
      <c r="T38" s="97">
        <v>21523680.3374888</v>
      </c>
      <c r="U38" s="97">
        <v>27632474.490600299</v>
      </c>
      <c r="V38" s="97">
        <v>29505631.5476995</v>
      </c>
      <c r="W38" s="97">
        <v>17208601.046370201</v>
      </c>
      <c r="X38" s="97">
        <v>19442445.0077639</v>
      </c>
      <c r="Y38" s="97">
        <v>14623618.0565721</v>
      </c>
      <c r="Z38" s="97">
        <v>22021432.030253001</v>
      </c>
      <c r="AA38" s="97">
        <v>26946663.999522999</v>
      </c>
      <c r="AB38" s="97">
        <v>19203760.4542474</v>
      </c>
      <c r="AC38" s="97">
        <v>19251085.290065799</v>
      </c>
      <c r="AD38" s="97">
        <v>21999021.9867131</v>
      </c>
      <c r="AE38" s="97">
        <v>20795089.560871199</v>
      </c>
      <c r="AF38" s="97">
        <v>12049538.69578</v>
      </c>
      <c r="AG38" s="97">
        <v>18758358.524442598</v>
      </c>
      <c r="AH38" s="97">
        <v>33786544.420192398</v>
      </c>
      <c r="AI38" s="97">
        <v>24963138.5580662</v>
      </c>
      <c r="AJ38" s="97">
        <v>37729851.107979201</v>
      </c>
      <c r="AK38" s="97">
        <v>34833494.419032298</v>
      </c>
      <c r="AL38" s="97">
        <v>13536958.2752658</v>
      </c>
      <c r="AM38" s="97">
        <v>8404024.5171641503</v>
      </c>
      <c r="AN38" s="97">
        <v>6954666.83206286</v>
      </c>
      <c r="AO38" s="97">
        <v>7156278.0183149297</v>
      </c>
      <c r="AP38" s="97">
        <v>8325949.39026058</v>
      </c>
      <c r="AQ38" s="97">
        <v>23171699.0571451</v>
      </c>
      <c r="AR38" s="97">
        <v>38308770.032249898</v>
      </c>
      <c r="AS38" s="97">
        <v>31225525.755389702</v>
      </c>
      <c r="AT38" s="97">
        <v>29367033.050659198</v>
      </c>
      <c r="AU38" s="97">
        <v>36842950.953282401</v>
      </c>
      <c r="AV38" s="97">
        <v>43121795.429895103</v>
      </c>
      <c r="AW38" s="97">
        <v>41492422.944483198</v>
      </c>
      <c r="AX38" s="97">
        <v>33786848.898889199</v>
      </c>
      <c r="AY38" s="97">
        <v>47518220.936618999</v>
      </c>
      <c r="AZ38" s="97">
        <v>37444795.271860197</v>
      </c>
      <c r="BA38" s="97">
        <v>42526210.411553197</v>
      </c>
      <c r="BB38" s="97">
        <v>36029294.383466497</v>
      </c>
      <c r="BC38" s="97">
        <v>79312585.931314394</v>
      </c>
      <c r="BD38" s="97">
        <v>32407436.965216599</v>
      </c>
      <c r="BE38" s="97">
        <v>32731511.3348688</v>
      </c>
      <c r="BF38" s="97">
        <v>33058826.4482175</v>
      </c>
      <c r="BG38" s="97">
        <v>33389414.7126996</v>
      </c>
      <c r="BH38" s="97">
        <v>33723308.859826602</v>
      </c>
      <c r="BI38" s="97">
        <v>34060541.948424898</v>
      </c>
    </row>
    <row r="39" spans="1:61" x14ac:dyDescent="0.25">
      <c r="A39" s="95" t="s">
        <v>32</v>
      </c>
      <c r="B39" s="95" t="s">
        <v>136</v>
      </c>
      <c r="C39" s="96" t="s">
        <v>42</v>
      </c>
      <c r="D39" s="96" t="s">
        <v>54</v>
      </c>
      <c r="E39" s="96" t="s">
        <v>147</v>
      </c>
      <c r="F39" s="96" t="s">
        <v>191</v>
      </c>
      <c r="G39" s="97">
        <f t="shared" si="0"/>
        <v>10000.000000000007</v>
      </c>
      <c r="H39" s="97">
        <f>SUMIF(I$1:BI$1,"&lt;="&amp;[2]PARAMETER!X$2,I39:BI39)</f>
        <v>2318.4695527159411</v>
      </c>
      <c r="I39" s="97">
        <v>111.98721966841499</v>
      </c>
      <c r="J39" s="97">
        <v>88.296250452365697</v>
      </c>
      <c r="K39" s="97">
        <v>76.547847359555604</v>
      </c>
      <c r="L39" s="97">
        <v>202.861509761919</v>
      </c>
      <c r="M39" s="97">
        <v>381.75915098936701</v>
      </c>
      <c r="N39" s="97">
        <v>525.72450294699695</v>
      </c>
      <c r="O39" s="97">
        <v>361.46005902565997</v>
      </c>
      <c r="P39" s="97">
        <v>335.38955279181403</v>
      </c>
      <c r="Q39" s="97">
        <v>234.44345971984799</v>
      </c>
      <c r="R39" s="97">
        <v>123.000926466686</v>
      </c>
      <c r="S39" s="97">
        <v>144.95764648743301</v>
      </c>
      <c r="T39" s="97">
        <v>134.523002109305</v>
      </c>
      <c r="U39" s="97">
        <v>172.702965566252</v>
      </c>
      <c r="V39" s="97">
        <v>184.41019717312199</v>
      </c>
      <c r="W39" s="97">
        <v>107.553756539814</v>
      </c>
      <c r="X39" s="97">
        <v>121.515281298524</v>
      </c>
      <c r="Y39" s="97">
        <v>91.397612853575893</v>
      </c>
      <c r="Z39" s="97">
        <v>137.63395018908099</v>
      </c>
      <c r="AA39" s="97">
        <v>168.41664999701899</v>
      </c>
      <c r="AB39" s="97">
        <v>120.023502839047</v>
      </c>
      <c r="AC39" s="97">
        <v>120.31928306291201</v>
      </c>
      <c r="AD39" s="97">
        <v>137.49388741695699</v>
      </c>
      <c r="AE39" s="97">
        <v>129.96930975544501</v>
      </c>
      <c r="AF39" s="97">
        <v>75.3096168486247</v>
      </c>
      <c r="AG39" s="97">
        <v>117.239740777766</v>
      </c>
      <c r="AH39" s="97">
        <v>211.16590262620301</v>
      </c>
      <c r="AI39" s="97">
        <v>156.01961598791399</v>
      </c>
      <c r="AJ39" s="97">
        <v>235.81156942486999</v>
      </c>
      <c r="AK39" s="97">
        <v>217.70934011895201</v>
      </c>
      <c r="AL39" s="97">
        <v>84.605989220411502</v>
      </c>
      <c r="AM39" s="97">
        <v>52.525153232275898</v>
      </c>
      <c r="AN39" s="97">
        <v>43.466667700392897</v>
      </c>
      <c r="AO39" s="97">
        <v>44.726737614468298</v>
      </c>
      <c r="AP39" s="97">
        <v>52.037183689128597</v>
      </c>
      <c r="AQ39" s="97">
        <v>144.823119107157</v>
      </c>
      <c r="AR39" s="97">
        <v>239.42981270156201</v>
      </c>
      <c r="AS39" s="97">
        <v>195.15953597118599</v>
      </c>
      <c r="AT39" s="97">
        <v>183.54395656662001</v>
      </c>
      <c r="AU39" s="97">
        <v>230.26844345801501</v>
      </c>
      <c r="AV39" s="97">
        <v>269.51122143684398</v>
      </c>
      <c r="AW39" s="97">
        <v>259.32764340301998</v>
      </c>
      <c r="AX39" s="97">
        <v>211.167805618058</v>
      </c>
      <c r="AY39" s="97">
        <v>296.98888085386898</v>
      </c>
      <c r="AZ39" s="97">
        <v>234.02997044912701</v>
      </c>
      <c r="BA39" s="97">
        <v>265.78881507220802</v>
      </c>
      <c r="BB39" s="97">
        <v>225.18308989666599</v>
      </c>
      <c r="BC39" s="97">
        <v>495.70366207071498</v>
      </c>
      <c r="BD39" s="97">
        <v>202.54648103260399</v>
      </c>
      <c r="BE39" s="97">
        <v>204.57194584293001</v>
      </c>
      <c r="BF39" s="97">
        <v>206.61766530135901</v>
      </c>
      <c r="BG39" s="97">
        <v>208.68384195437301</v>
      </c>
      <c r="BH39" s="97">
        <v>210.77068037391601</v>
      </c>
      <c r="BI39" s="97">
        <v>212.87838717765601</v>
      </c>
    </row>
    <row r="40" spans="1:61" x14ac:dyDescent="0.25">
      <c r="A40" s="95" t="s">
        <v>32</v>
      </c>
      <c r="B40" s="95" t="s">
        <v>136</v>
      </c>
      <c r="C40" s="96" t="s">
        <v>40</v>
      </c>
      <c r="D40" s="96" t="s">
        <v>54</v>
      </c>
      <c r="E40" s="96" t="s">
        <v>149</v>
      </c>
      <c r="F40" s="96" t="s">
        <v>192</v>
      </c>
      <c r="G40" s="97">
        <f t="shared" si="0"/>
        <v>5000000.0000000047</v>
      </c>
      <c r="H40" s="97">
        <f>SUMIF(I$1:BI$1,"&lt;="&amp;[2]PARAMETER!X$2,I40:BI40)</f>
        <v>1159234.7763579721</v>
      </c>
      <c r="I40" s="97">
        <v>55993.609834207396</v>
      </c>
      <c r="J40" s="97">
        <v>44148.125226182798</v>
      </c>
      <c r="K40" s="97">
        <v>38273.923679777799</v>
      </c>
      <c r="L40" s="97">
        <v>101430.75488096</v>
      </c>
      <c r="M40" s="97">
        <v>190879.57549468399</v>
      </c>
      <c r="N40" s="97">
        <v>262862.251473499</v>
      </c>
      <c r="O40" s="97">
        <v>180730.02951282999</v>
      </c>
      <c r="P40" s="97">
        <v>167694.77639590701</v>
      </c>
      <c r="Q40" s="97">
        <v>117221.729859924</v>
      </c>
      <c r="R40" s="97">
        <v>61500.463233342998</v>
      </c>
      <c r="S40" s="97">
        <v>72478.823243716499</v>
      </c>
      <c r="T40" s="97">
        <v>67261.501054652399</v>
      </c>
      <c r="U40" s="97">
        <v>86351.482783125801</v>
      </c>
      <c r="V40" s="97">
        <v>92205.098586560896</v>
      </c>
      <c r="W40" s="97">
        <v>53776.878269907</v>
      </c>
      <c r="X40" s="97">
        <v>60757.640649262103</v>
      </c>
      <c r="Y40" s="97">
        <v>45698.806426787902</v>
      </c>
      <c r="Z40" s="97">
        <v>68816.975094540496</v>
      </c>
      <c r="AA40" s="97">
        <v>84208.324998509299</v>
      </c>
      <c r="AB40" s="97">
        <v>60011.751419523302</v>
      </c>
      <c r="AC40" s="97">
        <v>60159.641531455803</v>
      </c>
      <c r="AD40" s="97">
        <v>68746.9437084784</v>
      </c>
      <c r="AE40" s="97">
        <v>64984.654877722503</v>
      </c>
      <c r="AF40" s="97">
        <v>37654.808424312301</v>
      </c>
      <c r="AG40" s="97">
        <v>58619.870388883101</v>
      </c>
      <c r="AH40" s="97">
        <v>105582.951313101</v>
      </c>
      <c r="AI40" s="97">
        <v>78009.807993957002</v>
      </c>
      <c r="AJ40" s="97">
        <v>117905.78471243499</v>
      </c>
      <c r="AK40" s="97">
        <v>108854.670059476</v>
      </c>
      <c r="AL40" s="97">
        <v>42302.994610205802</v>
      </c>
      <c r="AM40" s="97">
        <v>26262.576616138002</v>
      </c>
      <c r="AN40" s="97">
        <v>21733.333850196399</v>
      </c>
      <c r="AO40" s="97">
        <v>22363.368807234201</v>
      </c>
      <c r="AP40" s="97">
        <v>26018.5918445643</v>
      </c>
      <c r="AQ40" s="97">
        <v>72411.559553578394</v>
      </c>
      <c r="AR40" s="97">
        <v>119714.90635078101</v>
      </c>
      <c r="AS40" s="97">
        <v>97579.7679855928</v>
      </c>
      <c r="AT40" s="97">
        <v>91771.9782833098</v>
      </c>
      <c r="AU40" s="97">
        <v>115134.221729008</v>
      </c>
      <c r="AV40" s="97">
        <v>134755.61071842199</v>
      </c>
      <c r="AW40" s="97">
        <v>129663.82170150999</v>
      </c>
      <c r="AX40" s="97">
        <v>105583.90280902899</v>
      </c>
      <c r="AY40" s="97">
        <v>148494.44042693399</v>
      </c>
      <c r="AZ40" s="97">
        <v>117014.985224563</v>
      </c>
      <c r="BA40" s="97">
        <v>132894.407536104</v>
      </c>
      <c r="BB40" s="97">
        <v>112591.544948333</v>
      </c>
      <c r="BC40" s="97">
        <v>247851.83103535799</v>
      </c>
      <c r="BD40" s="97">
        <v>101273.240516302</v>
      </c>
      <c r="BE40" s="97">
        <v>102285.972921465</v>
      </c>
      <c r="BF40" s="97">
        <v>103308.83265067999</v>
      </c>
      <c r="BG40" s="97">
        <v>104341.920977186</v>
      </c>
      <c r="BH40" s="97">
        <v>105385.340186958</v>
      </c>
      <c r="BI40" s="97">
        <v>106439.193588828</v>
      </c>
    </row>
    <row r="41" spans="1:61" x14ac:dyDescent="0.25">
      <c r="A41" s="95" t="s">
        <v>33</v>
      </c>
      <c r="B41" s="95" t="s">
        <v>136</v>
      </c>
      <c r="C41" s="96" t="s">
        <v>41</v>
      </c>
      <c r="D41" s="96" t="s">
        <v>54</v>
      </c>
      <c r="E41" s="96" t="s">
        <v>145</v>
      </c>
      <c r="F41" s="96" t="s">
        <v>193</v>
      </c>
      <c r="G41" s="97">
        <f t="shared" si="0"/>
        <v>4600000000.000001</v>
      </c>
      <c r="H41" s="97">
        <f>SUMIF(I$1:BI$1,"&lt;="&amp;[2]PARAMETER!X$2,I41:BI41)</f>
        <v>682705516.69448662</v>
      </c>
      <c r="I41" s="97">
        <v>88517598.051900595</v>
      </c>
      <c r="J41" s="97">
        <v>63824479.315083601</v>
      </c>
      <c r="K41" s="97">
        <v>69134844.155281395</v>
      </c>
      <c r="L41" s="97">
        <v>96302385.372555599</v>
      </c>
      <c r="M41" s="97">
        <v>79002870.337783203</v>
      </c>
      <c r="N41" s="97">
        <v>69166396.597112</v>
      </c>
      <c r="O41" s="97">
        <v>81314197.802017599</v>
      </c>
      <c r="P41" s="97">
        <v>72820147.141059205</v>
      </c>
      <c r="Q41" s="97">
        <v>62622597.9216934</v>
      </c>
      <c r="R41" s="97">
        <v>52878448.403420798</v>
      </c>
      <c r="S41" s="97">
        <v>70595255.591416895</v>
      </c>
      <c r="T41" s="97">
        <v>85273140.450572193</v>
      </c>
      <c r="U41" s="97">
        <v>112864528.72976001</v>
      </c>
      <c r="V41" s="97">
        <v>131759775.180068</v>
      </c>
      <c r="W41" s="97">
        <v>71339182.177674994</v>
      </c>
      <c r="X41" s="97">
        <v>82962257.386926904</v>
      </c>
      <c r="Y41" s="97">
        <v>75272238.491910905</v>
      </c>
      <c r="Z41" s="97">
        <v>77923310.206560001</v>
      </c>
      <c r="AA41" s="97">
        <v>94683322.926089093</v>
      </c>
      <c r="AB41" s="97">
        <v>62404952.733151101</v>
      </c>
      <c r="AC41" s="97">
        <v>65166457.994207203</v>
      </c>
      <c r="AD41" s="97">
        <v>31130483.471131202</v>
      </c>
      <c r="AE41" s="97">
        <v>87176285.973660797</v>
      </c>
      <c r="AF41" s="97">
        <v>75817184.714371398</v>
      </c>
      <c r="AG41" s="97">
        <v>95809878.419616193</v>
      </c>
      <c r="AH41" s="97">
        <v>101254563.337889</v>
      </c>
      <c r="AI41" s="97">
        <v>99917584.165392995</v>
      </c>
      <c r="AJ41" s="97">
        <v>181073353.15737399</v>
      </c>
      <c r="AK41" s="97">
        <v>101419769.25691</v>
      </c>
      <c r="AL41" s="97">
        <v>110302226.032796</v>
      </c>
      <c r="AM41" s="97">
        <v>99299534.046015203</v>
      </c>
      <c r="AN41" s="97">
        <v>91486971.688537493</v>
      </c>
      <c r="AO41" s="97">
        <v>97169966.422748193</v>
      </c>
      <c r="AP41" s="97">
        <v>79210294.312774807</v>
      </c>
      <c r="AQ41" s="97">
        <v>103205259.72401799</v>
      </c>
      <c r="AR41" s="97">
        <v>88430162.235982895</v>
      </c>
      <c r="AS41" s="97">
        <v>81415187.835904807</v>
      </c>
      <c r="AT41" s="97">
        <v>72457405.160155296</v>
      </c>
      <c r="AU41" s="97">
        <v>85095046.914465293</v>
      </c>
      <c r="AV41" s="97">
        <v>115456161.86560901</v>
      </c>
      <c r="AW41" s="97">
        <v>87683347.045895293</v>
      </c>
      <c r="AX41" s="97">
        <v>88677471.163851902</v>
      </c>
      <c r="AY41" s="97">
        <v>101953716.564789</v>
      </c>
      <c r="AZ41" s="97">
        <v>114513366.0157</v>
      </c>
      <c r="BA41" s="97">
        <v>89495834.848794699</v>
      </c>
      <c r="BB41" s="97">
        <v>79020535.261202395</v>
      </c>
      <c r="BC41" s="97">
        <v>80711257.302671298</v>
      </c>
      <c r="BD41" s="97">
        <v>80459615.469058007</v>
      </c>
      <c r="BE41" s="97">
        <v>81264211.6237486</v>
      </c>
      <c r="BF41" s="97">
        <v>82076853.739986002</v>
      </c>
      <c r="BG41" s="97">
        <v>82897622.277385905</v>
      </c>
      <c r="BH41" s="97">
        <v>83726598.5001598</v>
      </c>
      <c r="BI41" s="97">
        <v>84563864.485161394</v>
      </c>
    </row>
    <row r="42" spans="1:61" x14ac:dyDescent="0.25">
      <c r="A42" s="95" t="s">
        <v>33</v>
      </c>
      <c r="B42" s="95" t="s">
        <v>136</v>
      </c>
      <c r="C42" s="96" t="s">
        <v>42</v>
      </c>
      <c r="D42" s="96" t="s">
        <v>54</v>
      </c>
      <c r="E42" s="96" t="s">
        <v>147</v>
      </c>
      <c r="F42" s="96" t="s">
        <v>194</v>
      </c>
      <c r="G42" s="97">
        <f t="shared" si="0"/>
        <v>29000.000000000011</v>
      </c>
      <c r="H42" s="97">
        <f>SUMIF(I$1:BI$1,"&lt;="&amp;[2]PARAMETER!X$2,I42:BI42)</f>
        <v>4304.0130400304588</v>
      </c>
      <c r="I42" s="97">
        <v>558.04572684893901</v>
      </c>
      <c r="J42" s="97">
        <v>402.37171742117903</v>
      </c>
      <c r="K42" s="97">
        <v>435.850104457209</v>
      </c>
      <c r="L42" s="97">
        <v>607.12373387045898</v>
      </c>
      <c r="M42" s="97">
        <v>498.06157386863299</v>
      </c>
      <c r="N42" s="97">
        <v>436.04902202527097</v>
      </c>
      <c r="O42" s="97">
        <v>512.63298614315397</v>
      </c>
      <c r="P42" s="97">
        <v>459.08353632406897</v>
      </c>
      <c r="Q42" s="97">
        <v>394.79463907154599</v>
      </c>
      <c r="R42" s="97">
        <v>333.36413123895699</v>
      </c>
      <c r="S42" s="97">
        <v>445.05704611980201</v>
      </c>
      <c r="T42" s="97">
        <v>537.59153762317203</v>
      </c>
      <c r="U42" s="97">
        <v>711.53724633979198</v>
      </c>
      <c r="V42" s="97">
        <v>830.65945222216806</v>
      </c>
      <c r="W42" s="97">
        <v>449.74701807664701</v>
      </c>
      <c r="X42" s="97">
        <v>523.02292700453904</v>
      </c>
      <c r="Y42" s="97">
        <v>474.54237310117702</v>
      </c>
      <c r="Z42" s="97">
        <v>491.255651302226</v>
      </c>
      <c r="AA42" s="97">
        <v>596.91660105577898</v>
      </c>
      <c r="AB42" s="97">
        <v>393.42252810029998</v>
      </c>
      <c r="AC42" s="97">
        <v>410.83201778956698</v>
      </c>
      <c r="AD42" s="97">
        <v>196.25739579626199</v>
      </c>
      <c r="AE42" s="97">
        <v>549.589628964383</v>
      </c>
      <c r="AF42" s="97">
        <v>477.97790363408097</v>
      </c>
      <c r="AG42" s="97">
        <v>604.01879873236305</v>
      </c>
      <c r="AH42" s="97">
        <v>638.34398626060101</v>
      </c>
      <c r="AI42" s="97">
        <v>629.91520452095597</v>
      </c>
      <c r="AJ42" s="97">
        <v>1141.5494003399699</v>
      </c>
      <c r="AK42" s="97">
        <v>639.38550183703899</v>
      </c>
      <c r="AL42" s="97">
        <v>695.38359890241099</v>
      </c>
      <c r="AM42" s="97">
        <v>626.01880159444295</v>
      </c>
      <c r="AN42" s="97">
        <v>576.76569107991099</v>
      </c>
      <c r="AO42" s="97">
        <v>612.59326657819497</v>
      </c>
      <c r="AP42" s="97">
        <v>499.36924675444999</v>
      </c>
      <c r="AQ42" s="97">
        <v>650.64185478184902</v>
      </c>
      <c r="AR42" s="97">
        <v>557.49450105293602</v>
      </c>
      <c r="AS42" s="97">
        <v>513.26966244374796</v>
      </c>
      <c r="AT42" s="97">
        <v>456.79668470532698</v>
      </c>
      <c r="AU42" s="97">
        <v>536.46877402597704</v>
      </c>
      <c r="AV42" s="97">
        <v>727.87580306579503</v>
      </c>
      <c r="AW42" s="97">
        <v>552.78631833281804</v>
      </c>
      <c r="AX42" s="97">
        <v>559.053622554718</v>
      </c>
      <c r="AY42" s="97">
        <v>642.75169138671004</v>
      </c>
      <c r="AZ42" s="97">
        <v>721.93209009898101</v>
      </c>
      <c r="BA42" s="97">
        <v>564.21287187283599</v>
      </c>
      <c r="BB42" s="97">
        <v>498.17293969018903</v>
      </c>
      <c r="BC42" s="97">
        <v>508.831839516841</v>
      </c>
      <c r="BD42" s="97">
        <v>507.24540187014799</v>
      </c>
      <c r="BE42" s="97">
        <v>512.31785588884998</v>
      </c>
      <c r="BF42" s="97">
        <v>517.44103444773805</v>
      </c>
      <c r="BG42" s="97">
        <v>522.61544479221595</v>
      </c>
      <c r="BH42" s="97">
        <v>527.84159924013795</v>
      </c>
      <c r="BI42" s="97">
        <v>533.120015232539</v>
      </c>
    </row>
    <row r="43" spans="1:61" x14ac:dyDescent="0.25">
      <c r="A43" s="95" t="s">
        <v>33</v>
      </c>
      <c r="B43" s="95" t="s">
        <v>136</v>
      </c>
      <c r="C43" s="96" t="s">
        <v>40</v>
      </c>
      <c r="D43" s="96" t="s">
        <v>54</v>
      </c>
      <c r="E43" s="96" t="s">
        <v>149</v>
      </c>
      <c r="F43" s="96" t="s">
        <v>195</v>
      </c>
      <c r="G43" s="97">
        <f t="shared" si="0"/>
        <v>10000000</v>
      </c>
      <c r="H43" s="97">
        <f>SUMIF(I$1:BI$1,"&lt;="&amp;[2]PARAMETER!X$2,I43:BI43)</f>
        <v>1484142.4275967109</v>
      </c>
      <c r="I43" s="97">
        <v>192429.56098239301</v>
      </c>
      <c r="J43" s="97">
        <v>138748.86807626899</v>
      </c>
      <c r="K43" s="97">
        <v>150293.13946800301</v>
      </c>
      <c r="L43" s="97">
        <v>209353.011679469</v>
      </c>
      <c r="M43" s="97">
        <v>171745.37029952899</v>
      </c>
      <c r="N43" s="97">
        <v>150361.731732852</v>
      </c>
      <c r="O43" s="97">
        <v>176769.995221777</v>
      </c>
      <c r="P43" s="97">
        <v>158304.66769795501</v>
      </c>
      <c r="Q43" s="97">
        <v>136136.08243846399</v>
      </c>
      <c r="R43" s="97">
        <v>114953.148703089</v>
      </c>
      <c r="S43" s="97">
        <v>153467.94693786299</v>
      </c>
      <c r="T43" s="97">
        <v>185376.392283853</v>
      </c>
      <c r="U43" s="97">
        <v>245357.671151652</v>
      </c>
      <c r="V43" s="97">
        <v>286434.29386971297</v>
      </c>
      <c r="W43" s="97">
        <v>155085.17864711999</v>
      </c>
      <c r="X43" s="97">
        <v>180352.73344984101</v>
      </c>
      <c r="Y43" s="97">
        <v>163635.30106937099</v>
      </c>
      <c r="Z43" s="97">
        <v>169398.50044904399</v>
      </c>
      <c r="AA43" s="97">
        <v>205833.31070888901</v>
      </c>
      <c r="AB43" s="97">
        <v>135662.94072424201</v>
      </c>
      <c r="AC43" s="97">
        <v>141666.213030885</v>
      </c>
      <c r="AD43" s="97">
        <v>67674.964067676498</v>
      </c>
      <c r="AE43" s="97">
        <v>189513.66516013199</v>
      </c>
      <c r="AF43" s="97">
        <v>164819.96677037299</v>
      </c>
      <c r="AG43" s="97">
        <v>208282.34439047001</v>
      </c>
      <c r="AH43" s="97">
        <v>220118.61595193201</v>
      </c>
      <c r="AI43" s="97">
        <v>217212.13948998501</v>
      </c>
      <c r="AJ43" s="97">
        <v>393637.72425516101</v>
      </c>
      <c r="AK43" s="97">
        <v>220477.75925415099</v>
      </c>
      <c r="AL43" s="97">
        <v>239787.44789738301</v>
      </c>
      <c r="AM43" s="97">
        <v>215868.552273946</v>
      </c>
      <c r="AN43" s="97">
        <v>198884.72106203801</v>
      </c>
      <c r="AO43" s="97">
        <v>211239.05744075699</v>
      </c>
      <c r="AP43" s="97">
        <v>172196.291984293</v>
      </c>
      <c r="AQ43" s="97">
        <v>224359.26026960299</v>
      </c>
      <c r="AR43" s="97">
        <v>192239.48312170201</v>
      </c>
      <c r="AS43" s="97">
        <v>176989.53877370601</v>
      </c>
      <c r="AT43" s="97">
        <v>157516.098174251</v>
      </c>
      <c r="AU43" s="97">
        <v>184989.232422751</v>
      </c>
      <c r="AV43" s="97">
        <v>250991.65622958401</v>
      </c>
      <c r="AW43" s="97">
        <v>190615.971838903</v>
      </c>
      <c r="AX43" s="97">
        <v>192777.11122576499</v>
      </c>
      <c r="AY43" s="97">
        <v>221638.51427127901</v>
      </c>
      <c r="AZ43" s="97">
        <v>248942.100034131</v>
      </c>
      <c r="BA43" s="97">
        <v>194556.162714771</v>
      </c>
      <c r="BB43" s="97">
        <v>171783.772306962</v>
      </c>
      <c r="BC43" s="97">
        <v>175459.255005807</v>
      </c>
      <c r="BD43" s="97">
        <v>174912.20754142999</v>
      </c>
      <c r="BE43" s="97">
        <v>176661.329616845</v>
      </c>
      <c r="BF43" s="97">
        <v>178427.94291301299</v>
      </c>
      <c r="BG43" s="97">
        <v>180212.22234214301</v>
      </c>
      <c r="BH43" s="97">
        <v>182014.344565565</v>
      </c>
      <c r="BI43" s="97">
        <v>183834.48801122</v>
      </c>
    </row>
    <row r="44" spans="1:61" x14ac:dyDescent="0.25">
      <c r="A44" s="95" t="s">
        <v>46</v>
      </c>
      <c r="B44" s="95" t="s">
        <v>136</v>
      </c>
      <c r="C44" s="96" t="s">
        <v>41</v>
      </c>
      <c r="D44" s="96" t="s">
        <v>54</v>
      </c>
      <c r="E44" s="96" t="s">
        <v>145</v>
      </c>
      <c r="F44" s="96" t="s">
        <v>196</v>
      </c>
      <c r="G44" s="97">
        <f t="shared" si="0"/>
        <v>2500000000.0000005</v>
      </c>
      <c r="H44" s="97">
        <f>SUMIF(I$1:BI$1,"&lt;="&amp;[2]PARAMETER!X$2,I44:BI44)</f>
        <v>0</v>
      </c>
      <c r="I44" s="97">
        <v>0</v>
      </c>
      <c r="J44" s="97">
        <v>0</v>
      </c>
      <c r="K44" s="97">
        <v>0</v>
      </c>
      <c r="L44" s="97">
        <v>0</v>
      </c>
      <c r="M44" s="97">
        <v>0</v>
      </c>
      <c r="N44" s="97">
        <v>0</v>
      </c>
      <c r="O44" s="97">
        <v>0</v>
      </c>
      <c r="P44" s="97">
        <v>0</v>
      </c>
      <c r="Q44" s="97">
        <v>0</v>
      </c>
      <c r="R44" s="97">
        <v>0</v>
      </c>
      <c r="S44" s="97">
        <v>0</v>
      </c>
      <c r="T44" s="97">
        <v>0</v>
      </c>
      <c r="U44" s="97">
        <v>0</v>
      </c>
      <c r="V44" s="97">
        <v>0</v>
      </c>
      <c r="W44" s="97">
        <v>45369250.115228496</v>
      </c>
      <c r="X44" s="97">
        <v>58748551.510851197</v>
      </c>
      <c r="Y44" s="97">
        <v>0</v>
      </c>
      <c r="Z44" s="97">
        <v>6359021.7143840799</v>
      </c>
      <c r="AA44" s="97">
        <v>76535336.1081945</v>
      </c>
      <c r="AB44" s="97">
        <v>73196644.133287907</v>
      </c>
      <c r="AC44" s="97">
        <v>81266423.834420696</v>
      </c>
      <c r="AD44" s="97">
        <v>85070991.682110697</v>
      </c>
      <c r="AE44" s="97">
        <v>46985188.328581102</v>
      </c>
      <c r="AF44" s="97">
        <v>76634345.544033602</v>
      </c>
      <c r="AG44" s="97">
        <v>43699117.263311498</v>
      </c>
      <c r="AH44" s="97">
        <v>73632796.331227794</v>
      </c>
      <c r="AI44" s="97">
        <v>96007052.862601295</v>
      </c>
      <c r="AJ44" s="97">
        <v>77222357.372458905</v>
      </c>
      <c r="AK44" s="97">
        <v>83204715.926773503</v>
      </c>
      <c r="AL44" s="97">
        <v>83593145.576638997</v>
      </c>
      <c r="AM44" s="97">
        <v>71802268.193251505</v>
      </c>
      <c r="AN44" s="97">
        <v>63844827.7246354</v>
      </c>
      <c r="AO44" s="97">
        <v>66457738.846658103</v>
      </c>
      <c r="AP44" s="97">
        <v>61974174.710029602</v>
      </c>
      <c r="AQ44" s="97">
        <v>64314966.214182898</v>
      </c>
      <c r="AR44" s="97">
        <v>74552541.879943505</v>
      </c>
      <c r="AS44" s="97">
        <v>61614728.7697502</v>
      </c>
      <c r="AT44" s="97">
        <v>57903855.114501603</v>
      </c>
      <c r="AU44" s="97">
        <v>61547913.033627599</v>
      </c>
      <c r="AV44" s="97">
        <v>62742279.491223298</v>
      </c>
      <c r="AW44" s="97">
        <v>65143531.367922902</v>
      </c>
      <c r="AX44" s="97">
        <v>65628143.994785398</v>
      </c>
      <c r="AY44" s="97">
        <v>71679195.295685098</v>
      </c>
      <c r="AZ44" s="97">
        <v>68804262.476044193</v>
      </c>
      <c r="BA44" s="97">
        <v>44298384.901284799</v>
      </c>
      <c r="BB44" s="97">
        <v>61305600.466968901</v>
      </c>
      <c r="BC44" s="97">
        <v>54003915.124983899</v>
      </c>
      <c r="BD44" s="97">
        <v>67434284.545407698</v>
      </c>
      <c r="BE44" s="97">
        <v>68108627.390861794</v>
      </c>
      <c r="BF44" s="97">
        <v>68789713.664770395</v>
      </c>
      <c r="BG44" s="97">
        <v>69477610.801418096</v>
      </c>
      <c r="BH44" s="97">
        <v>70172386.909432307</v>
      </c>
      <c r="BI44" s="97">
        <v>70874110.778526604</v>
      </c>
    </row>
    <row r="45" spans="1:61" x14ac:dyDescent="0.25">
      <c r="A45" s="95" t="s">
        <v>46</v>
      </c>
      <c r="B45" s="95" t="s">
        <v>136</v>
      </c>
      <c r="C45" s="96" t="s">
        <v>42</v>
      </c>
      <c r="D45" s="96" t="s">
        <v>54</v>
      </c>
      <c r="E45" s="96" t="s">
        <v>147</v>
      </c>
      <c r="F45" s="96" t="s">
        <v>197</v>
      </c>
      <c r="G45" s="97">
        <f t="shared" si="0"/>
        <v>24000.000000000004</v>
      </c>
      <c r="H45" s="97">
        <f>SUMIF(I$1:BI$1,"&lt;="&amp;[2]PARAMETER!X$2,I45:BI45)</f>
        <v>0</v>
      </c>
      <c r="I45" s="97">
        <v>0</v>
      </c>
      <c r="J45" s="97">
        <v>0</v>
      </c>
      <c r="K45" s="97">
        <v>0</v>
      </c>
      <c r="L45" s="97">
        <v>0</v>
      </c>
      <c r="M45" s="97">
        <v>0</v>
      </c>
      <c r="N45" s="97">
        <v>0</v>
      </c>
      <c r="O45" s="97">
        <v>0</v>
      </c>
      <c r="P45" s="97">
        <v>0</v>
      </c>
      <c r="Q45" s="97">
        <v>0</v>
      </c>
      <c r="R45" s="97">
        <v>0</v>
      </c>
      <c r="S45" s="97">
        <v>0</v>
      </c>
      <c r="T45" s="97">
        <v>0</v>
      </c>
      <c r="U45" s="97">
        <v>0</v>
      </c>
      <c r="V45" s="97">
        <v>0</v>
      </c>
      <c r="W45" s="97">
        <v>435.54480110619397</v>
      </c>
      <c r="X45" s="97">
        <v>563.986094504172</v>
      </c>
      <c r="Y45" s="97">
        <v>0</v>
      </c>
      <c r="Z45" s="97">
        <v>61.046608458087199</v>
      </c>
      <c r="AA45" s="97">
        <v>734.73922663866699</v>
      </c>
      <c r="AB45" s="97">
        <v>702.68778367956395</v>
      </c>
      <c r="AC45" s="97">
        <v>780.15766881043896</v>
      </c>
      <c r="AD45" s="97">
        <v>816.68152014826296</v>
      </c>
      <c r="AE45" s="97">
        <v>451.05780795437801</v>
      </c>
      <c r="AF45" s="97">
        <v>735.68971722272295</v>
      </c>
      <c r="AG45" s="97">
        <v>419.51152572779</v>
      </c>
      <c r="AH45" s="97">
        <v>706.87484477978705</v>
      </c>
      <c r="AI45" s="97">
        <v>921.66770748097304</v>
      </c>
      <c r="AJ45" s="97">
        <v>741.33463077560498</v>
      </c>
      <c r="AK45" s="97">
        <v>798.76527289702597</v>
      </c>
      <c r="AL45" s="97">
        <v>802.494197535735</v>
      </c>
      <c r="AM45" s="97">
        <v>689.30177465521399</v>
      </c>
      <c r="AN45" s="97">
        <v>612.91034615650005</v>
      </c>
      <c r="AO45" s="97">
        <v>637.99429292791797</v>
      </c>
      <c r="AP45" s="97">
        <v>594.95207721628401</v>
      </c>
      <c r="AQ45" s="97">
        <v>617.42367565615598</v>
      </c>
      <c r="AR45" s="97">
        <v>715.70440204745705</v>
      </c>
      <c r="AS45" s="97">
        <v>591.50139618960202</v>
      </c>
      <c r="AT45" s="97">
        <v>555.877009099215</v>
      </c>
      <c r="AU45" s="97">
        <v>590.85996512282497</v>
      </c>
      <c r="AV45" s="97">
        <v>602.32588311574295</v>
      </c>
      <c r="AW45" s="97">
        <v>625.37790113205995</v>
      </c>
      <c r="AX45" s="97">
        <v>630.03018234993999</v>
      </c>
      <c r="AY45" s="97">
        <v>688.12027483857696</v>
      </c>
      <c r="AZ45" s="97">
        <v>660.52091977002499</v>
      </c>
      <c r="BA45" s="97">
        <v>425.26449505233398</v>
      </c>
      <c r="BB45" s="97">
        <v>588.53376448290101</v>
      </c>
      <c r="BC45" s="97">
        <v>518.43758519984499</v>
      </c>
      <c r="BD45" s="97">
        <v>647.36913163591396</v>
      </c>
      <c r="BE45" s="97">
        <v>653.84282295227297</v>
      </c>
      <c r="BF45" s="97">
        <v>660.38125118179596</v>
      </c>
      <c r="BG45" s="97">
        <v>666.98506369361405</v>
      </c>
      <c r="BH45" s="97">
        <v>673.65491433055001</v>
      </c>
      <c r="BI45" s="97">
        <v>680.39146347385599</v>
      </c>
    </row>
    <row r="46" spans="1:61" x14ac:dyDescent="0.25">
      <c r="A46" s="95" t="s">
        <v>46</v>
      </c>
      <c r="B46" s="95" t="s">
        <v>136</v>
      </c>
      <c r="C46" s="96" t="s">
        <v>40</v>
      </c>
      <c r="D46" s="96" t="s">
        <v>54</v>
      </c>
      <c r="E46" s="96" t="s">
        <v>149</v>
      </c>
      <c r="F46" s="96" t="s">
        <v>198</v>
      </c>
      <c r="G46" s="97">
        <f t="shared" si="0"/>
        <v>14999999.999999996</v>
      </c>
      <c r="H46" s="97">
        <f>SUMIF(I$1:BI$1,"&lt;="&amp;[2]PARAMETER!X$2,I46:BI46)</f>
        <v>0</v>
      </c>
      <c r="I46" s="97">
        <v>0</v>
      </c>
      <c r="J46" s="97">
        <v>0</v>
      </c>
      <c r="K46" s="97">
        <v>0</v>
      </c>
      <c r="L46" s="97">
        <v>0</v>
      </c>
      <c r="M46" s="97">
        <v>0</v>
      </c>
      <c r="N46" s="97">
        <v>0</v>
      </c>
      <c r="O46" s="97">
        <v>0</v>
      </c>
      <c r="P46" s="97">
        <v>0</v>
      </c>
      <c r="Q46" s="97">
        <v>0</v>
      </c>
      <c r="R46" s="97">
        <v>0</v>
      </c>
      <c r="S46" s="97">
        <v>0</v>
      </c>
      <c r="T46" s="97">
        <v>0</v>
      </c>
      <c r="U46" s="97">
        <v>0</v>
      </c>
      <c r="V46" s="97">
        <v>0</v>
      </c>
      <c r="W46" s="97">
        <v>272215.50069137098</v>
      </c>
      <c r="X46" s="97">
        <v>352491.30906510702</v>
      </c>
      <c r="Y46" s="97">
        <v>0</v>
      </c>
      <c r="Z46" s="97">
        <v>38154.130286304498</v>
      </c>
      <c r="AA46" s="97">
        <v>459212.016649167</v>
      </c>
      <c r="AB46" s="97">
        <v>439179.86479972699</v>
      </c>
      <c r="AC46" s="97">
        <v>487598.54300652398</v>
      </c>
      <c r="AD46" s="97">
        <v>510425.95009266399</v>
      </c>
      <c r="AE46" s="97">
        <v>281911.12997148599</v>
      </c>
      <c r="AF46" s="97">
        <v>459806.073264201</v>
      </c>
      <c r="AG46" s="97">
        <v>262194.703579869</v>
      </c>
      <c r="AH46" s="97">
        <v>441796.77798736701</v>
      </c>
      <c r="AI46" s="97">
        <v>576042.31717560801</v>
      </c>
      <c r="AJ46" s="97">
        <v>463334.14423475298</v>
      </c>
      <c r="AK46" s="97">
        <v>499228.29556064098</v>
      </c>
      <c r="AL46" s="97">
        <v>501558.87345983402</v>
      </c>
      <c r="AM46" s="97">
        <v>430813.60915950901</v>
      </c>
      <c r="AN46" s="97">
        <v>383068.96634781302</v>
      </c>
      <c r="AO46" s="97">
        <v>398746.433079949</v>
      </c>
      <c r="AP46" s="97">
        <v>371845.04826017702</v>
      </c>
      <c r="AQ46" s="97">
        <v>385889.79728509701</v>
      </c>
      <c r="AR46" s="97">
        <v>447315.25127966102</v>
      </c>
      <c r="AS46" s="97">
        <v>369688.37261850102</v>
      </c>
      <c r="AT46" s="97">
        <v>347423.13068701001</v>
      </c>
      <c r="AU46" s="97">
        <v>369287.47820176597</v>
      </c>
      <c r="AV46" s="97">
        <v>376453.67694733897</v>
      </c>
      <c r="AW46" s="97">
        <v>390861.18820753699</v>
      </c>
      <c r="AX46" s="97">
        <v>393768.86396871199</v>
      </c>
      <c r="AY46" s="97">
        <v>430075.17177411099</v>
      </c>
      <c r="AZ46" s="97">
        <v>412825.57485626498</v>
      </c>
      <c r="BA46" s="97">
        <v>265790.30940770899</v>
      </c>
      <c r="BB46" s="97">
        <v>367833.60280181299</v>
      </c>
      <c r="BC46" s="97">
        <v>324023.49074990302</v>
      </c>
      <c r="BD46" s="97">
        <v>404605.70727244602</v>
      </c>
      <c r="BE46" s="97">
        <v>408651.76434517099</v>
      </c>
      <c r="BF46" s="97">
        <v>412738.28198862303</v>
      </c>
      <c r="BG46" s="97">
        <v>416865.664808509</v>
      </c>
      <c r="BH46" s="97">
        <v>421034.32145659399</v>
      </c>
      <c r="BI46" s="97">
        <v>425244.66467115999</v>
      </c>
    </row>
    <row r="47" spans="1:61" x14ac:dyDescent="0.25">
      <c r="A47" s="95" t="s">
        <v>29</v>
      </c>
      <c r="B47" s="95" t="s">
        <v>136</v>
      </c>
      <c r="C47" s="96" t="s">
        <v>41</v>
      </c>
      <c r="D47" s="96" t="s">
        <v>56</v>
      </c>
      <c r="E47" s="96" t="s">
        <v>175</v>
      </c>
      <c r="F47" s="96" t="s">
        <v>199</v>
      </c>
      <c r="G47" s="97">
        <f t="shared" si="0"/>
        <v>2500000000.000001</v>
      </c>
      <c r="H47" s="97">
        <f>SUMIF(I$1:BI$1,"&lt;="&amp;[2]PARAMETER!X$2,I47:BI47)</f>
        <v>641023794.29697096</v>
      </c>
      <c r="I47" s="97">
        <v>98675053.013516203</v>
      </c>
      <c r="J47" s="97">
        <v>42421541.791941099</v>
      </c>
      <c r="K47" s="97">
        <v>37504442.139021397</v>
      </c>
      <c r="L47" s="97">
        <v>68911890.840886205</v>
      </c>
      <c r="M47" s="97">
        <v>71887366.528293997</v>
      </c>
      <c r="N47" s="97">
        <v>95369669.357942402</v>
      </c>
      <c r="O47" s="97">
        <v>104147957.235836</v>
      </c>
      <c r="P47" s="97">
        <v>74128429.254720896</v>
      </c>
      <c r="Q47" s="97">
        <v>47977444.134812698</v>
      </c>
      <c r="R47" s="97">
        <v>32521150.7600048</v>
      </c>
      <c r="S47" s="97">
        <v>18924529.689826701</v>
      </c>
      <c r="T47" s="97">
        <v>48897824.326256603</v>
      </c>
      <c r="U47" s="97">
        <v>138148436.33834401</v>
      </c>
      <c r="V47" s="97">
        <v>271877786.962973</v>
      </c>
      <c r="W47" s="97">
        <v>156705234.21652001</v>
      </c>
      <c r="X47" s="97">
        <v>137384604.83243099</v>
      </c>
      <c r="Y47" s="97">
        <v>92694683.093768597</v>
      </c>
      <c r="Z47" s="97">
        <v>90346452.810803697</v>
      </c>
      <c r="AA47" s="97">
        <v>60967833.046927802</v>
      </c>
      <c r="AB47" s="97">
        <v>34440710.816817597</v>
      </c>
      <c r="AC47" s="97">
        <v>41355119.5381561</v>
      </c>
      <c r="AD47" s="97">
        <v>53322163.351565301</v>
      </c>
      <c r="AE47" s="97">
        <v>48850544.5219016</v>
      </c>
      <c r="AF47" s="97">
        <v>56024466.836033098</v>
      </c>
      <c r="AG47" s="97">
        <v>41402399.342511103</v>
      </c>
      <c r="AH47" s="97">
        <v>40681644.991677202</v>
      </c>
      <c r="AI47" s="97">
        <v>26902208.6779931</v>
      </c>
      <c r="AJ47" s="97">
        <v>20550954.959638599</v>
      </c>
      <c r="AK47" s="97">
        <v>29031901.198605999</v>
      </c>
      <c r="AL47" s="97">
        <v>26070084.1213452</v>
      </c>
      <c r="AM47" s="97">
        <v>33835529.321073703</v>
      </c>
      <c r="AN47" s="97">
        <v>35052196.286475599</v>
      </c>
      <c r="AO47" s="97">
        <v>59090299.4828749</v>
      </c>
      <c r="AP47" s="97">
        <v>38944900.178370297</v>
      </c>
      <c r="AQ47" s="97">
        <v>21570354.821336702</v>
      </c>
      <c r="AR47" s="97">
        <v>28190320.681087099</v>
      </c>
      <c r="AS47" s="97">
        <v>15833481.1473289</v>
      </c>
      <c r="AT47" s="97">
        <v>8812955.5317713898</v>
      </c>
      <c r="AU47" s="97">
        <v>9171231.3825503699</v>
      </c>
      <c r="AV47" s="97">
        <v>6307125.9009565599</v>
      </c>
      <c r="AW47" s="97">
        <v>8532428.69259841</v>
      </c>
      <c r="AX47" s="97">
        <v>7618352.4750684705</v>
      </c>
      <c r="AY47" s="97">
        <v>24758857.547233298</v>
      </c>
      <c r="AZ47" s="97">
        <v>30924145.085787199</v>
      </c>
      <c r="BA47" s="97">
        <v>25684491.0502722</v>
      </c>
      <c r="BB47" s="97">
        <v>12663632.9309061</v>
      </c>
      <c r="BC47" s="97">
        <v>12630011.7366981</v>
      </c>
      <c r="BD47" s="97">
        <v>1992055.7568238601</v>
      </c>
      <c r="BE47" s="97">
        <v>2011976.3143921001</v>
      </c>
      <c r="BF47" s="97">
        <v>2032096.07753602</v>
      </c>
      <c r="BG47" s="97">
        <v>2052417.03831138</v>
      </c>
      <c r="BH47" s="97">
        <v>2072941.2086944999</v>
      </c>
      <c r="BI47" s="97">
        <v>2093670.6207814401</v>
      </c>
    </row>
    <row r="48" spans="1:61" x14ac:dyDescent="0.25">
      <c r="A48" s="95" t="s">
        <v>29</v>
      </c>
      <c r="B48" s="95" t="s">
        <v>136</v>
      </c>
      <c r="C48" s="96" t="s">
        <v>42</v>
      </c>
      <c r="D48" s="96" t="s">
        <v>56</v>
      </c>
      <c r="E48" s="96" t="s">
        <v>177</v>
      </c>
      <c r="F48" s="96" t="s">
        <v>200</v>
      </c>
      <c r="G48" s="97">
        <f t="shared" si="0"/>
        <v>27000.000000000015</v>
      </c>
      <c r="H48" s="97">
        <f>SUMIF(I$1:BI$1,"&lt;="&amp;[2]PARAMETER!X$2,I48:BI48)</f>
        <v>6923.0569784072959</v>
      </c>
      <c r="I48" s="97">
        <v>1065.6905725459801</v>
      </c>
      <c r="J48" s="97">
        <v>458.15265135296403</v>
      </c>
      <c r="K48" s="97">
        <v>405.04797510143101</v>
      </c>
      <c r="L48" s="97">
        <v>744.248421081571</v>
      </c>
      <c r="M48" s="97">
        <v>776.38355850557605</v>
      </c>
      <c r="N48" s="97">
        <v>1029.99242906578</v>
      </c>
      <c r="O48" s="97">
        <v>1124.79793814703</v>
      </c>
      <c r="P48" s="97">
        <v>800.58703595098598</v>
      </c>
      <c r="Q48" s="97">
        <v>518.15639665597701</v>
      </c>
      <c r="R48" s="97">
        <v>351.22842820805101</v>
      </c>
      <c r="S48" s="97">
        <v>204.38492065012801</v>
      </c>
      <c r="T48" s="97">
        <v>528.09650272357203</v>
      </c>
      <c r="U48" s="97">
        <v>1492.0031124541099</v>
      </c>
      <c r="V48" s="97">
        <v>2936.2800992001098</v>
      </c>
      <c r="W48" s="97">
        <v>1692.41652953842</v>
      </c>
      <c r="X48" s="97">
        <v>1483.75373219025</v>
      </c>
      <c r="Y48" s="97">
        <v>1001.1025774127</v>
      </c>
      <c r="Z48" s="97">
        <v>975.74169035668103</v>
      </c>
      <c r="AA48" s="97">
        <v>658.45259690681996</v>
      </c>
      <c r="AB48" s="97">
        <v>371.95967682163001</v>
      </c>
      <c r="AC48" s="97">
        <v>446.63529101208599</v>
      </c>
      <c r="AD48" s="97">
        <v>575.87936419690504</v>
      </c>
      <c r="AE48" s="97">
        <v>527.58588083653797</v>
      </c>
      <c r="AF48" s="97">
        <v>605.06424182915805</v>
      </c>
      <c r="AG48" s="97">
        <v>447.14591289911999</v>
      </c>
      <c r="AH48" s="97">
        <v>439.361765910114</v>
      </c>
      <c r="AI48" s="97">
        <v>290.54385372232599</v>
      </c>
      <c r="AJ48" s="97">
        <v>221.950313564097</v>
      </c>
      <c r="AK48" s="97">
        <v>313.54453294494499</v>
      </c>
      <c r="AL48" s="97">
        <v>281.55690851052799</v>
      </c>
      <c r="AM48" s="97">
        <v>365.42371666759601</v>
      </c>
      <c r="AN48" s="97">
        <v>378.56371989393602</v>
      </c>
      <c r="AO48" s="97">
        <v>638.17523441504898</v>
      </c>
      <c r="AP48" s="97">
        <v>420.60492192639902</v>
      </c>
      <c r="AQ48" s="97">
        <v>232.95983207043599</v>
      </c>
      <c r="AR48" s="97">
        <v>304.45546335573999</v>
      </c>
      <c r="AS48" s="97">
        <v>171.00159639115199</v>
      </c>
      <c r="AT48" s="97">
        <v>95.179919743131094</v>
      </c>
      <c r="AU48" s="97">
        <v>99.049298931544001</v>
      </c>
      <c r="AV48" s="97">
        <v>68.116959730330905</v>
      </c>
      <c r="AW48" s="97">
        <v>92.150229880062795</v>
      </c>
      <c r="AX48" s="97">
        <v>82.278206730739498</v>
      </c>
      <c r="AY48" s="97">
        <v>267.39566151012002</v>
      </c>
      <c r="AZ48" s="97">
        <v>333.98076692650199</v>
      </c>
      <c r="BA48" s="97">
        <v>277.39250334294002</v>
      </c>
      <c r="BB48" s="97">
        <v>136.767235653786</v>
      </c>
      <c r="BC48" s="97">
        <v>136.40412675633999</v>
      </c>
      <c r="BD48" s="97">
        <v>21.514202173697701</v>
      </c>
      <c r="BE48" s="97">
        <v>21.729344195434699</v>
      </c>
      <c r="BF48" s="97">
        <v>21.946637637388999</v>
      </c>
      <c r="BG48" s="97">
        <v>22.166104013762901</v>
      </c>
      <c r="BH48" s="97">
        <v>22.387765053900601</v>
      </c>
      <c r="BI48" s="97">
        <v>22.6116427044396</v>
      </c>
    </row>
    <row r="49" spans="1:61" x14ac:dyDescent="0.25">
      <c r="A49" s="95" t="s">
        <v>29</v>
      </c>
      <c r="B49" s="95" t="s">
        <v>136</v>
      </c>
      <c r="C49" s="96" t="s">
        <v>40</v>
      </c>
      <c r="D49" s="96" t="s">
        <v>56</v>
      </c>
      <c r="E49" s="96" t="s">
        <v>179</v>
      </c>
      <c r="F49" s="96" t="s">
        <v>201</v>
      </c>
      <c r="G49" s="97">
        <f t="shared" si="0"/>
        <v>17000000</v>
      </c>
      <c r="H49" s="97">
        <f>SUMIF(I$1:BI$1,"&lt;="&amp;[2]PARAMETER!X$2,I49:BI49)</f>
        <v>4358961.8012194009</v>
      </c>
      <c r="I49" s="97">
        <v>670990.36049191002</v>
      </c>
      <c r="J49" s="97">
        <v>288466.48418519902</v>
      </c>
      <c r="K49" s="97">
        <v>255030.20654534601</v>
      </c>
      <c r="L49" s="97">
        <v>468600.85771802597</v>
      </c>
      <c r="M49" s="97">
        <v>488834.09239239898</v>
      </c>
      <c r="N49" s="97">
        <v>648513.75163400802</v>
      </c>
      <c r="O49" s="97">
        <v>708206.10920368496</v>
      </c>
      <c r="P49" s="97">
        <v>504073.318932102</v>
      </c>
      <c r="Q49" s="97">
        <v>326246.62011672597</v>
      </c>
      <c r="R49" s="97">
        <v>221143.825168032</v>
      </c>
      <c r="S49" s="97">
        <v>128686.801890822</v>
      </c>
      <c r="T49" s="97">
        <v>332505.205418545</v>
      </c>
      <c r="U49" s="97">
        <v>939409.36710073601</v>
      </c>
      <c r="V49" s="97">
        <v>1848768.95134822</v>
      </c>
      <c r="W49" s="97">
        <v>1065595.5926723401</v>
      </c>
      <c r="X49" s="97">
        <v>934215.31286052696</v>
      </c>
      <c r="Y49" s="97">
        <v>630323.84503762703</v>
      </c>
      <c r="Z49" s="97">
        <v>614355.87911346601</v>
      </c>
      <c r="AA49" s="97">
        <v>414581.26471910899</v>
      </c>
      <c r="AB49" s="97">
        <v>234196.83355436</v>
      </c>
      <c r="AC49" s="97">
        <v>281214.81285946199</v>
      </c>
      <c r="AD49" s="97">
        <v>362590.71079064399</v>
      </c>
      <c r="AE49" s="97">
        <v>332183.70274893101</v>
      </c>
      <c r="AF49" s="97">
        <v>380966.37448502501</v>
      </c>
      <c r="AG49" s="97">
        <v>281536.31552907598</v>
      </c>
      <c r="AH49" s="97">
        <v>276635.18594340503</v>
      </c>
      <c r="AI49" s="97">
        <v>182935.01901035299</v>
      </c>
      <c r="AJ49" s="97">
        <v>139746.49372554201</v>
      </c>
      <c r="AK49" s="97">
        <v>197416.92815052101</v>
      </c>
      <c r="AL49" s="97">
        <v>177276.572025147</v>
      </c>
      <c r="AM49" s="97">
        <v>230081.59938330101</v>
      </c>
      <c r="AN49" s="97">
        <v>238354.93474803399</v>
      </c>
      <c r="AO49" s="97">
        <v>401814.03648354899</v>
      </c>
      <c r="AP49" s="97">
        <v>264825.32121291797</v>
      </c>
      <c r="AQ49" s="97">
        <v>146678.41278508899</v>
      </c>
      <c r="AR49" s="97">
        <v>191694.180631392</v>
      </c>
      <c r="AS49" s="97">
        <v>107667.671801837</v>
      </c>
      <c r="AT49" s="97">
        <v>59928.097616045503</v>
      </c>
      <c r="AU49" s="97">
        <v>62364.373401342498</v>
      </c>
      <c r="AV49" s="97">
        <v>42888.4561265046</v>
      </c>
      <c r="AW49" s="97">
        <v>58020.515109669199</v>
      </c>
      <c r="AX49" s="97">
        <v>51804.796830465602</v>
      </c>
      <c r="AY49" s="97">
        <v>168360.231321186</v>
      </c>
      <c r="AZ49" s="97">
        <v>210284.186583353</v>
      </c>
      <c r="BA49" s="97">
        <v>174654.53914185101</v>
      </c>
      <c r="BB49" s="97">
        <v>86112.703930161704</v>
      </c>
      <c r="BC49" s="97">
        <v>85884.079809547198</v>
      </c>
      <c r="BD49" s="97">
        <v>13545.9791464023</v>
      </c>
      <c r="BE49" s="97">
        <v>13681.4389378663</v>
      </c>
      <c r="BF49" s="97">
        <v>13818.253327245</v>
      </c>
      <c r="BG49" s="97">
        <v>13956.4358605174</v>
      </c>
      <c r="BH49" s="97">
        <v>14096.000219122599</v>
      </c>
      <c r="BI49" s="97">
        <v>14236.960221313801</v>
      </c>
    </row>
    <row r="50" spans="1:61" x14ac:dyDescent="0.25">
      <c r="A50" s="95" t="s">
        <v>53</v>
      </c>
      <c r="B50" s="95" t="s">
        <v>136</v>
      </c>
      <c r="C50" s="96" t="s">
        <v>41</v>
      </c>
      <c r="D50" s="96" t="s">
        <v>54</v>
      </c>
      <c r="E50" s="96" t="s">
        <v>145</v>
      </c>
      <c r="F50" s="96" t="s">
        <v>202</v>
      </c>
      <c r="G50" s="97">
        <f t="shared" si="0"/>
        <v>970000000.00000072</v>
      </c>
      <c r="H50" s="97">
        <f>SUMIF(I$1:BI$1,"&lt;="&amp;[2]PARAMETER!X$2,I50:BI50)</f>
        <v>319624982.05939519</v>
      </c>
      <c r="I50" s="97">
        <v>96340.692474968193</v>
      </c>
      <c r="J50" s="97">
        <v>1809064.1142521801</v>
      </c>
      <c r="K50" s="97">
        <v>96340693.545420304</v>
      </c>
      <c r="L50" s="97">
        <v>6401303.7888923297</v>
      </c>
      <c r="M50" s="97">
        <v>9829103.4862474203</v>
      </c>
      <c r="N50" s="97">
        <v>132154217.716436</v>
      </c>
      <c r="O50" s="97">
        <v>31646006.7209596</v>
      </c>
      <c r="P50" s="97">
        <v>26455377.878123201</v>
      </c>
      <c r="Q50" s="97">
        <v>14892874.1165892</v>
      </c>
      <c r="R50" s="97">
        <v>12115638.4951184</v>
      </c>
      <c r="S50" s="97">
        <v>4841160.4740484199</v>
      </c>
      <c r="T50" s="97">
        <v>6891703.6044412404</v>
      </c>
      <c r="U50" s="97">
        <v>28169353.728902601</v>
      </c>
      <c r="V50" s="97">
        <v>9017616.1994615104</v>
      </c>
      <c r="W50" s="97">
        <v>7217683.0419516796</v>
      </c>
      <c r="X50" s="97">
        <v>5903199.92930183</v>
      </c>
      <c r="Y50" s="97">
        <v>4531318.1025275402</v>
      </c>
      <c r="Z50" s="97">
        <v>13424646.245079201</v>
      </c>
      <c r="AA50" s="97">
        <v>12004084.536849501</v>
      </c>
      <c r="AB50" s="97">
        <v>5150014.8182453597</v>
      </c>
      <c r="AC50" s="97">
        <v>8154973.0754235396</v>
      </c>
      <c r="AD50" s="97">
        <v>10999833.440299001</v>
      </c>
      <c r="AE50" s="97">
        <v>45078375.207766801</v>
      </c>
      <c r="AF50" s="97">
        <v>5590844.1361594899</v>
      </c>
      <c r="AG50" s="97">
        <v>10599816.180621499</v>
      </c>
      <c r="AH50" s="97">
        <v>18596327.014610101</v>
      </c>
      <c r="AI50" s="97">
        <v>6477888.2166970996</v>
      </c>
      <c r="AJ50" s="97">
        <v>13866357.615555599</v>
      </c>
      <c r="AK50" s="97">
        <v>11230620.7804792</v>
      </c>
      <c r="AL50" s="97">
        <v>10381770.432247199</v>
      </c>
      <c r="AM50" s="97">
        <v>10879330.502151299</v>
      </c>
      <c r="AN50" s="97">
        <v>28165924.0002505</v>
      </c>
      <c r="AO50" s="97">
        <v>101713522.976318</v>
      </c>
      <c r="AP50" s="97">
        <v>10245465.479629301</v>
      </c>
      <c r="AQ50" s="97">
        <v>7919881.4471939905</v>
      </c>
      <c r="AR50" s="97">
        <v>11443581.8811951</v>
      </c>
      <c r="AS50" s="97">
        <v>11219565.1507916</v>
      </c>
      <c r="AT50" s="97">
        <v>11573535.8412746</v>
      </c>
      <c r="AU50" s="97">
        <v>45293967.479839399</v>
      </c>
      <c r="AV50" s="97">
        <v>25593996.817156699</v>
      </c>
      <c r="AW50" s="97">
        <v>6680038.8212651797</v>
      </c>
      <c r="AX50" s="97">
        <v>6665193.7910069302</v>
      </c>
      <c r="AY50" s="97">
        <v>9458436.9537585303</v>
      </c>
      <c r="AZ50" s="97">
        <v>13675958.4345652</v>
      </c>
      <c r="BA50" s="97">
        <v>9222647.3907345999</v>
      </c>
      <c r="BB50" s="97">
        <v>9248765.3524645697</v>
      </c>
      <c r="BC50" s="97">
        <v>27695236.560834099</v>
      </c>
      <c r="BD50" s="97">
        <v>8686055.4245003592</v>
      </c>
      <c r="BE50" s="97">
        <v>8772915.9787453599</v>
      </c>
      <c r="BF50" s="97">
        <v>8860645.1385328099</v>
      </c>
      <c r="BG50" s="97">
        <v>8949251.5899181403</v>
      </c>
      <c r="BH50" s="97">
        <v>9038744.1058173291</v>
      </c>
      <c r="BI50" s="97">
        <v>9129131.5468754992</v>
      </c>
    </row>
    <row r="51" spans="1:61" x14ac:dyDescent="0.25">
      <c r="A51" s="95" t="s">
        <v>53</v>
      </c>
      <c r="B51" s="95" t="s">
        <v>136</v>
      </c>
      <c r="C51" s="96" t="s">
        <v>42</v>
      </c>
      <c r="D51" s="96" t="s">
        <v>54</v>
      </c>
      <c r="E51" s="96" t="s">
        <v>147</v>
      </c>
      <c r="F51" s="96" t="s">
        <v>203</v>
      </c>
      <c r="G51" s="97">
        <f t="shared" si="0"/>
        <v>9000</v>
      </c>
      <c r="H51" s="97">
        <f>SUMIF(I$1:BI$1,"&lt;="&amp;[2]PARAMETER!X$2,I51:BI51)</f>
        <v>2965.5926170459302</v>
      </c>
      <c r="I51" s="97">
        <v>0.89388271368527195</v>
      </c>
      <c r="J51" s="97">
        <v>16.785130956979</v>
      </c>
      <c r="K51" s="97">
        <v>893.88272361730196</v>
      </c>
      <c r="L51" s="97">
        <v>59.393540309310303</v>
      </c>
      <c r="M51" s="97">
        <v>91.197867398171994</v>
      </c>
      <c r="N51" s="97">
        <v>1226.17315407002</v>
      </c>
      <c r="O51" s="97">
        <v>293.62274277179</v>
      </c>
      <c r="P51" s="97">
        <v>245.462268972277</v>
      </c>
      <c r="Q51" s="97">
        <v>138.18130623639499</v>
      </c>
      <c r="R51" s="97">
        <v>112.41314067635599</v>
      </c>
      <c r="S51" s="97">
        <v>44.917983779830699</v>
      </c>
      <c r="T51" s="97">
        <v>63.943641690691997</v>
      </c>
      <c r="U51" s="97">
        <v>261.365137690849</v>
      </c>
      <c r="V51" s="97">
        <v>83.668603912529505</v>
      </c>
      <c r="W51" s="97">
        <v>66.968193172747604</v>
      </c>
      <c r="X51" s="97">
        <v>54.771958106924203</v>
      </c>
      <c r="Y51" s="97">
        <v>42.043157652317298</v>
      </c>
      <c r="Z51" s="97">
        <v>124.558573407952</v>
      </c>
      <c r="AA51" s="97">
        <v>111.37810395015001</v>
      </c>
      <c r="AB51" s="97">
        <v>47.783642643513701</v>
      </c>
      <c r="AC51" s="97">
        <v>75.664698637950394</v>
      </c>
      <c r="AD51" s="97">
        <v>102.06031027081499</v>
      </c>
      <c r="AE51" s="97">
        <v>418.25296584525898</v>
      </c>
      <c r="AF51" s="97">
        <v>51.873811572613903</v>
      </c>
      <c r="AG51" s="97">
        <v>98.348809923292293</v>
      </c>
      <c r="AH51" s="97">
        <v>172.543240341743</v>
      </c>
      <c r="AI51" s="97">
        <v>60.104117474509202</v>
      </c>
      <c r="AJ51" s="97">
        <v>128.656926329897</v>
      </c>
      <c r="AK51" s="97">
        <v>104.201636107539</v>
      </c>
      <c r="AL51" s="97">
        <v>96.325705041468694</v>
      </c>
      <c r="AM51" s="97">
        <v>100.942241772538</v>
      </c>
      <c r="AN51" s="97">
        <v>261.33331546624203</v>
      </c>
      <c r="AO51" s="97">
        <v>943.73371833696694</v>
      </c>
      <c r="AP51" s="97">
        <v>95.061019914086501</v>
      </c>
      <c r="AQ51" s="97">
        <v>73.483436107985497</v>
      </c>
      <c r="AR51" s="97">
        <v>106.17756384614</v>
      </c>
      <c r="AS51" s="97">
        <v>104.099058100128</v>
      </c>
      <c r="AT51" s="97">
        <v>107.38332223863</v>
      </c>
      <c r="AU51" s="97">
        <v>420.253306513974</v>
      </c>
      <c r="AV51" s="97">
        <v>237.470073561248</v>
      </c>
      <c r="AW51" s="97">
        <v>61.9797416406048</v>
      </c>
      <c r="AX51" s="97">
        <v>61.842004246456099</v>
      </c>
      <c r="AY51" s="97">
        <v>87.758693385388497</v>
      </c>
      <c r="AZ51" s="97">
        <v>126.890335990811</v>
      </c>
      <c r="BA51" s="97">
        <v>85.570955171764396</v>
      </c>
      <c r="BB51" s="97">
        <v>85.813286775444496</v>
      </c>
      <c r="BC51" s="97">
        <v>256.96611242010999</v>
      </c>
      <c r="BD51" s="97">
        <v>80.592266825261106</v>
      </c>
      <c r="BE51" s="97">
        <v>81.398189493513698</v>
      </c>
      <c r="BF51" s="97">
        <v>82.212171388448795</v>
      </c>
      <c r="BG51" s="97">
        <v>83.034293102333294</v>
      </c>
      <c r="BH51" s="97">
        <v>83.864636033356703</v>
      </c>
      <c r="BI51" s="97">
        <v>84.703282393690202</v>
      </c>
    </row>
    <row r="52" spans="1:61" x14ac:dyDescent="0.25">
      <c r="A52" s="95" t="s">
        <v>53</v>
      </c>
      <c r="B52" s="95" t="s">
        <v>136</v>
      </c>
      <c r="C52" s="96" t="s">
        <v>40</v>
      </c>
      <c r="D52" s="96" t="s">
        <v>54</v>
      </c>
      <c r="E52" s="96" t="s">
        <v>149</v>
      </c>
      <c r="F52" s="96" t="s">
        <v>204</v>
      </c>
      <c r="G52" s="97">
        <f t="shared" si="0"/>
        <v>4200000.0000000028</v>
      </c>
      <c r="H52" s="97">
        <f>SUMIF(I$1:BI$1,"&lt;="&amp;[2]PARAMETER!X$2,I52:BI52)</f>
        <v>1383943.2212881034</v>
      </c>
      <c r="I52" s="97">
        <v>417.14526638645998</v>
      </c>
      <c r="J52" s="97">
        <v>7833.0611132568602</v>
      </c>
      <c r="K52" s="97">
        <v>417145.27102140803</v>
      </c>
      <c r="L52" s="97">
        <v>27716.985477678099</v>
      </c>
      <c r="M52" s="97">
        <v>42559.004785813602</v>
      </c>
      <c r="N52" s="97">
        <v>572214.13856601005</v>
      </c>
      <c r="O52" s="97">
        <v>137023.946626836</v>
      </c>
      <c r="P52" s="97">
        <v>114549.05885373001</v>
      </c>
      <c r="Q52" s="97">
        <v>64484.609576984098</v>
      </c>
      <c r="R52" s="97">
        <v>52459.465648966201</v>
      </c>
      <c r="S52" s="97">
        <v>20961.725763921</v>
      </c>
      <c r="T52" s="97">
        <v>29840.366122322899</v>
      </c>
      <c r="U52" s="97">
        <v>121970.397589063</v>
      </c>
      <c r="V52" s="97">
        <v>39045.348492513796</v>
      </c>
      <c r="W52" s="97">
        <v>31251.8234806156</v>
      </c>
      <c r="X52" s="97">
        <v>25560.247116564598</v>
      </c>
      <c r="Y52" s="97">
        <v>19620.140237748099</v>
      </c>
      <c r="Z52" s="97">
        <v>58127.334257044102</v>
      </c>
      <c r="AA52" s="97">
        <v>51976.448510069902</v>
      </c>
      <c r="AB52" s="97">
        <v>22299.0332336397</v>
      </c>
      <c r="AC52" s="97">
        <v>35310.192697710198</v>
      </c>
      <c r="AD52" s="97">
        <v>47628.144793047002</v>
      </c>
      <c r="AE52" s="97">
        <v>195184.717394454</v>
      </c>
      <c r="AF52" s="97">
        <v>24207.778733886498</v>
      </c>
      <c r="AG52" s="97">
        <v>45896.111297536401</v>
      </c>
      <c r="AH52" s="97">
        <v>80520.178826146701</v>
      </c>
      <c r="AI52" s="97">
        <v>28048.5881547709</v>
      </c>
      <c r="AJ52" s="97">
        <v>60039.898953951997</v>
      </c>
      <c r="AK52" s="97">
        <v>48627.430183518001</v>
      </c>
      <c r="AL52" s="97">
        <v>44951.995686018701</v>
      </c>
      <c r="AM52" s="97">
        <v>47106.3794938508</v>
      </c>
      <c r="AN52" s="97">
        <v>121955.54721758</v>
      </c>
      <c r="AO52" s="97">
        <v>440409.06855725101</v>
      </c>
      <c r="AP52" s="97">
        <v>44361.809293240403</v>
      </c>
      <c r="AQ52" s="97">
        <v>34292.270183726498</v>
      </c>
      <c r="AR52" s="97">
        <v>49549.529794865302</v>
      </c>
      <c r="AS52" s="97">
        <v>48579.5604467265</v>
      </c>
      <c r="AT52" s="97">
        <v>50112.217044694</v>
      </c>
      <c r="AU52" s="97">
        <v>196118.20970652101</v>
      </c>
      <c r="AV52" s="97">
        <v>110819.367661916</v>
      </c>
      <c r="AW52" s="97">
        <v>28923.8794322822</v>
      </c>
      <c r="AX52" s="97">
        <v>28859.601981679501</v>
      </c>
      <c r="AY52" s="97">
        <v>40954.056913181303</v>
      </c>
      <c r="AZ52" s="97">
        <v>59215.490129045</v>
      </c>
      <c r="BA52" s="97">
        <v>39933.112413490002</v>
      </c>
      <c r="BB52" s="97">
        <v>40046.200495207398</v>
      </c>
      <c r="BC52" s="97">
        <v>119917.51912938499</v>
      </c>
      <c r="BD52" s="97">
        <v>37609.724518455201</v>
      </c>
      <c r="BE52" s="97">
        <v>37985.821763639702</v>
      </c>
      <c r="BF52" s="97">
        <v>38365.679981276102</v>
      </c>
      <c r="BG52" s="97">
        <v>38749.336781088903</v>
      </c>
      <c r="BH52" s="97">
        <v>39136.830148899797</v>
      </c>
      <c r="BI52" s="97">
        <v>39528.198450388802</v>
      </c>
    </row>
    <row r="53" spans="1:61" x14ac:dyDescent="0.25">
      <c r="A53" s="95" t="s">
        <v>31</v>
      </c>
      <c r="B53" s="95" t="s">
        <v>136</v>
      </c>
      <c r="C53" s="96" t="s">
        <v>41</v>
      </c>
      <c r="D53" s="96" t="s">
        <v>55</v>
      </c>
      <c r="E53" s="96" t="s">
        <v>151</v>
      </c>
      <c r="F53" s="96" t="s">
        <v>205</v>
      </c>
      <c r="G53" s="97">
        <f t="shared" si="0"/>
        <v>8600000000</v>
      </c>
      <c r="H53" s="97">
        <f>SUMIF(I$1:BI$1,"&lt;="&amp;[2]PARAMETER!X$2,I53:BI53)</f>
        <v>1967436007.2448373</v>
      </c>
      <c r="I53" s="97">
        <v>193295075.77648801</v>
      </c>
      <c r="J53" s="97">
        <v>210901159.14861301</v>
      </c>
      <c r="K53" s="97">
        <v>253691086.553877</v>
      </c>
      <c r="L53" s="97">
        <v>245453890.983897</v>
      </c>
      <c r="M53" s="97">
        <v>213645313.560426</v>
      </c>
      <c r="N53" s="97">
        <v>183383936.97658101</v>
      </c>
      <c r="O53" s="97">
        <v>202983347.353762</v>
      </c>
      <c r="P53" s="97">
        <v>306292816.83552903</v>
      </c>
      <c r="Q53" s="97">
        <v>157789380.055664</v>
      </c>
      <c r="R53" s="97">
        <v>218046198.33357799</v>
      </c>
      <c r="S53" s="97">
        <v>348038927.89885598</v>
      </c>
      <c r="T53" s="97">
        <v>222529611.82655901</v>
      </c>
      <c r="U53" s="97">
        <v>161998591.96892601</v>
      </c>
      <c r="V53" s="97">
        <v>177319448.357519</v>
      </c>
      <c r="W53" s="97">
        <v>184471879.517497</v>
      </c>
      <c r="X53" s="97">
        <v>225586097.782837</v>
      </c>
      <c r="Y53" s="97">
        <v>253556537.64974901</v>
      </c>
      <c r="Z53" s="97">
        <v>227483812.10749099</v>
      </c>
      <c r="AA53" s="97">
        <v>252980943.53300399</v>
      </c>
      <c r="AB53" s="97">
        <v>214598704.66180801</v>
      </c>
      <c r="AC53" s="97">
        <v>233562558.57991701</v>
      </c>
      <c r="AD53" s="97">
        <v>89172592.994929299</v>
      </c>
      <c r="AE53" s="97">
        <v>184382015.86928201</v>
      </c>
      <c r="AF53" s="97">
        <v>164201846.754159</v>
      </c>
      <c r="AG53" s="97">
        <v>145337343.97200099</v>
      </c>
      <c r="AH53" s="97">
        <v>163654547.76385701</v>
      </c>
      <c r="AI53" s="97">
        <v>230621371.460785</v>
      </c>
      <c r="AJ53" s="97">
        <v>104248226.222054</v>
      </c>
      <c r="AK53" s="97">
        <v>189039588.908005</v>
      </c>
      <c r="AL53" s="97">
        <v>226094258.98466799</v>
      </c>
      <c r="AM53" s="97">
        <v>110533136.665052</v>
      </c>
      <c r="AN53" s="97">
        <v>173555539.870572</v>
      </c>
      <c r="AO53" s="97">
        <v>150666772.871703</v>
      </c>
      <c r="AP53" s="97">
        <v>167865534.46103501</v>
      </c>
      <c r="AQ53" s="97">
        <v>93162990.531402007</v>
      </c>
      <c r="AR53" s="97">
        <v>123386869.73419601</v>
      </c>
      <c r="AS53" s="97">
        <v>114043292.886108</v>
      </c>
      <c r="AT53" s="97">
        <v>102489438.179289</v>
      </c>
      <c r="AU53" s="97">
        <v>73603006.978929505</v>
      </c>
      <c r="AV53" s="97">
        <v>61634032.8494073</v>
      </c>
      <c r="AW53" s="97">
        <v>98542276.914431497</v>
      </c>
      <c r="AX53" s="97">
        <v>95454433.061751202</v>
      </c>
      <c r="AY53" s="97">
        <v>105598413.369902</v>
      </c>
      <c r="AZ53" s="97">
        <v>73190985.821864307</v>
      </c>
      <c r="BA53" s="97">
        <v>94351096.805763602</v>
      </c>
      <c r="BB53" s="97">
        <v>105438175.736283</v>
      </c>
      <c r="BC53" s="97">
        <v>126011042.414728</v>
      </c>
      <c r="BD53" s="97">
        <v>88769589.007863596</v>
      </c>
      <c r="BE53" s="97">
        <v>89657284.897942305</v>
      </c>
      <c r="BF53" s="97">
        <v>90553857.746921703</v>
      </c>
      <c r="BG53" s="97">
        <v>91459396.324390903</v>
      </c>
      <c r="BH53" s="97">
        <v>92373990.287634805</v>
      </c>
      <c r="BI53" s="97">
        <v>93297730.190511197</v>
      </c>
    </row>
    <row r="54" spans="1:61" x14ac:dyDescent="0.25">
      <c r="A54" s="95" t="s">
        <v>31</v>
      </c>
      <c r="B54" s="95" t="s">
        <v>136</v>
      </c>
      <c r="C54" s="96" t="s">
        <v>42</v>
      </c>
      <c r="D54" s="96" t="s">
        <v>55</v>
      </c>
      <c r="E54" s="96" t="s">
        <v>153</v>
      </c>
      <c r="F54" s="96" t="s">
        <v>206</v>
      </c>
      <c r="G54" s="97">
        <f t="shared" si="0"/>
        <v>12999.999999999998</v>
      </c>
      <c r="H54" s="97">
        <f>SUMIF(I$1:BI$1,"&lt;="&amp;[2]PARAMETER!X$2,I54:BI54)</f>
        <v>2974.0311737421948</v>
      </c>
      <c r="I54" s="97">
        <v>292.19023082492299</v>
      </c>
      <c r="J54" s="97">
        <v>318.804077782788</v>
      </c>
      <c r="K54" s="97">
        <v>383.48652618609299</v>
      </c>
      <c r="L54" s="97">
        <v>371.03495148728598</v>
      </c>
      <c r="M54" s="97">
        <v>322.95221817273602</v>
      </c>
      <c r="N54" s="97">
        <v>277.20827682506399</v>
      </c>
      <c r="O54" s="97">
        <v>306.835292511501</v>
      </c>
      <c r="P54" s="97">
        <v>463.00076963510202</v>
      </c>
      <c r="Q54" s="97">
        <v>238.51883031670201</v>
      </c>
      <c r="R54" s="97">
        <v>329.60471841122302</v>
      </c>
      <c r="S54" s="97">
        <v>526.10535612617798</v>
      </c>
      <c r="T54" s="97">
        <v>336.38197136572802</v>
      </c>
      <c r="U54" s="97">
        <v>244.88159251116701</v>
      </c>
      <c r="V54" s="97">
        <v>268.041026586947</v>
      </c>
      <c r="W54" s="97">
        <v>278.85284113109998</v>
      </c>
      <c r="X54" s="97">
        <v>341.00224083452099</v>
      </c>
      <c r="Y54" s="97">
        <v>383.28313830776</v>
      </c>
      <c r="Z54" s="97">
        <v>343.87087876713701</v>
      </c>
      <c r="AA54" s="97">
        <v>382.41305417779699</v>
      </c>
      <c r="AB54" s="97">
        <v>324.39339076784898</v>
      </c>
      <c r="AC54" s="97">
        <v>353.05968157429402</v>
      </c>
      <c r="AD54" s="97">
        <v>134.795780108614</v>
      </c>
      <c r="AE54" s="97">
        <v>278.717000732636</v>
      </c>
      <c r="AF54" s="97">
        <v>248.21209393070501</v>
      </c>
      <c r="AG54" s="97">
        <v>219.695985073956</v>
      </c>
      <c r="AH54" s="97">
        <v>247.384781503504</v>
      </c>
      <c r="AI54" s="97">
        <v>348.61370104537298</v>
      </c>
      <c r="AJ54" s="97">
        <v>157.58452801008201</v>
      </c>
      <c r="AK54" s="97">
        <v>285.75751811675201</v>
      </c>
      <c r="AL54" s="97">
        <v>341.77039148845199</v>
      </c>
      <c r="AM54" s="97">
        <v>167.08497402856699</v>
      </c>
      <c r="AN54" s="97">
        <v>262.35139747877099</v>
      </c>
      <c r="AO54" s="97">
        <v>227.752098526993</v>
      </c>
      <c r="AP54" s="97">
        <v>253.75022651086601</v>
      </c>
      <c r="AQ54" s="97">
        <v>140.827776384678</v>
      </c>
      <c r="AR54" s="97">
        <v>186.515035644715</v>
      </c>
      <c r="AS54" s="97">
        <v>172.391024130164</v>
      </c>
      <c r="AT54" s="97">
        <v>154.92589492217999</v>
      </c>
      <c r="AU54" s="97">
        <v>111.260359386754</v>
      </c>
      <c r="AV54" s="97">
        <v>93.167724074685395</v>
      </c>
      <c r="AW54" s="97">
        <v>148.95925580088499</v>
      </c>
      <c r="AX54" s="97">
        <v>144.291584860787</v>
      </c>
      <c r="AY54" s="97">
        <v>159.62550858240999</v>
      </c>
      <c r="AZ54" s="97">
        <v>110.637536707469</v>
      </c>
      <c r="BA54" s="97">
        <v>142.62375098545701</v>
      </c>
      <c r="BB54" s="97">
        <v>159.38328890368399</v>
      </c>
      <c r="BC54" s="97">
        <v>190.48180830133299</v>
      </c>
      <c r="BD54" s="97">
        <v>134.18658803514299</v>
      </c>
      <c r="BE54" s="97">
        <v>135.528453915494</v>
      </c>
      <c r="BF54" s="97">
        <v>136.88373845464901</v>
      </c>
      <c r="BG54" s="97">
        <v>138.252575839196</v>
      </c>
      <c r="BH54" s="97">
        <v>139.635101597588</v>
      </c>
      <c r="BI54" s="97">
        <v>141.031452613563</v>
      </c>
    </row>
    <row r="55" spans="1:61" x14ac:dyDescent="0.25">
      <c r="A55" s="95" t="s">
        <v>31</v>
      </c>
      <c r="B55" s="95" t="s">
        <v>136</v>
      </c>
      <c r="C55" s="96" t="s">
        <v>40</v>
      </c>
      <c r="D55" s="96" t="s">
        <v>55</v>
      </c>
      <c r="E55" s="96" t="s">
        <v>155</v>
      </c>
      <c r="F55" s="96" t="s">
        <v>207</v>
      </c>
      <c r="G55" s="97">
        <f t="shared" si="0"/>
        <v>90000000.00000006</v>
      </c>
      <c r="H55" s="97">
        <f>SUMIF(I$1:BI$1,"&lt;="&amp;[2]PARAMETER!X$2,I55:BI55)</f>
        <v>20589446.587445978</v>
      </c>
      <c r="I55" s="97">
        <v>2022855.44417255</v>
      </c>
      <c r="J55" s="97">
        <v>2207105.1538808402</v>
      </c>
      <c r="K55" s="97">
        <v>2654906.71974988</v>
      </c>
      <c r="L55" s="97">
        <v>2568703.5102965902</v>
      </c>
      <c r="M55" s="97">
        <v>2235823.0488881799</v>
      </c>
      <c r="N55" s="97">
        <v>1919134.22417352</v>
      </c>
      <c r="O55" s="97">
        <v>2124244.3327719299</v>
      </c>
      <c r="P55" s="97">
        <v>3205389.9436276299</v>
      </c>
      <c r="Q55" s="97">
        <v>1651284.2098848601</v>
      </c>
      <c r="R55" s="97">
        <v>2281878.8197700102</v>
      </c>
      <c r="S55" s="97">
        <v>3642267.8501043101</v>
      </c>
      <c r="T55" s="97">
        <v>2328798.2633011998</v>
      </c>
      <c r="U55" s="97">
        <v>1695334.1020003899</v>
      </c>
      <c r="V55" s="97">
        <v>1855668.6456019401</v>
      </c>
      <c r="W55" s="97">
        <v>1930519.66936915</v>
      </c>
      <c r="X55" s="97">
        <v>2360784.7442389899</v>
      </c>
      <c r="Y55" s="97">
        <v>2653498.6498229601</v>
      </c>
      <c r="Z55" s="97">
        <v>2380644.5453109499</v>
      </c>
      <c r="AA55" s="97">
        <v>2647474.9904616699</v>
      </c>
      <c r="AB55" s="97">
        <v>2245800.3976235702</v>
      </c>
      <c r="AC55" s="97">
        <v>2444259.3339758799</v>
      </c>
      <c r="AD55" s="97">
        <v>933201.55459809804</v>
      </c>
      <c r="AE55" s="97">
        <v>1929579.2358413199</v>
      </c>
      <c r="AF55" s="97">
        <v>1718391.4195202601</v>
      </c>
      <c r="AG55" s="97">
        <v>1520972.20435816</v>
      </c>
      <c r="AH55" s="97">
        <v>1712663.87194734</v>
      </c>
      <c r="AI55" s="97">
        <v>2413479.4687756598</v>
      </c>
      <c r="AJ55" s="97">
        <v>1090969.8093005701</v>
      </c>
      <c r="AK55" s="97">
        <v>1978321.2792698201</v>
      </c>
      <c r="AL55" s="97">
        <v>2366102.71030467</v>
      </c>
      <c r="AM55" s="97">
        <v>1156742.12789008</v>
      </c>
      <c r="AN55" s="97">
        <v>1816278.9056222599</v>
      </c>
      <c r="AO55" s="97">
        <v>1576745.29749457</v>
      </c>
      <c r="AP55" s="97">
        <v>1756732.3373829201</v>
      </c>
      <c r="AQ55" s="97">
        <v>974961.528816998</v>
      </c>
      <c r="AR55" s="97">
        <v>1291257.9390787999</v>
      </c>
      <c r="AS55" s="97">
        <v>1193476.3209011301</v>
      </c>
      <c r="AT55" s="97">
        <v>1072563.8879227899</v>
      </c>
      <c r="AU55" s="97">
        <v>770264.02652367996</v>
      </c>
      <c r="AV55" s="97">
        <v>645007.32051705301</v>
      </c>
      <c r="AW55" s="97">
        <v>1031256.38631382</v>
      </c>
      <c r="AX55" s="97">
        <v>998941.74134390801</v>
      </c>
      <c r="AY55" s="97">
        <v>1105099.6748013</v>
      </c>
      <c r="AZ55" s="97">
        <v>765952.177205557</v>
      </c>
      <c r="BA55" s="97">
        <v>987395.19913008402</v>
      </c>
      <c r="BB55" s="97">
        <v>1103422.7693332001</v>
      </c>
      <c r="BC55" s="97">
        <v>1318720.2113169199</v>
      </c>
      <c r="BD55" s="97">
        <v>928984.07101252698</v>
      </c>
      <c r="BE55" s="97">
        <v>938273.91172265203</v>
      </c>
      <c r="BF55" s="97">
        <v>947656.65083987894</v>
      </c>
      <c r="BG55" s="97">
        <v>957133.21734827699</v>
      </c>
      <c r="BH55" s="97">
        <v>966704.54952175997</v>
      </c>
      <c r="BI55" s="97">
        <v>976371.59501697798</v>
      </c>
    </row>
    <row r="56" spans="1:61" x14ac:dyDescent="0.25">
      <c r="A56" s="95" t="s">
        <v>34</v>
      </c>
      <c r="B56" s="95" t="s">
        <v>136</v>
      </c>
      <c r="C56" s="96" t="s">
        <v>41</v>
      </c>
      <c r="D56" s="96" t="s">
        <v>54</v>
      </c>
      <c r="E56" s="96" t="s">
        <v>145</v>
      </c>
      <c r="F56" s="96" t="s">
        <v>208</v>
      </c>
      <c r="G56" s="97">
        <f t="shared" si="0"/>
        <v>1000000000.0000006</v>
      </c>
      <c r="H56" s="97">
        <f>SUMIF(I$1:BI$1,"&lt;="&amp;[2]PARAMETER!X$2,I56:BI56)</f>
        <v>383038362.00040579</v>
      </c>
      <c r="I56" s="97">
        <v>62160062.548134796</v>
      </c>
      <c r="J56" s="97">
        <v>33911546.042645201</v>
      </c>
      <c r="K56" s="97">
        <v>38567459.774774604</v>
      </c>
      <c r="L56" s="97">
        <v>52051988.340842001</v>
      </c>
      <c r="M56" s="97">
        <v>45030479.402950101</v>
      </c>
      <c r="N56" s="97">
        <v>44431616.150419503</v>
      </c>
      <c r="O56" s="97">
        <v>36578243.827408597</v>
      </c>
      <c r="P56" s="97">
        <v>36288644.438818596</v>
      </c>
      <c r="Q56" s="97">
        <v>34018321.474412397</v>
      </c>
      <c r="R56" s="97">
        <v>25052909.930333499</v>
      </c>
      <c r="S56" s="97">
        <v>35039309.808403201</v>
      </c>
      <c r="T56" s="97">
        <v>31104552.376130201</v>
      </c>
      <c r="U56" s="97">
        <v>45863979.597497702</v>
      </c>
      <c r="V56" s="97">
        <v>75819868.365605503</v>
      </c>
      <c r="W56" s="97">
        <v>34817895.637878202</v>
      </c>
      <c r="X56" s="97">
        <v>29731729.6826557</v>
      </c>
      <c r="Y56" s="97">
        <v>20917651.620193601</v>
      </c>
      <c r="Z56" s="97">
        <v>7655032.8199206498</v>
      </c>
      <c r="AA56" s="97">
        <v>6582415.6676625898</v>
      </c>
      <c r="AB56" s="97">
        <v>8931281.6878026798</v>
      </c>
      <c r="AC56" s="97">
        <v>4936294.4279186102</v>
      </c>
      <c r="AD56" s="97">
        <v>13202492.437227599</v>
      </c>
      <c r="AE56" s="97">
        <v>17697510.4925812</v>
      </c>
      <c r="AF56" s="97">
        <v>9012798.3151538502</v>
      </c>
      <c r="AG56" s="97">
        <v>14592642.3415142</v>
      </c>
      <c r="AH56" s="97">
        <v>7909866.0451556901</v>
      </c>
      <c r="AI56" s="97">
        <v>9015902.2521238197</v>
      </c>
      <c r="AJ56" s="97">
        <v>13331409.2860472</v>
      </c>
      <c r="AK56" s="97">
        <v>7285974.7141904999</v>
      </c>
      <c r="AL56" s="97">
        <v>8000914.8629416497</v>
      </c>
      <c r="AM56" s="97">
        <v>937388.96493277303</v>
      </c>
      <c r="AN56" s="97">
        <v>3357425.1558574499</v>
      </c>
      <c r="AO56" s="97">
        <v>9860793.8953513093</v>
      </c>
      <c r="AP56" s="97">
        <v>2951844.0584472399</v>
      </c>
      <c r="AQ56" s="97">
        <v>5766494.1028215401</v>
      </c>
      <c r="AR56" s="97">
        <v>11078985.691501301</v>
      </c>
      <c r="AS56" s="97">
        <v>5771760.4492139397</v>
      </c>
      <c r="AT56" s="97">
        <v>5195369.7003459502</v>
      </c>
      <c r="AU56" s="97">
        <v>6441703.8583570104</v>
      </c>
      <c r="AV56" s="97">
        <v>3898544.8342899401</v>
      </c>
      <c r="AW56" s="97">
        <v>10226439.739705799</v>
      </c>
      <c r="AX56" s="97">
        <v>10804804.5924867</v>
      </c>
      <c r="AY56" s="97">
        <v>7223689.0456596399</v>
      </c>
      <c r="AZ56" s="97">
        <v>5757803.0793056097</v>
      </c>
      <c r="BA56" s="97">
        <v>14810994.995541099</v>
      </c>
      <c r="BB56" s="97">
        <v>10715825.0660141</v>
      </c>
      <c r="BC56" s="97">
        <v>6401352.6777473204</v>
      </c>
      <c r="BD56" s="97">
        <v>11257772.460971899</v>
      </c>
      <c r="BE56" s="97">
        <v>11370350.1855816</v>
      </c>
      <c r="BF56" s="97">
        <v>11484053.6874374</v>
      </c>
      <c r="BG56" s="97">
        <v>11598894.224311801</v>
      </c>
      <c r="BH56" s="97">
        <v>11714883.1665549</v>
      </c>
      <c r="BI56" s="97">
        <v>11832031.9982205</v>
      </c>
    </row>
    <row r="57" spans="1:61" x14ac:dyDescent="0.25">
      <c r="A57" s="95" t="s">
        <v>34</v>
      </c>
      <c r="B57" s="95" t="s">
        <v>136</v>
      </c>
      <c r="C57" s="96" t="s">
        <v>42</v>
      </c>
      <c r="D57" s="96" t="s">
        <v>54</v>
      </c>
      <c r="E57" s="96" t="s">
        <v>147</v>
      </c>
      <c r="F57" s="96" t="s">
        <v>209</v>
      </c>
      <c r="G57" s="97">
        <f t="shared" si="0"/>
        <v>9999.9999999999982</v>
      </c>
      <c r="H57" s="97">
        <f>SUMIF(I$1:BI$1,"&lt;="&amp;[2]PARAMETER!X$2,I57:BI57)</f>
        <v>3830.3836200040591</v>
      </c>
      <c r="I57" s="97">
        <v>621.60062548134795</v>
      </c>
      <c r="J57" s="97">
        <v>339.11546042645199</v>
      </c>
      <c r="K57" s="97">
        <v>385.67459774774602</v>
      </c>
      <c r="L57" s="97">
        <v>520.51988340842001</v>
      </c>
      <c r="M57" s="97">
        <v>450.30479402950101</v>
      </c>
      <c r="N57" s="97">
        <v>444.31616150419501</v>
      </c>
      <c r="O57" s="97">
        <v>365.78243827408699</v>
      </c>
      <c r="P57" s="97">
        <v>362.88644438818602</v>
      </c>
      <c r="Q57" s="97">
        <v>340.18321474412397</v>
      </c>
      <c r="R57" s="97">
        <v>250.52909930333499</v>
      </c>
      <c r="S57" s="97">
        <v>350.39309808403198</v>
      </c>
      <c r="T57" s="97">
        <v>311.04552376130198</v>
      </c>
      <c r="U57" s="97">
        <v>458.63979597497701</v>
      </c>
      <c r="V57" s="97">
        <v>758.19868365605396</v>
      </c>
      <c r="W57" s="97">
        <v>348.178956378782</v>
      </c>
      <c r="X57" s="97">
        <v>297.317296826556</v>
      </c>
      <c r="Y57" s="97">
        <v>209.17651620193601</v>
      </c>
      <c r="Z57" s="97">
        <v>76.550328199206504</v>
      </c>
      <c r="AA57" s="97">
        <v>65.824156676625904</v>
      </c>
      <c r="AB57" s="97">
        <v>89.312816878026794</v>
      </c>
      <c r="AC57" s="97">
        <v>49.362944279186102</v>
      </c>
      <c r="AD57" s="97">
        <v>132.024924372275</v>
      </c>
      <c r="AE57" s="97">
        <v>176.97510492581199</v>
      </c>
      <c r="AF57" s="97">
        <v>90.127983151538501</v>
      </c>
      <c r="AG57" s="97">
        <v>145.92642341514201</v>
      </c>
      <c r="AH57" s="97">
        <v>79.098660451556896</v>
      </c>
      <c r="AI57" s="97">
        <v>90.159022521238199</v>
      </c>
      <c r="AJ57" s="97">
        <v>133.31409286047199</v>
      </c>
      <c r="AK57" s="97">
        <v>72.859747141904904</v>
      </c>
      <c r="AL57" s="97">
        <v>80.009148629416501</v>
      </c>
      <c r="AM57" s="97">
        <v>9.3738896493277295</v>
      </c>
      <c r="AN57" s="97">
        <v>33.574251558574502</v>
      </c>
      <c r="AO57" s="97">
        <v>98.607938953513099</v>
      </c>
      <c r="AP57" s="97">
        <v>29.518440584472401</v>
      </c>
      <c r="AQ57" s="97">
        <v>57.664941028215402</v>
      </c>
      <c r="AR57" s="97">
        <v>110.789856915013</v>
      </c>
      <c r="AS57" s="97">
        <v>57.717604492139301</v>
      </c>
      <c r="AT57" s="97">
        <v>51.953697003459503</v>
      </c>
      <c r="AU57" s="97">
        <v>64.417038583570005</v>
      </c>
      <c r="AV57" s="97">
        <v>38.985448342899403</v>
      </c>
      <c r="AW57" s="97">
        <v>102.264397397058</v>
      </c>
      <c r="AX57" s="97">
        <v>108.048045924867</v>
      </c>
      <c r="AY57" s="97">
        <v>72.236890456596399</v>
      </c>
      <c r="AZ57" s="97">
        <v>57.578030793056101</v>
      </c>
      <c r="BA57" s="97">
        <v>148.109949955411</v>
      </c>
      <c r="BB57" s="97">
        <v>107.15825066014099</v>
      </c>
      <c r="BC57" s="97">
        <v>64.013526777473203</v>
      </c>
      <c r="BD57" s="97">
        <v>112.577724609719</v>
      </c>
      <c r="BE57" s="97">
        <v>113.703501855816</v>
      </c>
      <c r="BF57" s="97">
        <v>114.840536874374</v>
      </c>
      <c r="BG57" s="97">
        <v>115.988942243118</v>
      </c>
      <c r="BH57" s="97">
        <v>117.148831665549</v>
      </c>
      <c r="BI57" s="97">
        <v>118.32031998220501</v>
      </c>
    </row>
    <row r="58" spans="1:61" x14ac:dyDescent="0.25">
      <c r="A58" s="95" t="s">
        <v>34</v>
      </c>
      <c r="B58" s="95" t="s">
        <v>136</v>
      </c>
      <c r="C58" s="96" t="s">
        <v>40</v>
      </c>
      <c r="D58" s="96" t="s">
        <v>54</v>
      </c>
      <c r="E58" s="96" t="s">
        <v>149</v>
      </c>
      <c r="F58" s="96" t="s">
        <v>210</v>
      </c>
      <c r="G58" s="97">
        <f t="shared" si="0"/>
        <v>6000000</v>
      </c>
      <c r="H58" s="97">
        <f>SUMIF(I$1:BI$1,"&lt;="&amp;[2]PARAMETER!X$2,I58:BI58)</f>
        <v>2298230.1720024338</v>
      </c>
      <c r="I58" s="97">
        <v>372960.37528880901</v>
      </c>
      <c r="J58" s="97">
        <v>203469.27625587099</v>
      </c>
      <c r="K58" s="97">
        <v>231404.75864864801</v>
      </c>
      <c r="L58" s="97">
        <v>312311.93004505202</v>
      </c>
      <c r="M58" s="97">
        <v>270182.87641770003</v>
      </c>
      <c r="N58" s="97">
        <v>266589.696902517</v>
      </c>
      <c r="O58" s="97">
        <v>219469.46296445199</v>
      </c>
      <c r="P58" s="97">
        <v>217731.866632911</v>
      </c>
      <c r="Q58" s="97">
        <v>204109.92884647401</v>
      </c>
      <c r="R58" s="97">
        <v>150317.459582001</v>
      </c>
      <c r="S58" s="97">
        <v>210235.858850419</v>
      </c>
      <c r="T58" s="97">
        <v>186627.31425678101</v>
      </c>
      <c r="U58" s="97">
        <v>275183.87758498598</v>
      </c>
      <c r="V58" s="97">
        <v>454919.21019363299</v>
      </c>
      <c r="W58" s="97">
        <v>208907.37382726901</v>
      </c>
      <c r="X58" s="97">
        <v>178390.37809593399</v>
      </c>
      <c r="Y58" s="97">
        <v>125505.909721162</v>
      </c>
      <c r="Z58" s="97">
        <v>45930.1969195239</v>
      </c>
      <c r="AA58" s="97">
        <v>39494.494005975503</v>
      </c>
      <c r="AB58" s="97">
        <v>53587.690126816102</v>
      </c>
      <c r="AC58" s="97">
        <v>29617.766567511699</v>
      </c>
      <c r="AD58" s="97">
        <v>79214.954623365295</v>
      </c>
      <c r="AE58" s="97">
        <v>106185.062955487</v>
      </c>
      <c r="AF58" s="97">
        <v>54076.789890923101</v>
      </c>
      <c r="AG58" s="97">
        <v>87555.854049084999</v>
      </c>
      <c r="AH58" s="97">
        <v>47459.196270934102</v>
      </c>
      <c r="AI58" s="97">
        <v>54095.413512742904</v>
      </c>
      <c r="AJ58" s="97">
        <v>79988.455716283293</v>
      </c>
      <c r="AK58" s="97">
        <v>43715.848285143002</v>
      </c>
      <c r="AL58" s="97">
        <v>48005.489177649899</v>
      </c>
      <c r="AM58" s="97">
        <v>5624.3337895966397</v>
      </c>
      <c r="AN58" s="97">
        <v>20144.5509351447</v>
      </c>
      <c r="AO58" s="97">
        <v>59164.763372107896</v>
      </c>
      <c r="AP58" s="97">
        <v>17711.0643506835</v>
      </c>
      <c r="AQ58" s="97">
        <v>34598.964616929297</v>
      </c>
      <c r="AR58" s="97">
        <v>66473.914149007498</v>
      </c>
      <c r="AS58" s="97">
        <v>34630.562695283603</v>
      </c>
      <c r="AT58" s="97">
        <v>31172.218202075699</v>
      </c>
      <c r="AU58" s="97">
        <v>38650.223150142003</v>
      </c>
      <c r="AV58" s="97">
        <v>23391.269005739701</v>
      </c>
      <c r="AW58" s="97">
        <v>61358.638438234797</v>
      </c>
      <c r="AX58" s="97">
        <v>64828.827554920201</v>
      </c>
      <c r="AY58" s="97">
        <v>43342.134273957803</v>
      </c>
      <c r="AZ58" s="97">
        <v>34546.818475833701</v>
      </c>
      <c r="BA58" s="97">
        <v>88865.969973246407</v>
      </c>
      <c r="BB58" s="97">
        <v>64294.950396084299</v>
      </c>
      <c r="BC58" s="97">
        <v>38408.116066483897</v>
      </c>
      <c r="BD58" s="97">
        <v>67546.634765831201</v>
      </c>
      <c r="BE58" s="97">
        <v>68222.101113489596</v>
      </c>
      <c r="BF58" s="97">
        <v>68904.322124624494</v>
      </c>
      <c r="BG58" s="97">
        <v>69593.365345870698</v>
      </c>
      <c r="BH58" s="97">
        <v>70289.298999329403</v>
      </c>
      <c r="BI58" s="97">
        <v>70992.191989322702</v>
      </c>
    </row>
    <row r="59" spans="1:61" x14ac:dyDescent="0.25">
      <c r="A59" s="95" t="s">
        <v>25</v>
      </c>
      <c r="B59" s="95" t="s">
        <v>136</v>
      </c>
      <c r="C59" s="96" t="s">
        <v>41</v>
      </c>
      <c r="D59" s="96" t="s">
        <v>56</v>
      </c>
      <c r="E59" s="96" t="s">
        <v>175</v>
      </c>
      <c r="F59" s="96" t="s">
        <v>211</v>
      </c>
      <c r="G59" s="97">
        <f t="shared" si="0"/>
        <v>8200000000</v>
      </c>
      <c r="H59" s="97">
        <f>SUMIF(I$1:BI$1,"&lt;="&amp;[2]PARAMETER!X$2,I59:BI59)</f>
        <v>5937751869.4026957</v>
      </c>
      <c r="I59" s="97">
        <v>1063004274.31195</v>
      </c>
      <c r="J59" s="97">
        <v>1042751678.13977</v>
      </c>
      <c r="K59" s="97">
        <v>954219647.99284399</v>
      </c>
      <c r="L59" s="97">
        <v>1196566101.11887</v>
      </c>
      <c r="M59" s="97">
        <v>736956158.09612298</v>
      </c>
      <c r="N59" s="97">
        <v>187365514.51661599</v>
      </c>
      <c r="O59" s="97">
        <v>243165310.75439599</v>
      </c>
      <c r="P59" s="97">
        <v>249821022.730405</v>
      </c>
      <c r="Q59" s="97">
        <v>263902161.74172199</v>
      </c>
      <c r="R59" s="97">
        <v>223107263.598892</v>
      </c>
      <c r="S59" s="97">
        <v>38946874.913187698</v>
      </c>
      <c r="T59" s="97">
        <v>27198619.011385702</v>
      </c>
      <c r="U59" s="97">
        <v>16866052.9463384</v>
      </c>
      <c r="V59" s="97">
        <v>18477201.922166899</v>
      </c>
      <c r="W59" s="97">
        <v>777948292.18746102</v>
      </c>
      <c r="X59" s="97">
        <v>31743173.290821198</v>
      </c>
      <c r="Y59" s="97">
        <v>21756066.859809302</v>
      </c>
      <c r="Z59" s="97">
        <v>113971365.38793901</v>
      </c>
      <c r="AA59" s="97">
        <v>38001398.147435002</v>
      </c>
      <c r="AB59" s="97">
        <v>40862576.501061603</v>
      </c>
      <c r="AC59" s="97">
        <v>17067067.771535799</v>
      </c>
      <c r="AD59" s="97">
        <v>21998496.799745899</v>
      </c>
      <c r="AE59" s="97">
        <v>16746858.225869499</v>
      </c>
      <c r="AF59" s="97">
        <v>44141441.438703999</v>
      </c>
      <c r="AG59" s="97">
        <v>25424334.8884748</v>
      </c>
      <c r="AH59" s="97">
        <v>32742688.700310498</v>
      </c>
      <c r="AI59" s="97">
        <v>19944408.121158201</v>
      </c>
      <c r="AJ59" s="97">
        <v>30495161.1321484</v>
      </c>
      <c r="AK59" s="97">
        <v>17659000.874880999</v>
      </c>
      <c r="AL59" s="97">
        <v>22009103.109618101</v>
      </c>
      <c r="AM59" s="97">
        <v>8711820.9040962607</v>
      </c>
      <c r="AN59" s="97">
        <v>43431828.802014597</v>
      </c>
      <c r="AO59" s="97">
        <v>28478952.131675798</v>
      </c>
      <c r="AP59" s="97">
        <v>25485447.435833801</v>
      </c>
      <c r="AQ59" s="97">
        <v>36405401.042852499</v>
      </c>
      <c r="AR59" s="97">
        <v>26713254.0691377</v>
      </c>
      <c r="AS59" s="97">
        <v>52274460.861201599</v>
      </c>
      <c r="AT59" s="97">
        <v>21432321.877519</v>
      </c>
      <c r="AU59" s="97">
        <v>19134288.0718701</v>
      </c>
      <c r="AV59" s="97">
        <v>34013223.610528201</v>
      </c>
      <c r="AW59" s="97">
        <v>39661538.173625797</v>
      </c>
      <c r="AX59" s="97">
        <v>86524255.688117996</v>
      </c>
      <c r="AY59" s="97">
        <v>22741948.615551401</v>
      </c>
      <c r="AZ59" s="97">
        <v>30662841.8406046</v>
      </c>
      <c r="BA59" s="97">
        <v>30544152.182510599</v>
      </c>
      <c r="BB59" s="97">
        <v>26058693.2313089</v>
      </c>
      <c r="BC59" s="97">
        <v>27928434.1430698</v>
      </c>
      <c r="BD59" s="97">
        <v>17057471.586413302</v>
      </c>
      <c r="BE59" s="97">
        <v>17228046.302277401</v>
      </c>
      <c r="BF59" s="97">
        <v>17400326.765300199</v>
      </c>
      <c r="BG59" s="97">
        <v>17574330.032953199</v>
      </c>
      <c r="BH59" s="97">
        <v>17750073.333282702</v>
      </c>
      <c r="BI59" s="97">
        <v>17927574.0666156</v>
      </c>
    </row>
    <row r="60" spans="1:61" x14ac:dyDescent="0.25">
      <c r="A60" s="95" t="s">
        <v>25</v>
      </c>
      <c r="B60" s="95" t="s">
        <v>136</v>
      </c>
      <c r="C60" s="96" t="s">
        <v>42</v>
      </c>
      <c r="D60" s="96" t="s">
        <v>56</v>
      </c>
      <c r="E60" s="96" t="s">
        <v>177</v>
      </c>
      <c r="F60" s="96" t="s">
        <v>212</v>
      </c>
      <c r="G60" s="97">
        <f t="shared" si="0"/>
        <v>4000.0000000000027</v>
      </c>
      <c r="H60" s="97">
        <f>SUMIF(I$1:BI$1,"&lt;="&amp;[2]PARAMETER!X$2,I60:BI60)</f>
        <v>2896.4643265379009</v>
      </c>
      <c r="I60" s="97">
        <v>518.53867039607405</v>
      </c>
      <c r="J60" s="97">
        <v>508.65935519013402</v>
      </c>
      <c r="K60" s="97">
        <v>465.47299902089901</v>
      </c>
      <c r="L60" s="97">
        <v>583.690781033593</v>
      </c>
      <c r="M60" s="97">
        <v>359.49080882737701</v>
      </c>
      <c r="N60" s="97">
        <v>91.397811959324898</v>
      </c>
      <c r="O60" s="97">
        <v>118.617224758242</v>
      </c>
      <c r="P60" s="97">
        <v>121.86391352702699</v>
      </c>
      <c r="Q60" s="97">
        <v>128.73276182523</v>
      </c>
      <c r="R60" s="97">
        <v>108.832811511655</v>
      </c>
      <c r="S60" s="97">
        <v>18.998475567408601</v>
      </c>
      <c r="T60" s="97">
        <v>13.2676190299442</v>
      </c>
      <c r="U60" s="97">
        <v>8.2273429006528591</v>
      </c>
      <c r="V60" s="97">
        <v>9.0132692303253403</v>
      </c>
      <c r="W60" s="97">
        <v>379.48697179876098</v>
      </c>
      <c r="X60" s="97">
        <v>15.4844747760104</v>
      </c>
      <c r="Y60" s="97">
        <v>10.612715541370401</v>
      </c>
      <c r="Z60" s="97">
        <v>55.595787994116399</v>
      </c>
      <c r="AA60" s="97">
        <v>18.537267388992699</v>
      </c>
      <c r="AB60" s="97">
        <v>19.932964146859302</v>
      </c>
      <c r="AC60" s="97">
        <v>8.3253989129442907</v>
      </c>
      <c r="AD60" s="97">
        <v>10.730974048656501</v>
      </c>
      <c r="AE60" s="97">
        <v>8.1691991345705102</v>
      </c>
      <c r="AF60" s="97">
        <v>21.532410457904401</v>
      </c>
      <c r="AG60" s="97">
        <v>12.402114579743801</v>
      </c>
      <c r="AH60" s="97">
        <v>15.9720432684442</v>
      </c>
      <c r="AI60" s="97">
        <v>9.7289795712966693</v>
      </c>
      <c r="AJ60" s="97">
        <v>14.8756883571456</v>
      </c>
      <c r="AK60" s="97">
        <v>8.6141467682346207</v>
      </c>
      <c r="AL60" s="97">
        <v>10.7361478583503</v>
      </c>
      <c r="AM60" s="97">
        <v>4.2496687337054899</v>
      </c>
      <c r="AN60" s="97">
        <v>21.186257952202201</v>
      </c>
      <c r="AO60" s="97">
        <v>13.892171771549201</v>
      </c>
      <c r="AP60" s="97">
        <v>12.4319255784555</v>
      </c>
      <c r="AQ60" s="97">
        <v>17.758732216025599</v>
      </c>
      <c r="AR60" s="97">
        <v>13.0308556434818</v>
      </c>
      <c r="AS60" s="97">
        <v>25.499737005464201</v>
      </c>
      <c r="AT60" s="97">
        <v>10.454791159765399</v>
      </c>
      <c r="AU60" s="97">
        <v>9.3337990594488094</v>
      </c>
      <c r="AV60" s="97">
        <v>16.591816395379599</v>
      </c>
      <c r="AW60" s="97">
        <v>19.347091792012598</v>
      </c>
      <c r="AX60" s="97">
        <v>42.2069539942039</v>
      </c>
      <c r="AY60" s="97">
        <v>11.0936334710007</v>
      </c>
      <c r="AZ60" s="97">
        <v>14.9574838246852</v>
      </c>
      <c r="BA60" s="97">
        <v>14.899586430493001</v>
      </c>
      <c r="BB60" s="97">
        <v>12.7115576738092</v>
      </c>
      <c r="BC60" s="97">
        <v>13.6236264112536</v>
      </c>
      <c r="BD60" s="97">
        <v>8.3207178470308794</v>
      </c>
      <c r="BE60" s="97">
        <v>8.4039250255011897</v>
      </c>
      <c r="BF60" s="97">
        <v>8.4879642757561999</v>
      </c>
      <c r="BG60" s="97">
        <v>8.5728439185137599</v>
      </c>
      <c r="BH60" s="97">
        <v>8.6585723576988993</v>
      </c>
      <c r="BI60" s="97">
        <v>8.7451580812758891</v>
      </c>
    </row>
    <row r="61" spans="1:61" x14ac:dyDescent="0.25">
      <c r="A61" s="95" t="s">
        <v>25</v>
      </c>
      <c r="B61" s="95" t="s">
        <v>136</v>
      </c>
      <c r="C61" s="96" t="s">
        <v>40</v>
      </c>
      <c r="D61" s="96" t="s">
        <v>56</v>
      </c>
      <c r="E61" s="96" t="s">
        <v>179</v>
      </c>
      <c r="F61" s="96" t="s">
        <v>213</v>
      </c>
      <c r="G61" s="97">
        <f t="shared" si="0"/>
        <v>47000000.000000007</v>
      </c>
      <c r="H61" s="97">
        <f>SUMIF(I$1:BI$1,"&lt;="&amp;[2]PARAMETER!X$2,I61:BI61)</f>
        <v>34033455.836820334</v>
      </c>
      <c r="I61" s="97">
        <v>6092829.3771538697</v>
      </c>
      <c r="J61" s="97">
        <v>5976747.4234840702</v>
      </c>
      <c r="K61" s="97">
        <v>5469307.7384955697</v>
      </c>
      <c r="L61" s="97">
        <v>6858366.6771447202</v>
      </c>
      <c r="M61" s="97">
        <v>4224017.0037216796</v>
      </c>
      <c r="N61" s="97">
        <v>1073924.2905220699</v>
      </c>
      <c r="O61" s="97">
        <v>1393752.39090934</v>
      </c>
      <c r="P61" s="97">
        <v>1431900.9839425599</v>
      </c>
      <c r="Q61" s="97">
        <v>1512609.9514464501</v>
      </c>
      <c r="R61" s="97">
        <v>1278785.53526194</v>
      </c>
      <c r="S61" s="97">
        <v>223232.08791705201</v>
      </c>
      <c r="T61" s="97">
        <v>155894.52360184499</v>
      </c>
      <c r="U61" s="97">
        <v>96671.279082671099</v>
      </c>
      <c r="V61" s="97">
        <v>105905.913456323</v>
      </c>
      <c r="W61" s="97">
        <v>4458971.9186354503</v>
      </c>
      <c r="X61" s="97">
        <v>181942.578618122</v>
      </c>
      <c r="Y61" s="97">
        <v>124699.407611102</v>
      </c>
      <c r="Z61" s="97">
        <v>653250.508930868</v>
      </c>
      <c r="AA61" s="97">
        <v>217812.89182066399</v>
      </c>
      <c r="AB61" s="97">
        <v>234212.32872559701</v>
      </c>
      <c r="AC61" s="97">
        <v>97823.437227095405</v>
      </c>
      <c r="AD61" s="97">
        <v>126088.945071714</v>
      </c>
      <c r="AE61" s="97">
        <v>95988.089831203499</v>
      </c>
      <c r="AF61" s="97">
        <v>253005.822880377</v>
      </c>
      <c r="AG61" s="97">
        <v>145724.84631199</v>
      </c>
      <c r="AH61" s="97">
        <v>187671.508404219</v>
      </c>
      <c r="AI61" s="97">
        <v>114315.509962736</v>
      </c>
      <c r="AJ61" s="97">
        <v>174789.338196461</v>
      </c>
      <c r="AK61" s="97">
        <v>101216.224526757</v>
      </c>
      <c r="AL61" s="97">
        <v>126149.737335616</v>
      </c>
      <c r="AM61" s="97">
        <v>49933.607621039599</v>
      </c>
      <c r="AN61" s="97">
        <v>248938.530938376</v>
      </c>
      <c r="AO61" s="97">
        <v>163233.018315703</v>
      </c>
      <c r="AP61" s="97">
        <v>146075.12554685201</v>
      </c>
      <c r="AQ61" s="97">
        <v>208665.10353830099</v>
      </c>
      <c r="AR61" s="97">
        <v>153112.55381091099</v>
      </c>
      <c r="AS61" s="97">
        <v>299621.90981420397</v>
      </c>
      <c r="AT61" s="97">
        <v>122843.796127243</v>
      </c>
      <c r="AU61" s="97">
        <v>109672.13894852401</v>
      </c>
      <c r="AV61" s="97">
        <v>194953.842645711</v>
      </c>
      <c r="AW61" s="97">
        <v>227328.32855614799</v>
      </c>
      <c r="AX61" s="97">
        <v>495931.70943189599</v>
      </c>
      <c r="AY61" s="97">
        <v>130350.193284258</v>
      </c>
      <c r="AZ61" s="97">
        <v>175750.434940051</v>
      </c>
      <c r="BA61" s="97">
        <v>175070.140558293</v>
      </c>
      <c r="BB61" s="97">
        <v>149360.80266725799</v>
      </c>
      <c r="BC61" s="97">
        <v>160077.610332229</v>
      </c>
      <c r="BD61" s="97">
        <v>97768.434702612794</v>
      </c>
      <c r="BE61" s="97">
        <v>98746.119049638903</v>
      </c>
      <c r="BF61" s="97">
        <v>99733.580240135401</v>
      </c>
      <c r="BG61" s="97">
        <v>100730.91604253701</v>
      </c>
      <c r="BH61" s="97">
        <v>101738.225202962</v>
      </c>
      <c r="BI61" s="97">
        <v>102755.607454992</v>
      </c>
    </row>
    <row r="62" spans="1:61" x14ac:dyDescent="0.25">
      <c r="A62" s="95" t="s">
        <v>27</v>
      </c>
      <c r="B62" s="95" t="s">
        <v>136</v>
      </c>
      <c r="C62" s="96" t="s">
        <v>41</v>
      </c>
      <c r="D62" s="96" t="s">
        <v>56</v>
      </c>
      <c r="E62" s="96" t="s">
        <v>175</v>
      </c>
      <c r="F62" s="96" t="s">
        <v>214</v>
      </c>
      <c r="G62" s="97">
        <f t="shared" si="0"/>
        <v>11000000000.000004</v>
      </c>
      <c r="H62" s="97">
        <f>SUMIF(I$1:BI$1,"&lt;="&amp;[2]PARAMETER!X$2,I62:BI62)</f>
        <v>1997667057.4587874</v>
      </c>
      <c r="I62" s="97">
        <v>311611177.94592398</v>
      </c>
      <c r="J62" s="97">
        <v>399377158.05072498</v>
      </c>
      <c r="K62" s="97">
        <v>216374824.88817999</v>
      </c>
      <c r="L62" s="97">
        <v>335938749.95095199</v>
      </c>
      <c r="M62" s="97">
        <v>207357767.414516</v>
      </c>
      <c r="N62" s="97">
        <v>94057122.837839395</v>
      </c>
      <c r="O62" s="97">
        <v>82112514.044531703</v>
      </c>
      <c r="P62" s="97">
        <v>282458483.49418998</v>
      </c>
      <c r="Q62" s="97">
        <v>68379258.831929401</v>
      </c>
      <c r="R62" s="97">
        <v>295016666.45846498</v>
      </c>
      <c r="S62" s="97">
        <v>591365122.19402897</v>
      </c>
      <c r="T62" s="97">
        <v>318989997.56652701</v>
      </c>
      <c r="U62" s="97">
        <v>296833660.25860798</v>
      </c>
      <c r="V62" s="97">
        <v>244327712.83149701</v>
      </c>
      <c r="W62" s="97">
        <v>151685979.60686001</v>
      </c>
      <c r="X62" s="97">
        <v>176157100.497565</v>
      </c>
      <c r="Y62" s="97">
        <v>273125083.91270399</v>
      </c>
      <c r="Z62" s="97">
        <v>155865336.60229701</v>
      </c>
      <c r="AA62" s="97">
        <v>227736797.25547901</v>
      </c>
      <c r="AB62" s="97">
        <v>93764240.631409094</v>
      </c>
      <c r="AC62" s="97">
        <v>274497854.705046</v>
      </c>
      <c r="AD62" s="97">
        <v>194323299.577205</v>
      </c>
      <c r="AE62" s="97">
        <v>171105670.54270601</v>
      </c>
      <c r="AF62" s="97">
        <v>171368739.12445199</v>
      </c>
      <c r="AG62" s="97">
        <v>307637164.78581101</v>
      </c>
      <c r="AH62" s="97">
        <v>193766860.04108399</v>
      </c>
      <c r="AI62" s="97">
        <v>54380540.1726477</v>
      </c>
      <c r="AJ62" s="97">
        <v>177620656.22081199</v>
      </c>
      <c r="AK62" s="97">
        <v>35336476.4704303</v>
      </c>
      <c r="AL62" s="97">
        <v>37888620.493020803</v>
      </c>
      <c r="AM62" s="97">
        <v>0</v>
      </c>
      <c r="AN62" s="97">
        <v>53159892.178389102</v>
      </c>
      <c r="AO62" s="97">
        <v>127158677.13980301</v>
      </c>
      <c r="AP62" s="97">
        <v>47726236.8926351</v>
      </c>
      <c r="AQ62" s="97">
        <v>72391732.841324806</v>
      </c>
      <c r="AR62" s="97">
        <v>106020377.365274</v>
      </c>
      <c r="AS62" s="97">
        <v>42276697.298647597</v>
      </c>
      <c r="AT62" s="97">
        <v>63537232.934383698</v>
      </c>
      <c r="AU62" s="97">
        <v>26791109.639112201</v>
      </c>
      <c r="AV62" s="97">
        <v>24828200.139796302</v>
      </c>
      <c r="AW62" s="97">
        <v>164557059.00593999</v>
      </c>
      <c r="AX62" s="97">
        <v>6109349.3206138201</v>
      </c>
      <c r="AY62" s="97">
        <v>0</v>
      </c>
      <c r="AZ62" s="97">
        <v>0</v>
      </c>
      <c r="BA62" s="97">
        <v>0</v>
      </c>
      <c r="BB62" s="97">
        <v>95410930.209890097</v>
      </c>
      <c r="BC62" s="97">
        <v>811558705.84334695</v>
      </c>
      <c r="BD62" s="97">
        <v>474318273.48874801</v>
      </c>
      <c r="BE62" s="97">
        <v>479061456.22363502</v>
      </c>
      <c r="BF62" s="97">
        <v>483852070.78587103</v>
      </c>
      <c r="BG62" s="97">
        <v>488690591.49373001</v>
      </c>
      <c r="BH62" s="97">
        <v>493577497.40866703</v>
      </c>
      <c r="BI62" s="97">
        <v>498513272.38275403</v>
      </c>
    </row>
    <row r="63" spans="1:61" x14ac:dyDescent="0.25">
      <c r="A63" s="95" t="s">
        <v>27</v>
      </c>
      <c r="B63" s="95" t="s">
        <v>136</v>
      </c>
      <c r="C63" s="96" t="s">
        <v>42</v>
      </c>
      <c r="D63" s="96" t="s">
        <v>56</v>
      </c>
      <c r="E63" s="96" t="s">
        <v>177</v>
      </c>
      <c r="F63" s="96" t="s">
        <v>215</v>
      </c>
      <c r="G63" s="97">
        <f t="shared" si="0"/>
        <v>77000.000000000029</v>
      </c>
      <c r="H63" s="97">
        <f>SUMIF(I$1:BI$1,"&lt;="&amp;[2]PARAMETER!X$2,I63:BI63)</f>
        <v>13871.140240429764</v>
      </c>
      <c r="I63" s="97">
        <v>2047.67338534582</v>
      </c>
      <c r="J63" s="97">
        <v>2800.6323208307099</v>
      </c>
      <c r="K63" s="97">
        <v>1517.3284595283601</v>
      </c>
      <c r="L63" s="97">
        <v>2355.7704840310498</v>
      </c>
      <c r="M63" s="97">
        <v>1454.09634399429</v>
      </c>
      <c r="N63" s="97">
        <v>659.57557390034799</v>
      </c>
      <c r="O63" s="97">
        <v>575.81400473727899</v>
      </c>
      <c r="P63" s="97">
        <v>1980.740115503</v>
      </c>
      <c r="Q63" s="97">
        <v>479.509552558905</v>
      </c>
      <c r="R63" s="97">
        <v>2068.8043735399901</v>
      </c>
      <c r="S63" s="97">
        <v>4146.9479193856296</v>
      </c>
      <c r="T63" s="97">
        <v>2236.91735793527</v>
      </c>
      <c r="U63" s="97">
        <v>2081.5460425634801</v>
      </c>
      <c r="V63" s="97">
        <v>1713.34808623087</v>
      </c>
      <c r="W63" s="97">
        <v>1063.6979319931099</v>
      </c>
      <c r="X63" s="97">
        <v>1235.30166723918</v>
      </c>
      <c r="Y63" s="97">
        <v>1915.28965093784</v>
      </c>
      <c r="Z63" s="97">
        <v>1093.0056729236101</v>
      </c>
      <c r="AA63" s="97">
        <v>1597.0042907540501</v>
      </c>
      <c r="AB63" s="97">
        <v>657.52173742775597</v>
      </c>
      <c r="AC63" s="97">
        <v>1924.91620611914</v>
      </c>
      <c r="AD63" s="97">
        <v>1362.6921382851499</v>
      </c>
      <c r="AE63" s="97">
        <v>1199.8785146807299</v>
      </c>
      <c r="AF63" s="97">
        <v>1201.7232831102201</v>
      </c>
      <c r="AG63" s="97">
        <v>2157.3056180604999</v>
      </c>
      <c r="AH63" s="97">
        <v>1358.7901060381</v>
      </c>
      <c r="AI63" s="97">
        <v>381.343537960692</v>
      </c>
      <c r="AJ63" s="97">
        <v>1245.5648517484401</v>
      </c>
      <c r="AK63" s="97">
        <v>247.79704124889301</v>
      </c>
      <c r="AL63" s="97">
        <v>265.69395120730798</v>
      </c>
      <c r="AM63" s="97">
        <v>0</v>
      </c>
      <c r="AN63" s="97">
        <v>372.78374390095303</v>
      </c>
      <c r="AO63" s="97">
        <v>891.70022344286599</v>
      </c>
      <c r="AP63" s="97">
        <v>334.680236209604</v>
      </c>
      <c r="AQ63" s="97">
        <v>507.64702654978998</v>
      </c>
      <c r="AR63" s="97">
        <v>743.46789627398005</v>
      </c>
      <c r="AS63" s="97">
        <v>296.465339806766</v>
      </c>
      <c r="AT63" s="97">
        <v>445.55484595236601</v>
      </c>
      <c r="AU63" s="97">
        <v>187.87265634427399</v>
      </c>
      <c r="AV63" s="97">
        <v>174.10775348032101</v>
      </c>
      <c r="AW63" s="97">
        <v>1153.9563762791599</v>
      </c>
      <c r="AX63" s="97">
        <v>42.841812110804398</v>
      </c>
      <c r="AY63" s="97">
        <v>0</v>
      </c>
      <c r="AZ63" s="97">
        <v>0</v>
      </c>
      <c r="BA63" s="97">
        <v>0</v>
      </c>
      <c r="BB63" s="97">
        <v>669.06914809685395</v>
      </c>
      <c r="BC63" s="97">
        <v>5691.0554247264599</v>
      </c>
      <c r="BD63" s="97">
        <v>3326.1568928398401</v>
      </c>
      <c r="BE63" s="97">
        <v>3359.4184617682399</v>
      </c>
      <c r="BF63" s="97">
        <v>3393.0126463859201</v>
      </c>
      <c r="BG63" s="97">
        <v>3426.9427728497799</v>
      </c>
      <c r="BH63" s="97">
        <v>3461.2122005782799</v>
      </c>
      <c r="BI63" s="97">
        <v>3495.8243225840602</v>
      </c>
    </row>
    <row r="64" spans="1:61" x14ac:dyDescent="0.25">
      <c r="A64" s="95" t="s">
        <v>27</v>
      </c>
      <c r="B64" s="95" t="s">
        <v>136</v>
      </c>
      <c r="C64" s="96" t="s">
        <v>40</v>
      </c>
      <c r="D64" s="96" t="s">
        <v>56</v>
      </c>
      <c r="E64" s="96" t="s">
        <v>179</v>
      </c>
      <c r="F64" s="96" t="s">
        <v>216</v>
      </c>
      <c r="G64" s="97">
        <f t="shared" si="0"/>
        <v>5000000.0000000019</v>
      </c>
      <c r="H64" s="97">
        <f>SUMIF(I$1:BI$1,"&lt;="&amp;[2]PARAMETER!X$2,I64:BI64)</f>
        <v>904735.60411410755</v>
      </c>
      <c r="I64" s="97">
        <v>137729.46726998599</v>
      </c>
      <c r="J64" s="97">
        <v>181681.24488778799</v>
      </c>
      <c r="K64" s="97">
        <v>98431.386862311701</v>
      </c>
      <c r="L64" s="97">
        <v>152822.38622516399</v>
      </c>
      <c r="M64" s="97">
        <v>94329.424108518098</v>
      </c>
      <c r="N64" s="97">
        <v>42787.662797609999</v>
      </c>
      <c r="O64" s="97">
        <v>37353.923407361399</v>
      </c>
      <c r="P64" s="97">
        <v>128493.600287033</v>
      </c>
      <c r="Q64" s="97">
        <v>31106.508268335401</v>
      </c>
      <c r="R64" s="97">
        <v>134206.46159741399</v>
      </c>
      <c r="S64" s="97">
        <v>269018.769395379</v>
      </c>
      <c r="T64" s="97">
        <v>145112.204582512</v>
      </c>
      <c r="U64" s="97">
        <v>135033.032894517</v>
      </c>
      <c r="V64" s="97">
        <v>111147.47584581299</v>
      </c>
      <c r="W64" s="97">
        <v>69003.689999460796</v>
      </c>
      <c r="X64" s="97">
        <v>80135.883259893002</v>
      </c>
      <c r="Y64" s="97">
        <v>124247.729884039</v>
      </c>
      <c r="Z64" s="97">
        <v>70904.927379854795</v>
      </c>
      <c r="AA64" s="97">
        <v>103600.07826706499</v>
      </c>
      <c r="AB64" s="97">
        <v>42654.427326334102</v>
      </c>
      <c r="AC64" s="97">
        <v>124872.219045401</v>
      </c>
      <c r="AD64" s="97">
        <v>88399.895352565407</v>
      </c>
      <c r="AE64" s="97">
        <v>77837.929898860602</v>
      </c>
      <c r="AF64" s="97">
        <v>77957.602810690805</v>
      </c>
      <c r="AG64" s="97">
        <v>139947.670880408</v>
      </c>
      <c r="AH64" s="97">
        <v>88146.764632419203</v>
      </c>
      <c r="AI64" s="97">
        <v>24738.330765982701</v>
      </c>
      <c r="AJ64" s="97">
        <v>80801.671526452497</v>
      </c>
      <c r="AK64" s="97">
        <v>16074.967998746701</v>
      </c>
      <c r="AL64" s="97">
        <v>17235.967554705901</v>
      </c>
      <c r="AM64" s="97">
        <v>0</v>
      </c>
      <c r="AN64" s="97">
        <v>24183.0440083496</v>
      </c>
      <c r="AO64" s="97">
        <v>57845.939096269904</v>
      </c>
      <c r="AP64" s="97">
        <v>21711.211965112201</v>
      </c>
      <c r="AQ64" s="97">
        <v>32931.828666389498</v>
      </c>
      <c r="AR64" s="97">
        <v>48229.884345938102</v>
      </c>
      <c r="AS64" s="97">
        <v>19232.1539680717</v>
      </c>
      <c r="AT64" s="97">
        <v>28903.815212130899</v>
      </c>
      <c r="AU64" s="97">
        <v>12187.582722347101</v>
      </c>
      <c r="AV64" s="97">
        <v>11294.6327019244</v>
      </c>
      <c r="AW64" s="97">
        <v>74858.891482910301</v>
      </c>
      <c r="AX64" s="97">
        <v>2779.2130011664399</v>
      </c>
      <c r="AY64" s="97">
        <v>0</v>
      </c>
      <c r="AZ64" s="97">
        <v>0</v>
      </c>
      <c r="BA64" s="97">
        <v>0</v>
      </c>
      <c r="BB64" s="97">
        <v>43403.525281816503</v>
      </c>
      <c r="BC64" s="97">
        <v>369187.35336990398</v>
      </c>
      <c r="BD64" s="97">
        <v>215772.81690586</v>
      </c>
      <c r="BE64" s="97">
        <v>217930.54507491799</v>
      </c>
      <c r="BF64" s="97">
        <v>220109.85052566801</v>
      </c>
      <c r="BG64" s="97">
        <v>222310.94903092401</v>
      </c>
      <c r="BH64" s="97">
        <v>224534.05852123399</v>
      </c>
      <c r="BI64" s="97">
        <v>226779.39910644601</v>
      </c>
    </row>
    <row r="65" spans="1:61" x14ac:dyDescent="0.25">
      <c r="A65" s="95" t="s">
        <v>6</v>
      </c>
      <c r="B65" s="95" t="s">
        <v>136</v>
      </c>
      <c r="C65" s="96" t="s">
        <v>41</v>
      </c>
      <c r="D65" s="96" t="s">
        <v>54</v>
      </c>
      <c r="E65" s="96" t="s">
        <v>145</v>
      </c>
      <c r="F65" s="96" t="s">
        <v>217</v>
      </c>
      <c r="G65" s="97">
        <f t="shared" si="0"/>
        <v>729999999.99999988</v>
      </c>
      <c r="H65" s="97">
        <f>SUMIF(I$1:BI$1,"&lt;="&amp;[2]PARAMETER!X$2,I65:BI65)</f>
        <v>61954059.463581592</v>
      </c>
      <c r="I65" s="97">
        <v>5644929.2924440699</v>
      </c>
      <c r="J65" s="97">
        <v>3201111.9009252102</v>
      </c>
      <c r="K65" s="97">
        <v>4381698.2206120398</v>
      </c>
      <c r="L65" s="97">
        <v>3689422.45542318</v>
      </c>
      <c r="M65" s="97">
        <v>4390725.3205884201</v>
      </c>
      <c r="N65" s="97">
        <v>21607619.761872601</v>
      </c>
      <c r="O65" s="97">
        <v>14137324.477538301</v>
      </c>
      <c r="P65" s="97">
        <v>4096522.3319288101</v>
      </c>
      <c r="Q65" s="97">
        <v>804705.70224895305</v>
      </c>
      <c r="R65" s="97">
        <v>17841456.805546202</v>
      </c>
      <c r="S65" s="97">
        <v>17908559.294575199</v>
      </c>
      <c r="T65" s="97">
        <v>14257053.9812323</v>
      </c>
      <c r="U65" s="97">
        <v>6279245.9448629301</v>
      </c>
      <c r="V65" s="97">
        <v>11383176.761519801</v>
      </c>
      <c r="W65" s="97">
        <v>7889456.5180972395</v>
      </c>
      <c r="X65" s="97">
        <v>8466635.3743458707</v>
      </c>
      <c r="Y65" s="97">
        <v>11404215.386060899</v>
      </c>
      <c r="Z65" s="97">
        <v>43354355.790504403</v>
      </c>
      <c r="AA65" s="97">
        <v>10105922.400867401</v>
      </c>
      <c r="AB65" s="97">
        <v>4721839.5692004999</v>
      </c>
      <c r="AC65" s="97">
        <v>6192944.9496072903</v>
      </c>
      <c r="AD65" s="97">
        <v>2324621.2822008701</v>
      </c>
      <c r="AE65" s="97">
        <v>2290997.1343027698</v>
      </c>
      <c r="AF65" s="97">
        <v>7554124.9471694799</v>
      </c>
      <c r="AG65" s="97">
        <v>5114137.2903574202</v>
      </c>
      <c r="AH65" s="97">
        <v>25185989.139074799</v>
      </c>
      <c r="AI65" s="97">
        <v>6177426.6800097898</v>
      </c>
      <c r="AJ65" s="97">
        <v>3346401.8845973201</v>
      </c>
      <c r="AK65" s="97">
        <v>9564837.1792820394</v>
      </c>
      <c r="AL65" s="97">
        <v>7629398.1521247998</v>
      </c>
      <c r="AM65" s="97">
        <v>3409829.67396311</v>
      </c>
      <c r="AN65" s="97">
        <v>4014134.1258675898</v>
      </c>
      <c r="AO65" s="97">
        <v>74374308.081495807</v>
      </c>
      <c r="AP65" s="97">
        <v>35818940.250912197</v>
      </c>
      <c r="AQ65" s="97">
        <v>6291759.4876639498</v>
      </c>
      <c r="AR65" s="97">
        <v>7346542.2521290099</v>
      </c>
      <c r="AS65" s="97">
        <v>13655518.012248401</v>
      </c>
      <c r="AT65" s="97">
        <v>23123768.359397199</v>
      </c>
      <c r="AU65" s="97">
        <v>12364417.545682499</v>
      </c>
      <c r="AV65" s="97">
        <v>10669823.613028901</v>
      </c>
      <c r="AW65" s="97">
        <v>14845491.334691299</v>
      </c>
      <c r="AX65" s="97">
        <v>11591508.7926041</v>
      </c>
      <c r="AY65" s="97">
        <v>12697637.686969601</v>
      </c>
      <c r="AZ65" s="97">
        <v>7260636.2271033702</v>
      </c>
      <c r="BA65" s="97">
        <v>12604282.597232301</v>
      </c>
      <c r="BB65" s="97">
        <v>19464933.9489359</v>
      </c>
      <c r="BC65" s="97">
        <v>18392432.893779099</v>
      </c>
      <c r="BD65" s="97">
        <v>24565476.142498001</v>
      </c>
      <c r="BE65" s="97">
        <v>24811130.903923001</v>
      </c>
      <c r="BF65" s="97">
        <v>25059242.212962199</v>
      </c>
      <c r="BG65" s="97">
        <v>25309834.6350918</v>
      </c>
      <c r="BH65" s="97">
        <v>25562932.981442701</v>
      </c>
      <c r="BI65" s="97">
        <v>25818562.311257198</v>
      </c>
    </row>
    <row r="66" spans="1:61" x14ac:dyDescent="0.25">
      <c r="A66" s="95" t="s">
        <v>6</v>
      </c>
      <c r="B66" s="95" t="s">
        <v>136</v>
      </c>
      <c r="C66" s="96" t="s">
        <v>42</v>
      </c>
      <c r="D66" s="96" t="s">
        <v>54</v>
      </c>
      <c r="E66" s="96" t="s">
        <v>147</v>
      </c>
      <c r="F66" s="96" t="s">
        <v>218</v>
      </c>
      <c r="G66" s="97">
        <f t="shared" ref="G66:G129" si="1">SUM(I66:BI66)</f>
        <v>3499.9999999999986</v>
      </c>
      <c r="H66" s="97">
        <f>SUMIF(I$1:BI$1,"&lt;="&amp;[2]PARAMETER!X$2,I66:BI66)</f>
        <v>297.04001112676104</v>
      </c>
      <c r="I66" s="97">
        <v>27.0647294843209</v>
      </c>
      <c r="J66" s="97">
        <v>15.3477967852579</v>
      </c>
      <c r="K66" s="97">
        <v>21.008142153619399</v>
      </c>
      <c r="L66" s="97">
        <v>17.689011772576901</v>
      </c>
      <c r="M66" s="97">
        <v>21.051422769944502</v>
      </c>
      <c r="N66" s="97">
        <v>103.598176940485</v>
      </c>
      <c r="O66" s="97">
        <v>67.781692700526094</v>
      </c>
      <c r="P66" s="97">
        <v>19.640860495549099</v>
      </c>
      <c r="Q66" s="97">
        <v>3.8581780244812802</v>
      </c>
      <c r="R66" s="97">
        <v>85.541231259467907</v>
      </c>
      <c r="S66" s="97">
        <v>85.862955521935902</v>
      </c>
      <c r="T66" s="97">
        <v>68.3557382661823</v>
      </c>
      <c r="U66" s="97">
        <v>30.1059737082469</v>
      </c>
      <c r="V66" s="97">
        <v>54.576874883999103</v>
      </c>
      <c r="W66" s="97">
        <v>37.8261613881375</v>
      </c>
      <c r="X66" s="97">
        <v>40.593457274260999</v>
      </c>
      <c r="Y66" s="97">
        <v>54.677745001662103</v>
      </c>
      <c r="Z66" s="97">
        <v>207.86334968049999</v>
      </c>
      <c r="AA66" s="97">
        <v>48.453052606898503</v>
      </c>
      <c r="AB66" s="97">
        <v>22.638956838632499</v>
      </c>
      <c r="AC66" s="97">
        <v>29.692201813185601</v>
      </c>
      <c r="AD66" s="97">
        <v>11.1454445037028</v>
      </c>
      <c r="AE66" s="97">
        <v>10.984232835698201</v>
      </c>
      <c r="AF66" s="97">
        <v>36.218407280949499</v>
      </c>
      <c r="AG66" s="97">
        <v>24.519836323631498</v>
      </c>
      <c r="AH66" s="97">
        <v>120.75474244761899</v>
      </c>
      <c r="AI66" s="97">
        <v>29.617799150731901</v>
      </c>
      <c r="AJ66" s="97">
        <v>16.044392597384402</v>
      </c>
      <c r="AK66" s="97">
        <v>45.858808393818002</v>
      </c>
      <c r="AL66" s="97">
        <v>36.579306208817499</v>
      </c>
      <c r="AM66" s="97">
        <v>16.3484984368095</v>
      </c>
      <c r="AN66" s="97">
        <v>19.2458485486802</v>
      </c>
      <c r="AO66" s="97">
        <v>356.589148335939</v>
      </c>
      <c r="AP66" s="97">
        <v>171.73464503861999</v>
      </c>
      <c r="AQ66" s="97">
        <v>30.165970146334001</v>
      </c>
      <c r="AR66" s="97">
        <v>35.223147784180199</v>
      </c>
      <c r="AS66" s="97">
        <v>65.471661702560894</v>
      </c>
      <c r="AT66" s="97">
        <v>110.86738254505499</v>
      </c>
      <c r="AU66" s="97">
        <v>59.281453986149202</v>
      </c>
      <c r="AV66" s="97">
        <v>51.156688555618103</v>
      </c>
      <c r="AW66" s="97">
        <v>71.177013248519899</v>
      </c>
      <c r="AX66" s="97">
        <v>55.5757270878279</v>
      </c>
      <c r="AY66" s="97">
        <v>60.879084800538898</v>
      </c>
      <c r="AZ66" s="97">
        <v>34.811269582002502</v>
      </c>
      <c r="BA66" s="97">
        <v>60.431491904538298</v>
      </c>
      <c r="BB66" s="97">
        <v>93.325025782569398</v>
      </c>
      <c r="BC66" s="97">
        <v>88.182897435927302</v>
      </c>
      <c r="BD66" s="97">
        <v>117.779680135264</v>
      </c>
      <c r="BE66" s="97">
        <v>118.957476936617</v>
      </c>
      <c r="BF66" s="97">
        <v>120.147051705983</v>
      </c>
      <c r="BG66" s="97">
        <v>121.34852222304301</v>
      </c>
      <c r="BH66" s="97">
        <v>122.562007445273</v>
      </c>
      <c r="BI66" s="97">
        <v>123.787627519726</v>
      </c>
    </row>
    <row r="67" spans="1:61" x14ac:dyDescent="0.25">
      <c r="A67" s="95" t="s">
        <v>6</v>
      </c>
      <c r="B67" s="95" t="s">
        <v>136</v>
      </c>
      <c r="C67" s="96" t="s">
        <v>40</v>
      </c>
      <c r="D67" s="96" t="s">
        <v>54</v>
      </c>
      <c r="E67" s="96" t="s">
        <v>149</v>
      </c>
      <c r="F67" s="96" t="s">
        <v>219</v>
      </c>
      <c r="G67" s="97">
        <f t="shared" si="1"/>
        <v>3000000.0000000009</v>
      </c>
      <c r="H67" s="97">
        <f>SUMIF(I$1:BI$1,"&lt;="&amp;[2]PARAMETER!X$2,I67:BI67)</f>
        <v>254605.72382293787</v>
      </c>
      <c r="I67" s="97">
        <v>23198.3395579893</v>
      </c>
      <c r="J67" s="97">
        <v>13155.254387363901</v>
      </c>
      <c r="K67" s="97">
        <v>18006.978988816601</v>
      </c>
      <c r="L67" s="97">
        <v>15162.010090780201</v>
      </c>
      <c r="M67" s="97">
        <v>18044.076659952399</v>
      </c>
      <c r="N67" s="97">
        <v>88798.437377558497</v>
      </c>
      <c r="O67" s="97">
        <v>58098.593743308098</v>
      </c>
      <c r="P67" s="97">
        <v>16835.023281899201</v>
      </c>
      <c r="Q67" s="97">
        <v>3307.0097352696698</v>
      </c>
      <c r="R67" s="97">
        <v>73321.055365258202</v>
      </c>
      <c r="S67" s="97">
        <v>73596.819018802198</v>
      </c>
      <c r="T67" s="97">
        <v>58590.632799584899</v>
      </c>
      <c r="U67" s="97">
        <v>25805.120321354501</v>
      </c>
      <c r="V67" s="97">
        <v>46780.178471999199</v>
      </c>
      <c r="W67" s="97">
        <v>32422.424046975</v>
      </c>
      <c r="X67" s="97">
        <v>34794.391949366604</v>
      </c>
      <c r="Y67" s="97">
        <v>46866.638572853197</v>
      </c>
      <c r="Z67" s="97">
        <v>178168.58544042899</v>
      </c>
      <c r="AA67" s="97">
        <v>41531.187948770101</v>
      </c>
      <c r="AB67" s="97">
        <v>19404.820147399299</v>
      </c>
      <c r="AC67" s="97">
        <v>25450.4586970163</v>
      </c>
      <c r="AD67" s="97">
        <v>9553.2381460309607</v>
      </c>
      <c r="AE67" s="97">
        <v>9415.0567163127507</v>
      </c>
      <c r="AF67" s="97">
        <v>31044.3490979567</v>
      </c>
      <c r="AG67" s="97">
        <v>21017.002563112699</v>
      </c>
      <c r="AH67" s="97">
        <v>103504.064955102</v>
      </c>
      <c r="AI67" s="97">
        <v>25386.684986341599</v>
      </c>
      <c r="AJ67" s="97">
        <v>13752.336512043799</v>
      </c>
      <c r="AK67" s="97">
        <v>39307.550051844002</v>
      </c>
      <c r="AL67" s="97">
        <v>31353.691036129301</v>
      </c>
      <c r="AM67" s="97">
        <v>14012.998660122401</v>
      </c>
      <c r="AN67" s="97">
        <v>16496.4416131545</v>
      </c>
      <c r="AO67" s="97">
        <v>305647.84143080498</v>
      </c>
      <c r="AP67" s="97">
        <v>147201.12431881699</v>
      </c>
      <c r="AQ67" s="97">
        <v>25856.545839714901</v>
      </c>
      <c r="AR67" s="97">
        <v>30191.2695292973</v>
      </c>
      <c r="AS67" s="97">
        <v>56118.567173623604</v>
      </c>
      <c r="AT67" s="97">
        <v>95029.1850386187</v>
      </c>
      <c r="AU67" s="97">
        <v>50812.674845270703</v>
      </c>
      <c r="AV67" s="97">
        <v>43848.590190529801</v>
      </c>
      <c r="AW67" s="97">
        <v>61008.868498731397</v>
      </c>
      <c r="AX67" s="97">
        <v>47636.337503852497</v>
      </c>
      <c r="AY67" s="97">
        <v>52182.072686176201</v>
      </c>
      <c r="AZ67" s="97">
        <v>29838.231070287799</v>
      </c>
      <c r="BA67" s="97">
        <v>51798.421632461403</v>
      </c>
      <c r="BB67" s="97">
        <v>79992.879242202296</v>
      </c>
      <c r="BC67" s="97">
        <v>75585.340659366193</v>
      </c>
      <c r="BD67" s="97">
        <v>100954.011544512</v>
      </c>
      <c r="BE67" s="97">
        <v>101963.551659957</v>
      </c>
      <c r="BF67" s="97">
        <v>102983.187176557</v>
      </c>
      <c r="BG67" s="97">
        <v>104013.019048323</v>
      </c>
      <c r="BH67" s="97">
        <v>105053.149238806</v>
      </c>
      <c r="BI67" s="97">
        <v>106103.68073119401</v>
      </c>
    </row>
    <row r="68" spans="1:61" x14ac:dyDescent="0.25">
      <c r="A68" s="95" t="s">
        <v>47</v>
      </c>
      <c r="B68" s="95" t="s">
        <v>136</v>
      </c>
      <c r="C68" s="96" t="s">
        <v>41</v>
      </c>
      <c r="D68" s="96" t="s">
        <v>55</v>
      </c>
      <c r="E68" s="96" t="s">
        <v>151</v>
      </c>
      <c r="F68" s="96" t="s">
        <v>220</v>
      </c>
      <c r="G68" s="97">
        <f t="shared" si="1"/>
        <v>3500000000</v>
      </c>
      <c r="H68" s="97">
        <f>SUMIF(I$1:BI$1,"&lt;="&amp;[2]PARAMETER!X$2,I68:BI68)</f>
        <v>0</v>
      </c>
      <c r="I68" s="97">
        <v>0</v>
      </c>
      <c r="J68" s="97">
        <v>0</v>
      </c>
      <c r="K68" s="97">
        <v>0</v>
      </c>
      <c r="L68" s="97">
        <v>0</v>
      </c>
      <c r="M68" s="97">
        <v>0</v>
      </c>
      <c r="N68" s="97">
        <v>0</v>
      </c>
      <c r="O68" s="97">
        <v>0</v>
      </c>
      <c r="P68" s="97">
        <v>0</v>
      </c>
      <c r="Q68" s="97">
        <v>0</v>
      </c>
      <c r="R68" s="97">
        <v>0</v>
      </c>
      <c r="S68" s="97">
        <v>0</v>
      </c>
      <c r="T68" s="97">
        <v>0</v>
      </c>
      <c r="U68" s="97">
        <v>0</v>
      </c>
      <c r="V68" s="97">
        <v>0</v>
      </c>
      <c r="W68" s="97">
        <v>0</v>
      </c>
      <c r="X68" s="97">
        <v>0</v>
      </c>
      <c r="Y68" s="97">
        <v>0</v>
      </c>
      <c r="Z68" s="97">
        <v>0</v>
      </c>
      <c r="AA68" s="97">
        <v>0</v>
      </c>
      <c r="AB68" s="97">
        <v>0</v>
      </c>
      <c r="AC68" s="97">
        <v>0</v>
      </c>
      <c r="AD68" s="97">
        <v>0</v>
      </c>
      <c r="AE68" s="97">
        <v>0</v>
      </c>
      <c r="AF68" s="97">
        <v>0</v>
      </c>
      <c r="AG68" s="97">
        <v>0</v>
      </c>
      <c r="AH68" s="97">
        <v>0</v>
      </c>
      <c r="AI68" s="97">
        <v>1114865.0233239699</v>
      </c>
      <c r="AJ68" s="97">
        <v>29857189.7648191</v>
      </c>
      <c r="AK68" s="97">
        <v>87208433.376223698</v>
      </c>
      <c r="AL68" s="97">
        <v>138762671.02690801</v>
      </c>
      <c r="AM68" s="97">
        <v>132672949.259167</v>
      </c>
      <c r="AN68" s="97">
        <v>141479049.90360901</v>
      </c>
      <c r="AO68" s="97">
        <v>130251506.014467</v>
      </c>
      <c r="AP68" s="97">
        <v>135946087.487607</v>
      </c>
      <c r="AQ68" s="97">
        <v>122756656.78663801</v>
      </c>
      <c r="AR68" s="97">
        <v>132417491.93793599</v>
      </c>
      <c r="AS68" s="97">
        <v>175795376.91971999</v>
      </c>
      <c r="AT68" s="97">
        <v>142797055.81603199</v>
      </c>
      <c r="AU68" s="97">
        <v>171226348.60090199</v>
      </c>
      <c r="AV68" s="97">
        <v>149990282.46100801</v>
      </c>
      <c r="AW68" s="97">
        <v>122681476.958602</v>
      </c>
      <c r="AX68" s="97">
        <v>175528442.67976001</v>
      </c>
      <c r="AY68" s="97">
        <v>183874132.84830099</v>
      </c>
      <c r="AZ68" s="97">
        <v>224226320.824626</v>
      </c>
      <c r="BA68" s="97">
        <v>123539613.899619</v>
      </c>
      <c r="BB68" s="97">
        <v>134313344.966988</v>
      </c>
      <c r="BC68" s="97">
        <v>138200010.077557</v>
      </c>
      <c r="BD68" s="97">
        <v>114655228.648728</v>
      </c>
      <c r="BE68" s="97">
        <v>115801780.93521599</v>
      </c>
      <c r="BF68" s="97">
        <v>116959798.74456801</v>
      </c>
      <c r="BG68" s="97">
        <v>118129396.732013</v>
      </c>
      <c r="BH68" s="97">
        <v>119310690.699334</v>
      </c>
      <c r="BI68" s="97">
        <v>120503797.606327</v>
      </c>
    </row>
    <row r="69" spans="1:61" x14ac:dyDescent="0.25">
      <c r="A69" s="95" t="s">
        <v>47</v>
      </c>
      <c r="B69" s="95" t="s">
        <v>136</v>
      </c>
      <c r="C69" s="96" t="s">
        <v>42</v>
      </c>
      <c r="D69" s="96" t="s">
        <v>55</v>
      </c>
      <c r="E69" s="96" t="s">
        <v>153</v>
      </c>
      <c r="F69" s="96" t="s">
        <v>221</v>
      </c>
      <c r="G69" s="97">
        <f t="shared" si="1"/>
        <v>4000.0000000000032</v>
      </c>
      <c r="H69" s="97">
        <f>SUMIF(I$1:BI$1,"&lt;="&amp;[2]PARAMETER!X$2,I69:BI69)</f>
        <v>0</v>
      </c>
      <c r="I69" s="97">
        <v>0</v>
      </c>
      <c r="J69" s="97">
        <v>0</v>
      </c>
      <c r="K69" s="97">
        <v>0</v>
      </c>
      <c r="L69" s="97">
        <v>0</v>
      </c>
      <c r="M69" s="97">
        <v>0</v>
      </c>
      <c r="N69" s="97">
        <v>0</v>
      </c>
      <c r="O69" s="97">
        <v>0</v>
      </c>
      <c r="P69" s="97">
        <v>0</v>
      </c>
      <c r="Q69" s="97">
        <v>0</v>
      </c>
      <c r="R69" s="97">
        <v>0</v>
      </c>
      <c r="S69" s="97">
        <v>0</v>
      </c>
      <c r="T69" s="97">
        <v>0</v>
      </c>
      <c r="U69" s="97">
        <v>0</v>
      </c>
      <c r="V69" s="97">
        <v>0</v>
      </c>
      <c r="W69" s="97">
        <v>0</v>
      </c>
      <c r="X69" s="97">
        <v>0</v>
      </c>
      <c r="Y69" s="97">
        <v>0</v>
      </c>
      <c r="Z69" s="97">
        <v>0</v>
      </c>
      <c r="AA69" s="97">
        <v>0</v>
      </c>
      <c r="AB69" s="97">
        <v>0</v>
      </c>
      <c r="AC69" s="97">
        <v>0</v>
      </c>
      <c r="AD69" s="97">
        <v>0</v>
      </c>
      <c r="AE69" s="97">
        <v>0</v>
      </c>
      <c r="AF69" s="97">
        <v>0</v>
      </c>
      <c r="AG69" s="97">
        <v>0</v>
      </c>
      <c r="AH69" s="97">
        <v>0</v>
      </c>
      <c r="AI69" s="97">
        <v>1.2741314552273999</v>
      </c>
      <c r="AJ69" s="97">
        <v>34.122502588364704</v>
      </c>
      <c r="AK69" s="97">
        <v>99.666781001398505</v>
      </c>
      <c r="AL69" s="97">
        <v>158.58590974503801</v>
      </c>
      <c r="AM69" s="97">
        <v>151.626227724762</v>
      </c>
      <c r="AN69" s="97">
        <v>161.690342746981</v>
      </c>
      <c r="AO69" s="97">
        <v>148.858864016534</v>
      </c>
      <c r="AP69" s="97">
        <v>155.366957128694</v>
      </c>
      <c r="AQ69" s="97">
        <v>140.29332204187199</v>
      </c>
      <c r="AR69" s="97">
        <v>151.33427650049799</v>
      </c>
      <c r="AS69" s="97">
        <v>200.90900219396599</v>
      </c>
      <c r="AT69" s="97">
        <v>163.196635218323</v>
      </c>
      <c r="AU69" s="97">
        <v>195.68725554388899</v>
      </c>
      <c r="AV69" s="97">
        <v>171.41746566972299</v>
      </c>
      <c r="AW69" s="97">
        <v>140.20740223840301</v>
      </c>
      <c r="AX69" s="97">
        <v>200.603934491155</v>
      </c>
      <c r="AY69" s="97">
        <v>210.14186611234399</v>
      </c>
      <c r="AZ69" s="97">
        <v>256.25865237100101</v>
      </c>
      <c r="BA69" s="97">
        <v>141.18813017099399</v>
      </c>
      <c r="BB69" s="97">
        <v>153.500965676558</v>
      </c>
      <c r="BC69" s="97">
        <v>157.94286866006499</v>
      </c>
      <c r="BD69" s="97">
        <v>131.03454702711801</v>
      </c>
      <c r="BE69" s="97">
        <v>132.344892497389</v>
      </c>
      <c r="BF69" s="97">
        <v>133.668341422363</v>
      </c>
      <c r="BG69" s="97">
        <v>135.00502483658701</v>
      </c>
      <c r="BH69" s="97">
        <v>136.355075084953</v>
      </c>
      <c r="BI69" s="97">
        <v>137.71862583580199</v>
      </c>
    </row>
    <row r="70" spans="1:61" x14ac:dyDescent="0.25">
      <c r="A70" s="95" t="s">
        <v>47</v>
      </c>
      <c r="B70" s="95" t="s">
        <v>136</v>
      </c>
      <c r="C70" s="96" t="s">
        <v>40</v>
      </c>
      <c r="D70" s="96" t="s">
        <v>55</v>
      </c>
      <c r="E70" s="96" t="s">
        <v>155</v>
      </c>
      <c r="F70" s="96" t="s">
        <v>222</v>
      </c>
      <c r="G70" s="97">
        <f t="shared" si="1"/>
        <v>5000000.0000000037</v>
      </c>
      <c r="H70" s="97">
        <f>SUMIF(I$1:BI$1,"&lt;="&amp;[2]PARAMETER!X$2,I70:BI70)</f>
        <v>0</v>
      </c>
      <c r="I70" s="97">
        <v>0</v>
      </c>
      <c r="J70" s="97">
        <v>0</v>
      </c>
      <c r="K70" s="97">
        <v>0</v>
      </c>
      <c r="L70" s="97">
        <v>0</v>
      </c>
      <c r="M70" s="97">
        <v>0</v>
      </c>
      <c r="N70" s="97">
        <v>0</v>
      </c>
      <c r="O70" s="97">
        <v>0</v>
      </c>
      <c r="P70" s="97">
        <v>0</v>
      </c>
      <c r="Q70" s="97">
        <v>0</v>
      </c>
      <c r="R70" s="97">
        <v>0</v>
      </c>
      <c r="S70" s="97">
        <v>0</v>
      </c>
      <c r="T70" s="97">
        <v>0</v>
      </c>
      <c r="U70" s="97">
        <v>0</v>
      </c>
      <c r="V70" s="97">
        <v>0</v>
      </c>
      <c r="W70" s="97">
        <v>0</v>
      </c>
      <c r="X70" s="97">
        <v>0</v>
      </c>
      <c r="Y70" s="97">
        <v>0</v>
      </c>
      <c r="Z70" s="97">
        <v>0</v>
      </c>
      <c r="AA70" s="97">
        <v>0</v>
      </c>
      <c r="AB70" s="97">
        <v>0</v>
      </c>
      <c r="AC70" s="97">
        <v>0</v>
      </c>
      <c r="AD70" s="97">
        <v>0</v>
      </c>
      <c r="AE70" s="97">
        <v>0</v>
      </c>
      <c r="AF70" s="97">
        <v>0</v>
      </c>
      <c r="AG70" s="97">
        <v>0</v>
      </c>
      <c r="AH70" s="97">
        <v>0</v>
      </c>
      <c r="AI70" s="97">
        <v>1592.66431903425</v>
      </c>
      <c r="AJ70" s="97">
        <v>42653.128235455901</v>
      </c>
      <c r="AK70" s="97">
        <v>124583.476251748</v>
      </c>
      <c r="AL70" s="97">
        <v>198232.387181297</v>
      </c>
      <c r="AM70" s="97">
        <v>189532.78465595201</v>
      </c>
      <c r="AN70" s="97">
        <v>202112.92843372701</v>
      </c>
      <c r="AO70" s="97">
        <v>186073.580020667</v>
      </c>
      <c r="AP70" s="97">
        <v>194208.696410868</v>
      </c>
      <c r="AQ70" s="97">
        <v>175366.65255234001</v>
      </c>
      <c r="AR70" s="97">
        <v>189167.84562562301</v>
      </c>
      <c r="AS70" s="97">
        <v>251136.25274245799</v>
      </c>
      <c r="AT70" s="97">
        <v>203995.79402290401</v>
      </c>
      <c r="AU70" s="97">
        <v>244609.069429861</v>
      </c>
      <c r="AV70" s="97">
        <v>214271.83208715401</v>
      </c>
      <c r="AW70" s="97">
        <v>175259.252798003</v>
      </c>
      <c r="AX70" s="97">
        <v>250754.91811394299</v>
      </c>
      <c r="AY70" s="97">
        <v>262677.33264043002</v>
      </c>
      <c r="AZ70" s="97">
        <v>320323.31546375097</v>
      </c>
      <c r="BA70" s="97">
        <v>176485.162713742</v>
      </c>
      <c r="BB70" s="97">
        <v>191876.20709569799</v>
      </c>
      <c r="BC70" s="97">
        <v>197428.58582508101</v>
      </c>
      <c r="BD70" s="97">
        <v>163793.18378389801</v>
      </c>
      <c r="BE70" s="97">
        <v>165431.115621737</v>
      </c>
      <c r="BF70" s="97">
        <v>167085.42677795401</v>
      </c>
      <c r="BG70" s="97">
        <v>168756.28104573299</v>
      </c>
      <c r="BH70" s="97">
        <v>170443.843856191</v>
      </c>
      <c r="BI70" s="97">
        <v>172148.28229475301</v>
      </c>
    </row>
    <row r="71" spans="1:61" x14ac:dyDescent="0.25">
      <c r="A71" s="95" t="s">
        <v>23</v>
      </c>
      <c r="B71" s="95" t="s">
        <v>136</v>
      </c>
      <c r="C71" s="96" t="s">
        <v>41</v>
      </c>
      <c r="D71" s="96" t="s">
        <v>55</v>
      </c>
      <c r="E71" s="96" t="s">
        <v>151</v>
      </c>
      <c r="F71" s="96" t="s">
        <v>223</v>
      </c>
      <c r="G71" s="97">
        <f t="shared" si="1"/>
        <v>13800000000.000008</v>
      </c>
      <c r="H71" s="97">
        <f>SUMIF(I$1:BI$1,"&lt;="&amp;[2]PARAMETER!X$2,I71:BI71)</f>
        <v>2319162692.987761</v>
      </c>
      <c r="I71" s="97">
        <v>299544816.20777202</v>
      </c>
      <c r="J71" s="97">
        <v>200833124.109909</v>
      </c>
      <c r="K71" s="97">
        <v>186002191.15866601</v>
      </c>
      <c r="L71" s="97">
        <v>286676163.81673402</v>
      </c>
      <c r="M71" s="97">
        <v>266152932.64606699</v>
      </c>
      <c r="N71" s="97">
        <v>235111685.71364701</v>
      </c>
      <c r="O71" s="97">
        <v>293015874.77929199</v>
      </c>
      <c r="P71" s="97">
        <v>364484419.23004597</v>
      </c>
      <c r="Q71" s="97">
        <v>187341485.32562801</v>
      </c>
      <c r="R71" s="97">
        <v>307461784.528588</v>
      </c>
      <c r="S71" s="97">
        <v>313119086.54240602</v>
      </c>
      <c r="T71" s="97">
        <v>191178054.57106301</v>
      </c>
      <c r="U71" s="97">
        <v>51303483.126846902</v>
      </c>
      <c r="V71" s="97">
        <v>132558277.57816599</v>
      </c>
      <c r="W71" s="97">
        <v>268936493.08657002</v>
      </c>
      <c r="X71" s="97">
        <v>229712054.61439499</v>
      </c>
      <c r="Y71" s="97">
        <v>264506807.77428901</v>
      </c>
      <c r="Z71" s="97">
        <v>211778272.99133301</v>
      </c>
      <c r="AA71" s="97">
        <v>297178924.11663097</v>
      </c>
      <c r="AB71" s="97">
        <v>291436493.10347301</v>
      </c>
      <c r="AC71" s="97">
        <v>328886097.27475399</v>
      </c>
      <c r="AD71" s="97">
        <v>90774264.287511602</v>
      </c>
      <c r="AE71" s="97">
        <v>262225259.89574</v>
      </c>
      <c r="AF71" s="97">
        <v>235181358.926884</v>
      </c>
      <c r="AG71" s="97">
        <v>371255014.43882698</v>
      </c>
      <c r="AH71" s="97">
        <v>209292868.77549499</v>
      </c>
      <c r="AI71" s="97">
        <v>181190706.543989</v>
      </c>
      <c r="AJ71" s="97">
        <v>318194645.84344399</v>
      </c>
      <c r="AK71" s="97">
        <v>222417260.383008</v>
      </c>
      <c r="AL71" s="97">
        <v>311869818.31199801</v>
      </c>
      <c r="AM71" s="97">
        <v>287753891.75314802</v>
      </c>
      <c r="AN71" s="97">
        <v>181673621.16087499</v>
      </c>
      <c r="AO71" s="97">
        <v>392487824.91003197</v>
      </c>
      <c r="AP71" s="97">
        <v>222367515.029576</v>
      </c>
      <c r="AQ71" s="97">
        <v>429474021.86344999</v>
      </c>
      <c r="AR71" s="97">
        <v>330822836.49351799</v>
      </c>
      <c r="AS71" s="97">
        <v>276963938.02801502</v>
      </c>
      <c r="AT71" s="97">
        <v>221019823.75449699</v>
      </c>
      <c r="AU71" s="97">
        <v>427767470.61357599</v>
      </c>
      <c r="AV71" s="97">
        <v>249206990.60820001</v>
      </c>
      <c r="AW71" s="97">
        <v>350968110.84500301</v>
      </c>
      <c r="AX71" s="97">
        <v>280397800.50366998</v>
      </c>
      <c r="AY71" s="97">
        <v>220115717.50301099</v>
      </c>
      <c r="AZ71" s="97">
        <v>276618270.83574498</v>
      </c>
      <c r="BA71" s="97">
        <v>209563668.63299099</v>
      </c>
      <c r="BB71" s="97">
        <v>322406607.31743097</v>
      </c>
      <c r="BC71" s="97">
        <v>209726900.97416499</v>
      </c>
      <c r="BD71" s="97">
        <v>243992456.911432</v>
      </c>
      <c r="BE71" s="97">
        <v>246432381.480546</v>
      </c>
      <c r="BF71" s="97">
        <v>248896705.29535201</v>
      </c>
      <c r="BG71" s="97">
        <v>251385672.34830499</v>
      </c>
      <c r="BH71" s="97">
        <v>253899529.07178801</v>
      </c>
      <c r="BI71" s="97">
        <v>256438524.362506</v>
      </c>
    </row>
    <row r="72" spans="1:61" x14ac:dyDescent="0.25">
      <c r="A72" s="95" t="s">
        <v>23</v>
      </c>
      <c r="B72" s="95" t="s">
        <v>136</v>
      </c>
      <c r="C72" s="96" t="s">
        <v>42</v>
      </c>
      <c r="D72" s="96" t="s">
        <v>55</v>
      </c>
      <c r="E72" s="96" t="s">
        <v>153</v>
      </c>
      <c r="F72" s="96" t="s">
        <v>224</v>
      </c>
      <c r="G72" s="97">
        <f t="shared" si="1"/>
        <v>6000.0000000000055</v>
      </c>
      <c r="H72" s="97">
        <f>SUMIF(I$1:BI$1,"&lt;="&amp;[2]PARAMETER!X$2,I72:BI72)</f>
        <v>1008.3316056468527</v>
      </c>
      <c r="I72" s="97">
        <v>130.23687661207501</v>
      </c>
      <c r="J72" s="97">
        <v>87.318749613003803</v>
      </c>
      <c r="K72" s="97">
        <v>80.870517895072098</v>
      </c>
      <c r="L72" s="97">
        <v>124.641810355102</v>
      </c>
      <c r="M72" s="97">
        <v>115.71866636785499</v>
      </c>
      <c r="N72" s="97">
        <v>102.222472049412</v>
      </c>
      <c r="O72" s="97">
        <v>127.39820642577899</v>
      </c>
      <c r="P72" s="97">
        <v>158.471486621759</v>
      </c>
      <c r="Q72" s="97">
        <v>81.452819706794799</v>
      </c>
      <c r="R72" s="97">
        <v>133.67903675156001</v>
      </c>
      <c r="S72" s="97">
        <v>136.13873327930699</v>
      </c>
      <c r="T72" s="97">
        <v>83.120893291766606</v>
      </c>
      <c r="U72" s="97">
        <v>22.305862229063901</v>
      </c>
      <c r="V72" s="97">
        <v>57.634033729637501</v>
      </c>
      <c r="W72" s="97">
        <v>116.928910037639</v>
      </c>
      <c r="X72" s="97">
        <v>99.874806354084697</v>
      </c>
      <c r="Y72" s="97">
        <v>115.002959901865</v>
      </c>
      <c r="Z72" s="97">
        <v>92.077509996231797</v>
      </c>
      <c r="AA72" s="97">
        <v>129.208227876796</v>
      </c>
      <c r="AB72" s="97">
        <v>126.711518740641</v>
      </c>
      <c r="AC72" s="97">
        <v>142.99395533685001</v>
      </c>
      <c r="AD72" s="97">
        <v>39.467071429352899</v>
      </c>
      <c r="AE72" s="97">
        <v>114.010982563365</v>
      </c>
      <c r="AF72" s="97">
        <v>102.252764750819</v>
      </c>
      <c r="AG72" s="97">
        <v>161.415223669055</v>
      </c>
      <c r="AH72" s="97">
        <v>90.996899467606596</v>
      </c>
      <c r="AI72" s="97">
        <v>78.778568062603895</v>
      </c>
      <c r="AJ72" s="97">
        <v>138.34549819280201</v>
      </c>
      <c r="AK72" s="97">
        <v>96.703156688264201</v>
      </c>
      <c r="AL72" s="97">
        <v>135.59557317913001</v>
      </c>
      <c r="AM72" s="97">
        <v>125.11038771875999</v>
      </c>
      <c r="AN72" s="97">
        <v>78.988530939510696</v>
      </c>
      <c r="AO72" s="97">
        <v>170.64688039566599</v>
      </c>
      <c r="AP72" s="97">
        <v>96.681528273728503</v>
      </c>
      <c r="AQ72" s="97">
        <v>186.72783559280401</v>
      </c>
      <c r="AR72" s="97">
        <v>143.836015866747</v>
      </c>
      <c r="AS72" s="97">
        <v>120.419103490441</v>
      </c>
      <c r="AT72" s="97">
        <v>96.095575545433306</v>
      </c>
      <c r="AU72" s="97">
        <v>185.985856788511</v>
      </c>
      <c r="AV72" s="97">
        <v>108.35086548182601</v>
      </c>
      <c r="AW72" s="97">
        <v>152.59483080217501</v>
      </c>
      <c r="AX72" s="97">
        <v>121.912087175509</v>
      </c>
      <c r="AY72" s="97">
        <v>95.702485870874298</v>
      </c>
      <c r="AZ72" s="97">
        <v>120.26881340684599</v>
      </c>
      <c r="BA72" s="97">
        <v>91.114638536083206</v>
      </c>
      <c r="BB72" s="97">
        <v>140.17678579018801</v>
      </c>
      <c r="BC72" s="97">
        <v>91.185609119202098</v>
      </c>
      <c r="BD72" s="97">
        <v>106.08367691801401</v>
      </c>
      <c r="BE72" s="97">
        <v>107.14451368719401</v>
      </c>
      <c r="BF72" s="97">
        <v>108.21595882406601</v>
      </c>
      <c r="BG72" s="97">
        <v>109.29811841230701</v>
      </c>
      <c r="BH72" s="97">
        <v>110.39109959643</v>
      </c>
      <c r="BI72" s="97">
        <v>111.495010592394</v>
      </c>
    </row>
    <row r="73" spans="1:61" x14ac:dyDescent="0.25">
      <c r="A73" s="95" t="s">
        <v>23</v>
      </c>
      <c r="B73" s="95" t="s">
        <v>136</v>
      </c>
      <c r="C73" s="96" t="s">
        <v>40</v>
      </c>
      <c r="D73" s="96" t="s">
        <v>55</v>
      </c>
      <c r="E73" s="96" t="s">
        <v>155</v>
      </c>
      <c r="F73" s="96" t="s">
        <v>225</v>
      </c>
      <c r="G73" s="97">
        <f t="shared" si="1"/>
        <v>17000000</v>
      </c>
      <c r="H73" s="97">
        <f>SUMIF(I$1:BI$1,"&lt;="&amp;[2]PARAMETER!X$2,I73:BI73)</f>
        <v>2856939.5493327472</v>
      </c>
      <c r="I73" s="97">
        <v>369004.483734212</v>
      </c>
      <c r="J73" s="97">
        <v>247403.123903511</v>
      </c>
      <c r="K73" s="97">
        <v>229133.13403603699</v>
      </c>
      <c r="L73" s="97">
        <v>353151.79600612097</v>
      </c>
      <c r="M73" s="97">
        <v>327869.55470892298</v>
      </c>
      <c r="N73" s="97">
        <v>289630.337473333</v>
      </c>
      <c r="O73" s="97">
        <v>360961.58487303997</v>
      </c>
      <c r="P73" s="97">
        <v>449002.54542831797</v>
      </c>
      <c r="Q73" s="97">
        <v>230782.98916925199</v>
      </c>
      <c r="R73" s="97">
        <v>378757.27079608699</v>
      </c>
      <c r="S73" s="97">
        <v>385726.41095803701</v>
      </c>
      <c r="T73" s="97">
        <v>235509.19766000501</v>
      </c>
      <c r="U73" s="97">
        <v>63199.942982347602</v>
      </c>
      <c r="V73" s="97">
        <v>163296.42890063999</v>
      </c>
      <c r="W73" s="97">
        <v>331298.57843997702</v>
      </c>
      <c r="X73" s="97">
        <v>282978.61800323997</v>
      </c>
      <c r="Y73" s="97">
        <v>325841.71972195001</v>
      </c>
      <c r="Z73" s="97">
        <v>260886.27832265699</v>
      </c>
      <c r="AA73" s="97">
        <v>366089.97898425499</v>
      </c>
      <c r="AB73" s="97">
        <v>359015.96976514801</v>
      </c>
      <c r="AC73" s="97">
        <v>405149.54012107401</v>
      </c>
      <c r="AD73" s="97">
        <v>111823.369049833</v>
      </c>
      <c r="AE73" s="97">
        <v>323031.11726286798</v>
      </c>
      <c r="AF73" s="97">
        <v>289716.16679398698</v>
      </c>
      <c r="AG73" s="97">
        <v>457343.13372898998</v>
      </c>
      <c r="AH73" s="97">
        <v>257824.54849155201</v>
      </c>
      <c r="AI73" s="97">
        <v>223205.94284404401</v>
      </c>
      <c r="AJ73" s="97">
        <v>391978.911546271</v>
      </c>
      <c r="AK73" s="97">
        <v>273992.27728341502</v>
      </c>
      <c r="AL73" s="97">
        <v>384187.45734086703</v>
      </c>
      <c r="AM73" s="97">
        <v>354479.43186982098</v>
      </c>
      <c r="AN73" s="97">
        <v>223800.83766194701</v>
      </c>
      <c r="AO73" s="97">
        <v>483499.49445438699</v>
      </c>
      <c r="AP73" s="97">
        <v>273930.99677556398</v>
      </c>
      <c r="AQ73" s="97">
        <v>529062.20084627904</v>
      </c>
      <c r="AR73" s="97">
        <v>407535.37828911602</v>
      </c>
      <c r="AS73" s="97">
        <v>341187.45988958399</v>
      </c>
      <c r="AT73" s="97">
        <v>272270.797378727</v>
      </c>
      <c r="AU73" s="97">
        <v>526959.927567448</v>
      </c>
      <c r="AV73" s="97">
        <v>306994.11886517401</v>
      </c>
      <c r="AW73" s="97">
        <v>432352.02060616302</v>
      </c>
      <c r="AX73" s="97">
        <v>345417.58033060801</v>
      </c>
      <c r="AY73" s="97">
        <v>271157.04330081103</v>
      </c>
      <c r="AZ73" s="97">
        <v>340761.63798606303</v>
      </c>
      <c r="BA73" s="97">
        <v>258158.14251890199</v>
      </c>
      <c r="BB73" s="97">
        <v>397167.55973886402</v>
      </c>
      <c r="BC73" s="97">
        <v>258359.22583773901</v>
      </c>
      <c r="BD73" s="97">
        <v>300570.41793437302</v>
      </c>
      <c r="BE73" s="97">
        <v>303576.12211371597</v>
      </c>
      <c r="BF73" s="97">
        <v>306611.88333485299</v>
      </c>
      <c r="BG73" s="97">
        <v>309678.00216820202</v>
      </c>
      <c r="BH73" s="97">
        <v>312774.78218988399</v>
      </c>
      <c r="BI73" s="97">
        <v>315902.530011783</v>
      </c>
    </row>
    <row r="74" spans="1:61" x14ac:dyDescent="0.25">
      <c r="A74" s="95" t="s">
        <v>13</v>
      </c>
      <c r="B74" s="95" t="s">
        <v>136</v>
      </c>
      <c r="C74" s="96" t="s">
        <v>41</v>
      </c>
      <c r="D74" s="96" t="s">
        <v>55</v>
      </c>
      <c r="E74" s="96" t="s">
        <v>151</v>
      </c>
      <c r="F74" s="96" t="s">
        <v>226</v>
      </c>
      <c r="G74" s="97">
        <f t="shared" si="1"/>
        <v>850000000.00000024</v>
      </c>
      <c r="H74" s="97">
        <f>SUMIF(I$1:BI$1,"&lt;="&amp;[2]PARAMETER!X$2,I74:BI74)</f>
        <v>4887711.869169957</v>
      </c>
      <c r="I74" s="97">
        <v>0</v>
      </c>
      <c r="J74" s="97">
        <v>202972.02380932801</v>
      </c>
      <c r="K74" s="97">
        <v>0</v>
      </c>
      <c r="L74" s="97">
        <v>0</v>
      </c>
      <c r="M74" s="97">
        <v>1303933.8385844301</v>
      </c>
      <c r="N74" s="97">
        <v>0</v>
      </c>
      <c r="O74" s="97">
        <v>410108.22342574899</v>
      </c>
      <c r="P74" s="97">
        <v>0</v>
      </c>
      <c r="Q74" s="97">
        <v>2970697.78335045</v>
      </c>
      <c r="R74" s="97">
        <v>0</v>
      </c>
      <c r="S74" s="97">
        <v>0</v>
      </c>
      <c r="T74" s="97">
        <v>0</v>
      </c>
      <c r="U74" s="97">
        <v>0</v>
      </c>
      <c r="V74" s="97">
        <v>0</v>
      </c>
      <c r="W74" s="97">
        <v>0</v>
      </c>
      <c r="X74" s="97">
        <v>0</v>
      </c>
      <c r="Y74" s="97">
        <v>546810.96456766501</v>
      </c>
      <c r="Z74" s="97">
        <v>187745.441565213</v>
      </c>
      <c r="AA74" s="97">
        <v>786566.54133964097</v>
      </c>
      <c r="AB74" s="97">
        <v>5024982.4524673903</v>
      </c>
      <c r="AC74" s="97">
        <v>1970622.59153809</v>
      </c>
      <c r="AD74" s="97">
        <v>3570334.8933335398</v>
      </c>
      <c r="AE74" s="97">
        <v>53430560.8119912</v>
      </c>
      <c r="AF74" s="97">
        <v>45187351.871228099</v>
      </c>
      <c r="AG74" s="97">
        <v>15412657.8091192</v>
      </c>
      <c r="AH74" s="97">
        <v>73919609.716723502</v>
      </c>
      <c r="AI74" s="97">
        <v>36397268.872324601</v>
      </c>
      <c r="AJ74" s="97">
        <v>5720845.6734998198</v>
      </c>
      <c r="AK74" s="97">
        <v>14573235.6786968</v>
      </c>
      <c r="AL74" s="97">
        <v>2526712.5175506398</v>
      </c>
      <c r="AM74" s="97">
        <v>7059792.2387693403</v>
      </c>
      <c r="AN74" s="97">
        <v>9566865.8302156292</v>
      </c>
      <c r="AO74" s="97">
        <v>2071172.7154457001</v>
      </c>
      <c r="AP74" s="97">
        <v>3506278.0919535402</v>
      </c>
      <c r="AQ74" s="97">
        <v>5225073.20311727</v>
      </c>
      <c r="AR74" s="97">
        <v>10382901.2763073</v>
      </c>
      <c r="AS74" s="97">
        <v>11323315.1856471</v>
      </c>
      <c r="AT74" s="97">
        <v>2199231.6371092601</v>
      </c>
      <c r="AU74" s="97">
        <v>10152744.3350826</v>
      </c>
      <c r="AV74" s="97">
        <v>30597299.652251799</v>
      </c>
      <c r="AW74" s="97">
        <v>25326025.128866799</v>
      </c>
      <c r="AX74" s="97">
        <v>23202850.6906907</v>
      </c>
      <c r="AY74" s="97">
        <v>28755253.349674501</v>
      </c>
      <c r="AZ74" s="97">
        <v>32532947.373248499</v>
      </c>
      <c r="BA74" s="97">
        <v>22786563.503365301</v>
      </c>
      <c r="BB74" s="97">
        <v>17555525.854496099</v>
      </c>
      <c r="BC74" s="97">
        <v>33158385.548282798</v>
      </c>
      <c r="BD74" s="97">
        <v>50463913.636016697</v>
      </c>
      <c r="BE74" s="97">
        <v>50968552.772376902</v>
      </c>
      <c r="BF74" s="97">
        <v>51478238.300100699</v>
      </c>
      <c r="BG74" s="97">
        <v>51993020.683101699</v>
      </c>
      <c r="BH74" s="97">
        <v>52512950.8899327</v>
      </c>
      <c r="BI74" s="97">
        <v>53038080.398832001</v>
      </c>
    </row>
    <row r="75" spans="1:61" x14ac:dyDescent="0.25">
      <c r="A75" s="95" t="s">
        <v>13</v>
      </c>
      <c r="B75" s="95" t="s">
        <v>136</v>
      </c>
      <c r="C75" s="96" t="s">
        <v>42</v>
      </c>
      <c r="D75" s="96" t="s">
        <v>55</v>
      </c>
      <c r="E75" s="96" t="s">
        <v>153</v>
      </c>
      <c r="F75" s="96" t="s">
        <v>227</v>
      </c>
      <c r="G75" s="97">
        <f t="shared" si="1"/>
        <v>3000.0000000000014</v>
      </c>
      <c r="H75" s="97">
        <f>SUMIF(I$1:BI$1,"&lt;="&amp;[2]PARAMETER!X$2,I75:BI75)</f>
        <v>17.250747773541065</v>
      </c>
      <c r="I75" s="97">
        <v>0</v>
      </c>
      <c r="J75" s="97">
        <v>0.71637184873880599</v>
      </c>
      <c r="K75" s="97">
        <v>0</v>
      </c>
      <c r="L75" s="97">
        <v>0</v>
      </c>
      <c r="M75" s="97">
        <v>4.6021194302979902</v>
      </c>
      <c r="N75" s="97">
        <v>0</v>
      </c>
      <c r="O75" s="97">
        <v>1.44744078856147</v>
      </c>
      <c r="P75" s="97">
        <v>0</v>
      </c>
      <c r="Q75" s="97">
        <v>10.4848157059428</v>
      </c>
      <c r="R75" s="97">
        <v>0</v>
      </c>
      <c r="S75" s="97">
        <v>0</v>
      </c>
      <c r="T75" s="97">
        <v>0</v>
      </c>
      <c r="U75" s="97">
        <v>0</v>
      </c>
      <c r="V75" s="97">
        <v>0</v>
      </c>
      <c r="W75" s="97">
        <v>0</v>
      </c>
      <c r="X75" s="97">
        <v>0</v>
      </c>
      <c r="Y75" s="97">
        <v>1.92992105141529</v>
      </c>
      <c r="Z75" s="97">
        <v>0.66263097023016404</v>
      </c>
      <c r="AA75" s="97">
        <v>2.7761172047281502</v>
      </c>
      <c r="AB75" s="97">
        <v>17.735232185179001</v>
      </c>
      <c r="AC75" s="97">
        <v>6.9551385583697103</v>
      </c>
      <c r="AD75" s="97">
        <v>12.601181976471301</v>
      </c>
      <c r="AE75" s="97">
        <v>188.578449924675</v>
      </c>
      <c r="AF75" s="97">
        <v>159.48477131021701</v>
      </c>
      <c r="AG75" s="97">
        <v>54.397615796891202</v>
      </c>
      <c r="AH75" s="97">
        <v>260.892740176671</v>
      </c>
      <c r="AI75" s="97">
        <v>128.46094896114599</v>
      </c>
      <c r="AJ75" s="97">
        <v>20.191220024117001</v>
      </c>
      <c r="AK75" s="97">
        <v>51.434949454223897</v>
      </c>
      <c r="AL75" s="97">
        <v>8.9178088854728603</v>
      </c>
      <c r="AM75" s="97">
        <v>24.9169137838918</v>
      </c>
      <c r="AN75" s="97">
        <v>33.765408812525699</v>
      </c>
      <c r="AO75" s="97">
        <v>7.3100213486318797</v>
      </c>
      <c r="AP75" s="97">
        <v>12.3750991480713</v>
      </c>
      <c r="AQ75" s="97">
        <v>18.441434834531499</v>
      </c>
      <c r="AR75" s="97">
        <v>36.645533916378596</v>
      </c>
      <c r="AS75" s="97">
        <v>39.964641831695701</v>
      </c>
      <c r="AT75" s="97">
        <v>7.7619940133267997</v>
      </c>
      <c r="AU75" s="97">
        <v>35.8332153002914</v>
      </c>
      <c r="AV75" s="97">
        <v>107.99046936088899</v>
      </c>
      <c r="AW75" s="97">
        <v>89.385971043059101</v>
      </c>
      <c r="AX75" s="97">
        <v>81.892414202437706</v>
      </c>
      <c r="AY75" s="97">
        <v>101.48912946944</v>
      </c>
      <c r="AZ75" s="97">
        <v>114.822167199701</v>
      </c>
      <c r="BA75" s="97">
        <v>80.423165305995198</v>
      </c>
      <c r="BB75" s="97">
        <v>61.960679486456698</v>
      </c>
      <c r="BC75" s="97">
        <v>117.029596052763</v>
      </c>
      <c r="BD75" s="97">
        <v>178.107930480059</v>
      </c>
      <c r="BE75" s="97">
        <v>179.88900978486001</v>
      </c>
      <c r="BF75" s="97">
        <v>181.687899882708</v>
      </c>
      <c r="BG75" s="97">
        <v>183.504778881535</v>
      </c>
      <c r="BH75" s="97">
        <v>185.33982667035099</v>
      </c>
      <c r="BI75" s="97">
        <v>187.193224937054</v>
      </c>
    </row>
    <row r="76" spans="1:61" x14ac:dyDescent="0.25">
      <c r="A76" s="95" t="s">
        <v>13</v>
      </c>
      <c r="B76" s="95" t="s">
        <v>136</v>
      </c>
      <c r="C76" s="96" t="s">
        <v>40</v>
      </c>
      <c r="D76" s="96" t="s">
        <v>55</v>
      </c>
      <c r="E76" s="96" t="s">
        <v>155</v>
      </c>
      <c r="F76" s="96" t="s">
        <v>228</v>
      </c>
      <c r="G76" s="97">
        <f t="shared" si="1"/>
        <v>2300000.0000000005</v>
      </c>
      <c r="H76" s="97">
        <f>SUMIF(I$1:BI$1,"&lt;="&amp;[2]PARAMETER!X$2,I76:BI76)</f>
        <v>13225.573293048137</v>
      </c>
      <c r="I76" s="97">
        <v>0</v>
      </c>
      <c r="J76" s="97">
        <v>549.21841736641795</v>
      </c>
      <c r="K76" s="97">
        <v>0</v>
      </c>
      <c r="L76" s="97">
        <v>0</v>
      </c>
      <c r="M76" s="97">
        <v>3528.2915632284598</v>
      </c>
      <c r="N76" s="97">
        <v>0</v>
      </c>
      <c r="O76" s="97">
        <v>1109.7046045637901</v>
      </c>
      <c r="P76" s="97">
        <v>0</v>
      </c>
      <c r="Q76" s="97">
        <v>8038.3587078894698</v>
      </c>
      <c r="R76" s="97">
        <v>0</v>
      </c>
      <c r="S76" s="97">
        <v>0</v>
      </c>
      <c r="T76" s="97">
        <v>0</v>
      </c>
      <c r="U76" s="97">
        <v>0</v>
      </c>
      <c r="V76" s="97">
        <v>0</v>
      </c>
      <c r="W76" s="97">
        <v>0</v>
      </c>
      <c r="X76" s="97">
        <v>0</v>
      </c>
      <c r="Y76" s="97">
        <v>1479.6061394183901</v>
      </c>
      <c r="Z76" s="97">
        <v>508.017077176459</v>
      </c>
      <c r="AA76" s="97">
        <v>2128.3565236249101</v>
      </c>
      <c r="AB76" s="97">
        <v>13597.011341970599</v>
      </c>
      <c r="AC76" s="97">
        <v>5332.27289475011</v>
      </c>
      <c r="AD76" s="97">
        <v>9660.9061819613507</v>
      </c>
      <c r="AE76" s="97">
        <v>144576.81160891699</v>
      </c>
      <c r="AF76" s="97">
        <v>122271.6580045</v>
      </c>
      <c r="AG76" s="97">
        <v>41704.838777616598</v>
      </c>
      <c r="AH76" s="97">
        <v>200017.76746878101</v>
      </c>
      <c r="AI76" s="97">
        <v>98486.727536878199</v>
      </c>
      <c r="AJ76" s="97">
        <v>15479.9353518231</v>
      </c>
      <c r="AK76" s="97">
        <v>39433.461248238302</v>
      </c>
      <c r="AL76" s="97">
        <v>6836.9868121958598</v>
      </c>
      <c r="AM76" s="97">
        <v>19102.967234317101</v>
      </c>
      <c r="AN76" s="97">
        <v>25886.8134229364</v>
      </c>
      <c r="AO76" s="97">
        <v>5604.3497006177804</v>
      </c>
      <c r="AP76" s="97">
        <v>9487.5760135213404</v>
      </c>
      <c r="AQ76" s="97">
        <v>14138.433373140801</v>
      </c>
      <c r="AR76" s="97">
        <v>28094.909335890301</v>
      </c>
      <c r="AS76" s="97">
        <v>30639.558737633401</v>
      </c>
      <c r="AT76" s="97">
        <v>5950.86207688388</v>
      </c>
      <c r="AU76" s="97">
        <v>27472.131730223398</v>
      </c>
      <c r="AV76" s="97">
        <v>82792.693176681394</v>
      </c>
      <c r="AW76" s="97">
        <v>68529.244466345393</v>
      </c>
      <c r="AX76" s="97">
        <v>62784.184221868898</v>
      </c>
      <c r="AY76" s="97">
        <v>77808.332593237006</v>
      </c>
      <c r="AZ76" s="97">
        <v>88030.328186437095</v>
      </c>
      <c r="BA76" s="97">
        <v>61657.760067929703</v>
      </c>
      <c r="BB76" s="97">
        <v>47503.1876062835</v>
      </c>
      <c r="BC76" s="97">
        <v>89722.690307118202</v>
      </c>
      <c r="BD76" s="97">
        <v>136549.413368045</v>
      </c>
      <c r="BE76" s="97">
        <v>137914.907501726</v>
      </c>
      <c r="BF76" s="97">
        <v>139294.05657674299</v>
      </c>
      <c r="BG76" s="97">
        <v>140686.99714250999</v>
      </c>
      <c r="BH76" s="97">
        <v>142093.86711393599</v>
      </c>
      <c r="BI76" s="97">
        <v>143514.805785075</v>
      </c>
    </row>
    <row r="77" spans="1:61" x14ac:dyDescent="0.25">
      <c r="A77" s="95" t="s">
        <v>28</v>
      </c>
      <c r="B77" s="95" t="s">
        <v>136</v>
      </c>
      <c r="C77" s="96" t="s">
        <v>41</v>
      </c>
      <c r="D77" s="96" t="s">
        <v>54</v>
      </c>
      <c r="E77" s="96" t="s">
        <v>145</v>
      </c>
      <c r="F77" s="96" t="s">
        <v>229</v>
      </c>
      <c r="G77" s="97">
        <f t="shared" si="1"/>
        <v>920000000</v>
      </c>
      <c r="H77" s="97">
        <f>SUMIF(I$1:BI$1,"&lt;="&amp;[2]PARAMETER!X$2,I77:BI77)</f>
        <v>185796898.87662181</v>
      </c>
      <c r="I77" s="97">
        <v>21149426.893544901</v>
      </c>
      <c r="J77" s="97">
        <v>15036669.164790099</v>
      </c>
      <c r="K77" s="97">
        <v>14332974.0619426</v>
      </c>
      <c r="L77" s="97">
        <v>23202724.357098699</v>
      </c>
      <c r="M77" s="97">
        <v>28921777.5389512</v>
      </c>
      <c r="N77" s="97">
        <v>27478606.420408901</v>
      </c>
      <c r="O77" s="97">
        <v>22588846.392795801</v>
      </c>
      <c r="P77" s="97">
        <v>14769660.881919</v>
      </c>
      <c r="Q77" s="97">
        <v>18316213.165170599</v>
      </c>
      <c r="R77" s="97">
        <v>20238341.360227302</v>
      </c>
      <c r="S77" s="97">
        <v>20306953.1057132</v>
      </c>
      <c r="T77" s="97">
        <v>27720775.3193927</v>
      </c>
      <c r="U77" s="97">
        <v>28738703.930524901</v>
      </c>
      <c r="V77" s="97">
        <v>26737027.665821701</v>
      </c>
      <c r="W77" s="97">
        <v>14362651.8272023</v>
      </c>
      <c r="X77" s="97">
        <v>18023704.488908701</v>
      </c>
      <c r="Y77" s="97">
        <v>13464713.616761999</v>
      </c>
      <c r="Z77" s="97">
        <v>11895569.701282799</v>
      </c>
      <c r="AA77" s="97">
        <v>19859957.660364401</v>
      </c>
      <c r="AB77" s="97">
        <v>14313189.579076</v>
      </c>
      <c r="AC77" s="97">
        <v>20391363.498808499</v>
      </c>
      <c r="AD77" s="97">
        <v>14704593.6047148</v>
      </c>
      <c r="AE77" s="97">
        <v>26456510.847006101</v>
      </c>
      <c r="AF77" s="97">
        <v>20464768.864393301</v>
      </c>
      <c r="AG77" s="97">
        <v>20276340.558510099</v>
      </c>
      <c r="AH77" s="97">
        <v>22733522.115317602</v>
      </c>
      <c r="AI77" s="97">
        <v>23468963.370642401</v>
      </c>
      <c r="AJ77" s="97">
        <v>15338036.4093564</v>
      </c>
      <c r="AK77" s="97">
        <v>15163665.225257499</v>
      </c>
      <c r="AL77" s="97">
        <v>18401584.364205401</v>
      </c>
      <c r="AM77" s="97">
        <v>11424542.6568885</v>
      </c>
      <c r="AN77" s="97">
        <v>12335367.950244101</v>
      </c>
      <c r="AO77" s="97">
        <v>25670058.395301498</v>
      </c>
      <c r="AP77" s="97">
        <v>11864858.2628942</v>
      </c>
      <c r="AQ77" s="97">
        <v>13571521.3019419</v>
      </c>
      <c r="AR77" s="97">
        <v>15530615.022152601</v>
      </c>
      <c r="AS77" s="97">
        <v>9547688.9284904804</v>
      </c>
      <c r="AT77" s="97">
        <v>12581549.7494411</v>
      </c>
      <c r="AU77" s="97">
        <v>9521136.1246937197</v>
      </c>
      <c r="AV77" s="97">
        <v>14047232.6656511</v>
      </c>
      <c r="AW77" s="97">
        <v>8772174.8828661703</v>
      </c>
      <c r="AX77" s="97">
        <v>10909263.368405901</v>
      </c>
      <c r="AY77" s="97">
        <v>7550603.2967158901</v>
      </c>
      <c r="AZ77" s="97">
        <v>9533130.0640596598</v>
      </c>
      <c r="BA77" s="97">
        <v>15226158.208758101</v>
      </c>
      <c r="BB77" s="97">
        <v>12170956.669968599</v>
      </c>
      <c r="BC77" s="97">
        <v>35767934.1598095</v>
      </c>
      <c r="BD77" s="97">
        <v>13835689.846348301</v>
      </c>
      <c r="BE77" s="97">
        <v>13974046.744811799</v>
      </c>
      <c r="BF77" s="97">
        <v>14113787.2122599</v>
      </c>
      <c r="BG77" s="97">
        <v>14254925.0843825</v>
      </c>
      <c r="BH77" s="97">
        <v>14397474.335226299</v>
      </c>
      <c r="BI77" s="97">
        <v>14541449.078578601</v>
      </c>
    </row>
    <row r="78" spans="1:61" x14ac:dyDescent="0.25">
      <c r="A78" s="95" t="s">
        <v>28</v>
      </c>
      <c r="B78" s="95" t="s">
        <v>136</v>
      </c>
      <c r="C78" s="96" t="s">
        <v>42</v>
      </c>
      <c r="D78" s="96" t="s">
        <v>54</v>
      </c>
      <c r="E78" s="96" t="s">
        <v>147</v>
      </c>
      <c r="F78" s="96" t="s">
        <v>230</v>
      </c>
      <c r="G78" s="97">
        <f t="shared" si="1"/>
        <v>4999.9999999999991</v>
      </c>
      <c r="H78" s="97">
        <f>SUMIF(I$1:BI$1,"&lt;="&amp;[2]PARAMETER!X$2,I78:BI78)</f>
        <v>1009.7657547642477</v>
      </c>
      <c r="I78" s="97">
        <v>114.942537464918</v>
      </c>
      <c r="J78" s="97">
        <v>81.721028069511505</v>
      </c>
      <c r="K78" s="97">
        <v>77.896598162731394</v>
      </c>
      <c r="L78" s="97">
        <v>126.101762810319</v>
      </c>
      <c r="M78" s="97">
        <v>157.18357358125601</v>
      </c>
      <c r="N78" s="97">
        <v>149.340252284831</v>
      </c>
      <c r="O78" s="97">
        <v>122.765469526064</v>
      </c>
      <c r="P78" s="97">
        <v>80.269896097385697</v>
      </c>
      <c r="Q78" s="97">
        <v>99.544636767231196</v>
      </c>
      <c r="R78" s="97">
        <v>109.99098565340999</v>
      </c>
      <c r="S78" s="97">
        <v>110.363875574528</v>
      </c>
      <c r="T78" s="97">
        <v>150.656387605395</v>
      </c>
      <c r="U78" s="97">
        <v>156.18860831807001</v>
      </c>
      <c r="V78" s="97">
        <v>145.309932966422</v>
      </c>
      <c r="W78" s="97">
        <v>78.057890365230094</v>
      </c>
      <c r="X78" s="97">
        <v>97.954915700590803</v>
      </c>
      <c r="Y78" s="97">
        <v>73.177791395445794</v>
      </c>
      <c r="Z78" s="97">
        <v>64.649835333058405</v>
      </c>
      <c r="AA78" s="97">
        <v>107.93455250197999</v>
      </c>
      <c r="AB78" s="97">
        <v>77.789073799325905</v>
      </c>
      <c r="AC78" s="97">
        <v>110.822627710916</v>
      </c>
      <c r="AD78" s="97">
        <v>79.916269590841196</v>
      </c>
      <c r="AE78" s="97">
        <v>143.78538503807701</v>
      </c>
      <c r="AF78" s="97">
        <v>111.22156991518101</v>
      </c>
      <c r="AG78" s="97">
        <v>110.197503035381</v>
      </c>
      <c r="AH78" s="97">
        <v>123.551750626726</v>
      </c>
      <c r="AI78" s="97">
        <v>127.548713970883</v>
      </c>
      <c r="AJ78" s="97">
        <v>83.358893529111</v>
      </c>
      <c r="AK78" s="97">
        <v>82.411224050312399</v>
      </c>
      <c r="AL78" s="97">
        <v>100.008610675029</v>
      </c>
      <c r="AM78" s="97">
        <v>62.0899057439592</v>
      </c>
      <c r="AN78" s="97">
        <v>67.040043207848399</v>
      </c>
      <c r="AO78" s="97">
        <v>139.51118693098601</v>
      </c>
      <c r="AP78" s="97">
        <v>64.482925341816198</v>
      </c>
      <c r="AQ78" s="97">
        <v>73.7582679453362</v>
      </c>
      <c r="AR78" s="97">
        <v>84.405516424742402</v>
      </c>
      <c r="AS78" s="97">
        <v>51.889613741796097</v>
      </c>
      <c r="AT78" s="97">
        <v>68.377987768701303</v>
      </c>
      <c r="AU78" s="97">
        <v>51.745305025509403</v>
      </c>
      <c r="AV78" s="97">
        <v>76.343655791581796</v>
      </c>
      <c r="AW78" s="97">
        <v>47.674863493837897</v>
      </c>
      <c r="AX78" s="97">
        <v>59.289474828293102</v>
      </c>
      <c r="AY78" s="97">
        <v>41.035887482151601</v>
      </c>
      <c r="AZ78" s="97">
        <v>51.810489478585097</v>
      </c>
      <c r="BA78" s="97">
        <v>82.750859830207304</v>
      </c>
      <c r="BB78" s="97">
        <v>66.146503641133506</v>
      </c>
      <c r="BC78" s="97">
        <v>194.39094652070401</v>
      </c>
      <c r="BD78" s="97">
        <v>75.193966556240795</v>
      </c>
      <c r="BE78" s="97">
        <v>75.945906221803199</v>
      </c>
      <c r="BF78" s="97">
        <v>76.705365284021298</v>
      </c>
      <c r="BG78" s="97">
        <v>77.472418936861501</v>
      </c>
      <c r="BH78" s="97">
        <v>78.2471431262301</v>
      </c>
      <c r="BI78" s="97">
        <v>79.029614557492394</v>
      </c>
    </row>
    <row r="79" spans="1:61" x14ac:dyDescent="0.25">
      <c r="A79" s="95" t="s">
        <v>28</v>
      </c>
      <c r="B79" s="95" t="s">
        <v>136</v>
      </c>
      <c r="C79" s="96" t="s">
        <v>40</v>
      </c>
      <c r="D79" s="96" t="s">
        <v>54</v>
      </c>
      <c r="E79" s="96" t="s">
        <v>149</v>
      </c>
      <c r="F79" s="96" t="s">
        <v>231</v>
      </c>
      <c r="G79" s="97">
        <f t="shared" si="1"/>
        <v>1200000</v>
      </c>
      <c r="H79" s="97">
        <f>SUMIF(I$1:BI$1,"&lt;="&amp;[2]PARAMETER!X$2,I79:BI79)</f>
        <v>242343.78114341959</v>
      </c>
      <c r="I79" s="97">
        <v>27586.208991580301</v>
      </c>
      <c r="J79" s="97">
        <v>19613.046736682802</v>
      </c>
      <c r="K79" s="97">
        <v>18695.183559055498</v>
      </c>
      <c r="L79" s="97">
        <v>30264.423074476599</v>
      </c>
      <c r="M79" s="97">
        <v>37724.057659501501</v>
      </c>
      <c r="N79" s="97">
        <v>35841.660548359403</v>
      </c>
      <c r="O79" s="97">
        <v>29463.7126862554</v>
      </c>
      <c r="P79" s="97">
        <v>19264.775063372599</v>
      </c>
      <c r="Q79" s="97">
        <v>23890.712824135499</v>
      </c>
      <c r="R79" s="97">
        <v>26397.8365568183</v>
      </c>
      <c r="S79" s="97">
        <v>26487.3301378867</v>
      </c>
      <c r="T79" s="97">
        <v>36157.533025294899</v>
      </c>
      <c r="U79" s="97">
        <v>37485.265996336901</v>
      </c>
      <c r="V79" s="97">
        <v>34874.383911941302</v>
      </c>
      <c r="W79" s="97">
        <v>18733.8936876552</v>
      </c>
      <c r="X79" s="97">
        <v>23509.179768141799</v>
      </c>
      <c r="Y79" s="97">
        <v>17562.669934907</v>
      </c>
      <c r="Z79" s="97">
        <v>15515.960479934</v>
      </c>
      <c r="AA79" s="97">
        <v>25904.292600475299</v>
      </c>
      <c r="AB79" s="97">
        <v>18669.377711838199</v>
      </c>
      <c r="AC79" s="97">
        <v>26597.430650619801</v>
      </c>
      <c r="AD79" s="97">
        <v>19179.904701801901</v>
      </c>
      <c r="AE79" s="97">
        <v>34508.492409138402</v>
      </c>
      <c r="AF79" s="97">
        <v>26693.1767796434</v>
      </c>
      <c r="AG79" s="97">
        <v>26447.400728491499</v>
      </c>
      <c r="AH79" s="97">
        <v>29652.420150414298</v>
      </c>
      <c r="AI79" s="97">
        <v>30611.6913530118</v>
      </c>
      <c r="AJ79" s="97">
        <v>20006.134446986602</v>
      </c>
      <c r="AK79" s="97">
        <v>19778.693772074999</v>
      </c>
      <c r="AL79" s="97">
        <v>24002.066562006999</v>
      </c>
      <c r="AM79" s="97">
        <v>14901.577378550201</v>
      </c>
      <c r="AN79" s="97">
        <v>16089.6103698836</v>
      </c>
      <c r="AO79" s="97">
        <v>33482.684863436698</v>
      </c>
      <c r="AP79" s="97">
        <v>15475.9020820359</v>
      </c>
      <c r="AQ79" s="97">
        <v>17701.984306880699</v>
      </c>
      <c r="AR79" s="97">
        <v>20257.323941938201</v>
      </c>
      <c r="AS79" s="97">
        <v>12453.5072980311</v>
      </c>
      <c r="AT79" s="97">
        <v>16410.717064488301</v>
      </c>
      <c r="AU79" s="97">
        <v>12418.8732061222</v>
      </c>
      <c r="AV79" s="97">
        <v>18322.477389979598</v>
      </c>
      <c r="AW79" s="97">
        <v>11441.9672385211</v>
      </c>
      <c r="AX79" s="97">
        <v>14229.4739587903</v>
      </c>
      <c r="AY79" s="97">
        <v>9848.6129957163794</v>
      </c>
      <c r="AZ79" s="97">
        <v>12434.5174748604</v>
      </c>
      <c r="BA79" s="97">
        <v>19860.2063592497</v>
      </c>
      <c r="BB79" s="97">
        <v>15875.160873872001</v>
      </c>
      <c r="BC79" s="97">
        <v>46653.827164968803</v>
      </c>
      <c r="BD79" s="97">
        <v>18046.551973497801</v>
      </c>
      <c r="BE79" s="97">
        <v>18227.017493232801</v>
      </c>
      <c r="BF79" s="97">
        <v>18409.2876681651</v>
      </c>
      <c r="BG79" s="97">
        <v>18593.380544846801</v>
      </c>
      <c r="BH79" s="97">
        <v>18779.314350295201</v>
      </c>
      <c r="BI79" s="97">
        <v>18967.107493798201</v>
      </c>
    </row>
    <row r="80" spans="1:61" x14ac:dyDescent="0.25">
      <c r="A80" s="95" t="s">
        <v>3</v>
      </c>
      <c r="B80" s="95" t="s">
        <v>136</v>
      </c>
      <c r="C80" s="96" t="s">
        <v>41</v>
      </c>
      <c r="D80" s="96" t="s">
        <v>54</v>
      </c>
      <c r="E80" s="96" t="s">
        <v>145</v>
      </c>
      <c r="F80" s="96" t="s">
        <v>232</v>
      </c>
      <c r="G80" s="97">
        <f t="shared" si="1"/>
        <v>199999999.99999997</v>
      </c>
      <c r="H80" s="97">
        <f>SUMIF(I$1:BI$1,"&lt;="&amp;[2]PARAMETER!X$2,I80:BI80)</f>
        <v>48294802.646898687</v>
      </c>
      <c r="I80" s="97">
        <v>3052862.9093274199</v>
      </c>
      <c r="J80" s="97">
        <v>1400092.1013821701</v>
      </c>
      <c r="K80" s="97">
        <v>890658.27626143803</v>
      </c>
      <c r="L80" s="97">
        <v>2415092.0448183301</v>
      </c>
      <c r="M80" s="97">
        <v>5364604.8105019704</v>
      </c>
      <c r="N80" s="97">
        <v>19876448.339118902</v>
      </c>
      <c r="O80" s="97">
        <v>7322885.6013780404</v>
      </c>
      <c r="P80" s="97">
        <v>4818825.1986974897</v>
      </c>
      <c r="Q80" s="97">
        <v>3153333.36541293</v>
      </c>
      <c r="R80" s="97">
        <v>1794639.2704823001</v>
      </c>
      <c r="S80" s="97">
        <v>1973928.12940103</v>
      </c>
      <c r="T80" s="97">
        <v>2887845.93292569</v>
      </c>
      <c r="U80" s="97">
        <v>2983038.81204435</v>
      </c>
      <c r="V80" s="97">
        <v>1755120.72086813</v>
      </c>
      <c r="W80" s="97">
        <v>1183624.8552906101</v>
      </c>
      <c r="X80" s="97">
        <v>1735472.45945958</v>
      </c>
      <c r="Y80" s="97">
        <v>810508.82277966</v>
      </c>
      <c r="Z80" s="97">
        <v>1059066.7119887299</v>
      </c>
      <c r="AA80" s="97">
        <v>16444616.7709093</v>
      </c>
      <c r="AB80" s="97">
        <v>2866587.9772382402</v>
      </c>
      <c r="AC80" s="97">
        <v>1164642.67427334</v>
      </c>
      <c r="AD80" s="97">
        <v>3159663.3493979801</v>
      </c>
      <c r="AE80" s="97">
        <v>815169.16525059403</v>
      </c>
      <c r="AF80" s="97">
        <v>1087708.16881343</v>
      </c>
      <c r="AG80" s="97">
        <v>27282078.887236699</v>
      </c>
      <c r="AH80" s="97">
        <v>22604536.000332002</v>
      </c>
      <c r="AI80" s="97">
        <v>8296581.8997513996</v>
      </c>
      <c r="AJ80" s="97">
        <v>3534440.1423511701</v>
      </c>
      <c r="AK80" s="97">
        <v>3707735.3878824301</v>
      </c>
      <c r="AL80" s="97">
        <v>1778545.6580951801</v>
      </c>
      <c r="AM80" s="97">
        <v>3002854.7036846899</v>
      </c>
      <c r="AN80" s="97">
        <v>2175527.35102541</v>
      </c>
      <c r="AO80" s="97">
        <v>4796440.4570148</v>
      </c>
      <c r="AP80" s="97">
        <v>860683.54852020601</v>
      </c>
      <c r="AQ80" s="97">
        <v>477246.60034649499</v>
      </c>
      <c r="AR80" s="97">
        <v>5496270.0315787299</v>
      </c>
      <c r="AS80" s="97">
        <v>2018555.51561626</v>
      </c>
      <c r="AT80" s="97">
        <v>1643994.0886562499</v>
      </c>
      <c r="AU80" s="97">
        <v>1921973.8588818</v>
      </c>
      <c r="AV80" s="97">
        <v>3135015.0445189602</v>
      </c>
      <c r="AW80" s="97">
        <v>1668864.4203323701</v>
      </c>
      <c r="AX80" s="97">
        <v>725361.54609536997</v>
      </c>
      <c r="AY80" s="97">
        <v>2412764.0938508301</v>
      </c>
      <c r="AZ80" s="97">
        <v>1442394.8670318699</v>
      </c>
      <c r="BA80" s="97">
        <v>852138.84723416902</v>
      </c>
      <c r="BB80" s="97">
        <v>542189.438495529</v>
      </c>
      <c r="BC80" s="97">
        <v>1971928.77809323</v>
      </c>
      <c r="BD80" s="97">
        <v>1241128.6856031199</v>
      </c>
      <c r="BE80" s="97">
        <v>1253539.97245915</v>
      </c>
      <c r="BF80" s="97">
        <v>1266075.3721837399</v>
      </c>
      <c r="BG80" s="97">
        <v>1278736.1259055799</v>
      </c>
      <c r="BH80" s="97">
        <v>1291523.4871646401</v>
      </c>
      <c r="BI80" s="97">
        <v>1304438.72203628</v>
      </c>
    </row>
    <row r="81" spans="1:61" x14ac:dyDescent="0.25">
      <c r="A81" s="95" t="s">
        <v>3</v>
      </c>
      <c r="B81" s="95" t="s">
        <v>136</v>
      </c>
      <c r="C81" s="96" t="s">
        <v>42</v>
      </c>
      <c r="D81" s="96" t="s">
        <v>54</v>
      </c>
      <c r="E81" s="96" t="s">
        <v>147</v>
      </c>
      <c r="F81" s="96" t="s">
        <v>233</v>
      </c>
      <c r="G81" s="97">
        <f t="shared" si="1"/>
        <v>2500</v>
      </c>
      <c r="H81" s="97">
        <f>SUMIF(I$1:BI$1,"&lt;="&amp;[2]PARAMETER!X$2,I81:BI81)</f>
        <v>603.6850330862344</v>
      </c>
      <c r="I81" s="97">
        <v>38.160786366592802</v>
      </c>
      <c r="J81" s="97">
        <v>17.501151267277201</v>
      </c>
      <c r="K81" s="97">
        <v>11.133228453268</v>
      </c>
      <c r="L81" s="97">
        <v>30.1886505602291</v>
      </c>
      <c r="M81" s="97">
        <v>67.057560131274698</v>
      </c>
      <c r="N81" s="97">
        <v>248.45560423898701</v>
      </c>
      <c r="O81" s="97">
        <v>91.536070017225398</v>
      </c>
      <c r="P81" s="97">
        <v>60.235314983718602</v>
      </c>
      <c r="Q81" s="97">
        <v>39.416667067661599</v>
      </c>
      <c r="R81" s="97">
        <v>22.4329908810288</v>
      </c>
      <c r="S81" s="97">
        <v>24.6741016175129</v>
      </c>
      <c r="T81" s="97">
        <v>36.098074161571098</v>
      </c>
      <c r="U81" s="97">
        <v>37.287985150554398</v>
      </c>
      <c r="V81" s="97">
        <v>21.939009010851599</v>
      </c>
      <c r="W81" s="97">
        <v>14.795310691132601</v>
      </c>
      <c r="X81" s="97">
        <v>21.693405743244799</v>
      </c>
      <c r="Y81" s="97">
        <v>10.131360284745799</v>
      </c>
      <c r="Z81" s="97">
        <v>13.2383338998591</v>
      </c>
      <c r="AA81" s="97">
        <v>205.55770963636601</v>
      </c>
      <c r="AB81" s="97">
        <v>35.832349715478003</v>
      </c>
      <c r="AC81" s="97">
        <v>14.558033428416699</v>
      </c>
      <c r="AD81" s="97">
        <v>39.4957918674748</v>
      </c>
      <c r="AE81" s="97">
        <v>10.1896145656324</v>
      </c>
      <c r="AF81" s="97">
        <v>13.596352110167899</v>
      </c>
      <c r="AG81" s="97">
        <v>341.02598609045901</v>
      </c>
      <c r="AH81" s="97">
        <v>282.55670000415</v>
      </c>
      <c r="AI81" s="97">
        <v>103.70727374689299</v>
      </c>
      <c r="AJ81" s="97">
        <v>44.180501779389701</v>
      </c>
      <c r="AK81" s="97">
        <v>46.346692348530397</v>
      </c>
      <c r="AL81" s="97">
        <v>22.231820726189799</v>
      </c>
      <c r="AM81" s="97">
        <v>37.535683796058699</v>
      </c>
      <c r="AN81" s="97">
        <v>27.194091887817699</v>
      </c>
      <c r="AO81" s="97">
        <v>59.955505712685003</v>
      </c>
      <c r="AP81" s="97">
        <v>10.7585443565026</v>
      </c>
      <c r="AQ81" s="97">
        <v>5.9655825043311799</v>
      </c>
      <c r="AR81" s="97">
        <v>68.703375394734095</v>
      </c>
      <c r="AS81" s="97">
        <v>25.231943945203302</v>
      </c>
      <c r="AT81" s="97">
        <v>20.549926108203199</v>
      </c>
      <c r="AU81" s="97">
        <v>24.024673236022501</v>
      </c>
      <c r="AV81" s="97">
        <v>39.187688056486998</v>
      </c>
      <c r="AW81" s="97">
        <v>20.860805254154599</v>
      </c>
      <c r="AX81" s="97">
        <v>9.0670193261921295</v>
      </c>
      <c r="AY81" s="97">
        <v>30.159551173135402</v>
      </c>
      <c r="AZ81" s="97">
        <v>18.0299358378983</v>
      </c>
      <c r="BA81" s="97">
        <v>10.6517355904271</v>
      </c>
      <c r="BB81" s="97">
        <v>6.7773679811941099</v>
      </c>
      <c r="BC81" s="97">
        <v>24.6491097261653</v>
      </c>
      <c r="BD81" s="97">
        <v>15.514108570038999</v>
      </c>
      <c r="BE81" s="97">
        <v>15.669249655739399</v>
      </c>
      <c r="BF81" s="97">
        <v>15.8259421522968</v>
      </c>
      <c r="BG81" s="97">
        <v>15.9842015738197</v>
      </c>
      <c r="BH81" s="97">
        <v>16.144043589557899</v>
      </c>
      <c r="BI81" s="97">
        <v>16.305484025453499</v>
      </c>
    </row>
    <row r="82" spans="1:61" x14ac:dyDescent="0.25">
      <c r="A82" s="95" t="s">
        <v>3</v>
      </c>
      <c r="B82" s="95" t="s">
        <v>136</v>
      </c>
      <c r="C82" s="96" t="s">
        <v>40</v>
      </c>
      <c r="D82" s="96" t="s">
        <v>54</v>
      </c>
      <c r="E82" s="96" t="s">
        <v>149</v>
      </c>
      <c r="F82" s="96" t="s">
        <v>234</v>
      </c>
      <c r="G82" s="97">
        <f t="shared" si="1"/>
        <v>1100000</v>
      </c>
      <c r="H82" s="97">
        <f>SUMIF(I$1:BI$1,"&lt;="&amp;[2]PARAMETER!X$2,I82:BI82)</f>
        <v>265621.41455794289</v>
      </c>
      <c r="I82" s="97">
        <v>16790.746001300799</v>
      </c>
      <c r="J82" s="97">
        <v>7700.5065576019497</v>
      </c>
      <c r="K82" s="97">
        <v>4898.6205194379099</v>
      </c>
      <c r="L82" s="97">
        <v>13283.0062465008</v>
      </c>
      <c r="M82" s="97">
        <v>29505.326457760901</v>
      </c>
      <c r="N82" s="97">
        <v>109320.46586515399</v>
      </c>
      <c r="O82" s="97">
        <v>40275.870807579202</v>
      </c>
      <c r="P82" s="97">
        <v>26503.538592836201</v>
      </c>
      <c r="Q82" s="97">
        <v>17343.333509771099</v>
      </c>
      <c r="R82" s="97">
        <v>9870.5159876526704</v>
      </c>
      <c r="S82" s="97">
        <v>10856.604711705701</v>
      </c>
      <c r="T82" s="97">
        <v>15883.1526310913</v>
      </c>
      <c r="U82" s="97">
        <v>16406.713466243898</v>
      </c>
      <c r="V82" s="97">
        <v>9653.1639647746997</v>
      </c>
      <c r="W82" s="97">
        <v>6509.9367040983498</v>
      </c>
      <c r="X82" s="97">
        <v>9545.0985270277106</v>
      </c>
      <c r="Y82" s="97">
        <v>4457.7985252881299</v>
      </c>
      <c r="Z82" s="97">
        <v>5824.8669159380197</v>
      </c>
      <c r="AA82" s="97">
        <v>90445.392240000903</v>
      </c>
      <c r="AB82" s="97">
        <v>15766.233874810299</v>
      </c>
      <c r="AC82" s="97">
        <v>6405.53470850336</v>
      </c>
      <c r="AD82" s="97">
        <v>17378.1484216889</v>
      </c>
      <c r="AE82" s="97">
        <v>4483.4304088782701</v>
      </c>
      <c r="AF82" s="97">
        <v>5982.3949284738901</v>
      </c>
      <c r="AG82" s="97">
        <v>150051.433879802</v>
      </c>
      <c r="AH82" s="97">
        <v>124324.94800182599</v>
      </c>
      <c r="AI82" s="97">
        <v>45631.200448632699</v>
      </c>
      <c r="AJ82" s="97">
        <v>19439.4207829314</v>
      </c>
      <c r="AK82" s="97">
        <v>20392.544633353398</v>
      </c>
      <c r="AL82" s="97">
        <v>9782.0011195235093</v>
      </c>
      <c r="AM82" s="97">
        <v>16515.700870265799</v>
      </c>
      <c r="AN82" s="97">
        <v>11965.4004306398</v>
      </c>
      <c r="AO82" s="97">
        <v>26380.422513581401</v>
      </c>
      <c r="AP82" s="97">
        <v>4733.7595168611297</v>
      </c>
      <c r="AQ82" s="97">
        <v>2624.8563019057201</v>
      </c>
      <c r="AR82" s="97">
        <v>30229.485173682999</v>
      </c>
      <c r="AS82" s="97">
        <v>11102.055335889399</v>
      </c>
      <c r="AT82" s="97">
        <v>9041.9674876093904</v>
      </c>
      <c r="AU82" s="97">
        <v>10570.8562238499</v>
      </c>
      <c r="AV82" s="97">
        <v>17242.582744854299</v>
      </c>
      <c r="AW82" s="97">
        <v>9178.75431182803</v>
      </c>
      <c r="AX82" s="97">
        <v>3989.4885035245402</v>
      </c>
      <c r="AY82" s="97">
        <v>13270.202516179599</v>
      </c>
      <c r="AZ82" s="97">
        <v>7933.17176867527</v>
      </c>
      <c r="BA82" s="97">
        <v>4686.76365978793</v>
      </c>
      <c r="BB82" s="97">
        <v>2982.04191172541</v>
      </c>
      <c r="BC82" s="97">
        <v>10845.6082795127</v>
      </c>
      <c r="BD82" s="97">
        <v>6826.20777081715</v>
      </c>
      <c r="BE82" s="97">
        <v>6894.4698485253202</v>
      </c>
      <c r="BF82" s="97">
        <v>6963.4145470105796</v>
      </c>
      <c r="BG82" s="97">
        <v>7033.0486924806801</v>
      </c>
      <c r="BH82" s="97">
        <v>7103.3791794054896</v>
      </c>
      <c r="BI82" s="97">
        <v>7174.4129711995402</v>
      </c>
    </row>
    <row r="83" spans="1:61" x14ac:dyDescent="0.25">
      <c r="A83" s="95" t="s">
        <v>44</v>
      </c>
      <c r="B83" s="95" t="s">
        <v>136</v>
      </c>
      <c r="C83" s="96" t="s">
        <v>41</v>
      </c>
      <c r="D83" s="96" t="s">
        <v>54</v>
      </c>
      <c r="E83" s="96" t="s">
        <v>145</v>
      </c>
      <c r="F83" s="96" t="s">
        <v>235</v>
      </c>
      <c r="G83" s="97">
        <f t="shared" si="1"/>
        <v>0</v>
      </c>
      <c r="H83" s="97">
        <f>SUMIF(I$1:BI$1,"&lt;="&amp;[2]PARAMETER!X$2,I83:BI83)</f>
        <v>0</v>
      </c>
      <c r="I83" s="97">
        <v>0</v>
      </c>
      <c r="J83" s="97">
        <v>0</v>
      </c>
      <c r="K83" s="97">
        <v>0</v>
      </c>
      <c r="L83" s="97">
        <v>0</v>
      </c>
      <c r="M83" s="97">
        <v>0</v>
      </c>
      <c r="N83" s="97">
        <v>0</v>
      </c>
      <c r="O83" s="97">
        <v>0</v>
      </c>
      <c r="P83" s="97">
        <v>0</v>
      </c>
      <c r="Q83" s="97">
        <v>0</v>
      </c>
      <c r="R83" s="97">
        <v>0</v>
      </c>
      <c r="S83" s="97">
        <v>0</v>
      </c>
      <c r="T83" s="97">
        <v>0</v>
      </c>
      <c r="U83" s="97">
        <v>0</v>
      </c>
      <c r="V83" s="97">
        <v>0</v>
      </c>
      <c r="W83" s="97">
        <v>0</v>
      </c>
      <c r="X83" s="97">
        <v>0</v>
      </c>
      <c r="Y83" s="97">
        <v>0</v>
      </c>
      <c r="Z83" s="97">
        <v>0</v>
      </c>
      <c r="AA83" s="97">
        <v>0</v>
      </c>
      <c r="AB83" s="97">
        <v>0</v>
      </c>
      <c r="AC83" s="97">
        <v>0</v>
      </c>
      <c r="AD83" s="97">
        <v>0</v>
      </c>
      <c r="AE83" s="97">
        <v>0</v>
      </c>
      <c r="AF83" s="97">
        <v>0</v>
      </c>
      <c r="AG83" s="97">
        <v>0</v>
      </c>
      <c r="AH83" s="97">
        <v>0</v>
      </c>
      <c r="AI83" s="97">
        <v>0</v>
      </c>
      <c r="AJ83" s="97">
        <v>0</v>
      </c>
      <c r="AK83" s="97">
        <v>0</v>
      </c>
      <c r="AL83" s="97">
        <v>0</v>
      </c>
      <c r="AM83" s="97">
        <v>0</v>
      </c>
      <c r="AN83" s="97">
        <v>0</v>
      </c>
      <c r="AO83" s="97">
        <v>0</v>
      </c>
      <c r="AP83" s="97">
        <v>0</v>
      </c>
      <c r="AQ83" s="97">
        <v>0</v>
      </c>
      <c r="AR83" s="97">
        <v>0</v>
      </c>
      <c r="AS83" s="97">
        <v>0</v>
      </c>
      <c r="AT83" s="97">
        <v>0</v>
      </c>
      <c r="AU83" s="97">
        <v>0</v>
      </c>
      <c r="AV83" s="97">
        <v>0</v>
      </c>
      <c r="AW83" s="97">
        <v>0</v>
      </c>
      <c r="AX83" s="97">
        <v>0</v>
      </c>
      <c r="AY83" s="97">
        <v>0</v>
      </c>
      <c r="AZ83" s="97">
        <v>0</v>
      </c>
      <c r="BA83" s="97">
        <v>0</v>
      </c>
      <c r="BB83" s="97">
        <v>0</v>
      </c>
      <c r="BC83" s="97">
        <v>0</v>
      </c>
      <c r="BD83" s="97">
        <v>0</v>
      </c>
      <c r="BE83" s="97">
        <v>0</v>
      </c>
      <c r="BF83" s="97">
        <v>0</v>
      </c>
      <c r="BG83" s="97">
        <v>0</v>
      </c>
      <c r="BH83" s="97">
        <v>0</v>
      </c>
      <c r="BI83" s="97">
        <v>0</v>
      </c>
    </row>
    <row r="84" spans="1:61" x14ac:dyDescent="0.25">
      <c r="A84" s="95" t="s">
        <v>44</v>
      </c>
      <c r="B84" s="95" t="s">
        <v>136</v>
      </c>
      <c r="C84" s="96" t="s">
        <v>42</v>
      </c>
      <c r="D84" s="96" t="s">
        <v>54</v>
      </c>
      <c r="E84" s="96" t="s">
        <v>147</v>
      </c>
      <c r="F84" s="96" t="s">
        <v>236</v>
      </c>
      <c r="G84" s="97">
        <f t="shared" si="1"/>
        <v>0</v>
      </c>
      <c r="H84" s="97">
        <f>SUMIF(I$1:BI$1,"&lt;="&amp;[2]PARAMETER!X$2,I84:BI84)</f>
        <v>0</v>
      </c>
      <c r="I84" s="97">
        <v>0</v>
      </c>
      <c r="J84" s="97">
        <v>0</v>
      </c>
      <c r="K84" s="97">
        <v>0</v>
      </c>
      <c r="L84" s="97">
        <v>0</v>
      </c>
      <c r="M84" s="97">
        <v>0</v>
      </c>
      <c r="N84" s="97">
        <v>0</v>
      </c>
      <c r="O84" s="97">
        <v>0</v>
      </c>
      <c r="P84" s="97">
        <v>0</v>
      </c>
      <c r="Q84" s="97">
        <v>0</v>
      </c>
      <c r="R84" s="97">
        <v>0</v>
      </c>
      <c r="S84" s="97">
        <v>0</v>
      </c>
      <c r="T84" s="97">
        <v>0</v>
      </c>
      <c r="U84" s="97">
        <v>0</v>
      </c>
      <c r="V84" s="97">
        <v>0</v>
      </c>
      <c r="W84" s="97">
        <v>0</v>
      </c>
      <c r="X84" s="97">
        <v>0</v>
      </c>
      <c r="Y84" s="97">
        <v>0</v>
      </c>
      <c r="Z84" s="97">
        <v>0</v>
      </c>
      <c r="AA84" s="97">
        <v>0</v>
      </c>
      <c r="AB84" s="97">
        <v>0</v>
      </c>
      <c r="AC84" s="97">
        <v>0</v>
      </c>
      <c r="AD84" s="97">
        <v>0</v>
      </c>
      <c r="AE84" s="97">
        <v>0</v>
      </c>
      <c r="AF84" s="97">
        <v>0</v>
      </c>
      <c r="AG84" s="97">
        <v>0</v>
      </c>
      <c r="AH84" s="97">
        <v>0</v>
      </c>
      <c r="AI84" s="97">
        <v>0</v>
      </c>
      <c r="AJ84" s="97">
        <v>0</v>
      </c>
      <c r="AK84" s="97">
        <v>0</v>
      </c>
      <c r="AL84" s="97">
        <v>0</v>
      </c>
      <c r="AM84" s="97">
        <v>0</v>
      </c>
      <c r="AN84" s="97">
        <v>0</v>
      </c>
      <c r="AO84" s="97">
        <v>0</v>
      </c>
      <c r="AP84" s="97">
        <v>0</v>
      </c>
      <c r="AQ84" s="97">
        <v>0</v>
      </c>
      <c r="AR84" s="97">
        <v>0</v>
      </c>
      <c r="AS84" s="97">
        <v>0</v>
      </c>
      <c r="AT84" s="97">
        <v>0</v>
      </c>
      <c r="AU84" s="97">
        <v>0</v>
      </c>
      <c r="AV84" s="97">
        <v>0</v>
      </c>
      <c r="AW84" s="97">
        <v>0</v>
      </c>
      <c r="AX84" s="97">
        <v>0</v>
      </c>
      <c r="AY84" s="97">
        <v>0</v>
      </c>
      <c r="AZ84" s="97">
        <v>0</v>
      </c>
      <c r="BA84" s="97">
        <v>0</v>
      </c>
      <c r="BB84" s="97">
        <v>0</v>
      </c>
      <c r="BC84" s="97">
        <v>0</v>
      </c>
      <c r="BD84" s="97">
        <v>0</v>
      </c>
      <c r="BE84" s="97">
        <v>0</v>
      </c>
      <c r="BF84" s="97">
        <v>0</v>
      </c>
      <c r="BG84" s="97">
        <v>0</v>
      </c>
      <c r="BH84" s="97">
        <v>0</v>
      </c>
      <c r="BI84" s="97">
        <v>0</v>
      </c>
    </row>
    <row r="85" spans="1:61" x14ac:dyDescent="0.25">
      <c r="A85" s="95" t="s">
        <v>44</v>
      </c>
      <c r="B85" s="95" t="s">
        <v>136</v>
      </c>
      <c r="C85" s="96" t="s">
        <v>40</v>
      </c>
      <c r="D85" s="96" t="s">
        <v>54</v>
      </c>
      <c r="E85" s="96" t="s">
        <v>149</v>
      </c>
      <c r="F85" s="96" t="s">
        <v>237</v>
      </c>
      <c r="G85" s="97">
        <f t="shared" si="1"/>
        <v>0</v>
      </c>
      <c r="H85" s="97">
        <f>SUMIF(I$1:BI$1,"&lt;="&amp;[2]PARAMETER!X$2,I85:BI85)</f>
        <v>0</v>
      </c>
      <c r="I85" s="97">
        <v>0</v>
      </c>
      <c r="J85" s="97">
        <v>0</v>
      </c>
      <c r="K85" s="97">
        <v>0</v>
      </c>
      <c r="L85" s="97">
        <v>0</v>
      </c>
      <c r="M85" s="97">
        <v>0</v>
      </c>
      <c r="N85" s="97">
        <v>0</v>
      </c>
      <c r="O85" s="97">
        <v>0</v>
      </c>
      <c r="P85" s="97">
        <v>0</v>
      </c>
      <c r="Q85" s="97">
        <v>0</v>
      </c>
      <c r="R85" s="97">
        <v>0</v>
      </c>
      <c r="S85" s="97">
        <v>0</v>
      </c>
      <c r="T85" s="97">
        <v>0</v>
      </c>
      <c r="U85" s="97">
        <v>0</v>
      </c>
      <c r="V85" s="97">
        <v>0</v>
      </c>
      <c r="W85" s="97">
        <v>0</v>
      </c>
      <c r="X85" s="97">
        <v>0</v>
      </c>
      <c r="Y85" s="97">
        <v>0</v>
      </c>
      <c r="Z85" s="97">
        <v>0</v>
      </c>
      <c r="AA85" s="97">
        <v>0</v>
      </c>
      <c r="AB85" s="97">
        <v>0</v>
      </c>
      <c r="AC85" s="97">
        <v>0</v>
      </c>
      <c r="AD85" s="97">
        <v>0</v>
      </c>
      <c r="AE85" s="97">
        <v>0</v>
      </c>
      <c r="AF85" s="97">
        <v>0</v>
      </c>
      <c r="AG85" s="97">
        <v>0</v>
      </c>
      <c r="AH85" s="97">
        <v>0</v>
      </c>
      <c r="AI85" s="97">
        <v>0</v>
      </c>
      <c r="AJ85" s="97">
        <v>0</v>
      </c>
      <c r="AK85" s="97">
        <v>0</v>
      </c>
      <c r="AL85" s="97">
        <v>0</v>
      </c>
      <c r="AM85" s="97">
        <v>0</v>
      </c>
      <c r="AN85" s="97">
        <v>0</v>
      </c>
      <c r="AO85" s="97">
        <v>0</v>
      </c>
      <c r="AP85" s="97">
        <v>0</v>
      </c>
      <c r="AQ85" s="97">
        <v>0</v>
      </c>
      <c r="AR85" s="97">
        <v>0</v>
      </c>
      <c r="AS85" s="97">
        <v>0</v>
      </c>
      <c r="AT85" s="97">
        <v>0</v>
      </c>
      <c r="AU85" s="97">
        <v>0</v>
      </c>
      <c r="AV85" s="97">
        <v>0</v>
      </c>
      <c r="AW85" s="97">
        <v>0</v>
      </c>
      <c r="AX85" s="97">
        <v>0</v>
      </c>
      <c r="AY85" s="97">
        <v>0</v>
      </c>
      <c r="AZ85" s="97">
        <v>0</v>
      </c>
      <c r="BA85" s="97">
        <v>0</v>
      </c>
      <c r="BB85" s="97">
        <v>0</v>
      </c>
      <c r="BC85" s="97">
        <v>0</v>
      </c>
      <c r="BD85" s="97">
        <v>0</v>
      </c>
      <c r="BE85" s="97">
        <v>0</v>
      </c>
      <c r="BF85" s="97">
        <v>0</v>
      </c>
      <c r="BG85" s="97">
        <v>0</v>
      </c>
      <c r="BH85" s="97">
        <v>0</v>
      </c>
      <c r="BI85" s="97">
        <v>0</v>
      </c>
    </row>
    <row r="86" spans="1:61" x14ac:dyDescent="0.25">
      <c r="A86" s="95" t="s">
        <v>48</v>
      </c>
      <c r="B86" s="95" t="s">
        <v>136</v>
      </c>
      <c r="C86" s="96" t="s">
        <v>41</v>
      </c>
      <c r="D86" s="96" t="s">
        <v>54</v>
      </c>
      <c r="E86" s="96" t="s">
        <v>145</v>
      </c>
      <c r="F86" s="96" t="s">
        <v>238</v>
      </c>
      <c r="G86" s="97">
        <f t="shared" si="1"/>
        <v>149999999.99999994</v>
      </c>
      <c r="H86" s="97">
        <f>SUMIF(I$1:BI$1,"&lt;="&amp;[2]PARAMETER!X$2,I86:BI86)</f>
        <v>0</v>
      </c>
      <c r="I86" s="97">
        <v>0</v>
      </c>
      <c r="J86" s="97">
        <v>0</v>
      </c>
      <c r="K86" s="97">
        <v>0</v>
      </c>
      <c r="L86" s="97">
        <v>0</v>
      </c>
      <c r="M86" s="97">
        <v>0</v>
      </c>
      <c r="N86" s="97">
        <v>0</v>
      </c>
      <c r="O86" s="97">
        <v>0</v>
      </c>
      <c r="P86" s="97">
        <v>0</v>
      </c>
      <c r="Q86" s="97">
        <v>0</v>
      </c>
      <c r="R86" s="97">
        <v>0</v>
      </c>
      <c r="S86" s="97">
        <v>0</v>
      </c>
      <c r="T86" s="97">
        <v>0</v>
      </c>
      <c r="U86" s="97">
        <v>0</v>
      </c>
      <c r="V86" s="97">
        <v>0</v>
      </c>
      <c r="W86" s="97">
        <v>0</v>
      </c>
      <c r="X86" s="97">
        <v>0</v>
      </c>
      <c r="Y86" s="97">
        <v>0</v>
      </c>
      <c r="Z86" s="97">
        <v>0</v>
      </c>
      <c r="AA86" s="97">
        <v>0</v>
      </c>
      <c r="AB86" s="97">
        <v>0</v>
      </c>
      <c r="AC86" s="97">
        <v>0</v>
      </c>
      <c r="AD86" s="97">
        <v>0</v>
      </c>
      <c r="AE86" s="97">
        <v>0</v>
      </c>
      <c r="AF86" s="97">
        <v>0</v>
      </c>
      <c r="AG86" s="97">
        <v>0</v>
      </c>
      <c r="AH86" s="97">
        <v>0</v>
      </c>
      <c r="AI86" s="97">
        <v>0</v>
      </c>
      <c r="AJ86" s="97">
        <v>0</v>
      </c>
      <c r="AK86" s="97">
        <v>0</v>
      </c>
      <c r="AL86" s="97">
        <v>0</v>
      </c>
      <c r="AM86" s="97">
        <v>0</v>
      </c>
      <c r="AN86" s="97">
        <v>0</v>
      </c>
      <c r="AO86" s="97">
        <v>17973521.037101202</v>
      </c>
      <c r="AP86" s="97">
        <v>16857474.733561601</v>
      </c>
      <c r="AQ86" s="97">
        <v>11546940.469517799</v>
      </c>
      <c r="AR86" s="97">
        <v>7625422.0657886798</v>
      </c>
      <c r="AS86" s="97">
        <v>9355178.8338044807</v>
      </c>
      <c r="AT86" s="97">
        <v>11810479.3847693</v>
      </c>
      <c r="AU86" s="97">
        <v>7015216.5430190396</v>
      </c>
      <c r="AV86" s="97">
        <v>6191928.3415880697</v>
      </c>
      <c r="AW86" s="97">
        <v>12187331.9460961</v>
      </c>
      <c r="AX86" s="97">
        <v>7256633.9429721497</v>
      </c>
      <c r="AY86" s="97">
        <v>8391668.8223698307</v>
      </c>
      <c r="AZ86" s="97">
        <v>5400068.2962237103</v>
      </c>
      <c r="BA86" s="97">
        <v>5643032.9622401502</v>
      </c>
      <c r="BB86" s="97">
        <v>3617640.8356490601</v>
      </c>
      <c r="BC86" s="97">
        <v>4034216.4354345002</v>
      </c>
      <c r="BD86" s="97">
        <v>2453382.3799870401</v>
      </c>
      <c r="BE86" s="97">
        <v>2477916.20378691</v>
      </c>
      <c r="BF86" s="97">
        <v>2502695.36582478</v>
      </c>
      <c r="BG86" s="97">
        <v>2527722.3194830301</v>
      </c>
      <c r="BH86" s="97">
        <v>2552999.5426778598</v>
      </c>
      <c r="BI86" s="97">
        <v>2578529.5381046399</v>
      </c>
    </row>
    <row r="87" spans="1:61" x14ac:dyDescent="0.25">
      <c r="A87" s="95" t="s">
        <v>48</v>
      </c>
      <c r="B87" s="95" t="s">
        <v>136</v>
      </c>
      <c r="C87" s="96" t="s">
        <v>42</v>
      </c>
      <c r="D87" s="96" t="s">
        <v>54</v>
      </c>
      <c r="E87" s="96" t="s">
        <v>147</v>
      </c>
      <c r="F87" s="96" t="s">
        <v>239</v>
      </c>
      <c r="G87" s="97">
        <f t="shared" si="1"/>
        <v>1499.9999999999991</v>
      </c>
      <c r="H87" s="97">
        <f>SUMIF(I$1:BI$1,"&lt;="&amp;[2]PARAMETER!X$2,I87:BI87)</f>
        <v>0</v>
      </c>
      <c r="I87" s="97">
        <v>0</v>
      </c>
      <c r="J87" s="97">
        <v>0</v>
      </c>
      <c r="K87" s="97">
        <v>0</v>
      </c>
      <c r="L87" s="97">
        <v>0</v>
      </c>
      <c r="M87" s="97">
        <v>0</v>
      </c>
      <c r="N87" s="97">
        <v>0</v>
      </c>
      <c r="O87" s="97">
        <v>0</v>
      </c>
      <c r="P87" s="97">
        <v>0</v>
      </c>
      <c r="Q87" s="97">
        <v>0</v>
      </c>
      <c r="R87" s="97">
        <v>0</v>
      </c>
      <c r="S87" s="97">
        <v>0</v>
      </c>
      <c r="T87" s="97">
        <v>0</v>
      </c>
      <c r="U87" s="97">
        <v>0</v>
      </c>
      <c r="V87" s="97">
        <v>0</v>
      </c>
      <c r="W87" s="97">
        <v>0</v>
      </c>
      <c r="X87" s="97">
        <v>0</v>
      </c>
      <c r="Y87" s="97">
        <v>0</v>
      </c>
      <c r="Z87" s="97">
        <v>0</v>
      </c>
      <c r="AA87" s="97">
        <v>0</v>
      </c>
      <c r="AB87" s="97">
        <v>0</v>
      </c>
      <c r="AC87" s="97">
        <v>0</v>
      </c>
      <c r="AD87" s="97">
        <v>0</v>
      </c>
      <c r="AE87" s="97">
        <v>0</v>
      </c>
      <c r="AF87" s="97">
        <v>0</v>
      </c>
      <c r="AG87" s="97">
        <v>0</v>
      </c>
      <c r="AH87" s="97">
        <v>0</v>
      </c>
      <c r="AI87" s="97">
        <v>0</v>
      </c>
      <c r="AJ87" s="97">
        <v>0</v>
      </c>
      <c r="AK87" s="97">
        <v>0</v>
      </c>
      <c r="AL87" s="97">
        <v>0</v>
      </c>
      <c r="AM87" s="97">
        <v>0</v>
      </c>
      <c r="AN87" s="97">
        <v>0</v>
      </c>
      <c r="AO87" s="97">
        <v>179.73521037101199</v>
      </c>
      <c r="AP87" s="97">
        <v>168.574747335616</v>
      </c>
      <c r="AQ87" s="97">
        <v>115.469404695178</v>
      </c>
      <c r="AR87" s="97">
        <v>76.254220657886904</v>
      </c>
      <c r="AS87" s="97">
        <v>93.551788338044801</v>
      </c>
      <c r="AT87" s="97">
        <v>118.104793847693</v>
      </c>
      <c r="AU87" s="97">
        <v>70.152165430190394</v>
      </c>
      <c r="AV87" s="97">
        <v>61.919283415880699</v>
      </c>
      <c r="AW87" s="97">
        <v>121.873319460961</v>
      </c>
      <c r="AX87" s="97">
        <v>72.566339429721495</v>
      </c>
      <c r="AY87" s="97">
        <v>83.916688223698301</v>
      </c>
      <c r="AZ87" s="97">
        <v>54.0006829622371</v>
      </c>
      <c r="BA87" s="97">
        <v>56.430329622401501</v>
      </c>
      <c r="BB87" s="97">
        <v>36.176408356490597</v>
      </c>
      <c r="BC87" s="97">
        <v>40.342164354344902</v>
      </c>
      <c r="BD87" s="97">
        <v>24.533823799870401</v>
      </c>
      <c r="BE87" s="97">
        <v>24.779162037869099</v>
      </c>
      <c r="BF87" s="97">
        <v>25.026953658247798</v>
      </c>
      <c r="BG87" s="97">
        <v>25.277223194830299</v>
      </c>
      <c r="BH87" s="97">
        <v>25.529995426778601</v>
      </c>
      <c r="BI87" s="97">
        <v>25.785295381046399</v>
      </c>
    </row>
    <row r="88" spans="1:61" x14ac:dyDescent="0.25">
      <c r="A88" s="95" t="s">
        <v>48</v>
      </c>
      <c r="B88" s="95" t="s">
        <v>136</v>
      </c>
      <c r="C88" s="96" t="s">
        <v>40</v>
      </c>
      <c r="D88" s="96" t="s">
        <v>54</v>
      </c>
      <c r="E88" s="96" t="s">
        <v>149</v>
      </c>
      <c r="F88" s="96" t="s">
        <v>240</v>
      </c>
      <c r="G88" s="97">
        <f t="shared" si="1"/>
        <v>900000.00000000023</v>
      </c>
      <c r="H88" s="97">
        <f>SUMIF(I$1:BI$1,"&lt;="&amp;[2]PARAMETER!X$2,I88:BI88)</f>
        <v>0</v>
      </c>
      <c r="I88" s="97">
        <v>0</v>
      </c>
      <c r="J88" s="97">
        <v>0</v>
      </c>
      <c r="K88" s="97">
        <v>0</v>
      </c>
      <c r="L88" s="97">
        <v>0</v>
      </c>
      <c r="M88" s="97">
        <v>0</v>
      </c>
      <c r="N88" s="97">
        <v>0</v>
      </c>
      <c r="O88" s="97">
        <v>0</v>
      </c>
      <c r="P88" s="97">
        <v>0</v>
      </c>
      <c r="Q88" s="97">
        <v>0</v>
      </c>
      <c r="R88" s="97">
        <v>0</v>
      </c>
      <c r="S88" s="97">
        <v>0</v>
      </c>
      <c r="T88" s="97">
        <v>0</v>
      </c>
      <c r="U88" s="97">
        <v>0</v>
      </c>
      <c r="V88" s="97">
        <v>0</v>
      </c>
      <c r="W88" s="97">
        <v>0</v>
      </c>
      <c r="X88" s="97">
        <v>0</v>
      </c>
      <c r="Y88" s="97">
        <v>0</v>
      </c>
      <c r="Z88" s="97">
        <v>0</v>
      </c>
      <c r="AA88" s="97">
        <v>0</v>
      </c>
      <c r="AB88" s="97">
        <v>0</v>
      </c>
      <c r="AC88" s="97">
        <v>0</v>
      </c>
      <c r="AD88" s="97">
        <v>0</v>
      </c>
      <c r="AE88" s="97">
        <v>0</v>
      </c>
      <c r="AF88" s="97">
        <v>0</v>
      </c>
      <c r="AG88" s="97">
        <v>0</v>
      </c>
      <c r="AH88" s="97">
        <v>0</v>
      </c>
      <c r="AI88" s="97">
        <v>0</v>
      </c>
      <c r="AJ88" s="97">
        <v>0</v>
      </c>
      <c r="AK88" s="97">
        <v>0</v>
      </c>
      <c r="AL88" s="97">
        <v>0</v>
      </c>
      <c r="AM88" s="97">
        <v>0</v>
      </c>
      <c r="AN88" s="97">
        <v>0</v>
      </c>
      <c r="AO88" s="97">
        <v>107841.126222607</v>
      </c>
      <c r="AP88" s="97">
        <v>101144.84840137001</v>
      </c>
      <c r="AQ88" s="97">
        <v>69281.642817106796</v>
      </c>
      <c r="AR88" s="97">
        <v>45752.532394732101</v>
      </c>
      <c r="AS88" s="97">
        <v>56131.073002826903</v>
      </c>
      <c r="AT88" s="97">
        <v>70862.876308616003</v>
      </c>
      <c r="AU88" s="97">
        <v>42091.299258114297</v>
      </c>
      <c r="AV88" s="97">
        <v>37151.570049528404</v>
      </c>
      <c r="AW88" s="97">
        <v>73123.991676576799</v>
      </c>
      <c r="AX88" s="97">
        <v>43539.803657832897</v>
      </c>
      <c r="AY88" s="97">
        <v>50350.012934218998</v>
      </c>
      <c r="AZ88" s="97">
        <v>32400.409777342298</v>
      </c>
      <c r="BA88" s="97">
        <v>33858.197773440901</v>
      </c>
      <c r="BB88" s="97">
        <v>21705.845013894301</v>
      </c>
      <c r="BC88" s="97">
        <v>24205.298612606999</v>
      </c>
      <c r="BD88" s="97">
        <v>14720.2942799223</v>
      </c>
      <c r="BE88" s="97">
        <v>14867.4972227215</v>
      </c>
      <c r="BF88" s="97">
        <v>15016.1721949487</v>
      </c>
      <c r="BG88" s="97">
        <v>15166.3339168982</v>
      </c>
      <c r="BH88" s="97">
        <v>15317.997256067199</v>
      </c>
      <c r="BI88" s="97">
        <v>15471.177228627799</v>
      </c>
    </row>
    <row r="89" spans="1:61" x14ac:dyDescent="0.25">
      <c r="A89" s="95" t="s">
        <v>10</v>
      </c>
      <c r="B89" s="95" t="s">
        <v>136</v>
      </c>
      <c r="C89" s="96" t="s">
        <v>41</v>
      </c>
      <c r="D89" s="96" t="s">
        <v>56</v>
      </c>
      <c r="E89" s="96" t="s">
        <v>175</v>
      </c>
      <c r="F89" s="96" t="s">
        <v>241</v>
      </c>
      <c r="G89" s="97">
        <f t="shared" si="1"/>
        <v>110000000</v>
      </c>
      <c r="H89" s="97">
        <f>SUMIF(I$1:BI$1,"&lt;="&amp;[2]PARAMETER!X$2,I89:BI89)</f>
        <v>18679245.283018891</v>
      </c>
      <c r="I89" s="97">
        <v>2075471.69811321</v>
      </c>
      <c r="J89" s="97">
        <v>2075471.69811321</v>
      </c>
      <c r="K89" s="97">
        <v>2075471.69811321</v>
      </c>
      <c r="L89" s="97">
        <v>2075471.69811321</v>
      </c>
      <c r="M89" s="97">
        <v>2075471.69811321</v>
      </c>
      <c r="N89" s="97">
        <v>2075471.69811321</v>
      </c>
      <c r="O89" s="97">
        <v>2075471.69811321</v>
      </c>
      <c r="P89" s="97">
        <v>2075471.69811321</v>
      </c>
      <c r="Q89" s="97">
        <v>2075471.69811321</v>
      </c>
      <c r="R89" s="97">
        <v>2075471.69811321</v>
      </c>
      <c r="S89" s="97">
        <v>2075471.69811321</v>
      </c>
      <c r="T89" s="97">
        <v>2075471.69811321</v>
      </c>
      <c r="U89" s="97">
        <v>2075471.69811321</v>
      </c>
      <c r="V89" s="97">
        <v>2075471.69811321</v>
      </c>
      <c r="W89" s="97">
        <v>2075471.69811321</v>
      </c>
      <c r="X89" s="97">
        <v>2075471.69811321</v>
      </c>
      <c r="Y89" s="97">
        <v>2075471.69811321</v>
      </c>
      <c r="Z89" s="97">
        <v>2075471.69811321</v>
      </c>
      <c r="AA89" s="97">
        <v>2075471.69811321</v>
      </c>
      <c r="AB89" s="97">
        <v>2075471.69811321</v>
      </c>
      <c r="AC89" s="97">
        <v>2075471.69811321</v>
      </c>
      <c r="AD89" s="97">
        <v>2075471.69811321</v>
      </c>
      <c r="AE89" s="97">
        <v>2075471.69811321</v>
      </c>
      <c r="AF89" s="97">
        <v>2075471.69811321</v>
      </c>
      <c r="AG89" s="97">
        <v>2075471.69811321</v>
      </c>
      <c r="AH89" s="97">
        <v>2075471.69811321</v>
      </c>
      <c r="AI89" s="97">
        <v>2075471.69811321</v>
      </c>
      <c r="AJ89" s="97">
        <v>2075471.69811321</v>
      </c>
      <c r="AK89" s="97">
        <v>2075471.69811321</v>
      </c>
      <c r="AL89" s="97">
        <v>2075471.69811321</v>
      </c>
      <c r="AM89" s="97">
        <v>2075471.69811321</v>
      </c>
      <c r="AN89" s="97">
        <v>2075471.69811321</v>
      </c>
      <c r="AO89" s="97">
        <v>2075471.69811321</v>
      </c>
      <c r="AP89" s="97">
        <v>2075471.69811321</v>
      </c>
      <c r="AQ89" s="97">
        <v>2075471.69811321</v>
      </c>
      <c r="AR89" s="97">
        <v>2075471.69811321</v>
      </c>
      <c r="AS89" s="97">
        <v>2075471.69811321</v>
      </c>
      <c r="AT89" s="97">
        <v>2075471.69811321</v>
      </c>
      <c r="AU89" s="97">
        <v>2075471.69811321</v>
      </c>
      <c r="AV89" s="97">
        <v>2075471.69811321</v>
      </c>
      <c r="AW89" s="97">
        <v>2075471.69811321</v>
      </c>
      <c r="AX89" s="97">
        <v>2075471.69811321</v>
      </c>
      <c r="AY89" s="97">
        <v>2075471.69811321</v>
      </c>
      <c r="AZ89" s="97">
        <v>2075471.69811321</v>
      </c>
      <c r="BA89" s="97">
        <v>2075471.69811321</v>
      </c>
      <c r="BB89" s="97">
        <v>2075471.69811321</v>
      </c>
      <c r="BC89" s="97">
        <v>2075471.69811321</v>
      </c>
      <c r="BD89" s="97">
        <v>2075471.69811321</v>
      </c>
      <c r="BE89" s="97">
        <v>2075471.69811321</v>
      </c>
      <c r="BF89" s="97">
        <v>2075471.69811321</v>
      </c>
      <c r="BG89" s="97">
        <v>2075471.69811321</v>
      </c>
      <c r="BH89" s="97">
        <v>2075471.69811321</v>
      </c>
      <c r="BI89" s="97">
        <v>2075471.69811321</v>
      </c>
    </row>
    <row r="90" spans="1:61" x14ac:dyDescent="0.25">
      <c r="A90" s="95" t="s">
        <v>10</v>
      </c>
      <c r="B90" s="95" t="s">
        <v>136</v>
      </c>
      <c r="C90" s="96" t="s">
        <v>42</v>
      </c>
      <c r="D90" s="96" t="s">
        <v>56</v>
      </c>
      <c r="E90" s="96" t="s">
        <v>177</v>
      </c>
      <c r="F90" s="96" t="s">
        <v>242</v>
      </c>
      <c r="G90" s="97">
        <f t="shared" si="1"/>
        <v>1499.9999999999973</v>
      </c>
      <c r="H90" s="97">
        <f>SUMIF(I$1:BI$1,"&lt;="&amp;[2]PARAMETER!X$2,I90:BI90)</f>
        <v>254.71698113207518</v>
      </c>
      <c r="I90" s="97">
        <v>28.301886792452802</v>
      </c>
      <c r="J90" s="97">
        <v>28.301886792452802</v>
      </c>
      <c r="K90" s="97">
        <v>28.301886792452802</v>
      </c>
      <c r="L90" s="97">
        <v>28.301886792452802</v>
      </c>
      <c r="M90" s="97">
        <v>28.301886792452802</v>
      </c>
      <c r="N90" s="97">
        <v>28.301886792452802</v>
      </c>
      <c r="O90" s="97">
        <v>28.301886792452802</v>
      </c>
      <c r="P90" s="97">
        <v>28.301886792452802</v>
      </c>
      <c r="Q90" s="97">
        <v>28.301886792452802</v>
      </c>
      <c r="R90" s="97">
        <v>28.301886792452802</v>
      </c>
      <c r="S90" s="97">
        <v>28.301886792452802</v>
      </c>
      <c r="T90" s="97">
        <v>28.301886792452802</v>
      </c>
      <c r="U90" s="97">
        <v>28.301886792452802</v>
      </c>
      <c r="V90" s="97">
        <v>28.301886792452802</v>
      </c>
      <c r="W90" s="97">
        <v>28.301886792452802</v>
      </c>
      <c r="X90" s="97">
        <v>28.301886792452802</v>
      </c>
      <c r="Y90" s="97">
        <v>28.301886792452802</v>
      </c>
      <c r="Z90" s="97">
        <v>28.301886792452802</v>
      </c>
      <c r="AA90" s="97">
        <v>28.301886792452802</v>
      </c>
      <c r="AB90" s="97">
        <v>28.301886792452802</v>
      </c>
      <c r="AC90" s="97">
        <v>28.301886792452802</v>
      </c>
      <c r="AD90" s="97">
        <v>28.301886792452802</v>
      </c>
      <c r="AE90" s="97">
        <v>28.301886792452802</v>
      </c>
      <c r="AF90" s="97">
        <v>28.301886792452802</v>
      </c>
      <c r="AG90" s="97">
        <v>28.301886792452802</v>
      </c>
      <c r="AH90" s="97">
        <v>28.301886792452802</v>
      </c>
      <c r="AI90" s="97">
        <v>28.301886792452802</v>
      </c>
      <c r="AJ90" s="97">
        <v>28.301886792452802</v>
      </c>
      <c r="AK90" s="97">
        <v>28.301886792452802</v>
      </c>
      <c r="AL90" s="97">
        <v>28.301886792452802</v>
      </c>
      <c r="AM90" s="97">
        <v>28.301886792452802</v>
      </c>
      <c r="AN90" s="97">
        <v>28.301886792452802</v>
      </c>
      <c r="AO90" s="97">
        <v>28.301886792452802</v>
      </c>
      <c r="AP90" s="97">
        <v>28.301886792452802</v>
      </c>
      <c r="AQ90" s="97">
        <v>28.301886792452802</v>
      </c>
      <c r="AR90" s="97">
        <v>28.301886792452802</v>
      </c>
      <c r="AS90" s="97">
        <v>28.301886792452802</v>
      </c>
      <c r="AT90" s="97">
        <v>28.301886792452802</v>
      </c>
      <c r="AU90" s="97">
        <v>28.301886792452802</v>
      </c>
      <c r="AV90" s="97">
        <v>28.301886792452802</v>
      </c>
      <c r="AW90" s="97">
        <v>28.301886792452802</v>
      </c>
      <c r="AX90" s="97">
        <v>28.301886792452802</v>
      </c>
      <c r="AY90" s="97">
        <v>28.301886792452802</v>
      </c>
      <c r="AZ90" s="97">
        <v>28.301886792452802</v>
      </c>
      <c r="BA90" s="97">
        <v>28.301886792452802</v>
      </c>
      <c r="BB90" s="97">
        <v>28.301886792452802</v>
      </c>
      <c r="BC90" s="97">
        <v>28.301886792452802</v>
      </c>
      <c r="BD90" s="97">
        <v>28.301886792452802</v>
      </c>
      <c r="BE90" s="97">
        <v>28.301886792452802</v>
      </c>
      <c r="BF90" s="97">
        <v>28.301886792452802</v>
      </c>
      <c r="BG90" s="97">
        <v>28.301886792452802</v>
      </c>
      <c r="BH90" s="97">
        <v>28.301886792452802</v>
      </c>
      <c r="BI90" s="97">
        <v>28.301886792452802</v>
      </c>
    </row>
    <row r="91" spans="1:61" x14ac:dyDescent="0.25">
      <c r="A91" s="95" t="s">
        <v>10</v>
      </c>
      <c r="B91" s="95" t="s">
        <v>136</v>
      </c>
      <c r="C91" s="96" t="s">
        <v>40</v>
      </c>
      <c r="D91" s="96" t="s">
        <v>56</v>
      </c>
      <c r="E91" s="96" t="s">
        <v>179</v>
      </c>
      <c r="F91" s="96" t="s">
        <v>243</v>
      </c>
      <c r="G91" s="97">
        <f t="shared" si="1"/>
        <v>100000.00000000013</v>
      </c>
      <c r="H91" s="97">
        <f>SUMIF(I$1:BI$1,"&lt;="&amp;[2]PARAMETER!X$2,I91:BI91)</f>
        <v>16981.132075471709</v>
      </c>
      <c r="I91" s="97">
        <v>1886.7924528301901</v>
      </c>
      <c r="J91" s="97">
        <v>1886.7924528301901</v>
      </c>
      <c r="K91" s="97">
        <v>1886.7924528301901</v>
      </c>
      <c r="L91" s="97">
        <v>1886.7924528301901</v>
      </c>
      <c r="M91" s="97">
        <v>1886.7924528301901</v>
      </c>
      <c r="N91" s="97">
        <v>1886.7924528301901</v>
      </c>
      <c r="O91" s="97">
        <v>1886.7924528301901</v>
      </c>
      <c r="P91" s="97">
        <v>1886.7924528301901</v>
      </c>
      <c r="Q91" s="97">
        <v>1886.7924528301901</v>
      </c>
      <c r="R91" s="97">
        <v>1886.7924528301901</v>
      </c>
      <c r="S91" s="97">
        <v>1886.7924528301901</v>
      </c>
      <c r="T91" s="97">
        <v>1886.7924528301901</v>
      </c>
      <c r="U91" s="97">
        <v>1886.7924528301901</v>
      </c>
      <c r="V91" s="97">
        <v>1886.7924528301901</v>
      </c>
      <c r="W91" s="97">
        <v>1886.7924528301901</v>
      </c>
      <c r="X91" s="97">
        <v>1886.7924528301901</v>
      </c>
      <c r="Y91" s="97">
        <v>1886.7924528301901</v>
      </c>
      <c r="Z91" s="97">
        <v>1886.7924528301901</v>
      </c>
      <c r="AA91" s="97">
        <v>1886.7924528301901</v>
      </c>
      <c r="AB91" s="97">
        <v>1886.7924528301901</v>
      </c>
      <c r="AC91" s="97">
        <v>1886.7924528301901</v>
      </c>
      <c r="AD91" s="97">
        <v>1886.7924528301901</v>
      </c>
      <c r="AE91" s="97">
        <v>1886.7924528301901</v>
      </c>
      <c r="AF91" s="97">
        <v>1886.7924528301901</v>
      </c>
      <c r="AG91" s="97">
        <v>1886.7924528301901</v>
      </c>
      <c r="AH91" s="97">
        <v>1886.7924528301901</v>
      </c>
      <c r="AI91" s="97">
        <v>1886.7924528301901</v>
      </c>
      <c r="AJ91" s="97">
        <v>1886.7924528301901</v>
      </c>
      <c r="AK91" s="97">
        <v>1886.7924528301901</v>
      </c>
      <c r="AL91" s="97">
        <v>1886.7924528301901</v>
      </c>
      <c r="AM91" s="97">
        <v>1886.7924528301901</v>
      </c>
      <c r="AN91" s="97">
        <v>1886.7924528301901</v>
      </c>
      <c r="AO91" s="97">
        <v>1886.7924528301901</v>
      </c>
      <c r="AP91" s="97">
        <v>1886.7924528301901</v>
      </c>
      <c r="AQ91" s="97">
        <v>1886.7924528301901</v>
      </c>
      <c r="AR91" s="97">
        <v>1886.7924528301901</v>
      </c>
      <c r="AS91" s="97">
        <v>1886.7924528301901</v>
      </c>
      <c r="AT91" s="97">
        <v>1886.7924528301901</v>
      </c>
      <c r="AU91" s="97">
        <v>1886.7924528301901</v>
      </c>
      <c r="AV91" s="97">
        <v>1886.7924528301901</v>
      </c>
      <c r="AW91" s="97">
        <v>1886.7924528301901</v>
      </c>
      <c r="AX91" s="97">
        <v>1886.7924528301901</v>
      </c>
      <c r="AY91" s="97">
        <v>1886.7924528301901</v>
      </c>
      <c r="AZ91" s="97">
        <v>1886.7924528301901</v>
      </c>
      <c r="BA91" s="97">
        <v>1886.7924528301901</v>
      </c>
      <c r="BB91" s="97">
        <v>1886.7924528301901</v>
      </c>
      <c r="BC91" s="97">
        <v>1886.7924528301901</v>
      </c>
      <c r="BD91" s="97">
        <v>1886.7924528301901</v>
      </c>
      <c r="BE91" s="97">
        <v>1886.7924528301901</v>
      </c>
      <c r="BF91" s="97">
        <v>1886.7924528301901</v>
      </c>
      <c r="BG91" s="97">
        <v>1886.7924528301901</v>
      </c>
      <c r="BH91" s="97">
        <v>1886.7924528301901</v>
      </c>
      <c r="BI91" s="97">
        <v>1886.7924528301901</v>
      </c>
    </row>
    <row r="92" spans="1:61" x14ac:dyDescent="0.25">
      <c r="A92" s="95" t="s">
        <v>49</v>
      </c>
      <c r="B92" s="95" t="s">
        <v>136</v>
      </c>
      <c r="C92" s="96" t="s">
        <v>41</v>
      </c>
      <c r="D92" s="96" t="s">
        <v>54</v>
      </c>
      <c r="E92" s="96" t="s">
        <v>145</v>
      </c>
      <c r="F92" s="96" t="s">
        <v>244</v>
      </c>
      <c r="G92" s="97">
        <f t="shared" si="1"/>
        <v>50000000.000000045</v>
      </c>
      <c r="H92" s="97">
        <f>SUMIF(I$1:BI$1,"&lt;="&amp;[2]PARAMETER!X$2,I92:BI92)</f>
        <v>8490566.0377358459</v>
      </c>
      <c r="I92" s="97">
        <v>943396.22641509399</v>
      </c>
      <c r="J92" s="97">
        <v>943396.22641509399</v>
      </c>
      <c r="K92" s="97">
        <v>943396.22641509399</v>
      </c>
      <c r="L92" s="97">
        <v>943396.22641509399</v>
      </c>
      <c r="M92" s="97">
        <v>943396.22641509399</v>
      </c>
      <c r="N92" s="97">
        <v>943396.22641509399</v>
      </c>
      <c r="O92" s="97">
        <v>943396.22641509399</v>
      </c>
      <c r="P92" s="97">
        <v>943396.22641509399</v>
      </c>
      <c r="Q92" s="97">
        <v>943396.22641509399</v>
      </c>
      <c r="R92" s="97">
        <v>943396.22641509399</v>
      </c>
      <c r="S92" s="97">
        <v>943396.22641509399</v>
      </c>
      <c r="T92" s="97">
        <v>943396.22641509399</v>
      </c>
      <c r="U92" s="97">
        <v>943396.22641509399</v>
      </c>
      <c r="V92" s="97">
        <v>943396.22641509399</v>
      </c>
      <c r="W92" s="97">
        <v>943396.22641509399</v>
      </c>
      <c r="X92" s="97">
        <v>943396.22641509399</v>
      </c>
      <c r="Y92" s="97">
        <v>943396.22641509399</v>
      </c>
      <c r="Z92" s="97">
        <v>943396.22641509399</v>
      </c>
      <c r="AA92" s="97">
        <v>943396.22641509399</v>
      </c>
      <c r="AB92" s="97">
        <v>943396.22641509399</v>
      </c>
      <c r="AC92" s="97">
        <v>943396.22641509399</v>
      </c>
      <c r="AD92" s="97">
        <v>943396.22641509399</v>
      </c>
      <c r="AE92" s="97">
        <v>943396.22641509399</v>
      </c>
      <c r="AF92" s="97">
        <v>943396.22641509399</v>
      </c>
      <c r="AG92" s="97">
        <v>943396.22641509399</v>
      </c>
      <c r="AH92" s="97">
        <v>943396.22641509399</v>
      </c>
      <c r="AI92" s="97">
        <v>943396.22641509399</v>
      </c>
      <c r="AJ92" s="97">
        <v>943396.22641509399</v>
      </c>
      <c r="AK92" s="97">
        <v>943396.22641509399</v>
      </c>
      <c r="AL92" s="97">
        <v>943396.22641509399</v>
      </c>
      <c r="AM92" s="97">
        <v>943396.22641509399</v>
      </c>
      <c r="AN92" s="97">
        <v>943396.22641509399</v>
      </c>
      <c r="AO92" s="97">
        <v>943396.22641509399</v>
      </c>
      <c r="AP92" s="97">
        <v>943396.22641509399</v>
      </c>
      <c r="AQ92" s="97">
        <v>943396.22641509399</v>
      </c>
      <c r="AR92" s="97">
        <v>943396.22641509399</v>
      </c>
      <c r="AS92" s="97">
        <v>943396.22641509399</v>
      </c>
      <c r="AT92" s="97">
        <v>943396.22641509399</v>
      </c>
      <c r="AU92" s="97">
        <v>943396.22641509399</v>
      </c>
      <c r="AV92" s="97">
        <v>943396.22641509399</v>
      </c>
      <c r="AW92" s="97">
        <v>943396.22641509399</v>
      </c>
      <c r="AX92" s="97">
        <v>943396.22641509399</v>
      </c>
      <c r="AY92" s="97">
        <v>943396.22641509399</v>
      </c>
      <c r="AZ92" s="97">
        <v>943396.22641509399</v>
      </c>
      <c r="BA92" s="97">
        <v>943396.22641509399</v>
      </c>
      <c r="BB92" s="97">
        <v>943396.22641509399</v>
      </c>
      <c r="BC92" s="97">
        <v>943396.22641509399</v>
      </c>
      <c r="BD92" s="97">
        <v>943396.22641509399</v>
      </c>
      <c r="BE92" s="97">
        <v>943396.22641509399</v>
      </c>
      <c r="BF92" s="97">
        <v>943396.22641509399</v>
      </c>
      <c r="BG92" s="97">
        <v>943396.22641509399</v>
      </c>
      <c r="BH92" s="97">
        <v>943396.22641509399</v>
      </c>
      <c r="BI92" s="97">
        <v>943396.22641509399</v>
      </c>
    </row>
    <row r="93" spans="1:61" x14ac:dyDescent="0.25">
      <c r="A93" s="95" t="s">
        <v>49</v>
      </c>
      <c r="B93" s="95" t="s">
        <v>136</v>
      </c>
      <c r="C93" s="96" t="s">
        <v>42</v>
      </c>
      <c r="D93" s="96" t="s">
        <v>54</v>
      </c>
      <c r="E93" s="96" t="s">
        <v>147</v>
      </c>
      <c r="F93" s="96" t="s">
        <v>245</v>
      </c>
      <c r="G93" s="97">
        <f t="shared" si="1"/>
        <v>400.00000000000063</v>
      </c>
      <c r="H93" s="97">
        <f>SUMIF(I$1:BI$1,"&lt;="&amp;[2]PARAMETER!X$2,I93:BI93)</f>
        <v>67.924528301886824</v>
      </c>
      <c r="I93" s="97">
        <v>7.5471698113207601</v>
      </c>
      <c r="J93" s="97">
        <v>7.5471698113207601</v>
      </c>
      <c r="K93" s="97">
        <v>7.5471698113207601</v>
      </c>
      <c r="L93" s="97">
        <v>7.5471698113207601</v>
      </c>
      <c r="M93" s="97">
        <v>7.5471698113207601</v>
      </c>
      <c r="N93" s="97">
        <v>7.5471698113207601</v>
      </c>
      <c r="O93" s="97">
        <v>7.5471698113207601</v>
      </c>
      <c r="P93" s="97">
        <v>7.5471698113207601</v>
      </c>
      <c r="Q93" s="97">
        <v>7.5471698113207601</v>
      </c>
      <c r="R93" s="97">
        <v>7.5471698113207601</v>
      </c>
      <c r="S93" s="97">
        <v>7.5471698113207601</v>
      </c>
      <c r="T93" s="97">
        <v>7.5471698113207601</v>
      </c>
      <c r="U93" s="97">
        <v>7.5471698113207601</v>
      </c>
      <c r="V93" s="97">
        <v>7.5471698113207601</v>
      </c>
      <c r="W93" s="97">
        <v>7.5471698113207601</v>
      </c>
      <c r="X93" s="97">
        <v>7.5471698113207601</v>
      </c>
      <c r="Y93" s="97">
        <v>7.5471698113207601</v>
      </c>
      <c r="Z93" s="97">
        <v>7.5471698113207601</v>
      </c>
      <c r="AA93" s="97">
        <v>7.5471698113207601</v>
      </c>
      <c r="AB93" s="97">
        <v>7.5471698113207601</v>
      </c>
      <c r="AC93" s="97">
        <v>7.5471698113207601</v>
      </c>
      <c r="AD93" s="97">
        <v>7.5471698113207601</v>
      </c>
      <c r="AE93" s="97">
        <v>7.5471698113207601</v>
      </c>
      <c r="AF93" s="97">
        <v>7.5471698113207601</v>
      </c>
      <c r="AG93" s="97">
        <v>7.5471698113207601</v>
      </c>
      <c r="AH93" s="97">
        <v>7.5471698113207601</v>
      </c>
      <c r="AI93" s="97">
        <v>7.5471698113207601</v>
      </c>
      <c r="AJ93" s="97">
        <v>7.5471698113207601</v>
      </c>
      <c r="AK93" s="97">
        <v>7.5471698113207601</v>
      </c>
      <c r="AL93" s="97">
        <v>7.5471698113207601</v>
      </c>
      <c r="AM93" s="97">
        <v>7.5471698113207601</v>
      </c>
      <c r="AN93" s="97">
        <v>7.5471698113207601</v>
      </c>
      <c r="AO93" s="97">
        <v>7.5471698113207601</v>
      </c>
      <c r="AP93" s="97">
        <v>7.5471698113207601</v>
      </c>
      <c r="AQ93" s="97">
        <v>7.5471698113207601</v>
      </c>
      <c r="AR93" s="97">
        <v>7.5471698113207601</v>
      </c>
      <c r="AS93" s="97">
        <v>7.5471698113207601</v>
      </c>
      <c r="AT93" s="97">
        <v>7.5471698113207601</v>
      </c>
      <c r="AU93" s="97">
        <v>7.5471698113207601</v>
      </c>
      <c r="AV93" s="97">
        <v>7.5471698113207601</v>
      </c>
      <c r="AW93" s="97">
        <v>7.5471698113207601</v>
      </c>
      <c r="AX93" s="97">
        <v>7.5471698113207601</v>
      </c>
      <c r="AY93" s="97">
        <v>7.5471698113207601</v>
      </c>
      <c r="AZ93" s="97">
        <v>7.5471698113207601</v>
      </c>
      <c r="BA93" s="97">
        <v>7.5471698113207601</v>
      </c>
      <c r="BB93" s="97">
        <v>7.5471698113207601</v>
      </c>
      <c r="BC93" s="97">
        <v>7.5471698113207601</v>
      </c>
      <c r="BD93" s="97">
        <v>7.5471698113207601</v>
      </c>
      <c r="BE93" s="97">
        <v>7.5471698113207601</v>
      </c>
      <c r="BF93" s="97">
        <v>7.5471698113207601</v>
      </c>
      <c r="BG93" s="97">
        <v>7.5471698113207601</v>
      </c>
      <c r="BH93" s="97">
        <v>7.5471698113207601</v>
      </c>
      <c r="BI93" s="97">
        <v>7.5471698113207601</v>
      </c>
    </row>
    <row r="94" spans="1:61" x14ac:dyDescent="0.25">
      <c r="A94" s="95" t="s">
        <v>49</v>
      </c>
      <c r="B94" s="95" t="s">
        <v>136</v>
      </c>
      <c r="C94" s="96" t="s">
        <v>40</v>
      </c>
      <c r="D94" s="96" t="s">
        <v>54</v>
      </c>
      <c r="E94" s="96" t="s">
        <v>149</v>
      </c>
      <c r="F94" s="96" t="s">
        <v>246</v>
      </c>
      <c r="G94" s="97">
        <f t="shared" si="1"/>
        <v>269999.99999999988</v>
      </c>
      <c r="H94" s="97">
        <f>SUMIF(I$1:BI$1,"&lt;="&amp;[2]PARAMETER!X$2,I94:BI94)</f>
        <v>45849.056603773584</v>
      </c>
      <c r="I94" s="97">
        <v>5094.3396226415098</v>
      </c>
      <c r="J94" s="97">
        <v>5094.3396226415098</v>
      </c>
      <c r="K94" s="97">
        <v>5094.3396226415098</v>
      </c>
      <c r="L94" s="97">
        <v>5094.3396226415098</v>
      </c>
      <c r="M94" s="97">
        <v>5094.3396226415098</v>
      </c>
      <c r="N94" s="97">
        <v>5094.3396226415098</v>
      </c>
      <c r="O94" s="97">
        <v>5094.3396226415098</v>
      </c>
      <c r="P94" s="97">
        <v>5094.3396226415098</v>
      </c>
      <c r="Q94" s="97">
        <v>5094.3396226415098</v>
      </c>
      <c r="R94" s="97">
        <v>5094.3396226415098</v>
      </c>
      <c r="S94" s="97">
        <v>5094.3396226415098</v>
      </c>
      <c r="T94" s="97">
        <v>5094.3396226415098</v>
      </c>
      <c r="U94" s="97">
        <v>5094.3396226415098</v>
      </c>
      <c r="V94" s="97">
        <v>5094.3396226415098</v>
      </c>
      <c r="W94" s="97">
        <v>5094.3396226415098</v>
      </c>
      <c r="X94" s="97">
        <v>5094.3396226415098</v>
      </c>
      <c r="Y94" s="97">
        <v>5094.3396226415098</v>
      </c>
      <c r="Z94" s="97">
        <v>5094.3396226415098</v>
      </c>
      <c r="AA94" s="97">
        <v>5094.3396226415098</v>
      </c>
      <c r="AB94" s="97">
        <v>5094.3396226415098</v>
      </c>
      <c r="AC94" s="97">
        <v>5094.3396226415098</v>
      </c>
      <c r="AD94" s="97">
        <v>5094.3396226415098</v>
      </c>
      <c r="AE94" s="97">
        <v>5094.3396226415098</v>
      </c>
      <c r="AF94" s="97">
        <v>5094.3396226415098</v>
      </c>
      <c r="AG94" s="97">
        <v>5094.3396226415098</v>
      </c>
      <c r="AH94" s="97">
        <v>5094.3396226415098</v>
      </c>
      <c r="AI94" s="97">
        <v>5094.3396226415098</v>
      </c>
      <c r="AJ94" s="97">
        <v>5094.3396226415098</v>
      </c>
      <c r="AK94" s="97">
        <v>5094.3396226415098</v>
      </c>
      <c r="AL94" s="97">
        <v>5094.3396226415098</v>
      </c>
      <c r="AM94" s="97">
        <v>5094.3396226415098</v>
      </c>
      <c r="AN94" s="97">
        <v>5094.3396226415098</v>
      </c>
      <c r="AO94" s="97">
        <v>5094.3396226415098</v>
      </c>
      <c r="AP94" s="97">
        <v>5094.3396226415098</v>
      </c>
      <c r="AQ94" s="97">
        <v>5094.3396226415098</v>
      </c>
      <c r="AR94" s="97">
        <v>5094.3396226415098</v>
      </c>
      <c r="AS94" s="97">
        <v>5094.3396226415098</v>
      </c>
      <c r="AT94" s="97">
        <v>5094.3396226415098</v>
      </c>
      <c r="AU94" s="97">
        <v>5094.3396226415098</v>
      </c>
      <c r="AV94" s="97">
        <v>5094.3396226415098</v>
      </c>
      <c r="AW94" s="97">
        <v>5094.3396226415098</v>
      </c>
      <c r="AX94" s="97">
        <v>5094.3396226415098</v>
      </c>
      <c r="AY94" s="97">
        <v>5094.3396226415098</v>
      </c>
      <c r="AZ94" s="97">
        <v>5094.3396226415098</v>
      </c>
      <c r="BA94" s="97">
        <v>5094.3396226415098</v>
      </c>
      <c r="BB94" s="97">
        <v>5094.3396226415098</v>
      </c>
      <c r="BC94" s="97">
        <v>5094.3396226415098</v>
      </c>
      <c r="BD94" s="97">
        <v>5094.3396226415098</v>
      </c>
      <c r="BE94" s="97">
        <v>5094.3396226415098</v>
      </c>
      <c r="BF94" s="97">
        <v>5094.3396226415098</v>
      </c>
      <c r="BG94" s="97">
        <v>5094.3396226415098</v>
      </c>
      <c r="BH94" s="97">
        <v>5094.3396226415098</v>
      </c>
      <c r="BI94" s="97">
        <v>5094.3396226415098</v>
      </c>
    </row>
    <row r="95" spans="1:61" x14ac:dyDescent="0.25">
      <c r="A95" s="95" t="s">
        <v>8</v>
      </c>
      <c r="B95" s="95" t="s">
        <v>136</v>
      </c>
      <c r="C95" s="96" t="s">
        <v>41</v>
      </c>
      <c r="D95" s="96" t="s">
        <v>56</v>
      </c>
      <c r="E95" s="96" t="s">
        <v>175</v>
      </c>
      <c r="F95" s="96" t="s">
        <v>247</v>
      </c>
      <c r="G95" s="97">
        <f t="shared" si="1"/>
        <v>29100000000.000008</v>
      </c>
      <c r="H95" s="97">
        <f>SUMIF(I$1:BI$1,"&lt;="&amp;[2]PARAMETER!X$2,I95:BI95)</f>
        <v>1711415459.5820556</v>
      </c>
      <c r="I95" s="97">
        <v>56909742.1559553</v>
      </c>
      <c r="J95" s="97">
        <v>209837725.77992401</v>
      </c>
      <c r="K95" s="97">
        <v>68637113.365585595</v>
      </c>
      <c r="L95" s="97">
        <v>214385898.486738</v>
      </c>
      <c r="M95" s="97">
        <v>395345606.16871202</v>
      </c>
      <c r="N95" s="97">
        <v>407262958.58233303</v>
      </c>
      <c r="O95" s="97">
        <v>171805784.70474899</v>
      </c>
      <c r="P95" s="97">
        <v>141166069.33048901</v>
      </c>
      <c r="Q95" s="97">
        <v>46064561.007569499</v>
      </c>
      <c r="R95" s="97">
        <v>466360423.624892</v>
      </c>
      <c r="S95" s="97">
        <v>292620220.46740502</v>
      </c>
      <c r="T95" s="97">
        <v>131766032.638019</v>
      </c>
      <c r="U95" s="97">
        <v>125837575.87239701</v>
      </c>
      <c r="V95" s="97">
        <v>265786001.497201</v>
      </c>
      <c r="W95" s="97">
        <v>250713288.06064999</v>
      </c>
      <c r="X95" s="97">
        <v>158783042.093593</v>
      </c>
      <c r="Y95" s="97">
        <v>569658631.52848995</v>
      </c>
      <c r="Z95" s="97">
        <v>1615437230.5195</v>
      </c>
      <c r="AA95" s="97">
        <v>407366587.83388001</v>
      </c>
      <c r="AB95" s="97">
        <v>651304549.37089896</v>
      </c>
      <c r="AC95" s="97">
        <v>447381411.308433</v>
      </c>
      <c r="AD95" s="97">
        <v>237066190.72328001</v>
      </c>
      <c r="AE95" s="97">
        <v>373015793.81808501</v>
      </c>
      <c r="AF95" s="97">
        <v>312261878.51852399</v>
      </c>
      <c r="AG95" s="97">
        <v>706990418.55171502</v>
      </c>
      <c r="AH95" s="97">
        <v>275573208.58781397</v>
      </c>
      <c r="AI95" s="97">
        <v>56547034.018357798</v>
      </c>
      <c r="AJ95" s="97">
        <v>750964184.56596196</v>
      </c>
      <c r="AK95" s="97">
        <v>607229186.389871</v>
      </c>
      <c r="AL95" s="97">
        <v>1192413684.80039</v>
      </c>
      <c r="AM95" s="97">
        <v>537611285.48737395</v>
      </c>
      <c r="AN95" s="97">
        <v>930780665.85922396</v>
      </c>
      <c r="AO95" s="97">
        <v>1070241170.42466</v>
      </c>
      <c r="AP95" s="97">
        <v>407815647.92391998</v>
      </c>
      <c r="AQ95" s="97">
        <v>596535758.76601505</v>
      </c>
      <c r="AR95" s="97">
        <v>427326733.11808902</v>
      </c>
      <c r="AS95" s="97">
        <v>694465787.20966399</v>
      </c>
      <c r="AT95" s="97">
        <v>806634376.94389105</v>
      </c>
      <c r="AU95" s="97">
        <v>1612892723.6341801</v>
      </c>
      <c r="AV95" s="97">
        <v>580312305.82001495</v>
      </c>
      <c r="AW95" s="97">
        <v>720000886.85374403</v>
      </c>
      <c r="AX95" s="97">
        <v>2080170490.6653099</v>
      </c>
      <c r="AY95" s="97">
        <v>779243064.38890898</v>
      </c>
      <c r="AZ95" s="97">
        <v>1385941858.9978199</v>
      </c>
      <c r="BA95" s="97">
        <v>1863433468.9909999</v>
      </c>
      <c r="BB95" s="97">
        <v>492076926.27380598</v>
      </c>
      <c r="BC95" s="97">
        <v>693563118.85687697</v>
      </c>
      <c r="BD95" s="97">
        <v>294937785.04901701</v>
      </c>
      <c r="BE95" s="97">
        <v>297887162.89950699</v>
      </c>
      <c r="BF95" s="97">
        <v>300866034.52850199</v>
      </c>
      <c r="BG95" s="97">
        <v>303874694.87378699</v>
      </c>
      <c r="BH95" s="97">
        <v>306913441.82252502</v>
      </c>
      <c r="BI95" s="97">
        <v>309982576.24075001</v>
      </c>
    </row>
    <row r="96" spans="1:61" x14ac:dyDescent="0.25">
      <c r="A96" s="95" t="s">
        <v>8</v>
      </c>
      <c r="B96" s="95" t="s">
        <v>136</v>
      </c>
      <c r="C96" s="96" t="s">
        <v>42</v>
      </c>
      <c r="D96" s="96" t="s">
        <v>56</v>
      </c>
      <c r="E96" s="96" t="s">
        <v>177</v>
      </c>
      <c r="F96" s="96" t="s">
        <v>248</v>
      </c>
      <c r="G96" s="97">
        <f t="shared" si="1"/>
        <v>2000.0000000000002</v>
      </c>
      <c r="H96" s="97">
        <f>SUMIF(I$1:BI$1,"&lt;="&amp;[2]PARAMETER!X$2,I96:BI96)</f>
        <v>117.62305564137839</v>
      </c>
      <c r="I96" s="97">
        <v>3.91132248494538</v>
      </c>
      <c r="J96" s="97">
        <v>14.421836823362501</v>
      </c>
      <c r="K96" s="97">
        <v>4.7173273790780499</v>
      </c>
      <c r="L96" s="97">
        <v>14.7344260128342</v>
      </c>
      <c r="M96" s="97">
        <v>27.171519324310101</v>
      </c>
      <c r="N96" s="97">
        <v>27.990581345864801</v>
      </c>
      <c r="O96" s="97">
        <v>11.807957711666599</v>
      </c>
      <c r="P96" s="97">
        <v>9.7021353491745099</v>
      </c>
      <c r="Q96" s="97">
        <v>3.16594921014224</v>
      </c>
      <c r="R96" s="97">
        <v>32.052262792088797</v>
      </c>
      <c r="S96" s="97">
        <v>20.1113553585845</v>
      </c>
      <c r="T96" s="97">
        <v>9.0560847173896502</v>
      </c>
      <c r="U96" s="97">
        <v>8.6486306441509697</v>
      </c>
      <c r="V96" s="97">
        <v>18.2670791407011</v>
      </c>
      <c r="W96" s="97">
        <v>17.231153818601399</v>
      </c>
      <c r="X96" s="97">
        <v>10.9129238552297</v>
      </c>
      <c r="Y96" s="97">
        <v>39.151795981339497</v>
      </c>
      <c r="Z96" s="97">
        <v>111.026613781409</v>
      </c>
      <c r="AA96" s="97">
        <v>27.997703631194501</v>
      </c>
      <c r="AB96" s="97">
        <v>44.763199269477603</v>
      </c>
      <c r="AC96" s="97">
        <v>30.747863320167198</v>
      </c>
      <c r="AD96" s="97">
        <v>16.293208984417902</v>
      </c>
      <c r="AE96" s="97">
        <v>25.636824317394201</v>
      </c>
      <c r="AF96" s="97">
        <v>21.4612974926821</v>
      </c>
      <c r="AG96" s="97">
        <v>48.590406773313802</v>
      </c>
      <c r="AH96" s="97">
        <v>18.939739421842901</v>
      </c>
      <c r="AI96" s="97">
        <v>3.8863940906087802</v>
      </c>
      <c r="AJ96" s="97">
        <v>51.612658733055802</v>
      </c>
      <c r="AK96" s="97">
        <v>41.733964700334802</v>
      </c>
      <c r="AL96" s="97">
        <v>81.952830570473296</v>
      </c>
      <c r="AM96" s="97">
        <v>36.949229243118502</v>
      </c>
      <c r="AN96" s="97">
        <v>63.971179784139103</v>
      </c>
      <c r="AO96" s="97">
        <v>73.556094187261706</v>
      </c>
      <c r="AP96" s="97">
        <v>28.0285668676234</v>
      </c>
      <c r="AQ96" s="97">
        <v>40.999021221032002</v>
      </c>
      <c r="AR96" s="97">
        <v>29.369534922205499</v>
      </c>
      <c r="AS96" s="97">
        <v>47.729607368361798</v>
      </c>
      <c r="AT96" s="97">
        <v>55.4387887933946</v>
      </c>
      <c r="AU96" s="97">
        <v>110.851733583105</v>
      </c>
      <c r="AV96" s="97">
        <v>39.884007272853303</v>
      </c>
      <c r="AW96" s="97">
        <v>49.484597034621601</v>
      </c>
      <c r="AX96" s="97">
        <v>142.96704403198001</v>
      </c>
      <c r="AY96" s="97">
        <v>53.556224356625997</v>
      </c>
      <c r="AZ96" s="97">
        <v>95.253736013595599</v>
      </c>
      <c r="BA96" s="97">
        <v>128.07102879663299</v>
      </c>
      <c r="BB96" s="97">
        <v>33.819720018818302</v>
      </c>
      <c r="BC96" s="97">
        <v>47.6675683063146</v>
      </c>
      <c r="BD96" s="97">
        <v>20.270638147698801</v>
      </c>
      <c r="BE96" s="97">
        <v>20.473344529175701</v>
      </c>
      <c r="BF96" s="97">
        <v>20.678077974467499</v>
      </c>
      <c r="BG96" s="97">
        <v>20.8848587542122</v>
      </c>
      <c r="BH96" s="97">
        <v>21.0937073417543</v>
      </c>
      <c r="BI96" s="97">
        <v>21.304644415171801</v>
      </c>
    </row>
    <row r="97" spans="1:61" x14ac:dyDescent="0.25">
      <c r="A97" s="95" t="s">
        <v>8</v>
      </c>
      <c r="B97" s="95" t="s">
        <v>136</v>
      </c>
      <c r="C97" s="96" t="s">
        <v>40</v>
      </c>
      <c r="D97" s="96" t="s">
        <v>56</v>
      </c>
      <c r="E97" s="96" t="s">
        <v>179</v>
      </c>
      <c r="F97" s="96" t="s">
        <v>249</v>
      </c>
      <c r="G97" s="97">
        <f t="shared" si="1"/>
        <v>28000000.000000011</v>
      </c>
      <c r="H97" s="97">
        <f>SUMIF(I$1:BI$1,"&lt;="&amp;[2]PARAMETER!X$2,I97:BI97)</f>
        <v>1646722.7789792982</v>
      </c>
      <c r="I97" s="97">
        <v>54758.514789235298</v>
      </c>
      <c r="J97" s="97">
        <v>201905.71552707499</v>
      </c>
      <c r="K97" s="97">
        <v>66042.583307092704</v>
      </c>
      <c r="L97" s="97">
        <v>206281.96417967899</v>
      </c>
      <c r="M97" s="97">
        <v>380401.27054034203</v>
      </c>
      <c r="N97" s="97">
        <v>391868.13884210697</v>
      </c>
      <c r="O97" s="97">
        <v>165311.40796333301</v>
      </c>
      <c r="P97" s="97">
        <v>135829.894888443</v>
      </c>
      <c r="Q97" s="97">
        <v>44323.288941991297</v>
      </c>
      <c r="R97" s="97">
        <v>448731.679089243</v>
      </c>
      <c r="S97" s="97">
        <v>281558.97502018302</v>
      </c>
      <c r="T97" s="97">
        <v>126785.186043455</v>
      </c>
      <c r="U97" s="97">
        <v>121080.829018114</v>
      </c>
      <c r="V97" s="97">
        <v>255739.107969815</v>
      </c>
      <c r="W97" s="97">
        <v>241236.15346042</v>
      </c>
      <c r="X97" s="97">
        <v>152780.93397321599</v>
      </c>
      <c r="Y97" s="97">
        <v>548125.14373875305</v>
      </c>
      <c r="Z97" s="97">
        <v>1554372.59293973</v>
      </c>
      <c r="AA97" s="97">
        <v>391967.850836723</v>
      </c>
      <c r="AB97" s="97">
        <v>626684.78977268597</v>
      </c>
      <c r="AC97" s="97">
        <v>430470.08648234</v>
      </c>
      <c r="AD97" s="97">
        <v>228104.92578185</v>
      </c>
      <c r="AE97" s="97">
        <v>358915.54044351802</v>
      </c>
      <c r="AF97" s="97">
        <v>300458.16489754902</v>
      </c>
      <c r="AG97" s="97">
        <v>680265.69482639304</v>
      </c>
      <c r="AH97" s="97">
        <v>265156.35190579999</v>
      </c>
      <c r="AI97" s="97">
        <v>54409.517268522999</v>
      </c>
      <c r="AJ97" s="97">
        <v>722577.222262781</v>
      </c>
      <c r="AK97" s="97">
        <v>584275.50580468704</v>
      </c>
      <c r="AL97" s="97">
        <v>1147339.62798663</v>
      </c>
      <c r="AM97" s="97">
        <v>517289.20940365898</v>
      </c>
      <c r="AN97" s="97">
        <v>895596.51697794697</v>
      </c>
      <c r="AO97" s="97">
        <v>1029785.31862166</v>
      </c>
      <c r="AP97" s="97">
        <v>392399.93614672701</v>
      </c>
      <c r="AQ97" s="97">
        <v>573986.297094448</v>
      </c>
      <c r="AR97" s="97">
        <v>411173.48891087598</v>
      </c>
      <c r="AS97" s="97">
        <v>668214.50315706502</v>
      </c>
      <c r="AT97" s="97">
        <v>776143.04310752405</v>
      </c>
      <c r="AU97" s="97">
        <v>1551924.2701634699</v>
      </c>
      <c r="AV97" s="97">
        <v>558376.10181994596</v>
      </c>
      <c r="AW97" s="97">
        <v>692784.35848470195</v>
      </c>
      <c r="AX97" s="97">
        <v>2001538.61644773</v>
      </c>
      <c r="AY97" s="97">
        <v>749787.14099276403</v>
      </c>
      <c r="AZ97" s="97">
        <v>1333552.30419034</v>
      </c>
      <c r="BA97" s="97">
        <v>1792994.40315286</v>
      </c>
      <c r="BB97" s="97">
        <v>473476.08026345598</v>
      </c>
      <c r="BC97" s="97">
        <v>667345.95628840395</v>
      </c>
      <c r="BD97" s="97">
        <v>283788.934067783</v>
      </c>
      <c r="BE97" s="97">
        <v>286626.82340846001</v>
      </c>
      <c r="BF97" s="97">
        <v>289493.09164254501</v>
      </c>
      <c r="BG97" s="97">
        <v>292388.02255897102</v>
      </c>
      <c r="BH97" s="97">
        <v>295311.90278455999</v>
      </c>
      <c r="BI97" s="97">
        <v>298265.02181240602</v>
      </c>
    </row>
    <row r="98" spans="1:61" x14ac:dyDescent="0.25">
      <c r="A98" s="95" t="s">
        <v>4</v>
      </c>
      <c r="B98" s="95" t="s">
        <v>136</v>
      </c>
      <c r="C98" s="96" t="s">
        <v>41</v>
      </c>
      <c r="D98" s="96" t="s">
        <v>54</v>
      </c>
      <c r="E98" s="96" t="s">
        <v>145</v>
      </c>
      <c r="F98" s="96" t="s">
        <v>250</v>
      </c>
      <c r="G98" s="97">
        <f t="shared" si="1"/>
        <v>119999999.99999999</v>
      </c>
      <c r="H98" s="97">
        <f>SUMIF(I$1:BI$1,"&lt;="&amp;[2]PARAMETER!X$2,I98:BI98)</f>
        <v>0</v>
      </c>
      <c r="I98" s="97">
        <v>0</v>
      </c>
      <c r="J98" s="97">
        <v>0</v>
      </c>
      <c r="K98" s="97">
        <v>0</v>
      </c>
      <c r="L98" s="97">
        <v>0</v>
      </c>
      <c r="M98" s="97">
        <v>0</v>
      </c>
      <c r="N98" s="97">
        <v>0</v>
      </c>
      <c r="O98" s="97">
        <v>0</v>
      </c>
      <c r="P98" s="97">
        <v>0</v>
      </c>
      <c r="Q98" s="97">
        <v>0</v>
      </c>
      <c r="R98" s="97">
        <v>0</v>
      </c>
      <c r="S98" s="97">
        <v>0</v>
      </c>
      <c r="T98" s="97">
        <v>0</v>
      </c>
      <c r="U98" s="97">
        <v>0</v>
      </c>
      <c r="V98" s="97">
        <v>0</v>
      </c>
      <c r="W98" s="97">
        <v>0</v>
      </c>
      <c r="X98" s="97">
        <v>0</v>
      </c>
      <c r="Y98" s="97">
        <v>0</v>
      </c>
      <c r="Z98" s="97">
        <v>0</v>
      </c>
      <c r="AA98" s="97">
        <v>0</v>
      </c>
      <c r="AB98" s="97">
        <v>0</v>
      </c>
      <c r="AC98" s="97">
        <v>0</v>
      </c>
      <c r="AD98" s="97">
        <v>0</v>
      </c>
      <c r="AE98" s="97">
        <v>0</v>
      </c>
      <c r="AF98" s="97">
        <v>0</v>
      </c>
      <c r="AG98" s="97">
        <v>0</v>
      </c>
      <c r="AH98" s="97">
        <v>0</v>
      </c>
      <c r="AI98" s="97">
        <v>493368.904108277</v>
      </c>
      <c r="AJ98" s="97">
        <v>992843.85900997405</v>
      </c>
      <c r="AK98" s="97">
        <v>2880834.76433521</v>
      </c>
      <c r="AL98" s="97">
        <v>2080942.11039729</v>
      </c>
      <c r="AM98" s="97">
        <v>2612174.6354755601</v>
      </c>
      <c r="AN98" s="97">
        <v>1719463.90342687</v>
      </c>
      <c r="AO98" s="97">
        <v>27919918.474119801</v>
      </c>
      <c r="AP98" s="97">
        <v>15974650.0857435</v>
      </c>
      <c r="AQ98" s="97">
        <v>2410668.8532419298</v>
      </c>
      <c r="AR98" s="97">
        <v>6059648.4710197598</v>
      </c>
      <c r="AS98" s="97">
        <v>5648954.2734442297</v>
      </c>
      <c r="AT98" s="97">
        <v>8821718.1050026603</v>
      </c>
      <c r="AU98" s="97">
        <v>4778047.0275686802</v>
      </c>
      <c r="AV98" s="97">
        <v>1820826.78901795</v>
      </c>
      <c r="AW98" s="97">
        <v>3374206.1108638099</v>
      </c>
      <c r="AX98" s="97">
        <v>1853797.0208820901</v>
      </c>
      <c r="AY98" s="97">
        <v>2435094.2776257698</v>
      </c>
      <c r="AZ98" s="97">
        <v>1806169.82469342</v>
      </c>
      <c r="BA98" s="97">
        <v>2216498.88043151</v>
      </c>
      <c r="BB98" s="97">
        <v>2899152.9167154701</v>
      </c>
      <c r="BC98" s="97">
        <v>2140785.0718032699</v>
      </c>
      <c r="BD98" s="97">
        <v>3098210.1725809402</v>
      </c>
      <c r="BE98" s="97">
        <v>3129192.2743067499</v>
      </c>
      <c r="BF98" s="97">
        <v>3160484.1970498199</v>
      </c>
      <c r="BG98" s="97">
        <v>3192089.0390203199</v>
      </c>
      <c r="BH98" s="97">
        <v>3224009.92941052</v>
      </c>
      <c r="BI98" s="97">
        <v>3256250.02870462</v>
      </c>
    </row>
    <row r="99" spans="1:61" x14ac:dyDescent="0.25">
      <c r="A99" s="95" t="s">
        <v>4</v>
      </c>
      <c r="B99" s="95" t="s">
        <v>136</v>
      </c>
      <c r="C99" s="96" t="s">
        <v>42</v>
      </c>
      <c r="D99" s="96" t="s">
        <v>54</v>
      </c>
      <c r="E99" s="96" t="s">
        <v>147</v>
      </c>
      <c r="F99" s="96" t="s">
        <v>251</v>
      </c>
      <c r="G99" s="97">
        <f t="shared" si="1"/>
        <v>500.00000000000028</v>
      </c>
      <c r="H99" s="97">
        <f>SUMIF(I$1:BI$1,"&lt;="&amp;[2]PARAMETER!X$2,I99:BI99)</f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X99" s="97">
        <v>0</v>
      </c>
      <c r="Y99" s="97">
        <v>0</v>
      </c>
      <c r="Z99" s="97">
        <v>0</v>
      </c>
      <c r="AA99" s="97">
        <v>0</v>
      </c>
      <c r="AB99" s="97">
        <v>0</v>
      </c>
      <c r="AC99" s="97">
        <v>0</v>
      </c>
      <c r="AD99" s="97">
        <v>0</v>
      </c>
      <c r="AE99" s="97">
        <v>0</v>
      </c>
      <c r="AF99" s="97">
        <v>0</v>
      </c>
      <c r="AG99" s="97">
        <v>0</v>
      </c>
      <c r="AH99" s="97">
        <v>0</v>
      </c>
      <c r="AI99" s="97">
        <v>2.0557037671178202</v>
      </c>
      <c r="AJ99" s="97">
        <v>4.1368494125415598</v>
      </c>
      <c r="AK99" s="97">
        <v>12.003478184730101</v>
      </c>
      <c r="AL99" s="97">
        <v>8.6705921266553698</v>
      </c>
      <c r="AM99" s="97">
        <v>10.884060981148201</v>
      </c>
      <c r="AN99" s="97">
        <v>7.1644329309452797</v>
      </c>
      <c r="AO99" s="97">
        <v>116.332993642166</v>
      </c>
      <c r="AP99" s="97">
        <v>66.561042023931293</v>
      </c>
      <c r="AQ99" s="97">
        <v>10.0444535551747</v>
      </c>
      <c r="AR99" s="97">
        <v>25.248535295915701</v>
      </c>
      <c r="AS99" s="97">
        <v>23.537309472684299</v>
      </c>
      <c r="AT99" s="97">
        <v>36.757158770844399</v>
      </c>
      <c r="AU99" s="97">
        <v>19.9085292815362</v>
      </c>
      <c r="AV99" s="97">
        <v>7.58677828757477</v>
      </c>
      <c r="AW99" s="97">
        <v>14.0591921285992</v>
      </c>
      <c r="AX99" s="97">
        <v>7.7241542536753798</v>
      </c>
      <c r="AY99" s="97">
        <v>10.146226156774</v>
      </c>
      <c r="AZ99" s="97">
        <v>7.52570760288926</v>
      </c>
      <c r="BA99" s="97">
        <v>9.2354120017979806</v>
      </c>
      <c r="BB99" s="97">
        <v>12.0798038196478</v>
      </c>
      <c r="BC99" s="97">
        <v>8.9199377991803104</v>
      </c>
      <c r="BD99" s="97">
        <v>12.9092090524206</v>
      </c>
      <c r="BE99" s="97">
        <v>13.0383011429448</v>
      </c>
      <c r="BF99" s="97">
        <v>13.168684154374199</v>
      </c>
      <c r="BG99" s="97">
        <v>13.300370995918</v>
      </c>
      <c r="BH99" s="97">
        <v>13.433374705877201</v>
      </c>
      <c r="BI99" s="97">
        <v>13.5677084529359</v>
      </c>
    </row>
    <row r="100" spans="1:61" x14ac:dyDescent="0.25">
      <c r="A100" s="95" t="s">
        <v>4</v>
      </c>
      <c r="B100" s="95" t="s">
        <v>136</v>
      </c>
      <c r="C100" s="96" t="s">
        <v>40</v>
      </c>
      <c r="D100" s="96" t="s">
        <v>54</v>
      </c>
      <c r="E100" s="96" t="s">
        <v>149</v>
      </c>
      <c r="F100" s="96" t="s">
        <v>252</v>
      </c>
      <c r="G100" s="97">
        <f t="shared" si="1"/>
        <v>699999.99999999988</v>
      </c>
      <c r="H100" s="97">
        <f>SUMIF(I$1:BI$1,"&lt;="&amp;[2]PARAMETER!X$2,I100:BI100)</f>
        <v>0</v>
      </c>
      <c r="I100" s="97">
        <v>0</v>
      </c>
      <c r="J100" s="97">
        <v>0</v>
      </c>
      <c r="K100" s="97">
        <v>0</v>
      </c>
      <c r="L100" s="97">
        <v>0</v>
      </c>
      <c r="M100" s="97">
        <v>0</v>
      </c>
      <c r="N100" s="97">
        <v>0</v>
      </c>
      <c r="O100" s="97">
        <v>0</v>
      </c>
      <c r="P100" s="97">
        <v>0</v>
      </c>
      <c r="Q100" s="97">
        <v>0</v>
      </c>
      <c r="R100" s="97">
        <v>0</v>
      </c>
      <c r="S100" s="97">
        <v>0</v>
      </c>
      <c r="T100" s="97">
        <v>0</v>
      </c>
      <c r="U100" s="97">
        <v>0</v>
      </c>
      <c r="V100" s="97">
        <v>0</v>
      </c>
      <c r="W100" s="97">
        <v>0</v>
      </c>
      <c r="X100" s="97">
        <v>0</v>
      </c>
      <c r="Y100" s="97">
        <v>0</v>
      </c>
      <c r="Z100" s="97">
        <v>0</v>
      </c>
      <c r="AA100" s="97">
        <v>0</v>
      </c>
      <c r="AB100" s="97">
        <v>0</v>
      </c>
      <c r="AC100" s="97">
        <v>0</v>
      </c>
      <c r="AD100" s="97">
        <v>0</v>
      </c>
      <c r="AE100" s="97">
        <v>0</v>
      </c>
      <c r="AF100" s="97">
        <v>0</v>
      </c>
      <c r="AG100" s="97">
        <v>0</v>
      </c>
      <c r="AH100" s="97">
        <v>0</v>
      </c>
      <c r="AI100" s="97">
        <v>2877.98527396495</v>
      </c>
      <c r="AJ100" s="97">
        <v>5791.5891775581804</v>
      </c>
      <c r="AK100" s="97">
        <v>16804.869458622099</v>
      </c>
      <c r="AL100" s="97">
        <v>12138.8289773175</v>
      </c>
      <c r="AM100" s="97">
        <v>15237.685373607401</v>
      </c>
      <c r="AN100" s="97">
        <v>10030.2061033234</v>
      </c>
      <c r="AO100" s="97">
        <v>162866.191099032</v>
      </c>
      <c r="AP100" s="97">
        <v>93185.458833503799</v>
      </c>
      <c r="AQ100" s="97">
        <v>14062.2349772446</v>
      </c>
      <c r="AR100" s="97">
        <v>35347.949414281997</v>
      </c>
      <c r="AS100" s="97">
        <v>32952.233261758003</v>
      </c>
      <c r="AT100" s="97">
        <v>51460.022279182202</v>
      </c>
      <c r="AU100" s="97">
        <v>27871.940994150598</v>
      </c>
      <c r="AV100" s="97">
        <v>10621.489602604701</v>
      </c>
      <c r="AW100" s="97">
        <v>19682.8689800389</v>
      </c>
      <c r="AX100" s="97">
        <v>10813.815955145499</v>
      </c>
      <c r="AY100" s="97">
        <v>14204.716619483601</v>
      </c>
      <c r="AZ100" s="97">
        <v>10535.990644044999</v>
      </c>
      <c r="BA100" s="97">
        <v>12929.5768025172</v>
      </c>
      <c r="BB100" s="97">
        <v>16911.725347506901</v>
      </c>
      <c r="BC100" s="97">
        <v>12487.9129188524</v>
      </c>
      <c r="BD100" s="97">
        <v>18072.8926733888</v>
      </c>
      <c r="BE100" s="97">
        <v>18253.6216001227</v>
      </c>
      <c r="BF100" s="97">
        <v>18436.157816123901</v>
      </c>
      <c r="BG100" s="97">
        <v>18620.519394285198</v>
      </c>
      <c r="BH100" s="97">
        <v>18806.724588228</v>
      </c>
      <c r="BI100" s="97">
        <v>18994.7918341103</v>
      </c>
    </row>
    <row r="101" spans="1:61" x14ac:dyDescent="0.25">
      <c r="A101" s="95" t="s">
        <v>16</v>
      </c>
      <c r="B101" s="95" t="s">
        <v>136</v>
      </c>
      <c r="C101" s="96" t="s">
        <v>41</v>
      </c>
      <c r="D101" s="96" t="s">
        <v>55</v>
      </c>
      <c r="E101" s="96" t="s">
        <v>151</v>
      </c>
      <c r="F101" s="96" t="s">
        <v>253</v>
      </c>
      <c r="G101" s="97">
        <f t="shared" si="1"/>
        <v>250000000.00000006</v>
      </c>
      <c r="H101" s="97">
        <f>SUMIF(I$1:BI$1,"&lt;="&amp;[2]PARAMETER!X$2,I101:BI101)</f>
        <v>42427336.881355971</v>
      </c>
      <c r="I101" s="97">
        <v>16737295.907311801</v>
      </c>
      <c r="J101" s="97">
        <v>1930577.2689972201</v>
      </c>
      <c r="K101" s="97">
        <v>5494666.1940594502</v>
      </c>
      <c r="L101" s="97">
        <v>3407209.8786089499</v>
      </c>
      <c r="M101" s="97">
        <v>4184644.0906349798</v>
      </c>
      <c r="N101" s="97">
        <v>2070263.29388698</v>
      </c>
      <c r="O101" s="97">
        <v>2660785.9641084401</v>
      </c>
      <c r="P101" s="97">
        <v>2617483.2963926201</v>
      </c>
      <c r="Q101" s="97">
        <v>3324410.98735554</v>
      </c>
      <c r="R101" s="97">
        <v>584120.39408067905</v>
      </c>
      <c r="S101" s="97">
        <v>1462198.3870397899</v>
      </c>
      <c r="T101" s="97">
        <v>7010957.9942377899</v>
      </c>
      <c r="U101" s="97">
        <v>7614238.6547325198</v>
      </c>
      <c r="V101" s="97">
        <v>3188333.5181087698</v>
      </c>
      <c r="W101" s="97">
        <v>3298336.2627094602</v>
      </c>
      <c r="X101" s="97">
        <v>16238663.360463601</v>
      </c>
      <c r="Y101" s="97">
        <v>3277848.97905896</v>
      </c>
      <c r="Z101" s="97">
        <v>22877660.7514241</v>
      </c>
      <c r="AA101" s="97">
        <v>34050447.452231601</v>
      </c>
      <c r="AB101" s="97">
        <v>829851.39286591497</v>
      </c>
      <c r="AC101" s="97">
        <v>921578.54921019101</v>
      </c>
      <c r="AD101" s="97">
        <v>382623.30317720101</v>
      </c>
      <c r="AE101" s="97">
        <v>9548703.8514225092</v>
      </c>
      <c r="AF101" s="97">
        <v>1402331.2848724499</v>
      </c>
      <c r="AG101" s="97">
        <v>487853.44192748697</v>
      </c>
      <c r="AH101" s="97">
        <v>5335540.5307058599</v>
      </c>
      <c r="AI101" s="97">
        <v>456307.681306549</v>
      </c>
      <c r="AJ101" s="97">
        <v>3618217.2597070099</v>
      </c>
      <c r="AK101" s="97">
        <v>563865.92047166405</v>
      </c>
      <c r="AL101" s="97">
        <v>1680306.4744030701</v>
      </c>
      <c r="AM101" s="97">
        <v>3172968.0553708998</v>
      </c>
      <c r="AN101" s="97">
        <v>1184421.08604442</v>
      </c>
      <c r="AO101" s="97">
        <v>3004180.7752957698</v>
      </c>
      <c r="AP101" s="97">
        <v>544542.68702858104</v>
      </c>
      <c r="AQ101" s="97">
        <v>2541354.4128276999</v>
      </c>
      <c r="AR101" s="97">
        <v>5233697.7780591501</v>
      </c>
      <c r="AS101" s="97">
        <v>1747704.98141238</v>
      </c>
      <c r="AT101" s="97">
        <v>9645552.8286794107</v>
      </c>
      <c r="AU101" s="97">
        <v>10581449.195440801</v>
      </c>
      <c r="AV101" s="97">
        <v>527896.76906255097</v>
      </c>
      <c r="AW101" s="97">
        <v>4457881.59582143</v>
      </c>
      <c r="AX101" s="97">
        <v>1902058.0389155601</v>
      </c>
      <c r="AY101" s="97">
        <v>2339624.5118827401</v>
      </c>
      <c r="AZ101" s="97">
        <v>1212241.88600163</v>
      </c>
      <c r="BA101" s="97">
        <v>8068672.2152051302</v>
      </c>
      <c r="BB101" s="97">
        <v>1607262.3238878001</v>
      </c>
      <c r="BC101" s="97">
        <v>3368528.4902165602</v>
      </c>
      <c r="BD101" s="97">
        <v>3511473.85568708</v>
      </c>
      <c r="BE101" s="97">
        <v>3546588.5942439502</v>
      </c>
      <c r="BF101" s="97">
        <v>3582054.4801863902</v>
      </c>
      <c r="BG101" s="97">
        <v>3617875.0249882601</v>
      </c>
      <c r="BH101" s="97">
        <v>3654053.77523814</v>
      </c>
      <c r="BI101" s="97">
        <v>3690594.3129905201</v>
      </c>
    </row>
    <row r="102" spans="1:61" x14ac:dyDescent="0.25">
      <c r="A102" s="95" t="s">
        <v>16</v>
      </c>
      <c r="B102" s="95" t="s">
        <v>136</v>
      </c>
      <c r="C102" s="96" t="s">
        <v>42</v>
      </c>
      <c r="D102" s="96" t="s">
        <v>55</v>
      </c>
      <c r="E102" s="96" t="s">
        <v>153</v>
      </c>
      <c r="F102" s="96" t="s">
        <v>254</v>
      </c>
      <c r="G102" s="97">
        <f t="shared" si="1"/>
        <v>199.99999999999997</v>
      </c>
      <c r="H102" s="97">
        <f>SUMIF(I$1:BI$1,"&lt;="&amp;[2]PARAMETER!X$2,I102:BI102)</f>
        <v>33.941869505084767</v>
      </c>
      <c r="I102" s="97">
        <v>13.389836725849401</v>
      </c>
      <c r="J102" s="97">
        <v>1.54446181519778</v>
      </c>
      <c r="K102" s="97">
        <v>4.3957329552475599</v>
      </c>
      <c r="L102" s="97">
        <v>2.72576790288716</v>
      </c>
      <c r="M102" s="97">
        <v>3.3477152725079899</v>
      </c>
      <c r="N102" s="97">
        <v>1.65621063510959</v>
      </c>
      <c r="O102" s="97">
        <v>2.1286287712867602</v>
      </c>
      <c r="P102" s="97">
        <v>2.0939866371140901</v>
      </c>
      <c r="Q102" s="97">
        <v>2.65952878988444</v>
      </c>
      <c r="R102" s="97">
        <v>0.46729631526454402</v>
      </c>
      <c r="S102" s="97">
        <v>1.16975870963183</v>
      </c>
      <c r="T102" s="97">
        <v>5.60876639539023</v>
      </c>
      <c r="U102" s="97">
        <v>6.09139092378601</v>
      </c>
      <c r="V102" s="97">
        <v>2.5506668144870202</v>
      </c>
      <c r="W102" s="97">
        <v>2.6386690101675701</v>
      </c>
      <c r="X102" s="97">
        <v>12.9909306883709</v>
      </c>
      <c r="Y102" s="97">
        <v>2.6222791832471701</v>
      </c>
      <c r="Z102" s="97">
        <v>18.302128601139302</v>
      </c>
      <c r="AA102" s="97">
        <v>27.2403579617853</v>
      </c>
      <c r="AB102" s="97">
        <v>0.663881114292732</v>
      </c>
      <c r="AC102" s="97">
        <v>0.73726283936815296</v>
      </c>
      <c r="AD102" s="97">
        <v>0.306098642541761</v>
      </c>
      <c r="AE102" s="97">
        <v>7.6389630811380096</v>
      </c>
      <c r="AF102" s="97">
        <v>1.1218650278979601</v>
      </c>
      <c r="AG102" s="97">
        <v>0.39028275354198899</v>
      </c>
      <c r="AH102" s="97">
        <v>4.2684324245646899</v>
      </c>
      <c r="AI102" s="97">
        <v>0.36504614504523902</v>
      </c>
      <c r="AJ102" s="97">
        <v>2.8945738077656098</v>
      </c>
      <c r="AK102" s="97">
        <v>0.45109273637733099</v>
      </c>
      <c r="AL102" s="97">
        <v>1.3442451795224599</v>
      </c>
      <c r="AM102" s="97">
        <v>2.53837444429672</v>
      </c>
      <c r="AN102" s="97">
        <v>0.947536868835538</v>
      </c>
      <c r="AO102" s="97">
        <v>2.40334462023662</v>
      </c>
      <c r="AP102" s="97">
        <v>0.43563414962286501</v>
      </c>
      <c r="AQ102" s="97">
        <v>2.0330835302621599</v>
      </c>
      <c r="AR102" s="97">
        <v>4.1869582224473199</v>
      </c>
      <c r="AS102" s="97">
        <v>1.3981639851298999</v>
      </c>
      <c r="AT102" s="97">
        <v>7.7164422629435201</v>
      </c>
      <c r="AU102" s="97">
        <v>8.4651593563526397</v>
      </c>
      <c r="AV102" s="97">
        <v>0.42231741525004102</v>
      </c>
      <c r="AW102" s="97">
        <v>3.5663052766571401</v>
      </c>
      <c r="AX102" s="97">
        <v>1.52164643113245</v>
      </c>
      <c r="AY102" s="97">
        <v>1.87169960950619</v>
      </c>
      <c r="AZ102" s="97">
        <v>0.96979350880130699</v>
      </c>
      <c r="BA102" s="97">
        <v>6.4549377721640999</v>
      </c>
      <c r="BB102" s="97">
        <v>1.28580985911024</v>
      </c>
      <c r="BC102" s="97">
        <v>2.6948227921732499</v>
      </c>
      <c r="BD102" s="97">
        <v>2.8091790845496698</v>
      </c>
      <c r="BE102" s="97">
        <v>2.8372708753951601</v>
      </c>
      <c r="BF102" s="97">
        <v>2.8656435841491099</v>
      </c>
      <c r="BG102" s="97">
        <v>2.8943000199906002</v>
      </c>
      <c r="BH102" s="97">
        <v>2.92324302019051</v>
      </c>
      <c r="BI102" s="97">
        <v>2.95247545039242</v>
      </c>
    </row>
    <row r="103" spans="1:61" x14ac:dyDescent="0.25">
      <c r="A103" s="95" t="s">
        <v>16</v>
      </c>
      <c r="B103" s="95" t="s">
        <v>136</v>
      </c>
      <c r="C103" s="96" t="s">
        <v>40</v>
      </c>
      <c r="D103" s="96" t="s">
        <v>55</v>
      </c>
      <c r="E103" s="96" t="s">
        <v>155</v>
      </c>
      <c r="F103" s="96" t="s">
        <v>255</v>
      </c>
      <c r="G103" s="97">
        <f t="shared" si="1"/>
        <v>289999.99999999988</v>
      </c>
      <c r="H103" s="97">
        <f>SUMIF(I$1:BI$1,"&lt;="&amp;[2]PARAMETER!X$2,I103:BI103)</f>
        <v>49215.71078237296</v>
      </c>
      <c r="I103" s="97">
        <v>19415.263252481702</v>
      </c>
      <c r="J103" s="97">
        <v>2239.4696320367798</v>
      </c>
      <c r="K103" s="97">
        <v>6373.8127851089603</v>
      </c>
      <c r="L103" s="97">
        <v>3952.3634591863802</v>
      </c>
      <c r="M103" s="97">
        <v>4854.1871451365796</v>
      </c>
      <c r="N103" s="97">
        <v>2401.5054209088999</v>
      </c>
      <c r="O103" s="97">
        <v>3086.5117183657899</v>
      </c>
      <c r="P103" s="97">
        <v>3036.2806238154399</v>
      </c>
      <c r="Q103" s="97">
        <v>3856.3167453324299</v>
      </c>
      <c r="R103" s="97">
        <v>677.57965713358794</v>
      </c>
      <c r="S103" s="97">
        <v>1696.1501289661501</v>
      </c>
      <c r="T103" s="97">
        <v>8132.7112733158401</v>
      </c>
      <c r="U103" s="97">
        <v>8832.5168394897191</v>
      </c>
      <c r="V103" s="97">
        <v>3698.4668810061698</v>
      </c>
      <c r="W103" s="97">
        <v>3826.0700647429699</v>
      </c>
      <c r="X103" s="97">
        <v>18836.849498137799</v>
      </c>
      <c r="Y103" s="97">
        <v>3802.3048157083899</v>
      </c>
      <c r="Z103" s="97">
        <v>26538.086471652001</v>
      </c>
      <c r="AA103" s="97">
        <v>39498.519044588596</v>
      </c>
      <c r="AB103" s="97">
        <v>962.62761572446198</v>
      </c>
      <c r="AC103" s="97">
        <v>1069.0311170838199</v>
      </c>
      <c r="AD103" s="97">
        <v>443.843031685553</v>
      </c>
      <c r="AE103" s="97">
        <v>11076.4964676501</v>
      </c>
      <c r="AF103" s="97">
        <v>1626.7042904520399</v>
      </c>
      <c r="AG103" s="97">
        <v>565.90999263588401</v>
      </c>
      <c r="AH103" s="97">
        <v>6189.2270156187997</v>
      </c>
      <c r="AI103" s="97">
        <v>529.31691031559706</v>
      </c>
      <c r="AJ103" s="97">
        <v>4197.1320212601304</v>
      </c>
      <c r="AK103" s="97">
        <v>654.08446774713002</v>
      </c>
      <c r="AL103" s="97">
        <v>1949.15551030756</v>
      </c>
      <c r="AM103" s="97">
        <v>3680.6429442302401</v>
      </c>
      <c r="AN103" s="97">
        <v>1373.92845981153</v>
      </c>
      <c r="AO103" s="97">
        <v>3484.8496993430899</v>
      </c>
      <c r="AP103" s="97">
        <v>631.66951695315402</v>
      </c>
      <c r="AQ103" s="97">
        <v>2947.9711188801298</v>
      </c>
      <c r="AR103" s="97">
        <v>6071.08942254862</v>
      </c>
      <c r="AS103" s="97">
        <v>2027.3377784383599</v>
      </c>
      <c r="AT103" s="97">
        <v>11188.8412812681</v>
      </c>
      <c r="AU103" s="97">
        <v>12274.4810667113</v>
      </c>
      <c r="AV103" s="97">
        <v>612.36025211255901</v>
      </c>
      <c r="AW103" s="97">
        <v>5171.1426511528598</v>
      </c>
      <c r="AX103" s="97">
        <v>2206.38732514205</v>
      </c>
      <c r="AY103" s="97">
        <v>2713.96443378397</v>
      </c>
      <c r="AZ103" s="97">
        <v>1406.2005877618899</v>
      </c>
      <c r="BA103" s="97">
        <v>9359.6597696379504</v>
      </c>
      <c r="BB103" s="97">
        <v>1864.42429570985</v>
      </c>
      <c r="BC103" s="97">
        <v>3907.4930486512098</v>
      </c>
      <c r="BD103" s="97">
        <v>4073.3096725970199</v>
      </c>
      <c r="BE103" s="97">
        <v>4114.0427693229803</v>
      </c>
      <c r="BF103" s="97">
        <v>4155.1831970162202</v>
      </c>
      <c r="BG103" s="97">
        <v>4196.7350289863798</v>
      </c>
      <c r="BH103" s="97">
        <v>4238.7023792762402</v>
      </c>
      <c r="BI103" s="97">
        <v>4281.0894030689997</v>
      </c>
    </row>
    <row r="104" spans="1:61" x14ac:dyDescent="0.25">
      <c r="A104" s="95" t="s">
        <v>45</v>
      </c>
      <c r="B104" s="95" t="s">
        <v>136</v>
      </c>
      <c r="C104" s="96" t="s">
        <v>41</v>
      </c>
      <c r="D104" s="96" t="s">
        <v>54</v>
      </c>
      <c r="E104" s="96" t="s">
        <v>145</v>
      </c>
      <c r="F104" s="96" t="s">
        <v>256</v>
      </c>
      <c r="G104" s="97">
        <f t="shared" si="1"/>
        <v>1300000000.0000002</v>
      </c>
      <c r="H104" s="97">
        <f>SUMIF(I$1:BI$1,"&lt;="&amp;[2]PARAMETER!X$2,I104:BI104)</f>
        <v>0</v>
      </c>
      <c r="I104" s="97">
        <v>0</v>
      </c>
      <c r="J104" s="97">
        <v>0</v>
      </c>
      <c r="K104" s="97">
        <v>0</v>
      </c>
      <c r="L104" s="97">
        <v>0</v>
      </c>
      <c r="M104" s="97">
        <v>0</v>
      </c>
      <c r="N104" s="97">
        <v>0</v>
      </c>
      <c r="O104" s="97">
        <v>0</v>
      </c>
      <c r="P104" s="97">
        <v>0</v>
      </c>
      <c r="Q104" s="97">
        <v>0</v>
      </c>
      <c r="R104" s="97">
        <v>0</v>
      </c>
      <c r="S104" s="97">
        <v>0</v>
      </c>
      <c r="T104" s="97">
        <v>0</v>
      </c>
      <c r="U104" s="97">
        <v>70606891.490680203</v>
      </c>
      <c r="V104" s="97">
        <v>114019933.756561</v>
      </c>
      <c r="W104" s="97">
        <v>878461.41174247302</v>
      </c>
      <c r="X104" s="97">
        <v>132494872.14863101</v>
      </c>
      <c r="Y104" s="97">
        <v>0</v>
      </c>
      <c r="Z104" s="97">
        <v>48847522.817332</v>
      </c>
      <c r="AA104" s="97">
        <v>1923715.1974483</v>
      </c>
      <c r="AB104" s="97">
        <v>9075305.9302640893</v>
      </c>
      <c r="AC104" s="97">
        <v>288986.96025908599</v>
      </c>
      <c r="AD104" s="97">
        <v>0</v>
      </c>
      <c r="AE104" s="97">
        <v>204404976.068315</v>
      </c>
      <c r="AF104" s="97">
        <v>346778.57314961398</v>
      </c>
      <c r="AG104" s="97">
        <v>0</v>
      </c>
      <c r="AH104" s="97">
        <v>470956394.22491097</v>
      </c>
      <c r="AI104" s="97">
        <v>0</v>
      </c>
      <c r="AJ104" s="97">
        <v>0</v>
      </c>
      <c r="AK104" s="97">
        <v>0</v>
      </c>
      <c r="AL104" s="97">
        <v>288986.96025908599</v>
      </c>
      <c r="AM104" s="97">
        <v>421300.85797195003</v>
      </c>
      <c r="AN104" s="97">
        <v>0</v>
      </c>
      <c r="AO104" s="97">
        <v>288986.96025908599</v>
      </c>
      <c r="AP104" s="97">
        <v>0</v>
      </c>
      <c r="AQ104" s="97">
        <v>16052602.9377633</v>
      </c>
      <c r="AR104" s="97">
        <v>0</v>
      </c>
      <c r="AS104" s="97">
        <v>288986.96025908599</v>
      </c>
      <c r="AT104" s="97">
        <v>0</v>
      </c>
      <c r="AU104" s="97">
        <v>0</v>
      </c>
      <c r="AV104" s="97">
        <v>4919164.29762886</v>
      </c>
      <c r="AW104" s="97">
        <v>8733497.4358230606</v>
      </c>
      <c r="AX104" s="97">
        <v>0</v>
      </c>
      <c r="AY104" s="97">
        <v>0</v>
      </c>
      <c r="AZ104" s="97">
        <v>4632604.5851111803</v>
      </c>
      <c r="BA104" s="97">
        <v>0</v>
      </c>
      <c r="BB104" s="97">
        <v>7325838.2248420203</v>
      </c>
      <c r="BC104" s="97">
        <v>11754351.7290303</v>
      </c>
      <c r="BD104" s="97">
        <v>31119858.875743199</v>
      </c>
      <c r="BE104" s="97">
        <v>31431057.464500599</v>
      </c>
      <c r="BF104" s="97">
        <v>31745368.0391456</v>
      </c>
      <c r="BG104" s="97">
        <v>32062821.719537001</v>
      </c>
      <c r="BH104" s="97">
        <v>32383449.9367324</v>
      </c>
      <c r="BI104" s="97">
        <v>32707284.436099701</v>
      </c>
    </row>
    <row r="105" spans="1:61" x14ac:dyDescent="0.25">
      <c r="A105" s="95" t="s">
        <v>45</v>
      </c>
      <c r="B105" s="95" t="s">
        <v>136</v>
      </c>
      <c r="C105" s="96" t="s">
        <v>42</v>
      </c>
      <c r="D105" s="96" t="s">
        <v>54</v>
      </c>
      <c r="E105" s="96" t="s">
        <v>147</v>
      </c>
      <c r="F105" s="96" t="s">
        <v>257</v>
      </c>
      <c r="G105" s="97">
        <f t="shared" si="1"/>
        <v>1000.0000000000008</v>
      </c>
      <c r="H105" s="97">
        <f>SUMIF(I$1:BI$1,"&lt;="&amp;[2]PARAMETER!X$2,I105:BI105)</f>
        <v>0</v>
      </c>
      <c r="I105" s="97">
        <v>0</v>
      </c>
      <c r="J105" s="97">
        <v>0</v>
      </c>
      <c r="K105" s="97">
        <v>0</v>
      </c>
      <c r="L105" s="97">
        <v>0</v>
      </c>
      <c r="M105" s="97">
        <v>0</v>
      </c>
      <c r="N105" s="97">
        <v>0</v>
      </c>
      <c r="O105" s="97">
        <v>0</v>
      </c>
      <c r="P105" s="97">
        <v>0</v>
      </c>
      <c r="Q105" s="97">
        <v>0</v>
      </c>
      <c r="R105" s="97">
        <v>0</v>
      </c>
      <c r="S105" s="97">
        <v>0</v>
      </c>
      <c r="T105" s="97">
        <v>0</v>
      </c>
      <c r="U105" s="97">
        <v>54.312993454369398</v>
      </c>
      <c r="V105" s="97">
        <v>87.707641351200806</v>
      </c>
      <c r="W105" s="97">
        <v>0.67573954749420995</v>
      </c>
      <c r="X105" s="97">
        <v>101.91913242202401</v>
      </c>
      <c r="Y105" s="97">
        <v>0</v>
      </c>
      <c r="Z105" s="97">
        <v>37.575017551793799</v>
      </c>
      <c r="AA105" s="97">
        <v>1.47978092111408</v>
      </c>
      <c r="AB105" s="97">
        <v>6.9810045617416003</v>
      </c>
      <c r="AC105" s="97">
        <v>0.222297661737758</v>
      </c>
      <c r="AD105" s="97">
        <v>0</v>
      </c>
      <c r="AE105" s="97">
        <v>157.234596975627</v>
      </c>
      <c r="AF105" s="97">
        <v>0.26675274857662601</v>
      </c>
      <c r="AG105" s="97">
        <v>0</v>
      </c>
      <c r="AH105" s="97">
        <v>362.27414940377798</v>
      </c>
      <c r="AI105" s="97">
        <v>0</v>
      </c>
      <c r="AJ105" s="97">
        <v>0</v>
      </c>
      <c r="AK105" s="97">
        <v>0</v>
      </c>
      <c r="AL105" s="97">
        <v>0.222297661737758</v>
      </c>
      <c r="AM105" s="97">
        <v>0.32407758305534601</v>
      </c>
      <c r="AN105" s="97">
        <v>0</v>
      </c>
      <c r="AO105" s="97">
        <v>0.222297661737758</v>
      </c>
      <c r="AP105" s="97">
        <v>0</v>
      </c>
      <c r="AQ105" s="97">
        <v>12.3481561059718</v>
      </c>
      <c r="AR105" s="97">
        <v>0</v>
      </c>
      <c r="AS105" s="97">
        <v>0.222297661737758</v>
      </c>
      <c r="AT105" s="97">
        <v>0</v>
      </c>
      <c r="AU105" s="97">
        <v>0</v>
      </c>
      <c r="AV105" s="97">
        <v>3.7839725366375898</v>
      </c>
      <c r="AW105" s="97">
        <v>6.7180749506331203</v>
      </c>
      <c r="AX105" s="97">
        <v>0</v>
      </c>
      <c r="AY105" s="97">
        <v>0</v>
      </c>
      <c r="AZ105" s="97">
        <v>3.5635419885470601</v>
      </c>
      <c r="BA105" s="97">
        <v>0</v>
      </c>
      <c r="BB105" s="97">
        <v>5.6352601729553999</v>
      </c>
      <c r="BC105" s="97">
        <v>9.0418090223309999</v>
      </c>
      <c r="BD105" s="97">
        <v>23.938352981340898</v>
      </c>
      <c r="BE105" s="97">
        <v>24.177736511154301</v>
      </c>
      <c r="BF105" s="97">
        <v>24.4195138762658</v>
      </c>
      <c r="BG105" s="97">
        <v>24.663709015028498</v>
      </c>
      <c r="BH105" s="97">
        <v>24.9103461051788</v>
      </c>
      <c r="BI105" s="97">
        <v>25.159449566230599</v>
      </c>
    </row>
    <row r="106" spans="1:61" x14ac:dyDescent="0.25">
      <c r="A106" s="95" t="s">
        <v>45</v>
      </c>
      <c r="B106" s="95" t="s">
        <v>136</v>
      </c>
      <c r="C106" s="96" t="s">
        <v>40</v>
      </c>
      <c r="D106" s="96" t="s">
        <v>54</v>
      </c>
      <c r="E106" s="96" t="s">
        <v>149</v>
      </c>
      <c r="F106" s="96" t="s">
        <v>258</v>
      </c>
      <c r="G106" s="97">
        <f t="shared" si="1"/>
        <v>2100000.0000000014</v>
      </c>
      <c r="H106" s="97">
        <f>SUMIF(I$1:BI$1,"&lt;="&amp;[2]PARAMETER!X$2,I106:BI106)</f>
        <v>0</v>
      </c>
      <c r="I106" s="97">
        <v>0</v>
      </c>
      <c r="J106" s="97">
        <v>0</v>
      </c>
      <c r="K106" s="97">
        <v>0</v>
      </c>
      <c r="L106" s="97">
        <v>0</v>
      </c>
      <c r="M106" s="97">
        <v>0</v>
      </c>
      <c r="N106" s="97">
        <v>0</v>
      </c>
      <c r="O106" s="97">
        <v>0</v>
      </c>
      <c r="P106" s="97">
        <v>0</v>
      </c>
      <c r="Q106" s="97">
        <v>0</v>
      </c>
      <c r="R106" s="97">
        <v>0</v>
      </c>
      <c r="S106" s="97">
        <v>0</v>
      </c>
      <c r="T106" s="97">
        <v>0</v>
      </c>
      <c r="U106" s="97">
        <v>114057.286254176</v>
      </c>
      <c r="V106" s="97">
        <v>184186.04683752201</v>
      </c>
      <c r="W106" s="97">
        <v>1419.05304973784</v>
      </c>
      <c r="X106" s="97">
        <v>214030.17808625</v>
      </c>
      <c r="Y106" s="97">
        <v>0</v>
      </c>
      <c r="Z106" s="97">
        <v>78907.536858767096</v>
      </c>
      <c r="AA106" s="97">
        <v>3107.5399343395602</v>
      </c>
      <c r="AB106" s="97">
        <v>14660.109579657401</v>
      </c>
      <c r="AC106" s="97">
        <v>466.82508964929298</v>
      </c>
      <c r="AD106" s="97">
        <v>0</v>
      </c>
      <c r="AE106" s="97">
        <v>330192.65364881698</v>
      </c>
      <c r="AF106" s="97">
        <v>560.18077201091501</v>
      </c>
      <c r="AG106" s="97">
        <v>0</v>
      </c>
      <c r="AH106" s="97">
        <v>760775.71374793304</v>
      </c>
      <c r="AI106" s="97">
        <v>0</v>
      </c>
      <c r="AJ106" s="97">
        <v>0</v>
      </c>
      <c r="AK106" s="97">
        <v>0</v>
      </c>
      <c r="AL106" s="97">
        <v>466.82508964929298</v>
      </c>
      <c r="AM106" s="97">
        <v>680.56292441622702</v>
      </c>
      <c r="AN106" s="97">
        <v>0</v>
      </c>
      <c r="AO106" s="97">
        <v>466.82508964929298</v>
      </c>
      <c r="AP106" s="97">
        <v>0</v>
      </c>
      <c r="AQ106" s="97">
        <v>25931.127822540799</v>
      </c>
      <c r="AR106" s="97">
        <v>0</v>
      </c>
      <c r="AS106" s="97">
        <v>466.82508964929298</v>
      </c>
      <c r="AT106" s="97">
        <v>0</v>
      </c>
      <c r="AU106" s="97">
        <v>0</v>
      </c>
      <c r="AV106" s="97">
        <v>7946.3423269389295</v>
      </c>
      <c r="AW106" s="97">
        <v>14107.957396329601</v>
      </c>
      <c r="AX106" s="97">
        <v>0</v>
      </c>
      <c r="AY106" s="97">
        <v>0</v>
      </c>
      <c r="AZ106" s="97">
        <v>7483.4381759488297</v>
      </c>
      <c r="BA106" s="97">
        <v>0</v>
      </c>
      <c r="BB106" s="97">
        <v>11834.0463632063</v>
      </c>
      <c r="BC106" s="97">
        <v>18987.798946895098</v>
      </c>
      <c r="BD106" s="97">
        <v>50270.541260815902</v>
      </c>
      <c r="BE106" s="97">
        <v>50773.246673424001</v>
      </c>
      <c r="BF106" s="97">
        <v>51280.979140158299</v>
      </c>
      <c r="BG106" s="97">
        <v>51793.7889315598</v>
      </c>
      <c r="BH106" s="97">
        <v>52311.726820875498</v>
      </c>
      <c r="BI106" s="97">
        <v>52834.844089084203</v>
      </c>
    </row>
    <row r="107" spans="1:61" x14ac:dyDescent="0.25">
      <c r="A107" s="95" t="s">
        <v>51</v>
      </c>
      <c r="B107" s="95" t="s">
        <v>136</v>
      </c>
      <c r="C107" s="96" t="s">
        <v>41</v>
      </c>
      <c r="D107" s="96" t="s">
        <v>54</v>
      </c>
      <c r="E107" s="96" t="s">
        <v>145</v>
      </c>
      <c r="F107" s="96" t="s">
        <v>259</v>
      </c>
      <c r="G107" s="97">
        <f t="shared" si="1"/>
        <v>33999999.999999963</v>
      </c>
      <c r="H107" s="97">
        <f>SUMIF(I$1:BI$1,"&lt;="&amp;[2]PARAMETER!X$2,I107:BI107)</f>
        <v>54773.627273034603</v>
      </c>
      <c r="I107" s="97">
        <v>0</v>
      </c>
      <c r="J107" s="97">
        <v>0</v>
      </c>
      <c r="K107" s="97">
        <v>0</v>
      </c>
      <c r="L107" s="97">
        <v>0</v>
      </c>
      <c r="M107" s="97">
        <v>0</v>
      </c>
      <c r="N107" s="97">
        <v>0</v>
      </c>
      <c r="O107" s="97">
        <v>0</v>
      </c>
      <c r="P107" s="97">
        <v>0</v>
      </c>
      <c r="Q107" s="97">
        <v>54773.627273034603</v>
      </c>
      <c r="R107" s="97">
        <v>0</v>
      </c>
      <c r="S107" s="97">
        <v>0</v>
      </c>
      <c r="T107" s="97">
        <v>0</v>
      </c>
      <c r="U107" s="97">
        <v>0</v>
      </c>
      <c r="V107" s="97">
        <v>0</v>
      </c>
      <c r="W107" s="97">
        <v>0</v>
      </c>
      <c r="X107" s="97">
        <v>2.1909012728959301</v>
      </c>
      <c r="Y107" s="97">
        <v>0</v>
      </c>
      <c r="Z107" s="97">
        <v>1.0954506364479599</v>
      </c>
      <c r="AA107" s="97">
        <v>0</v>
      </c>
      <c r="AB107" s="97">
        <v>0</v>
      </c>
      <c r="AC107" s="97">
        <v>1.0954506364479599</v>
      </c>
      <c r="AD107" s="97">
        <v>0</v>
      </c>
      <c r="AE107" s="97">
        <v>2407522.2544509601</v>
      </c>
      <c r="AF107" s="97">
        <v>503358.47199720202</v>
      </c>
      <c r="AG107" s="97">
        <v>537910.080521408</v>
      </c>
      <c r="AH107" s="97">
        <v>493084.24047795701</v>
      </c>
      <c r="AI107" s="97">
        <v>2660602.0240882598</v>
      </c>
      <c r="AJ107" s="97">
        <v>2853914.0070009599</v>
      </c>
      <c r="AK107" s="97">
        <v>1925645.5694345101</v>
      </c>
      <c r="AL107" s="97">
        <v>469737.996513978</v>
      </c>
      <c r="AM107" s="97">
        <v>3578802.1748551298</v>
      </c>
      <c r="AN107" s="97">
        <v>530313.13035764103</v>
      </c>
      <c r="AO107" s="97">
        <v>2277714.6403837898</v>
      </c>
      <c r="AP107" s="97">
        <v>2309465.1816305998</v>
      </c>
      <c r="AQ107" s="97">
        <v>0</v>
      </c>
      <c r="AR107" s="97">
        <v>0</v>
      </c>
      <c r="AS107" s="97">
        <v>0</v>
      </c>
      <c r="AT107" s="97">
        <v>1.0954506364479599</v>
      </c>
      <c r="AU107" s="97">
        <v>0</v>
      </c>
      <c r="AV107" s="97">
        <v>0</v>
      </c>
      <c r="AW107" s="97">
        <v>0</v>
      </c>
      <c r="AX107" s="97">
        <v>1.0954506364479599</v>
      </c>
      <c r="AY107" s="97">
        <v>0</v>
      </c>
      <c r="AZ107" s="97">
        <v>0</v>
      </c>
      <c r="BA107" s="97">
        <v>0</v>
      </c>
      <c r="BB107" s="97">
        <v>13397143.289081899</v>
      </c>
      <c r="BC107" s="97">
        <v>0</v>
      </c>
      <c r="BD107" s="97">
        <v>1.0954506364479599</v>
      </c>
      <c r="BE107" s="97">
        <v>1.10640514281244</v>
      </c>
      <c r="BF107" s="97">
        <v>1.1174691942405699</v>
      </c>
      <c r="BG107" s="97">
        <v>1.12864388618297</v>
      </c>
      <c r="BH107" s="97">
        <v>1.1399303250448001</v>
      </c>
      <c r="BI107" s="97">
        <v>1.1513296282952501</v>
      </c>
    </row>
    <row r="108" spans="1:61" x14ac:dyDescent="0.25">
      <c r="A108" s="95" t="s">
        <v>51</v>
      </c>
      <c r="B108" s="95" t="s">
        <v>136</v>
      </c>
      <c r="C108" s="96" t="s">
        <v>42</v>
      </c>
      <c r="D108" s="96" t="s">
        <v>54</v>
      </c>
      <c r="E108" s="96" t="s">
        <v>147</v>
      </c>
      <c r="F108" s="96" t="s">
        <v>260</v>
      </c>
      <c r="G108" s="97">
        <f t="shared" si="1"/>
        <v>199.99999999999991</v>
      </c>
      <c r="H108" s="97">
        <f>SUMIF(I$1:BI$1,"&lt;="&amp;[2]PARAMETER!X$2,I108:BI108)</f>
        <v>0.32219780748843901</v>
      </c>
      <c r="I108" s="97">
        <v>0</v>
      </c>
      <c r="J108" s="97">
        <v>0</v>
      </c>
      <c r="K108" s="97">
        <v>0</v>
      </c>
      <c r="L108" s="97">
        <v>0</v>
      </c>
      <c r="M108" s="97">
        <v>0</v>
      </c>
      <c r="N108" s="97">
        <v>0</v>
      </c>
      <c r="O108" s="97">
        <v>0</v>
      </c>
      <c r="P108" s="97">
        <v>0</v>
      </c>
      <c r="Q108" s="97">
        <v>0.32219780748843901</v>
      </c>
      <c r="R108" s="97">
        <v>0</v>
      </c>
      <c r="S108" s="97">
        <v>0</v>
      </c>
      <c r="T108" s="97">
        <v>0</v>
      </c>
      <c r="U108" s="97">
        <v>0</v>
      </c>
      <c r="V108" s="97">
        <v>0</v>
      </c>
      <c r="W108" s="97">
        <v>0</v>
      </c>
      <c r="X108" s="97">
        <v>1.28876545464466E-5</v>
      </c>
      <c r="Y108" s="97">
        <v>0</v>
      </c>
      <c r="Z108" s="97">
        <v>6.4438272732233103E-6</v>
      </c>
      <c r="AA108" s="97">
        <v>0</v>
      </c>
      <c r="AB108" s="97">
        <v>0</v>
      </c>
      <c r="AC108" s="97">
        <v>6.4438272732233103E-6</v>
      </c>
      <c r="AD108" s="97">
        <v>0</v>
      </c>
      <c r="AE108" s="97">
        <v>14.1618956144174</v>
      </c>
      <c r="AF108" s="97">
        <v>2.9609321882188402</v>
      </c>
      <c r="AG108" s="97">
        <v>3.1641769442435699</v>
      </c>
      <c r="AH108" s="97">
        <v>2.9004955322232799</v>
      </c>
      <c r="AI108" s="97">
        <v>15.650600141695699</v>
      </c>
      <c r="AJ108" s="97">
        <v>16.787729452946799</v>
      </c>
      <c r="AK108" s="97">
        <v>11.327326879026501</v>
      </c>
      <c r="AL108" s="97">
        <v>2.7631646853763399</v>
      </c>
      <c r="AM108" s="97">
        <v>21.0517774991478</v>
      </c>
      <c r="AN108" s="97">
        <v>3.1194890021037698</v>
      </c>
      <c r="AO108" s="97">
        <v>13.3983214140223</v>
      </c>
      <c r="AP108" s="97">
        <v>13.585089303709401</v>
      </c>
      <c r="AQ108" s="97">
        <v>0</v>
      </c>
      <c r="AR108" s="97">
        <v>0</v>
      </c>
      <c r="AS108" s="97">
        <v>0</v>
      </c>
      <c r="AT108" s="97">
        <v>6.4438272732233103E-6</v>
      </c>
      <c r="AU108" s="97">
        <v>0</v>
      </c>
      <c r="AV108" s="97">
        <v>0</v>
      </c>
      <c r="AW108" s="97">
        <v>0</v>
      </c>
      <c r="AX108" s="97">
        <v>6.4438272732233103E-6</v>
      </c>
      <c r="AY108" s="97">
        <v>0</v>
      </c>
      <c r="AZ108" s="97">
        <v>0</v>
      </c>
      <c r="BA108" s="97">
        <v>0</v>
      </c>
      <c r="BB108" s="97">
        <v>78.806725229893701</v>
      </c>
      <c r="BC108" s="97">
        <v>0</v>
      </c>
      <c r="BD108" s="97">
        <v>6.4438272732233103E-6</v>
      </c>
      <c r="BE108" s="97">
        <v>6.5082655459555403E-6</v>
      </c>
      <c r="BF108" s="97">
        <v>6.5733482014151004E-6</v>
      </c>
      <c r="BG108" s="97">
        <v>6.6390816834292503E-6</v>
      </c>
      <c r="BH108" s="97">
        <v>6.7054725002635401E-6</v>
      </c>
      <c r="BI108" s="97">
        <v>6.7725272252661699E-6</v>
      </c>
    </row>
    <row r="109" spans="1:61" x14ac:dyDescent="0.25">
      <c r="A109" s="95" t="s">
        <v>51</v>
      </c>
      <c r="B109" s="95" t="s">
        <v>136</v>
      </c>
      <c r="C109" s="96" t="s">
        <v>40</v>
      </c>
      <c r="D109" s="96" t="s">
        <v>54</v>
      </c>
      <c r="E109" s="96" t="s">
        <v>149</v>
      </c>
      <c r="F109" s="96" t="s">
        <v>261</v>
      </c>
      <c r="G109" s="97">
        <f t="shared" si="1"/>
        <v>30000.000000000047</v>
      </c>
      <c r="H109" s="97">
        <f>SUMIF(I$1:BI$1,"&lt;="&amp;[2]PARAMETER!X$2,I109:BI109)</f>
        <v>48.329671123265797</v>
      </c>
      <c r="I109" s="97">
        <v>0</v>
      </c>
      <c r="J109" s="97">
        <v>0</v>
      </c>
      <c r="K109" s="97">
        <v>0</v>
      </c>
      <c r="L109" s="97">
        <v>0</v>
      </c>
      <c r="M109" s="97">
        <v>0</v>
      </c>
      <c r="N109" s="97">
        <v>0</v>
      </c>
      <c r="O109" s="97">
        <v>0</v>
      </c>
      <c r="P109" s="97">
        <v>0</v>
      </c>
      <c r="Q109" s="97">
        <v>48.329671123265797</v>
      </c>
      <c r="R109" s="97">
        <v>0</v>
      </c>
      <c r="S109" s="97">
        <v>0</v>
      </c>
      <c r="T109" s="97">
        <v>0</v>
      </c>
      <c r="U109" s="97">
        <v>0</v>
      </c>
      <c r="V109" s="97">
        <v>0</v>
      </c>
      <c r="W109" s="97">
        <v>0</v>
      </c>
      <c r="X109" s="97">
        <v>1.9331481819669901E-3</v>
      </c>
      <c r="Y109" s="97">
        <v>0</v>
      </c>
      <c r="Z109" s="97">
        <v>9.6657409098349699E-4</v>
      </c>
      <c r="AA109" s="97">
        <v>0</v>
      </c>
      <c r="AB109" s="97">
        <v>0</v>
      </c>
      <c r="AC109" s="97">
        <v>9.6657409098349699E-4</v>
      </c>
      <c r="AD109" s="97">
        <v>0</v>
      </c>
      <c r="AE109" s="97">
        <v>2124.2843421626199</v>
      </c>
      <c r="AF109" s="97">
        <v>444.13982823282601</v>
      </c>
      <c r="AG109" s="97">
        <v>474.62654163653599</v>
      </c>
      <c r="AH109" s="97">
        <v>435.07432983349202</v>
      </c>
      <c r="AI109" s="97">
        <v>2347.5900212543502</v>
      </c>
      <c r="AJ109" s="97">
        <v>2518.1594179420299</v>
      </c>
      <c r="AK109" s="97">
        <v>1699.09903185398</v>
      </c>
      <c r="AL109" s="97">
        <v>414.47470280645098</v>
      </c>
      <c r="AM109" s="97">
        <v>3157.7666248721698</v>
      </c>
      <c r="AN109" s="97">
        <v>467.92335031556598</v>
      </c>
      <c r="AO109" s="97">
        <v>2009.7482121033399</v>
      </c>
      <c r="AP109" s="97">
        <v>2037.7633955564099</v>
      </c>
      <c r="AQ109" s="97">
        <v>0</v>
      </c>
      <c r="AR109" s="97">
        <v>0</v>
      </c>
      <c r="AS109" s="97">
        <v>0</v>
      </c>
      <c r="AT109" s="97">
        <v>9.6657409098349699E-4</v>
      </c>
      <c r="AU109" s="97">
        <v>0</v>
      </c>
      <c r="AV109" s="97">
        <v>0</v>
      </c>
      <c r="AW109" s="97">
        <v>0</v>
      </c>
      <c r="AX109" s="97">
        <v>9.6657409098349699E-4</v>
      </c>
      <c r="AY109" s="97">
        <v>0</v>
      </c>
      <c r="AZ109" s="97">
        <v>0</v>
      </c>
      <c r="BA109" s="97">
        <v>0</v>
      </c>
      <c r="BB109" s="97">
        <v>11821.0087844841</v>
      </c>
      <c r="BC109" s="97">
        <v>0</v>
      </c>
      <c r="BD109" s="97">
        <v>9.6657409098349699E-4</v>
      </c>
      <c r="BE109" s="97">
        <v>9.7623983189333097E-4</v>
      </c>
      <c r="BF109" s="97">
        <v>9.8600223021226498E-4</v>
      </c>
      <c r="BG109" s="97">
        <v>9.9586225251438801E-4</v>
      </c>
      <c r="BH109" s="97">
        <v>1.0058208750395299E-3</v>
      </c>
      <c r="BI109" s="97">
        <v>1.01587908378993E-3</v>
      </c>
    </row>
    <row r="110" spans="1:61" x14ac:dyDescent="0.25">
      <c r="A110" s="95" t="s">
        <v>35</v>
      </c>
      <c r="B110" s="95" t="s">
        <v>136</v>
      </c>
      <c r="C110" s="96" t="s">
        <v>41</v>
      </c>
      <c r="D110" s="96" t="s">
        <v>55</v>
      </c>
      <c r="E110" s="96" t="s">
        <v>151</v>
      </c>
      <c r="F110" s="96" t="s">
        <v>262</v>
      </c>
      <c r="G110" s="97">
        <f t="shared" si="1"/>
        <v>710000000.00000072</v>
      </c>
      <c r="H110" s="97">
        <f>SUMIF(I$1:BI$1,"&lt;="&amp;[2]PARAMETER!X$2,I110:BI110)</f>
        <v>420687762.80206281</v>
      </c>
      <c r="I110" s="97">
        <v>106175264.02530099</v>
      </c>
      <c r="J110" s="97">
        <v>53345148.908871502</v>
      </c>
      <c r="K110" s="97">
        <v>51834236.070228599</v>
      </c>
      <c r="L110" s="97">
        <v>54315662.265079997</v>
      </c>
      <c r="M110" s="97">
        <v>78534381.926829398</v>
      </c>
      <c r="N110" s="97">
        <v>76483069.605752304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97">
        <v>0</v>
      </c>
      <c r="AH110" s="97">
        <v>81456950.556320995</v>
      </c>
      <c r="AI110" s="97">
        <v>0</v>
      </c>
      <c r="AJ110" s="97">
        <v>138959866.911677</v>
      </c>
      <c r="AK110" s="97">
        <v>0</v>
      </c>
      <c r="AL110" s="97">
        <v>0</v>
      </c>
      <c r="AM110" s="97">
        <v>30063856.920732599</v>
      </c>
      <c r="AN110" s="97">
        <v>28839686.664605901</v>
      </c>
      <c r="AO110" s="97">
        <v>0</v>
      </c>
      <c r="AP110" s="97">
        <v>0</v>
      </c>
      <c r="AQ110" s="97">
        <v>0</v>
      </c>
      <c r="AR110" s="97">
        <v>0</v>
      </c>
      <c r="AS110" s="97">
        <v>0</v>
      </c>
      <c r="AT110" s="97">
        <v>0</v>
      </c>
      <c r="AU110" s="97">
        <v>0</v>
      </c>
      <c r="AV110" s="97">
        <v>0</v>
      </c>
      <c r="AW110" s="97">
        <v>0</v>
      </c>
      <c r="AX110" s="97">
        <v>0</v>
      </c>
      <c r="AY110" s="97">
        <v>0</v>
      </c>
      <c r="AZ110" s="97">
        <v>0</v>
      </c>
      <c r="BA110" s="97">
        <v>0</v>
      </c>
      <c r="BB110" s="97">
        <v>0</v>
      </c>
      <c r="BC110" s="97">
        <v>9991876.1446015202</v>
      </c>
      <c r="BD110" s="97">
        <v>0</v>
      </c>
      <c r="BE110" s="97">
        <v>0</v>
      </c>
      <c r="BF110" s="97">
        <v>0</v>
      </c>
      <c r="BG110" s="97">
        <v>0</v>
      </c>
      <c r="BH110" s="97">
        <v>0</v>
      </c>
      <c r="BI110" s="97">
        <v>0</v>
      </c>
    </row>
    <row r="111" spans="1:61" x14ac:dyDescent="0.25">
      <c r="A111" s="95" t="s">
        <v>35</v>
      </c>
      <c r="B111" s="95" t="s">
        <v>136</v>
      </c>
      <c r="C111" s="96" t="s">
        <v>42</v>
      </c>
      <c r="D111" s="96" t="s">
        <v>55</v>
      </c>
      <c r="E111" s="96" t="s">
        <v>153</v>
      </c>
      <c r="F111" s="96" t="s">
        <v>263</v>
      </c>
      <c r="G111" s="97">
        <f t="shared" si="1"/>
        <v>1500.0000000000009</v>
      </c>
      <c r="H111" s="97">
        <f>SUMIF(I$1:BI$1,"&lt;="&amp;[2]PARAMETER!X$2,I111:BI111)</f>
        <v>888.77696366632904</v>
      </c>
      <c r="I111" s="97">
        <v>224.31393808162099</v>
      </c>
      <c r="J111" s="97">
        <v>112.701018821559</v>
      </c>
      <c r="K111" s="97">
        <v>109.508949444145</v>
      </c>
      <c r="L111" s="97">
        <v>114.751399151578</v>
      </c>
      <c r="M111" s="97">
        <v>165.91770829611801</v>
      </c>
      <c r="N111" s="97">
        <v>161.58394987130799</v>
      </c>
      <c r="O111" s="97">
        <v>0</v>
      </c>
      <c r="P111" s="97">
        <v>0</v>
      </c>
      <c r="Q111" s="97">
        <v>0</v>
      </c>
      <c r="R111" s="97">
        <v>0</v>
      </c>
      <c r="S111" s="97">
        <v>0</v>
      </c>
      <c r="T111" s="97">
        <v>0</v>
      </c>
      <c r="U111" s="97">
        <v>0</v>
      </c>
      <c r="V111" s="97">
        <v>0</v>
      </c>
      <c r="W111" s="97">
        <v>0</v>
      </c>
      <c r="X111" s="97">
        <v>0</v>
      </c>
      <c r="Y111" s="97">
        <v>0</v>
      </c>
      <c r="Z111" s="97">
        <v>0</v>
      </c>
      <c r="AA111" s="97">
        <v>0</v>
      </c>
      <c r="AB111" s="97">
        <v>0</v>
      </c>
      <c r="AC111" s="97">
        <v>0</v>
      </c>
      <c r="AD111" s="97">
        <v>0</v>
      </c>
      <c r="AE111" s="97">
        <v>0</v>
      </c>
      <c r="AF111" s="97">
        <v>0</v>
      </c>
      <c r="AG111" s="97">
        <v>0</v>
      </c>
      <c r="AH111" s="97">
        <v>172.09214906265001</v>
      </c>
      <c r="AI111" s="97">
        <v>0</v>
      </c>
      <c r="AJ111" s="97">
        <v>293.57718361621897</v>
      </c>
      <c r="AK111" s="97">
        <v>0</v>
      </c>
      <c r="AL111" s="97">
        <v>0</v>
      </c>
      <c r="AM111" s="97">
        <v>63.515190677604103</v>
      </c>
      <c r="AN111" s="97">
        <v>60.928915488604098</v>
      </c>
      <c r="AO111" s="97">
        <v>0</v>
      </c>
      <c r="AP111" s="97">
        <v>0</v>
      </c>
      <c r="AQ111" s="97">
        <v>0</v>
      </c>
      <c r="AR111" s="97">
        <v>0</v>
      </c>
      <c r="AS111" s="97">
        <v>0</v>
      </c>
      <c r="AT111" s="97">
        <v>0</v>
      </c>
      <c r="AU111" s="97">
        <v>0</v>
      </c>
      <c r="AV111" s="97">
        <v>0</v>
      </c>
      <c r="AW111" s="97">
        <v>0</v>
      </c>
      <c r="AX111" s="97">
        <v>0</v>
      </c>
      <c r="AY111" s="97">
        <v>0</v>
      </c>
      <c r="AZ111" s="97">
        <v>0</v>
      </c>
      <c r="BA111" s="97">
        <v>0</v>
      </c>
      <c r="BB111" s="97">
        <v>0</v>
      </c>
      <c r="BC111" s="97">
        <v>21.109597488594801</v>
      </c>
      <c r="BD111" s="97">
        <v>0</v>
      </c>
      <c r="BE111" s="97">
        <v>0</v>
      </c>
      <c r="BF111" s="97">
        <v>0</v>
      </c>
      <c r="BG111" s="97">
        <v>0</v>
      </c>
      <c r="BH111" s="97">
        <v>0</v>
      </c>
      <c r="BI111" s="97">
        <v>0</v>
      </c>
    </row>
    <row r="112" spans="1:61" x14ac:dyDescent="0.25">
      <c r="A112" s="95" t="s">
        <v>35</v>
      </c>
      <c r="B112" s="95" t="s">
        <v>136</v>
      </c>
      <c r="C112" s="96" t="s">
        <v>40</v>
      </c>
      <c r="D112" s="96" t="s">
        <v>55</v>
      </c>
      <c r="E112" s="96" t="s">
        <v>155</v>
      </c>
      <c r="F112" s="96" t="s">
        <v>264</v>
      </c>
      <c r="G112" s="97">
        <f t="shared" si="1"/>
        <v>170000</v>
      </c>
      <c r="H112" s="97">
        <f>SUMIF(I$1:BI$1,"&lt;="&amp;[2]PARAMETER!X$2,I112:BI112)</f>
        <v>100728.05588218389</v>
      </c>
      <c r="I112" s="97">
        <v>25422.246315917</v>
      </c>
      <c r="J112" s="97">
        <v>12772.7821331101</v>
      </c>
      <c r="K112" s="97">
        <v>12411.0142703364</v>
      </c>
      <c r="L112" s="97">
        <v>13005.1585705121</v>
      </c>
      <c r="M112" s="97">
        <v>18804.006940226802</v>
      </c>
      <c r="N112" s="97">
        <v>18312.847652081498</v>
      </c>
      <c r="O112" s="97">
        <v>0</v>
      </c>
      <c r="P112" s="97">
        <v>0</v>
      </c>
      <c r="Q112" s="97">
        <v>0</v>
      </c>
      <c r="R112" s="97">
        <v>0</v>
      </c>
      <c r="S112" s="97">
        <v>0</v>
      </c>
      <c r="T112" s="97">
        <v>0</v>
      </c>
      <c r="U112" s="97">
        <v>0</v>
      </c>
      <c r="V112" s="97">
        <v>0</v>
      </c>
      <c r="W112" s="97">
        <v>0</v>
      </c>
      <c r="X112" s="97">
        <v>0</v>
      </c>
      <c r="Y112" s="97">
        <v>0</v>
      </c>
      <c r="Z112" s="97">
        <v>0</v>
      </c>
      <c r="AA112" s="97">
        <v>0</v>
      </c>
      <c r="AB112" s="97">
        <v>0</v>
      </c>
      <c r="AC112" s="97">
        <v>0</v>
      </c>
      <c r="AD112" s="97">
        <v>0</v>
      </c>
      <c r="AE112" s="97">
        <v>0</v>
      </c>
      <c r="AF112" s="97">
        <v>0</v>
      </c>
      <c r="AG112" s="97">
        <v>0</v>
      </c>
      <c r="AH112" s="97">
        <v>19503.776893767001</v>
      </c>
      <c r="AI112" s="97">
        <v>0</v>
      </c>
      <c r="AJ112" s="97">
        <v>33272.080809838102</v>
      </c>
      <c r="AK112" s="97">
        <v>0</v>
      </c>
      <c r="AL112" s="97">
        <v>0</v>
      </c>
      <c r="AM112" s="97">
        <v>7198.38827679513</v>
      </c>
      <c r="AN112" s="97">
        <v>6905.2770887084598</v>
      </c>
      <c r="AO112" s="97">
        <v>0</v>
      </c>
      <c r="AP112" s="97">
        <v>0</v>
      </c>
      <c r="AQ112" s="97">
        <v>0</v>
      </c>
      <c r="AR112" s="97">
        <v>0</v>
      </c>
      <c r="AS112" s="97">
        <v>0</v>
      </c>
      <c r="AT112" s="97">
        <v>0</v>
      </c>
      <c r="AU112" s="97">
        <v>0</v>
      </c>
      <c r="AV112" s="97">
        <v>0</v>
      </c>
      <c r="AW112" s="97">
        <v>0</v>
      </c>
      <c r="AX112" s="97">
        <v>0</v>
      </c>
      <c r="AY112" s="97">
        <v>0</v>
      </c>
      <c r="AZ112" s="97">
        <v>0</v>
      </c>
      <c r="BA112" s="97">
        <v>0</v>
      </c>
      <c r="BB112" s="97">
        <v>0</v>
      </c>
      <c r="BC112" s="97">
        <v>2392.4210487074101</v>
      </c>
      <c r="BD112" s="97">
        <v>0</v>
      </c>
      <c r="BE112" s="97">
        <v>0</v>
      </c>
      <c r="BF112" s="97">
        <v>0</v>
      </c>
      <c r="BG112" s="97">
        <v>0</v>
      </c>
      <c r="BH112" s="97">
        <v>0</v>
      </c>
      <c r="BI112" s="97">
        <v>0</v>
      </c>
    </row>
    <row r="113" spans="1:61" x14ac:dyDescent="0.25">
      <c r="A113" s="95" t="s">
        <v>50</v>
      </c>
      <c r="B113" s="95" t="s">
        <v>136</v>
      </c>
      <c r="C113" s="96" t="s">
        <v>41</v>
      </c>
      <c r="D113" s="96" t="s">
        <v>55</v>
      </c>
      <c r="E113" s="96" t="s">
        <v>151</v>
      </c>
      <c r="F113" s="96" t="s">
        <v>265</v>
      </c>
      <c r="G113" s="97">
        <f t="shared" si="1"/>
        <v>1100000000.0000024</v>
      </c>
      <c r="H113" s="97">
        <f>SUMIF(I$1:BI$1,"&lt;="&amp;[2]PARAMETER!X$2,I113:BI113)</f>
        <v>186792452.8301889</v>
      </c>
      <c r="I113" s="97">
        <v>20754716.981132101</v>
      </c>
      <c r="J113" s="97">
        <v>20754716.981132101</v>
      </c>
      <c r="K113" s="97">
        <v>20754716.981132101</v>
      </c>
      <c r="L113" s="97">
        <v>20754716.981132101</v>
      </c>
      <c r="M113" s="97">
        <v>20754716.981132101</v>
      </c>
      <c r="N113" s="97">
        <v>20754716.981132101</v>
      </c>
      <c r="O113" s="97">
        <v>20754716.981132101</v>
      </c>
      <c r="P113" s="97">
        <v>20754716.981132101</v>
      </c>
      <c r="Q113" s="97">
        <v>20754716.981132101</v>
      </c>
      <c r="R113" s="97">
        <v>20754716.981132101</v>
      </c>
      <c r="S113" s="97">
        <v>20754716.981132101</v>
      </c>
      <c r="T113" s="97">
        <v>20754716.981132101</v>
      </c>
      <c r="U113" s="97">
        <v>20754716.981132101</v>
      </c>
      <c r="V113" s="97">
        <v>20754716.981132101</v>
      </c>
      <c r="W113" s="97">
        <v>20754716.981132101</v>
      </c>
      <c r="X113" s="97">
        <v>20754716.981132101</v>
      </c>
      <c r="Y113" s="97">
        <v>20754716.981132101</v>
      </c>
      <c r="Z113" s="97">
        <v>20754716.981132101</v>
      </c>
      <c r="AA113" s="97">
        <v>20754716.981132101</v>
      </c>
      <c r="AB113" s="97">
        <v>20754716.981132101</v>
      </c>
      <c r="AC113" s="97">
        <v>20754716.981132101</v>
      </c>
      <c r="AD113" s="97">
        <v>20754716.981132101</v>
      </c>
      <c r="AE113" s="97">
        <v>20754716.981132101</v>
      </c>
      <c r="AF113" s="97">
        <v>20754716.981132101</v>
      </c>
      <c r="AG113" s="97">
        <v>20754716.981132101</v>
      </c>
      <c r="AH113" s="97">
        <v>20754716.981132101</v>
      </c>
      <c r="AI113" s="97">
        <v>20754716.981132101</v>
      </c>
      <c r="AJ113" s="97">
        <v>20754716.981132101</v>
      </c>
      <c r="AK113" s="97">
        <v>20754716.981132101</v>
      </c>
      <c r="AL113" s="97">
        <v>20754716.981132101</v>
      </c>
      <c r="AM113" s="97">
        <v>20754716.981132101</v>
      </c>
      <c r="AN113" s="97">
        <v>20754716.981132101</v>
      </c>
      <c r="AO113" s="97">
        <v>20754716.981132101</v>
      </c>
      <c r="AP113" s="97">
        <v>20754716.981132101</v>
      </c>
      <c r="AQ113" s="97">
        <v>20754716.981132101</v>
      </c>
      <c r="AR113" s="97">
        <v>20754716.981132101</v>
      </c>
      <c r="AS113" s="97">
        <v>20754716.981132101</v>
      </c>
      <c r="AT113" s="97">
        <v>20754716.981132101</v>
      </c>
      <c r="AU113" s="97">
        <v>20754716.981132101</v>
      </c>
      <c r="AV113" s="97">
        <v>20754716.981132101</v>
      </c>
      <c r="AW113" s="97">
        <v>20754716.981132101</v>
      </c>
      <c r="AX113" s="97">
        <v>20754716.981132101</v>
      </c>
      <c r="AY113" s="97">
        <v>20754716.981132101</v>
      </c>
      <c r="AZ113" s="97">
        <v>20754716.981132101</v>
      </c>
      <c r="BA113" s="97">
        <v>20754716.981132101</v>
      </c>
      <c r="BB113" s="97">
        <v>20754716.981132101</v>
      </c>
      <c r="BC113" s="97">
        <v>20754716.981132101</v>
      </c>
      <c r="BD113" s="97">
        <v>20754716.981132101</v>
      </c>
      <c r="BE113" s="97">
        <v>20754716.981132101</v>
      </c>
      <c r="BF113" s="97">
        <v>20754716.981132101</v>
      </c>
      <c r="BG113" s="97">
        <v>20754716.981132101</v>
      </c>
      <c r="BH113" s="97">
        <v>20754716.981132101</v>
      </c>
      <c r="BI113" s="97">
        <v>20754716.981132101</v>
      </c>
    </row>
    <row r="114" spans="1:61" x14ac:dyDescent="0.25">
      <c r="A114" s="95" t="s">
        <v>50</v>
      </c>
      <c r="B114" s="95" t="s">
        <v>136</v>
      </c>
      <c r="C114" s="96" t="s">
        <v>42</v>
      </c>
      <c r="D114" s="96" t="s">
        <v>55</v>
      </c>
      <c r="E114" s="96" t="s">
        <v>153</v>
      </c>
      <c r="F114" s="96" t="s">
        <v>266</v>
      </c>
      <c r="G114" s="97">
        <f t="shared" si="1"/>
        <v>1499.9999999999973</v>
      </c>
      <c r="H114" s="97">
        <f>SUMIF(I$1:BI$1,"&lt;="&amp;[2]PARAMETER!X$2,I114:BI114)</f>
        <v>254.71698113207518</v>
      </c>
      <c r="I114" s="97">
        <v>28.301886792452802</v>
      </c>
      <c r="J114" s="97">
        <v>28.301886792452802</v>
      </c>
      <c r="K114" s="97">
        <v>28.301886792452802</v>
      </c>
      <c r="L114" s="97">
        <v>28.301886792452802</v>
      </c>
      <c r="M114" s="97">
        <v>28.301886792452802</v>
      </c>
      <c r="N114" s="97">
        <v>28.301886792452802</v>
      </c>
      <c r="O114" s="97">
        <v>28.301886792452802</v>
      </c>
      <c r="P114" s="97">
        <v>28.301886792452802</v>
      </c>
      <c r="Q114" s="97">
        <v>28.301886792452802</v>
      </c>
      <c r="R114" s="97">
        <v>28.301886792452802</v>
      </c>
      <c r="S114" s="97">
        <v>28.301886792452802</v>
      </c>
      <c r="T114" s="97">
        <v>28.301886792452802</v>
      </c>
      <c r="U114" s="97">
        <v>28.301886792452802</v>
      </c>
      <c r="V114" s="97">
        <v>28.301886792452802</v>
      </c>
      <c r="W114" s="97">
        <v>28.301886792452802</v>
      </c>
      <c r="X114" s="97">
        <v>28.301886792452802</v>
      </c>
      <c r="Y114" s="97">
        <v>28.301886792452802</v>
      </c>
      <c r="Z114" s="97">
        <v>28.301886792452802</v>
      </c>
      <c r="AA114" s="97">
        <v>28.301886792452802</v>
      </c>
      <c r="AB114" s="97">
        <v>28.301886792452802</v>
      </c>
      <c r="AC114" s="97">
        <v>28.301886792452802</v>
      </c>
      <c r="AD114" s="97">
        <v>28.301886792452802</v>
      </c>
      <c r="AE114" s="97">
        <v>28.301886792452802</v>
      </c>
      <c r="AF114" s="97">
        <v>28.301886792452802</v>
      </c>
      <c r="AG114" s="97">
        <v>28.301886792452802</v>
      </c>
      <c r="AH114" s="97">
        <v>28.301886792452802</v>
      </c>
      <c r="AI114" s="97">
        <v>28.301886792452802</v>
      </c>
      <c r="AJ114" s="97">
        <v>28.301886792452802</v>
      </c>
      <c r="AK114" s="97">
        <v>28.301886792452802</v>
      </c>
      <c r="AL114" s="97">
        <v>28.301886792452802</v>
      </c>
      <c r="AM114" s="97">
        <v>28.301886792452802</v>
      </c>
      <c r="AN114" s="97">
        <v>28.301886792452802</v>
      </c>
      <c r="AO114" s="97">
        <v>28.301886792452802</v>
      </c>
      <c r="AP114" s="97">
        <v>28.301886792452802</v>
      </c>
      <c r="AQ114" s="97">
        <v>28.301886792452802</v>
      </c>
      <c r="AR114" s="97">
        <v>28.301886792452802</v>
      </c>
      <c r="AS114" s="97">
        <v>28.301886792452802</v>
      </c>
      <c r="AT114" s="97">
        <v>28.301886792452802</v>
      </c>
      <c r="AU114" s="97">
        <v>28.301886792452802</v>
      </c>
      <c r="AV114" s="97">
        <v>28.301886792452802</v>
      </c>
      <c r="AW114" s="97">
        <v>28.301886792452802</v>
      </c>
      <c r="AX114" s="97">
        <v>28.301886792452802</v>
      </c>
      <c r="AY114" s="97">
        <v>28.301886792452802</v>
      </c>
      <c r="AZ114" s="97">
        <v>28.301886792452802</v>
      </c>
      <c r="BA114" s="97">
        <v>28.301886792452802</v>
      </c>
      <c r="BB114" s="97">
        <v>28.301886792452802</v>
      </c>
      <c r="BC114" s="97">
        <v>28.301886792452802</v>
      </c>
      <c r="BD114" s="97">
        <v>28.301886792452802</v>
      </c>
      <c r="BE114" s="97">
        <v>28.301886792452802</v>
      </c>
      <c r="BF114" s="97">
        <v>28.301886792452802</v>
      </c>
      <c r="BG114" s="97">
        <v>28.301886792452802</v>
      </c>
      <c r="BH114" s="97">
        <v>28.301886792452802</v>
      </c>
      <c r="BI114" s="97">
        <v>28.301886792452802</v>
      </c>
    </row>
    <row r="115" spans="1:61" x14ac:dyDescent="0.25">
      <c r="A115" s="95" t="s">
        <v>50</v>
      </c>
      <c r="B115" s="95" t="s">
        <v>136</v>
      </c>
      <c r="C115" s="96" t="s">
        <v>40</v>
      </c>
      <c r="D115" s="96" t="s">
        <v>55</v>
      </c>
      <c r="E115" s="96" t="s">
        <v>155</v>
      </c>
      <c r="F115" s="96" t="s">
        <v>267</v>
      </c>
      <c r="G115" s="97">
        <f t="shared" si="1"/>
        <v>40000.000000000022</v>
      </c>
      <c r="H115" s="97">
        <f>SUMIF(I$1:BI$1,"&lt;="&amp;[2]PARAMETER!X$2,I115:BI115)</f>
        <v>6792.4528301886839</v>
      </c>
      <c r="I115" s="97">
        <v>754.71698113207594</v>
      </c>
      <c r="J115" s="97">
        <v>754.71698113207594</v>
      </c>
      <c r="K115" s="97">
        <v>754.71698113207594</v>
      </c>
      <c r="L115" s="97">
        <v>754.71698113207594</v>
      </c>
      <c r="M115" s="97">
        <v>754.71698113207594</v>
      </c>
      <c r="N115" s="97">
        <v>754.71698113207594</v>
      </c>
      <c r="O115" s="97">
        <v>754.71698113207594</v>
      </c>
      <c r="P115" s="97">
        <v>754.71698113207594</v>
      </c>
      <c r="Q115" s="97">
        <v>754.71698113207594</v>
      </c>
      <c r="R115" s="97">
        <v>754.71698113207594</v>
      </c>
      <c r="S115" s="97">
        <v>754.71698113207594</v>
      </c>
      <c r="T115" s="97">
        <v>754.71698113207594</v>
      </c>
      <c r="U115" s="97">
        <v>754.71698113207594</v>
      </c>
      <c r="V115" s="97">
        <v>754.71698113207594</v>
      </c>
      <c r="W115" s="97">
        <v>754.71698113207594</v>
      </c>
      <c r="X115" s="97">
        <v>754.71698113207594</v>
      </c>
      <c r="Y115" s="97">
        <v>754.71698113207594</v>
      </c>
      <c r="Z115" s="97">
        <v>754.71698113207594</v>
      </c>
      <c r="AA115" s="97">
        <v>754.71698113207594</v>
      </c>
      <c r="AB115" s="97">
        <v>754.71698113207594</v>
      </c>
      <c r="AC115" s="97">
        <v>754.71698113207594</v>
      </c>
      <c r="AD115" s="97">
        <v>754.71698113207594</v>
      </c>
      <c r="AE115" s="97">
        <v>754.71698113207594</v>
      </c>
      <c r="AF115" s="97">
        <v>754.71698113207594</v>
      </c>
      <c r="AG115" s="97">
        <v>754.71698113207594</v>
      </c>
      <c r="AH115" s="97">
        <v>754.71698113207594</v>
      </c>
      <c r="AI115" s="97">
        <v>754.71698113207594</v>
      </c>
      <c r="AJ115" s="97">
        <v>754.71698113207594</v>
      </c>
      <c r="AK115" s="97">
        <v>754.71698113207594</v>
      </c>
      <c r="AL115" s="97">
        <v>754.71698113207594</v>
      </c>
      <c r="AM115" s="97">
        <v>754.71698113207594</v>
      </c>
      <c r="AN115" s="97">
        <v>754.71698113207594</v>
      </c>
      <c r="AO115" s="97">
        <v>754.71698113207594</v>
      </c>
      <c r="AP115" s="97">
        <v>754.71698113207594</v>
      </c>
      <c r="AQ115" s="97">
        <v>754.71698113207594</v>
      </c>
      <c r="AR115" s="97">
        <v>754.71698113207594</v>
      </c>
      <c r="AS115" s="97">
        <v>754.71698113207594</v>
      </c>
      <c r="AT115" s="97">
        <v>754.71698113207594</v>
      </c>
      <c r="AU115" s="97">
        <v>754.71698113207594</v>
      </c>
      <c r="AV115" s="97">
        <v>754.71698113207594</v>
      </c>
      <c r="AW115" s="97">
        <v>754.71698113207594</v>
      </c>
      <c r="AX115" s="97">
        <v>754.71698113207594</v>
      </c>
      <c r="AY115" s="97">
        <v>754.71698113207594</v>
      </c>
      <c r="AZ115" s="97">
        <v>754.71698113207594</v>
      </c>
      <c r="BA115" s="97">
        <v>754.71698113207594</v>
      </c>
      <c r="BB115" s="97">
        <v>754.71698113207594</v>
      </c>
      <c r="BC115" s="97">
        <v>754.71698113207594</v>
      </c>
      <c r="BD115" s="97">
        <v>754.71698113207594</v>
      </c>
      <c r="BE115" s="97">
        <v>754.71698113207594</v>
      </c>
      <c r="BF115" s="97">
        <v>754.71698113207594</v>
      </c>
      <c r="BG115" s="97">
        <v>754.71698113207594</v>
      </c>
      <c r="BH115" s="97">
        <v>754.71698113207594</v>
      </c>
      <c r="BI115" s="97">
        <v>754.71698113207594</v>
      </c>
    </row>
    <row r="116" spans="1:61" x14ac:dyDescent="0.25">
      <c r="A116" s="95" t="s">
        <v>26</v>
      </c>
      <c r="B116" s="95" t="s">
        <v>136</v>
      </c>
      <c r="C116" s="96" t="s">
        <v>41</v>
      </c>
      <c r="D116" s="96" t="s">
        <v>56</v>
      </c>
      <c r="E116" s="96" t="s">
        <v>175</v>
      </c>
      <c r="F116" s="96" t="s">
        <v>268</v>
      </c>
      <c r="G116" s="97">
        <f t="shared" si="1"/>
        <v>1100000000.0000012</v>
      </c>
      <c r="H116" s="97">
        <f>SUMIF(I$1:BI$1,"&lt;="&amp;[2]PARAMETER!X$2,I116:BI116)</f>
        <v>192323241.99168089</v>
      </c>
      <c r="I116" s="97">
        <v>0</v>
      </c>
      <c r="J116" s="97">
        <v>0</v>
      </c>
      <c r="K116" s="97">
        <v>0</v>
      </c>
      <c r="L116" s="97">
        <v>0</v>
      </c>
      <c r="M116" s="97">
        <v>0</v>
      </c>
      <c r="N116" s="97">
        <v>0</v>
      </c>
      <c r="O116" s="97">
        <v>118352764.302573</v>
      </c>
      <c r="P116" s="97">
        <v>0</v>
      </c>
      <c r="Q116" s="97">
        <v>73970477.689107895</v>
      </c>
      <c r="R116" s="97">
        <v>0</v>
      </c>
      <c r="S116" s="97">
        <v>0</v>
      </c>
      <c r="T116" s="97">
        <v>0</v>
      </c>
      <c r="U116" s="97">
        <v>0</v>
      </c>
      <c r="V116" s="97">
        <v>0</v>
      </c>
      <c r="W116" s="97">
        <v>0</v>
      </c>
      <c r="X116" s="97">
        <v>0</v>
      </c>
      <c r="Y116" s="97">
        <v>0</v>
      </c>
      <c r="Z116" s="97">
        <v>36985238.844553903</v>
      </c>
      <c r="AA116" s="97">
        <v>0</v>
      </c>
      <c r="AB116" s="97">
        <v>0</v>
      </c>
      <c r="AC116" s="97">
        <v>0</v>
      </c>
      <c r="AD116" s="97">
        <v>0</v>
      </c>
      <c r="AE116" s="97">
        <v>0</v>
      </c>
      <c r="AF116" s="97">
        <v>29588191.0756432</v>
      </c>
      <c r="AG116" s="97">
        <v>0</v>
      </c>
      <c r="AH116" s="97">
        <v>155338003.147127</v>
      </c>
      <c r="AI116" s="97">
        <v>0</v>
      </c>
      <c r="AJ116" s="97">
        <v>0</v>
      </c>
      <c r="AK116" s="97">
        <v>0</v>
      </c>
      <c r="AL116" s="97">
        <v>0</v>
      </c>
      <c r="AM116" s="97">
        <v>0</v>
      </c>
      <c r="AN116" s="97">
        <v>0</v>
      </c>
      <c r="AO116" s="97">
        <v>0</v>
      </c>
      <c r="AP116" s="97">
        <v>0</v>
      </c>
      <c r="AQ116" s="97">
        <v>0</v>
      </c>
      <c r="AR116" s="97">
        <v>0</v>
      </c>
      <c r="AS116" s="97">
        <v>0</v>
      </c>
      <c r="AT116" s="97">
        <v>0</v>
      </c>
      <c r="AU116" s="97">
        <v>0</v>
      </c>
      <c r="AV116" s="97">
        <v>118352764.302573</v>
      </c>
      <c r="AW116" s="97">
        <v>0</v>
      </c>
      <c r="AX116" s="97">
        <v>0</v>
      </c>
      <c r="AY116" s="97">
        <v>49.313651792738597</v>
      </c>
      <c r="AZ116" s="97">
        <v>0</v>
      </c>
      <c r="BA116" s="97">
        <v>64847452.107451297</v>
      </c>
      <c r="BB116" s="97">
        <v>0</v>
      </c>
      <c r="BC116" s="97">
        <v>236705528.60514501</v>
      </c>
      <c r="BD116" s="97">
        <v>43215032.475530602</v>
      </c>
      <c r="BE116" s="97">
        <v>43647182.800285898</v>
      </c>
      <c r="BF116" s="97">
        <v>44083654.628288798</v>
      </c>
      <c r="BG116" s="97">
        <v>44524491.1745717</v>
      </c>
      <c r="BH116" s="97">
        <v>44969736.086317398</v>
      </c>
      <c r="BI116" s="97">
        <v>45419433.447180599</v>
      </c>
    </row>
    <row r="117" spans="1:61" x14ac:dyDescent="0.25">
      <c r="A117" s="95" t="s">
        <v>26</v>
      </c>
      <c r="B117" s="95" t="s">
        <v>136</v>
      </c>
      <c r="C117" s="96" t="s">
        <v>42</v>
      </c>
      <c r="D117" s="96" t="s">
        <v>56</v>
      </c>
      <c r="E117" s="96" t="s">
        <v>177</v>
      </c>
      <c r="F117" s="96" t="s">
        <v>269</v>
      </c>
      <c r="G117" s="97">
        <f t="shared" si="1"/>
        <v>1500.0000000000014</v>
      </c>
      <c r="H117" s="97">
        <f>SUMIF(I$1:BI$1,"&lt;="&amp;[2]PARAMETER!X$2,I117:BI117)</f>
        <v>262.25896635229202</v>
      </c>
      <c r="I117" s="97">
        <v>0</v>
      </c>
      <c r="J117" s="97">
        <v>0</v>
      </c>
      <c r="K117" s="97">
        <v>0</v>
      </c>
      <c r="L117" s="97">
        <v>0</v>
      </c>
      <c r="M117" s="97">
        <v>0</v>
      </c>
      <c r="N117" s="97">
        <v>0</v>
      </c>
      <c r="O117" s="97">
        <v>161.39013313987201</v>
      </c>
      <c r="P117" s="97">
        <v>0</v>
      </c>
      <c r="Q117" s="97">
        <v>100.86883321242</v>
      </c>
      <c r="R117" s="97">
        <v>0</v>
      </c>
      <c r="S117" s="97">
        <v>0</v>
      </c>
      <c r="T117" s="97">
        <v>0</v>
      </c>
      <c r="U117" s="97">
        <v>0</v>
      </c>
      <c r="V117" s="97">
        <v>0</v>
      </c>
      <c r="W117" s="97">
        <v>0</v>
      </c>
      <c r="X117" s="97">
        <v>0</v>
      </c>
      <c r="Y117" s="97">
        <v>0</v>
      </c>
      <c r="Z117" s="97">
        <v>50.434416606209901</v>
      </c>
      <c r="AA117" s="97">
        <v>0</v>
      </c>
      <c r="AB117" s="97">
        <v>0</v>
      </c>
      <c r="AC117" s="97">
        <v>0</v>
      </c>
      <c r="AD117" s="97">
        <v>0</v>
      </c>
      <c r="AE117" s="97">
        <v>0</v>
      </c>
      <c r="AF117" s="97">
        <v>40.347533284967902</v>
      </c>
      <c r="AG117" s="97">
        <v>0</v>
      </c>
      <c r="AH117" s="97">
        <v>211.824549746082</v>
      </c>
      <c r="AI117" s="97">
        <v>0</v>
      </c>
      <c r="AJ117" s="97">
        <v>0</v>
      </c>
      <c r="AK117" s="97">
        <v>0</v>
      </c>
      <c r="AL117" s="97">
        <v>0</v>
      </c>
      <c r="AM117" s="97">
        <v>0</v>
      </c>
      <c r="AN117" s="97">
        <v>0</v>
      </c>
      <c r="AO117" s="97">
        <v>0</v>
      </c>
      <c r="AP117" s="97">
        <v>0</v>
      </c>
      <c r="AQ117" s="97">
        <v>0</v>
      </c>
      <c r="AR117" s="97">
        <v>0</v>
      </c>
      <c r="AS117" s="97">
        <v>0</v>
      </c>
      <c r="AT117" s="97">
        <v>0</v>
      </c>
      <c r="AU117" s="97">
        <v>0</v>
      </c>
      <c r="AV117" s="97">
        <v>161.39013313987201</v>
      </c>
      <c r="AW117" s="97">
        <v>0</v>
      </c>
      <c r="AX117" s="97">
        <v>0</v>
      </c>
      <c r="AY117" s="97">
        <v>6.7245888808279902E-5</v>
      </c>
      <c r="AZ117" s="97">
        <v>0</v>
      </c>
      <c r="BA117" s="97">
        <v>88.428343782888106</v>
      </c>
      <c r="BB117" s="97">
        <v>0</v>
      </c>
      <c r="BC117" s="97">
        <v>322.78026627974401</v>
      </c>
      <c r="BD117" s="97">
        <v>58.929589739359898</v>
      </c>
      <c r="BE117" s="97">
        <v>59.518885636753502</v>
      </c>
      <c r="BF117" s="97">
        <v>60.114074493121102</v>
      </c>
      <c r="BG117" s="97">
        <v>60.715215238052302</v>
      </c>
      <c r="BH117" s="97">
        <v>61.322367390432802</v>
      </c>
      <c r="BI117" s="97">
        <v>61.935591064337103</v>
      </c>
    </row>
    <row r="118" spans="1:61" x14ac:dyDescent="0.25">
      <c r="A118" s="95" t="s">
        <v>26</v>
      </c>
      <c r="B118" s="95" t="s">
        <v>136</v>
      </c>
      <c r="C118" s="96" t="s">
        <v>40</v>
      </c>
      <c r="D118" s="96" t="s">
        <v>56</v>
      </c>
      <c r="E118" s="96" t="s">
        <v>179</v>
      </c>
      <c r="F118" s="96" t="s">
        <v>270</v>
      </c>
      <c r="G118" s="97">
        <f t="shared" si="1"/>
        <v>360000.00000000006</v>
      </c>
      <c r="H118" s="97">
        <f>SUMIF(I$1:BI$1,"&lt;="&amp;[2]PARAMETER!X$2,I118:BI118)</f>
        <v>62942.151924550002</v>
      </c>
      <c r="I118" s="97">
        <v>0</v>
      </c>
      <c r="J118" s="97">
        <v>0</v>
      </c>
      <c r="K118" s="97">
        <v>0</v>
      </c>
      <c r="L118" s="97">
        <v>0</v>
      </c>
      <c r="M118" s="97">
        <v>0</v>
      </c>
      <c r="N118" s="97">
        <v>0</v>
      </c>
      <c r="O118" s="97">
        <v>38733.631953569202</v>
      </c>
      <c r="P118" s="97">
        <v>0</v>
      </c>
      <c r="Q118" s="97">
        <v>24208.5199709808</v>
      </c>
      <c r="R118" s="97">
        <v>0</v>
      </c>
      <c r="S118" s="97">
        <v>0</v>
      </c>
      <c r="T118" s="97">
        <v>0</v>
      </c>
      <c r="U118" s="97">
        <v>0</v>
      </c>
      <c r="V118" s="97">
        <v>0</v>
      </c>
      <c r="W118" s="97">
        <v>0</v>
      </c>
      <c r="X118" s="97">
        <v>0</v>
      </c>
      <c r="Y118" s="97">
        <v>0</v>
      </c>
      <c r="Z118" s="97">
        <v>12104.2599854904</v>
      </c>
      <c r="AA118" s="97">
        <v>0</v>
      </c>
      <c r="AB118" s="97">
        <v>0</v>
      </c>
      <c r="AC118" s="97">
        <v>0</v>
      </c>
      <c r="AD118" s="97">
        <v>0</v>
      </c>
      <c r="AE118" s="97">
        <v>0</v>
      </c>
      <c r="AF118" s="97">
        <v>9683.4079883923096</v>
      </c>
      <c r="AG118" s="97">
        <v>0</v>
      </c>
      <c r="AH118" s="97">
        <v>50837.891939059598</v>
      </c>
      <c r="AI118" s="97">
        <v>0</v>
      </c>
      <c r="AJ118" s="97">
        <v>0</v>
      </c>
      <c r="AK118" s="97">
        <v>0</v>
      </c>
      <c r="AL118" s="97">
        <v>0</v>
      </c>
      <c r="AM118" s="97">
        <v>0</v>
      </c>
      <c r="AN118" s="97">
        <v>0</v>
      </c>
      <c r="AO118" s="97">
        <v>0</v>
      </c>
      <c r="AP118" s="97">
        <v>0</v>
      </c>
      <c r="AQ118" s="97">
        <v>0</v>
      </c>
      <c r="AR118" s="97">
        <v>0</v>
      </c>
      <c r="AS118" s="97">
        <v>0</v>
      </c>
      <c r="AT118" s="97">
        <v>0</v>
      </c>
      <c r="AU118" s="97">
        <v>0</v>
      </c>
      <c r="AV118" s="97">
        <v>38733.631953569202</v>
      </c>
      <c r="AW118" s="97">
        <v>0</v>
      </c>
      <c r="AX118" s="97">
        <v>0</v>
      </c>
      <c r="AY118" s="97">
        <v>1.6139013313987201E-2</v>
      </c>
      <c r="AZ118" s="97">
        <v>0</v>
      </c>
      <c r="BA118" s="97">
        <v>21222.802507893099</v>
      </c>
      <c r="BB118" s="97">
        <v>0</v>
      </c>
      <c r="BC118" s="97">
        <v>77467.263907138506</v>
      </c>
      <c r="BD118" s="97">
        <v>14143.1015374464</v>
      </c>
      <c r="BE118" s="97">
        <v>14284.5325528209</v>
      </c>
      <c r="BF118" s="97">
        <v>14427.3778783491</v>
      </c>
      <c r="BG118" s="97">
        <v>14571.651657132499</v>
      </c>
      <c r="BH118" s="97">
        <v>14717.368173703901</v>
      </c>
      <c r="BI118" s="97">
        <v>14864.541855440901</v>
      </c>
    </row>
    <row r="119" spans="1:61" x14ac:dyDescent="0.25">
      <c r="A119" s="95" t="s">
        <v>36</v>
      </c>
      <c r="B119" s="95" t="s">
        <v>136</v>
      </c>
      <c r="C119" s="96" t="s">
        <v>41</v>
      </c>
      <c r="D119" s="96" t="s">
        <v>54</v>
      </c>
      <c r="E119" s="96" t="s">
        <v>145</v>
      </c>
      <c r="F119" s="96" t="s">
        <v>271</v>
      </c>
      <c r="G119" s="97">
        <f t="shared" si="1"/>
        <v>3000000.0000000009</v>
      </c>
      <c r="H119" s="97">
        <f>SUMIF(I$1:BI$1,"&lt;="&amp;[2]PARAMETER!X$2,I119:BI119)</f>
        <v>509433.96226415137</v>
      </c>
      <c r="I119" s="97">
        <v>56603.773584905699</v>
      </c>
      <c r="J119" s="97">
        <v>56603.773584905699</v>
      </c>
      <c r="K119" s="97">
        <v>56603.773584905699</v>
      </c>
      <c r="L119" s="97">
        <v>56603.773584905699</v>
      </c>
      <c r="M119" s="97">
        <v>56603.773584905699</v>
      </c>
      <c r="N119" s="97">
        <v>56603.773584905699</v>
      </c>
      <c r="O119" s="97">
        <v>56603.773584905699</v>
      </c>
      <c r="P119" s="97">
        <v>56603.773584905699</v>
      </c>
      <c r="Q119" s="97">
        <v>56603.773584905699</v>
      </c>
      <c r="R119" s="97">
        <v>56603.773584905699</v>
      </c>
      <c r="S119" s="97">
        <v>56603.773584905699</v>
      </c>
      <c r="T119" s="97">
        <v>56603.773584905699</v>
      </c>
      <c r="U119" s="97">
        <v>56603.773584905699</v>
      </c>
      <c r="V119" s="97">
        <v>56603.773584905699</v>
      </c>
      <c r="W119" s="97">
        <v>56603.773584905699</v>
      </c>
      <c r="X119" s="97">
        <v>56603.773584905699</v>
      </c>
      <c r="Y119" s="97">
        <v>56603.773584905699</v>
      </c>
      <c r="Z119" s="97">
        <v>56603.773584905699</v>
      </c>
      <c r="AA119" s="97">
        <v>56603.773584905699</v>
      </c>
      <c r="AB119" s="97">
        <v>56603.773584905699</v>
      </c>
      <c r="AC119" s="97">
        <v>56603.773584905699</v>
      </c>
      <c r="AD119" s="97">
        <v>56603.773584905699</v>
      </c>
      <c r="AE119" s="97">
        <v>56603.773584905699</v>
      </c>
      <c r="AF119" s="97">
        <v>56603.773584905699</v>
      </c>
      <c r="AG119" s="97">
        <v>56603.773584905699</v>
      </c>
      <c r="AH119" s="97">
        <v>56603.773584905699</v>
      </c>
      <c r="AI119" s="97">
        <v>56603.773584905699</v>
      </c>
      <c r="AJ119" s="97">
        <v>56603.773584905699</v>
      </c>
      <c r="AK119" s="97">
        <v>56603.773584905699</v>
      </c>
      <c r="AL119" s="97">
        <v>56603.773584905699</v>
      </c>
      <c r="AM119" s="97">
        <v>56603.773584905699</v>
      </c>
      <c r="AN119" s="97">
        <v>56603.773584905699</v>
      </c>
      <c r="AO119" s="97">
        <v>56603.773584905699</v>
      </c>
      <c r="AP119" s="97">
        <v>56603.773584905699</v>
      </c>
      <c r="AQ119" s="97">
        <v>56603.773584905699</v>
      </c>
      <c r="AR119" s="97">
        <v>56603.773584905699</v>
      </c>
      <c r="AS119" s="97">
        <v>56603.773584905699</v>
      </c>
      <c r="AT119" s="97">
        <v>56603.773584905699</v>
      </c>
      <c r="AU119" s="97">
        <v>56603.773584905699</v>
      </c>
      <c r="AV119" s="97">
        <v>56603.773584905699</v>
      </c>
      <c r="AW119" s="97">
        <v>56603.773584905699</v>
      </c>
      <c r="AX119" s="97">
        <v>56603.773584905699</v>
      </c>
      <c r="AY119" s="97">
        <v>56603.773584905699</v>
      </c>
      <c r="AZ119" s="97">
        <v>56603.773584905699</v>
      </c>
      <c r="BA119" s="97">
        <v>56603.773584905699</v>
      </c>
      <c r="BB119" s="97">
        <v>56603.773584905699</v>
      </c>
      <c r="BC119" s="97">
        <v>56603.773584905699</v>
      </c>
      <c r="BD119" s="97">
        <v>56603.773584905699</v>
      </c>
      <c r="BE119" s="97">
        <v>56603.773584905699</v>
      </c>
      <c r="BF119" s="97">
        <v>56603.773584905699</v>
      </c>
      <c r="BG119" s="97">
        <v>56603.773584905699</v>
      </c>
      <c r="BH119" s="97">
        <v>56603.773584905699</v>
      </c>
      <c r="BI119" s="97">
        <v>56603.773584905699</v>
      </c>
    </row>
    <row r="120" spans="1:61" x14ac:dyDescent="0.25">
      <c r="A120" s="95" t="s">
        <v>36</v>
      </c>
      <c r="B120" s="95" t="s">
        <v>136</v>
      </c>
      <c r="C120" s="96" t="s">
        <v>42</v>
      </c>
      <c r="D120" s="96" t="s">
        <v>54</v>
      </c>
      <c r="E120" s="96" t="s">
        <v>147</v>
      </c>
      <c r="F120" s="96" t="s">
        <v>272</v>
      </c>
      <c r="G120" s="97">
        <f t="shared" si="1"/>
        <v>10.000000000000014</v>
      </c>
      <c r="H120" s="97">
        <f>SUMIF(I$1:BI$1,"&lt;="&amp;[2]PARAMETER!X$2,I120:BI120)</f>
        <v>1.6981132075471712</v>
      </c>
      <c r="I120" s="97">
        <v>0.18867924528301899</v>
      </c>
      <c r="J120" s="97">
        <v>0.18867924528301899</v>
      </c>
      <c r="K120" s="97">
        <v>0.18867924528301899</v>
      </c>
      <c r="L120" s="97">
        <v>0.18867924528301899</v>
      </c>
      <c r="M120" s="97">
        <v>0.18867924528301899</v>
      </c>
      <c r="N120" s="97">
        <v>0.18867924528301899</v>
      </c>
      <c r="O120" s="97">
        <v>0.18867924528301899</v>
      </c>
      <c r="P120" s="97">
        <v>0.18867924528301899</v>
      </c>
      <c r="Q120" s="97">
        <v>0.18867924528301899</v>
      </c>
      <c r="R120" s="97">
        <v>0.18867924528301899</v>
      </c>
      <c r="S120" s="97">
        <v>0.18867924528301899</v>
      </c>
      <c r="T120" s="97">
        <v>0.18867924528301899</v>
      </c>
      <c r="U120" s="97">
        <v>0.18867924528301899</v>
      </c>
      <c r="V120" s="97">
        <v>0.18867924528301899</v>
      </c>
      <c r="W120" s="97">
        <v>0.18867924528301899</v>
      </c>
      <c r="X120" s="97">
        <v>0.18867924528301899</v>
      </c>
      <c r="Y120" s="97">
        <v>0.18867924528301899</v>
      </c>
      <c r="Z120" s="97">
        <v>0.18867924528301899</v>
      </c>
      <c r="AA120" s="97">
        <v>0.18867924528301899</v>
      </c>
      <c r="AB120" s="97">
        <v>0.18867924528301899</v>
      </c>
      <c r="AC120" s="97">
        <v>0.18867924528301899</v>
      </c>
      <c r="AD120" s="97">
        <v>0.18867924528301899</v>
      </c>
      <c r="AE120" s="97">
        <v>0.18867924528301899</v>
      </c>
      <c r="AF120" s="97">
        <v>0.18867924528301899</v>
      </c>
      <c r="AG120" s="97">
        <v>0.18867924528301899</v>
      </c>
      <c r="AH120" s="97">
        <v>0.18867924528301899</v>
      </c>
      <c r="AI120" s="97">
        <v>0.18867924528301899</v>
      </c>
      <c r="AJ120" s="97">
        <v>0.18867924528301899</v>
      </c>
      <c r="AK120" s="97">
        <v>0.18867924528301899</v>
      </c>
      <c r="AL120" s="97">
        <v>0.18867924528301899</v>
      </c>
      <c r="AM120" s="97">
        <v>0.18867924528301899</v>
      </c>
      <c r="AN120" s="97">
        <v>0.18867924528301899</v>
      </c>
      <c r="AO120" s="97">
        <v>0.18867924528301899</v>
      </c>
      <c r="AP120" s="97">
        <v>0.18867924528301899</v>
      </c>
      <c r="AQ120" s="97">
        <v>0.18867924528301899</v>
      </c>
      <c r="AR120" s="97">
        <v>0.18867924528301899</v>
      </c>
      <c r="AS120" s="97">
        <v>0.18867924528301899</v>
      </c>
      <c r="AT120" s="97">
        <v>0.18867924528301899</v>
      </c>
      <c r="AU120" s="97">
        <v>0.18867924528301899</v>
      </c>
      <c r="AV120" s="97">
        <v>0.18867924528301899</v>
      </c>
      <c r="AW120" s="97">
        <v>0.18867924528301899</v>
      </c>
      <c r="AX120" s="97">
        <v>0.18867924528301899</v>
      </c>
      <c r="AY120" s="97">
        <v>0.18867924528301899</v>
      </c>
      <c r="AZ120" s="97">
        <v>0.18867924528301899</v>
      </c>
      <c r="BA120" s="97">
        <v>0.18867924528301899</v>
      </c>
      <c r="BB120" s="97">
        <v>0.18867924528301899</v>
      </c>
      <c r="BC120" s="97">
        <v>0.18867924528301899</v>
      </c>
      <c r="BD120" s="97">
        <v>0.18867924528301899</v>
      </c>
      <c r="BE120" s="97">
        <v>0.18867924528301899</v>
      </c>
      <c r="BF120" s="97">
        <v>0.18867924528301899</v>
      </c>
      <c r="BG120" s="97">
        <v>0.18867924528301899</v>
      </c>
      <c r="BH120" s="97">
        <v>0.18867924528301899</v>
      </c>
      <c r="BI120" s="97">
        <v>0.18867924528301899</v>
      </c>
    </row>
    <row r="121" spans="1:61" x14ac:dyDescent="0.25">
      <c r="A121" s="95" t="s">
        <v>36</v>
      </c>
      <c r="B121" s="95" t="s">
        <v>136</v>
      </c>
      <c r="C121" s="96" t="s">
        <v>40</v>
      </c>
      <c r="D121" s="96" t="s">
        <v>54</v>
      </c>
      <c r="E121" s="96" t="s">
        <v>149</v>
      </c>
      <c r="F121" s="96" t="s">
        <v>273</v>
      </c>
      <c r="G121" s="97">
        <f t="shared" si="1"/>
        <v>30000.000000000058</v>
      </c>
      <c r="H121" s="97">
        <f>SUMIF(I$1:BI$1,"&lt;="&amp;[2]PARAMETER!X$2,I121:BI121)</f>
        <v>5094.3396226415125</v>
      </c>
      <c r="I121" s="97">
        <v>566.03773584905696</v>
      </c>
      <c r="J121" s="97">
        <v>566.03773584905696</v>
      </c>
      <c r="K121" s="97">
        <v>566.03773584905696</v>
      </c>
      <c r="L121" s="97">
        <v>566.03773584905696</v>
      </c>
      <c r="M121" s="97">
        <v>566.03773584905696</v>
      </c>
      <c r="N121" s="97">
        <v>566.03773584905696</v>
      </c>
      <c r="O121" s="97">
        <v>566.03773584905696</v>
      </c>
      <c r="P121" s="97">
        <v>566.03773584905696</v>
      </c>
      <c r="Q121" s="97">
        <v>566.03773584905696</v>
      </c>
      <c r="R121" s="97">
        <v>566.03773584905696</v>
      </c>
      <c r="S121" s="97">
        <v>566.03773584905696</v>
      </c>
      <c r="T121" s="97">
        <v>566.03773584905696</v>
      </c>
      <c r="U121" s="97">
        <v>566.03773584905696</v>
      </c>
      <c r="V121" s="97">
        <v>566.03773584905696</v>
      </c>
      <c r="W121" s="97">
        <v>566.03773584905696</v>
      </c>
      <c r="X121" s="97">
        <v>566.03773584905696</v>
      </c>
      <c r="Y121" s="97">
        <v>566.03773584905696</v>
      </c>
      <c r="Z121" s="97">
        <v>566.03773584905696</v>
      </c>
      <c r="AA121" s="97">
        <v>566.03773584905696</v>
      </c>
      <c r="AB121" s="97">
        <v>566.03773584905696</v>
      </c>
      <c r="AC121" s="97">
        <v>566.03773584905696</v>
      </c>
      <c r="AD121" s="97">
        <v>566.03773584905696</v>
      </c>
      <c r="AE121" s="97">
        <v>566.03773584905696</v>
      </c>
      <c r="AF121" s="97">
        <v>566.03773584905696</v>
      </c>
      <c r="AG121" s="97">
        <v>566.03773584905696</v>
      </c>
      <c r="AH121" s="97">
        <v>566.03773584905696</v>
      </c>
      <c r="AI121" s="97">
        <v>566.03773584905696</v>
      </c>
      <c r="AJ121" s="97">
        <v>566.03773584905696</v>
      </c>
      <c r="AK121" s="97">
        <v>566.03773584905696</v>
      </c>
      <c r="AL121" s="97">
        <v>566.03773584905696</v>
      </c>
      <c r="AM121" s="97">
        <v>566.03773584905696</v>
      </c>
      <c r="AN121" s="97">
        <v>566.03773584905696</v>
      </c>
      <c r="AO121" s="97">
        <v>566.03773584905696</v>
      </c>
      <c r="AP121" s="97">
        <v>566.03773584905696</v>
      </c>
      <c r="AQ121" s="97">
        <v>566.03773584905696</v>
      </c>
      <c r="AR121" s="97">
        <v>566.03773584905696</v>
      </c>
      <c r="AS121" s="97">
        <v>566.03773584905696</v>
      </c>
      <c r="AT121" s="97">
        <v>566.03773584905696</v>
      </c>
      <c r="AU121" s="97">
        <v>566.03773584905696</v>
      </c>
      <c r="AV121" s="97">
        <v>566.03773584905696</v>
      </c>
      <c r="AW121" s="97">
        <v>566.03773584905696</v>
      </c>
      <c r="AX121" s="97">
        <v>566.03773584905696</v>
      </c>
      <c r="AY121" s="97">
        <v>566.03773584905696</v>
      </c>
      <c r="AZ121" s="97">
        <v>566.03773584905696</v>
      </c>
      <c r="BA121" s="97">
        <v>566.03773584905696</v>
      </c>
      <c r="BB121" s="97">
        <v>566.03773584905696</v>
      </c>
      <c r="BC121" s="97">
        <v>566.03773584905696</v>
      </c>
      <c r="BD121" s="97">
        <v>566.03773584905696</v>
      </c>
      <c r="BE121" s="97">
        <v>566.03773584905696</v>
      </c>
      <c r="BF121" s="97">
        <v>566.03773584905696</v>
      </c>
      <c r="BG121" s="97">
        <v>566.03773584905696</v>
      </c>
      <c r="BH121" s="97">
        <v>566.03773584905696</v>
      </c>
      <c r="BI121" s="97">
        <v>566.03773584905696</v>
      </c>
    </row>
    <row r="122" spans="1:61" x14ac:dyDescent="0.25">
      <c r="A122" s="95" t="s">
        <v>144</v>
      </c>
      <c r="B122" s="95" t="s">
        <v>136</v>
      </c>
      <c r="C122" s="96" t="s">
        <v>41</v>
      </c>
      <c r="D122" s="96" t="s">
        <v>54</v>
      </c>
      <c r="E122" s="96" t="s">
        <v>145</v>
      </c>
      <c r="F122" s="96" t="s">
        <v>274</v>
      </c>
      <c r="G122" s="97">
        <f t="shared" si="1"/>
        <v>0</v>
      </c>
      <c r="H122" s="97">
        <f>SUMIF(I$1:BI$1,"&lt;="&amp;[2]PARAMETER!X$2,I122:BI122)</f>
        <v>0</v>
      </c>
      <c r="I122" s="97">
        <v>0</v>
      </c>
      <c r="J122" s="97">
        <v>0</v>
      </c>
      <c r="K122" s="97">
        <v>0</v>
      </c>
      <c r="L122" s="97">
        <v>0</v>
      </c>
      <c r="M122" s="97">
        <v>0</v>
      </c>
      <c r="N122" s="97">
        <v>0</v>
      </c>
      <c r="O122" s="97">
        <v>0</v>
      </c>
      <c r="P122" s="97">
        <v>0</v>
      </c>
      <c r="Q122" s="97">
        <v>0</v>
      </c>
      <c r="R122" s="97">
        <v>0</v>
      </c>
      <c r="S122" s="97">
        <v>0</v>
      </c>
      <c r="T122" s="97">
        <v>0</v>
      </c>
      <c r="U122" s="97">
        <v>0</v>
      </c>
      <c r="V122" s="97">
        <v>0</v>
      </c>
      <c r="W122" s="97">
        <v>0</v>
      </c>
      <c r="X122" s="97">
        <v>0</v>
      </c>
      <c r="Y122" s="97">
        <v>0</v>
      </c>
      <c r="Z122" s="97">
        <v>0</v>
      </c>
      <c r="AA122" s="97">
        <v>0</v>
      </c>
      <c r="AB122" s="97">
        <v>0</v>
      </c>
      <c r="AC122" s="97">
        <v>0</v>
      </c>
      <c r="AD122" s="97">
        <v>0</v>
      </c>
      <c r="AE122" s="97">
        <v>0</v>
      </c>
      <c r="AF122" s="97">
        <v>0</v>
      </c>
      <c r="AG122" s="97">
        <v>0</v>
      </c>
      <c r="AH122" s="97">
        <v>0</v>
      </c>
      <c r="AI122" s="97">
        <v>0</v>
      </c>
      <c r="AJ122" s="97">
        <v>0</v>
      </c>
      <c r="AK122" s="97">
        <v>0</v>
      </c>
      <c r="AL122" s="97">
        <v>0</v>
      </c>
      <c r="AM122" s="97">
        <v>0</v>
      </c>
      <c r="AN122" s="97">
        <v>0</v>
      </c>
      <c r="AO122" s="97">
        <v>0</v>
      </c>
      <c r="AP122" s="97">
        <v>0</v>
      </c>
      <c r="AQ122" s="97">
        <v>0</v>
      </c>
      <c r="AR122" s="97">
        <v>0</v>
      </c>
      <c r="AS122" s="97">
        <v>0</v>
      </c>
      <c r="AT122" s="97">
        <v>0</v>
      </c>
      <c r="AU122" s="97">
        <v>0</v>
      </c>
      <c r="AV122" s="97">
        <v>0</v>
      </c>
      <c r="AW122" s="97">
        <v>0</v>
      </c>
      <c r="AX122" s="97">
        <v>0</v>
      </c>
      <c r="AY122" s="97">
        <v>0</v>
      </c>
      <c r="AZ122" s="97">
        <v>0</v>
      </c>
      <c r="BA122" s="97">
        <v>0</v>
      </c>
      <c r="BB122" s="97">
        <v>0</v>
      </c>
      <c r="BC122" s="97">
        <v>0</v>
      </c>
      <c r="BD122" s="97">
        <v>0</v>
      </c>
      <c r="BE122" s="97">
        <v>0</v>
      </c>
      <c r="BF122" s="97">
        <v>0</v>
      </c>
      <c r="BG122" s="97">
        <v>0</v>
      </c>
      <c r="BH122" s="97">
        <v>0</v>
      </c>
      <c r="BI122" s="97">
        <v>0</v>
      </c>
    </row>
    <row r="123" spans="1:61" x14ac:dyDescent="0.25">
      <c r="A123" s="95" t="s">
        <v>144</v>
      </c>
      <c r="B123" s="95" t="s">
        <v>136</v>
      </c>
      <c r="C123" s="96" t="s">
        <v>42</v>
      </c>
      <c r="D123" s="96" t="s">
        <v>54</v>
      </c>
      <c r="E123" s="96" t="s">
        <v>147</v>
      </c>
      <c r="F123" s="96" t="s">
        <v>275</v>
      </c>
      <c r="G123" s="97">
        <f t="shared" si="1"/>
        <v>0</v>
      </c>
      <c r="H123" s="97">
        <f>SUMIF(I$1:BI$1,"&lt;="&amp;[2]PARAMETER!X$2,I123:BI123)</f>
        <v>0</v>
      </c>
      <c r="I123" s="97">
        <v>0</v>
      </c>
      <c r="J123" s="97">
        <v>0</v>
      </c>
      <c r="K123" s="97">
        <v>0</v>
      </c>
      <c r="L123" s="97">
        <v>0</v>
      </c>
      <c r="M123" s="97">
        <v>0</v>
      </c>
      <c r="N123" s="97">
        <v>0</v>
      </c>
      <c r="O123" s="97">
        <v>0</v>
      </c>
      <c r="P123" s="97">
        <v>0</v>
      </c>
      <c r="Q123" s="97">
        <v>0</v>
      </c>
      <c r="R123" s="97">
        <v>0</v>
      </c>
      <c r="S123" s="97">
        <v>0</v>
      </c>
      <c r="T123" s="97">
        <v>0</v>
      </c>
      <c r="U123" s="97">
        <v>0</v>
      </c>
      <c r="V123" s="97">
        <v>0</v>
      </c>
      <c r="W123" s="97">
        <v>0</v>
      </c>
      <c r="X123" s="97">
        <v>0</v>
      </c>
      <c r="Y123" s="97">
        <v>0</v>
      </c>
      <c r="Z123" s="97">
        <v>0</v>
      </c>
      <c r="AA123" s="97">
        <v>0</v>
      </c>
      <c r="AB123" s="97">
        <v>0</v>
      </c>
      <c r="AC123" s="97">
        <v>0</v>
      </c>
      <c r="AD123" s="97">
        <v>0</v>
      </c>
      <c r="AE123" s="97">
        <v>0</v>
      </c>
      <c r="AF123" s="97">
        <v>0</v>
      </c>
      <c r="AG123" s="97">
        <v>0</v>
      </c>
      <c r="AH123" s="97">
        <v>0</v>
      </c>
      <c r="AI123" s="97">
        <v>0</v>
      </c>
      <c r="AJ123" s="97">
        <v>0</v>
      </c>
      <c r="AK123" s="97">
        <v>0</v>
      </c>
      <c r="AL123" s="97">
        <v>0</v>
      </c>
      <c r="AM123" s="97">
        <v>0</v>
      </c>
      <c r="AN123" s="97">
        <v>0</v>
      </c>
      <c r="AO123" s="97">
        <v>0</v>
      </c>
      <c r="AP123" s="97">
        <v>0</v>
      </c>
      <c r="AQ123" s="97">
        <v>0</v>
      </c>
      <c r="AR123" s="97">
        <v>0</v>
      </c>
      <c r="AS123" s="97">
        <v>0</v>
      </c>
      <c r="AT123" s="97">
        <v>0</v>
      </c>
      <c r="AU123" s="97">
        <v>0</v>
      </c>
      <c r="AV123" s="97">
        <v>0</v>
      </c>
      <c r="AW123" s="97">
        <v>0</v>
      </c>
      <c r="AX123" s="97">
        <v>0</v>
      </c>
      <c r="AY123" s="97">
        <v>0</v>
      </c>
      <c r="AZ123" s="97">
        <v>0</v>
      </c>
      <c r="BA123" s="97">
        <v>0</v>
      </c>
      <c r="BB123" s="97">
        <v>0</v>
      </c>
      <c r="BC123" s="97">
        <v>0</v>
      </c>
      <c r="BD123" s="97">
        <v>0</v>
      </c>
      <c r="BE123" s="97">
        <v>0</v>
      </c>
      <c r="BF123" s="97">
        <v>0</v>
      </c>
      <c r="BG123" s="97">
        <v>0</v>
      </c>
      <c r="BH123" s="97">
        <v>0</v>
      </c>
      <c r="BI123" s="97">
        <v>0</v>
      </c>
    </row>
    <row r="124" spans="1:61" x14ac:dyDescent="0.25">
      <c r="A124" s="95" t="s">
        <v>144</v>
      </c>
      <c r="B124" s="95" t="s">
        <v>136</v>
      </c>
      <c r="C124" s="96" t="s">
        <v>40</v>
      </c>
      <c r="D124" s="96" t="s">
        <v>54</v>
      </c>
      <c r="E124" s="96" t="s">
        <v>149</v>
      </c>
      <c r="F124" s="96" t="s">
        <v>276</v>
      </c>
      <c r="G124" s="97">
        <f t="shared" si="1"/>
        <v>0</v>
      </c>
      <c r="H124" s="97">
        <f>SUMIF(I$1:BI$1,"&lt;="&amp;[2]PARAMETER!X$2,I124:BI124)</f>
        <v>0</v>
      </c>
      <c r="I124" s="97">
        <v>0</v>
      </c>
      <c r="J124" s="97">
        <v>0</v>
      </c>
      <c r="K124" s="97">
        <v>0</v>
      </c>
      <c r="L124" s="97">
        <v>0</v>
      </c>
      <c r="M124" s="97">
        <v>0</v>
      </c>
      <c r="N124" s="97">
        <v>0</v>
      </c>
      <c r="O124" s="97">
        <v>0</v>
      </c>
      <c r="P124" s="97">
        <v>0</v>
      </c>
      <c r="Q124" s="97">
        <v>0</v>
      </c>
      <c r="R124" s="97">
        <v>0</v>
      </c>
      <c r="S124" s="97">
        <v>0</v>
      </c>
      <c r="T124" s="97">
        <v>0</v>
      </c>
      <c r="U124" s="97">
        <v>0</v>
      </c>
      <c r="V124" s="97">
        <v>0</v>
      </c>
      <c r="W124" s="97">
        <v>0</v>
      </c>
      <c r="X124" s="97">
        <v>0</v>
      </c>
      <c r="Y124" s="97">
        <v>0</v>
      </c>
      <c r="Z124" s="97">
        <v>0</v>
      </c>
      <c r="AA124" s="97">
        <v>0</v>
      </c>
      <c r="AB124" s="97">
        <v>0</v>
      </c>
      <c r="AC124" s="97">
        <v>0</v>
      </c>
      <c r="AD124" s="97">
        <v>0</v>
      </c>
      <c r="AE124" s="97">
        <v>0</v>
      </c>
      <c r="AF124" s="97">
        <v>0</v>
      </c>
      <c r="AG124" s="97">
        <v>0</v>
      </c>
      <c r="AH124" s="97">
        <v>0</v>
      </c>
      <c r="AI124" s="97">
        <v>0</v>
      </c>
      <c r="AJ124" s="97">
        <v>0</v>
      </c>
      <c r="AK124" s="97">
        <v>0</v>
      </c>
      <c r="AL124" s="97">
        <v>0</v>
      </c>
      <c r="AM124" s="97">
        <v>0</v>
      </c>
      <c r="AN124" s="97">
        <v>0</v>
      </c>
      <c r="AO124" s="97">
        <v>0</v>
      </c>
      <c r="AP124" s="97">
        <v>0</v>
      </c>
      <c r="AQ124" s="97">
        <v>0</v>
      </c>
      <c r="AR124" s="97">
        <v>0</v>
      </c>
      <c r="AS124" s="97">
        <v>0</v>
      </c>
      <c r="AT124" s="97">
        <v>0</v>
      </c>
      <c r="AU124" s="97">
        <v>0</v>
      </c>
      <c r="AV124" s="97">
        <v>0</v>
      </c>
      <c r="AW124" s="97">
        <v>0</v>
      </c>
      <c r="AX124" s="97">
        <v>0</v>
      </c>
      <c r="AY124" s="97">
        <v>0</v>
      </c>
      <c r="AZ124" s="97">
        <v>0</v>
      </c>
      <c r="BA124" s="97">
        <v>0</v>
      </c>
      <c r="BB124" s="97">
        <v>0</v>
      </c>
      <c r="BC124" s="97">
        <v>0</v>
      </c>
      <c r="BD124" s="97">
        <v>0</v>
      </c>
      <c r="BE124" s="97">
        <v>0</v>
      </c>
      <c r="BF124" s="97">
        <v>0</v>
      </c>
      <c r="BG124" s="97">
        <v>0</v>
      </c>
      <c r="BH124" s="97">
        <v>0</v>
      </c>
      <c r="BI124" s="97">
        <v>0</v>
      </c>
    </row>
    <row r="125" spans="1:61" x14ac:dyDescent="0.25">
      <c r="A125" s="95" t="s">
        <v>7</v>
      </c>
      <c r="B125" s="95" t="s">
        <v>136</v>
      </c>
      <c r="C125" s="96" t="s">
        <v>41</v>
      </c>
      <c r="D125" s="96" t="e">
        <f>#N/A</f>
        <v>#N/A</v>
      </c>
      <c r="E125" s="96" t="s">
        <v>277</v>
      </c>
      <c r="F125" s="96" t="s">
        <v>278</v>
      </c>
      <c r="G125" s="97">
        <f t="shared" si="1"/>
        <v>0</v>
      </c>
      <c r="H125" s="97">
        <f>SUMIF(I$1:BI$1,"&lt;="&amp;[2]PARAMETER!X$2,I125:BI125)</f>
        <v>0</v>
      </c>
      <c r="I125" s="97">
        <v>0</v>
      </c>
      <c r="J125" s="97">
        <v>0</v>
      </c>
      <c r="K125" s="97">
        <v>0</v>
      </c>
      <c r="L125" s="97">
        <v>0</v>
      </c>
      <c r="M125" s="97">
        <v>0</v>
      </c>
      <c r="N125" s="97">
        <v>0</v>
      </c>
      <c r="O125" s="97">
        <v>0</v>
      </c>
      <c r="P125" s="97">
        <v>0</v>
      </c>
      <c r="Q125" s="97">
        <v>0</v>
      </c>
      <c r="R125" s="97">
        <v>0</v>
      </c>
      <c r="S125" s="97">
        <v>0</v>
      </c>
      <c r="T125" s="97">
        <v>0</v>
      </c>
      <c r="U125" s="97">
        <v>0</v>
      </c>
      <c r="V125" s="97">
        <v>0</v>
      </c>
      <c r="W125" s="97">
        <v>0</v>
      </c>
      <c r="X125" s="97">
        <v>0</v>
      </c>
      <c r="Y125" s="97">
        <v>0</v>
      </c>
      <c r="Z125" s="97">
        <v>0</v>
      </c>
      <c r="AA125" s="97">
        <v>0</v>
      </c>
      <c r="AB125" s="97">
        <v>0</v>
      </c>
      <c r="AC125" s="97">
        <v>0</v>
      </c>
      <c r="AD125" s="97">
        <v>0</v>
      </c>
      <c r="AE125" s="97">
        <v>0</v>
      </c>
      <c r="AF125" s="97">
        <v>0</v>
      </c>
      <c r="AG125" s="97">
        <v>0</v>
      </c>
      <c r="AH125" s="97">
        <v>0</v>
      </c>
      <c r="AI125" s="97">
        <v>0</v>
      </c>
      <c r="AJ125" s="97">
        <v>0</v>
      </c>
      <c r="AK125" s="97">
        <v>0</v>
      </c>
      <c r="AL125" s="97">
        <v>0</v>
      </c>
      <c r="AM125" s="97">
        <v>0</v>
      </c>
      <c r="AN125" s="97">
        <v>0</v>
      </c>
      <c r="AO125" s="97">
        <v>0</v>
      </c>
      <c r="AP125" s="97">
        <v>0</v>
      </c>
      <c r="AQ125" s="97">
        <v>0</v>
      </c>
      <c r="AR125" s="97">
        <v>0</v>
      </c>
      <c r="AS125" s="97">
        <v>0</v>
      </c>
      <c r="AT125" s="97">
        <v>0</v>
      </c>
      <c r="AU125" s="97">
        <v>0</v>
      </c>
      <c r="AV125" s="97">
        <v>0</v>
      </c>
      <c r="AW125" s="97">
        <v>0</v>
      </c>
      <c r="AX125" s="97">
        <v>0</v>
      </c>
      <c r="AY125" s="97">
        <v>0</v>
      </c>
      <c r="AZ125" s="97">
        <v>0</v>
      </c>
      <c r="BA125" s="97">
        <v>0</v>
      </c>
      <c r="BB125" s="97">
        <v>0</v>
      </c>
      <c r="BC125" s="97">
        <v>0</v>
      </c>
      <c r="BD125" s="97">
        <v>0</v>
      </c>
      <c r="BE125" s="97">
        <v>0</v>
      </c>
      <c r="BF125" s="97">
        <v>0</v>
      </c>
      <c r="BG125" s="97">
        <v>0</v>
      </c>
      <c r="BH125" s="97">
        <v>0</v>
      </c>
      <c r="BI125" s="97">
        <v>0</v>
      </c>
    </row>
    <row r="126" spans="1:61" x14ac:dyDescent="0.25">
      <c r="A126" s="95" t="s">
        <v>7</v>
      </c>
      <c r="B126" s="95" t="s">
        <v>136</v>
      </c>
      <c r="C126" s="96" t="s">
        <v>42</v>
      </c>
      <c r="D126" s="96" t="e">
        <f>#N/A</f>
        <v>#N/A</v>
      </c>
      <c r="E126" s="96" t="s">
        <v>279</v>
      </c>
      <c r="F126" s="96" t="s">
        <v>280</v>
      </c>
      <c r="G126" s="97">
        <f t="shared" si="1"/>
        <v>0</v>
      </c>
      <c r="H126" s="97">
        <f>SUMIF(I$1:BI$1,"&lt;="&amp;[2]PARAMETER!X$2,I126:BI126)</f>
        <v>0</v>
      </c>
      <c r="I126" s="97">
        <v>0</v>
      </c>
      <c r="J126" s="97">
        <v>0</v>
      </c>
      <c r="K126" s="97">
        <v>0</v>
      </c>
      <c r="L126" s="97">
        <v>0</v>
      </c>
      <c r="M126" s="97">
        <v>0</v>
      </c>
      <c r="N126" s="97">
        <v>0</v>
      </c>
      <c r="O126" s="97">
        <v>0</v>
      </c>
      <c r="P126" s="97">
        <v>0</v>
      </c>
      <c r="Q126" s="97">
        <v>0</v>
      </c>
      <c r="R126" s="97">
        <v>0</v>
      </c>
      <c r="S126" s="97">
        <v>0</v>
      </c>
      <c r="T126" s="97">
        <v>0</v>
      </c>
      <c r="U126" s="97">
        <v>0</v>
      </c>
      <c r="V126" s="97">
        <v>0</v>
      </c>
      <c r="W126" s="97">
        <v>0</v>
      </c>
      <c r="X126" s="97">
        <v>0</v>
      </c>
      <c r="Y126" s="97">
        <v>0</v>
      </c>
      <c r="Z126" s="97">
        <v>0</v>
      </c>
      <c r="AA126" s="97">
        <v>0</v>
      </c>
      <c r="AB126" s="97">
        <v>0</v>
      </c>
      <c r="AC126" s="97">
        <v>0</v>
      </c>
      <c r="AD126" s="97">
        <v>0</v>
      </c>
      <c r="AE126" s="97">
        <v>0</v>
      </c>
      <c r="AF126" s="97">
        <v>0</v>
      </c>
      <c r="AG126" s="97">
        <v>0</v>
      </c>
      <c r="AH126" s="97">
        <v>0</v>
      </c>
      <c r="AI126" s="97">
        <v>0</v>
      </c>
      <c r="AJ126" s="97">
        <v>0</v>
      </c>
      <c r="AK126" s="97">
        <v>0</v>
      </c>
      <c r="AL126" s="97">
        <v>0</v>
      </c>
      <c r="AM126" s="97">
        <v>0</v>
      </c>
      <c r="AN126" s="97">
        <v>0</v>
      </c>
      <c r="AO126" s="97">
        <v>0</v>
      </c>
      <c r="AP126" s="97">
        <v>0</v>
      </c>
      <c r="AQ126" s="97">
        <v>0</v>
      </c>
      <c r="AR126" s="97">
        <v>0</v>
      </c>
      <c r="AS126" s="97">
        <v>0</v>
      </c>
      <c r="AT126" s="97">
        <v>0</v>
      </c>
      <c r="AU126" s="97">
        <v>0</v>
      </c>
      <c r="AV126" s="97">
        <v>0</v>
      </c>
      <c r="AW126" s="97">
        <v>0</v>
      </c>
      <c r="AX126" s="97">
        <v>0</v>
      </c>
      <c r="AY126" s="97">
        <v>0</v>
      </c>
      <c r="AZ126" s="97">
        <v>0</v>
      </c>
      <c r="BA126" s="97">
        <v>0</v>
      </c>
      <c r="BB126" s="97">
        <v>0</v>
      </c>
      <c r="BC126" s="97">
        <v>0</v>
      </c>
      <c r="BD126" s="97">
        <v>0</v>
      </c>
      <c r="BE126" s="97">
        <v>0</v>
      </c>
      <c r="BF126" s="97">
        <v>0</v>
      </c>
      <c r="BG126" s="97">
        <v>0</v>
      </c>
      <c r="BH126" s="97">
        <v>0</v>
      </c>
      <c r="BI126" s="97">
        <v>0</v>
      </c>
    </row>
    <row r="127" spans="1:61" x14ac:dyDescent="0.25">
      <c r="A127" s="95" t="s">
        <v>7</v>
      </c>
      <c r="B127" s="95" t="s">
        <v>136</v>
      </c>
      <c r="C127" s="96" t="s">
        <v>40</v>
      </c>
      <c r="D127" s="96" t="e">
        <f>#N/A</f>
        <v>#N/A</v>
      </c>
      <c r="E127" s="96" t="s">
        <v>281</v>
      </c>
      <c r="F127" s="96" t="s">
        <v>282</v>
      </c>
      <c r="G127" s="97">
        <f t="shared" si="1"/>
        <v>0</v>
      </c>
      <c r="H127" s="97">
        <f>SUMIF(I$1:BI$1,"&lt;="&amp;[2]PARAMETER!X$2,I127:BI127)</f>
        <v>0</v>
      </c>
      <c r="I127" s="97">
        <v>0</v>
      </c>
      <c r="J127" s="97">
        <v>0</v>
      </c>
      <c r="K127" s="97">
        <v>0</v>
      </c>
      <c r="L127" s="97">
        <v>0</v>
      </c>
      <c r="M127" s="97">
        <v>0</v>
      </c>
      <c r="N127" s="97">
        <v>0</v>
      </c>
      <c r="O127" s="97">
        <v>0</v>
      </c>
      <c r="P127" s="97">
        <v>0</v>
      </c>
      <c r="Q127" s="97">
        <v>0</v>
      </c>
      <c r="R127" s="97">
        <v>0</v>
      </c>
      <c r="S127" s="97">
        <v>0</v>
      </c>
      <c r="T127" s="97">
        <v>0</v>
      </c>
      <c r="U127" s="97">
        <v>0</v>
      </c>
      <c r="V127" s="97">
        <v>0</v>
      </c>
      <c r="W127" s="97">
        <v>0</v>
      </c>
      <c r="X127" s="97">
        <v>0</v>
      </c>
      <c r="Y127" s="97">
        <v>0</v>
      </c>
      <c r="Z127" s="97">
        <v>0</v>
      </c>
      <c r="AA127" s="97">
        <v>0</v>
      </c>
      <c r="AB127" s="97">
        <v>0</v>
      </c>
      <c r="AC127" s="97">
        <v>0</v>
      </c>
      <c r="AD127" s="97">
        <v>0</v>
      </c>
      <c r="AE127" s="97">
        <v>0</v>
      </c>
      <c r="AF127" s="97">
        <v>0</v>
      </c>
      <c r="AG127" s="97">
        <v>0</v>
      </c>
      <c r="AH127" s="97">
        <v>0</v>
      </c>
      <c r="AI127" s="97">
        <v>0</v>
      </c>
      <c r="AJ127" s="97">
        <v>0</v>
      </c>
      <c r="AK127" s="97">
        <v>0</v>
      </c>
      <c r="AL127" s="97">
        <v>0</v>
      </c>
      <c r="AM127" s="97">
        <v>0</v>
      </c>
      <c r="AN127" s="97">
        <v>0</v>
      </c>
      <c r="AO127" s="97">
        <v>0</v>
      </c>
      <c r="AP127" s="97">
        <v>0</v>
      </c>
      <c r="AQ127" s="97">
        <v>0</v>
      </c>
      <c r="AR127" s="97">
        <v>0</v>
      </c>
      <c r="AS127" s="97">
        <v>0</v>
      </c>
      <c r="AT127" s="97">
        <v>0</v>
      </c>
      <c r="AU127" s="97">
        <v>0</v>
      </c>
      <c r="AV127" s="97">
        <v>0</v>
      </c>
      <c r="AW127" s="97">
        <v>0</v>
      </c>
      <c r="AX127" s="97">
        <v>0</v>
      </c>
      <c r="AY127" s="97">
        <v>0</v>
      </c>
      <c r="AZ127" s="97">
        <v>0</v>
      </c>
      <c r="BA127" s="97">
        <v>0</v>
      </c>
      <c r="BB127" s="97">
        <v>0</v>
      </c>
      <c r="BC127" s="97">
        <v>0</v>
      </c>
      <c r="BD127" s="97">
        <v>0</v>
      </c>
      <c r="BE127" s="97">
        <v>0</v>
      </c>
      <c r="BF127" s="97">
        <v>0</v>
      </c>
      <c r="BG127" s="97">
        <v>0</v>
      </c>
      <c r="BH127" s="97">
        <v>0</v>
      </c>
      <c r="BI127" s="97">
        <v>0</v>
      </c>
    </row>
    <row r="128" spans="1:61" x14ac:dyDescent="0.25">
      <c r="A128" s="95" t="s">
        <v>20</v>
      </c>
      <c r="B128" s="95" t="s">
        <v>136</v>
      </c>
      <c r="C128" s="96" t="s">
        <v>41</v>
      </c>
      <c r="D128" s="96" t="e">
        <f>#N/A</f>
        <v>#N/A</v>
      </c>
      <c r="E128" s="96" t="s">
        <v>277</v>
      </c>
      <c r="F128" s="96" t="s">
        <v>283</v>
      </c>
      <c r="G128" s="97">
        <f t="shared" si="1"/>
        <v>0</v>
      </c>
      <c r="H128" s="97">
        <f>SUMIF(I$1:BI$1,"&lt;="&amp;[2]PARAMETER!X$2,I128:BI128)</f>
        <v>0</v>
      </c>
      <c r="I128" s="97">
        <v>0</v>
      </c>
      <c r="J128" s="97">
        <v>0</v>
      </c>
      <c r="K128" s="97">
        <v>0</v>
      </c>
      <c r="L128" s="97">
        <v>0</v>
      </c>
      <c r="M128" s="97">
        <v>0</v>
      </c>
      <c r="N128" s="97">
        <v>0</v>
      </c>
      <c r="O128" s="97">
        <v>0</v>
      </c>
      <c r="P128" s="97">
        <v>0</v>
      </c>
      <c r="Q128" s="97">
        <v>0</v>
      </c>
      <c r="R128" s="97">
        <v>0</v>
      </c>
      <c r="S128" s="97">
        <v>0</v>
      </c>
      <c r="T128" s="97">
        <v>0</v>
      </c>
      <c r="U128" s="97">
        <v>0</v>
      </c>
      <c r="V128" s="97">
        <v>0</v>
      </c>
      <c r="W128" s="97">
        <v>0</v>
      </c>
      <c r="X128" s="97">
        <v>0</v>
      </c>
      <c r="Y128" s="97">
        <v>0</v>
      </c>
      <c r="Z128" s="97">
        <v>0</v>
      </c>
      <c r="AA128" s="97">
        <v>0</v>
      </c>
      <c r="AB128" s="97">
        <v>0</v>
      </c>
      <c r="AC128" s="97">
        <v>0</v>
      </c>
      <c r="AD128" s="97">
        <v>0</v>
      </c>
      <c r="AE128" s="97">
        <v>0</v>
      </c>
      <c r="AF128" s="97">
        <v>0</v>
      </c>
      <c r="AG128" s="97">
        <v>0</v>
      </c>
      <c r="AH128" s="97">
        <v>0</v>
      </c>
      <c r="AI128" s="97">
        <v>0</v>
      </c>
      <c r="AJ128" s="97">
        <v>0</v>
      </c>
      <c r="AK128" s="97">
        <v>0</v>
      </c>
      <c r="AL128" s="97">
        <v>0</v>
      </c>
      <c r="AM128" s="97">
        <v>0</v>
      </c>
      <c r="AN128" s="97">
        <v>0</v>
      </c>
      <c r="AO128" s="97">
        <v>0</v>
      </c>
      <c r="AP128" s="97">
        <v>0</v>
      </c>
      <c r="AQ128" s="97">
        <v>0</v>
      </c>
      <c r="AR128" s="97">
        <v>0</v>
      </c>
      <c r="AS128" s="97">
        <v>0</v>
      </c>
      <c r="AT128" s="97">
        <v>0</v>
      </c>
      <c r="AU128" s="97">
        <v>0</v>
      </c>
      <c r="AV128" s="97">
        <v>0</v>
      </c>
      <c r="AW128" s="97">
        <v>0</v>
      </c>
      <c r="AX128" s="97">
        <v>0</v>
      </c>
      <c r="AY128" s="97">
        <v>0</v>
      </c>
      <c r="AZ128" s="97">
        <v>0</v>
      </c>
      <c r="BA128" s="97">
        <v>0</v>
      </c>
      <c r="BB128" s="97">
        <v>0</v>
      </c>
      <c r="BC128" s="97">
        <v>0</v>
      </c>
      <c r="BD128" s="97">
        <v>0</v>
      </c>
      <c r="BE128" s="97">
        <v>0</v>
      </c>
      <c r="BF128" s="97">
        <v>0</v>
      </c>
      <c r="BG128" s="97">
        <v>0</v>
      </c>
      <c r="BH128" s="97">
        <v>0</v>
      </c>
      <c r="BI128" s="97">
        <v>0</v>
      </c>
    </row>
    <row r="129" spans="1:61" x14ac:dyDescent="0.25">
      <c r="A129" s="95" t="s">
        <v>20</v>
      </c>
      <c r="B129" s="95" t="s">
        <v>136</v>
      </c>
      <c r="C129" s="96" t="s">
        <v>42</v>
      </c>
      <c r="D129" s="96" t="e">
        <f>#N/A</f>
        <v>#N/A</v>
      </c>
      <c r="E129" s="96" t="s">
        <v>279</v>
      </c>
      <c r="F129" s="96" t="s">
        <v>284</v>
      </c>
      <c r="G129" s="97">
        <f t="shared" si="1"/>
        <v>0</v>
      </c>
      <c r="H129" s="97">
        <f>SUMIF(I$1:BI$1,"&lt;="&amp;[2]PARAMETER!X$2,I129:BI129)</f>
        <v>0</v>
      </c>
      <c r="I129" s="97">
        <v>0</v>
      </c>
      <c r="J129" s="97">
        <v>0</v>
      </c>
      <c r="K129" s="97">
        <v>0</v>
      </c>
      <c r="L129" s="97">
        <v>0</v>
      </c>
      <c r="M129" s="97">
        <v>0</v>
      </c>
      <c r="N129" s="97">
        <v>0</v>
      </c>
      <c r="O129" s="97">
        <v>0</v>
      </c>
      <c r="P129" s="97">
        <v>0</v>
      </c>
      <c r="Q129" s="97">
        <v>0</v>
      </c>
      <c r="R129" s="97">
        <v>0</v>
      </c>
      <c r="S129" s="97">
        <v>0</v>
      </c>
      <c r="T129" s="97">
        <v>0</v>
      </c>
      <c r="U129" s="97">
        <v>0</v>
      </c>
      <c r="V129" s="97">
        <v>0</v>
      </c>
      <c r="W129" s="97">
        <v>0</v>
      </c>
      <c r="X129" s="97">
        <v>0</v>
      </c>
      <c r="Y129" s="97">
        <v>0</v>
      </c>
      <c r="Z129" s="97">
        <v>0</v>
      </c>
      <c r="AA129" s="97">
        <v>0</v>
      </c>
      <c r="AB129" s="97">
        <v>0</v>
      </c>
      <c r="AC129" s="97">
        <v>0</v>
      </c>
      <c r="AD129" s="97">
        <v>0</v>
      </c>
      <c r="AE129" s="97">
        <v>0</v>
      </c>
      <c r="AF129" s="97">
        <v>0</v>
      </c>
      <c r="AG129" s="97">
        <v>0</v>
      </c>
      <c r="AH129" s="97">
        <v>0</v>
      </c>
      <c r="AI129" s="97">
        <v>0</v>
      </c>
      <c r="AJ129" s="97">
        <v>0</v>
      </c>
      <c r="AK129" s="97">
        <v>0</v>
      </c>
      <c r="AL129" s="97">
        <v>0</v>
      </c>
      <c r="AM129" s="97">
        <v>0</v>
      </c>
      <c r="AN129" s="97">
        <v>0</v>
      </c>
      <c r="AO129" s="97">
        <v>0</v>
      </c>
      <c r="AP129" s="97">
        <v>0</v>
      </c>
      <c r="AQ129" s="97">
        <v>0</v>
      </c>
      <c r="AR129" s="97">
        <v>0</v>
      </c>
      <c r="AS129" s="97">
        <v>0</v>
      </c>
      <c r="AT129" s="97">
        <v>0</v>
      </c>
      <c r="AU129" s="97">
        <v>0</v>
      </c>
      <c r="AV129" s="97">
        <v>0</v>
      </c>
      <c r="AW129" s="97">
        <v>0</v>
      </c>
      <c r="AX129" s="97">
        <v>0</v>
      </c>
      <c r="AY129" s="97">
        <v>0</v>
      </c>
      <c r="AZ129" s="97">
        <v>0</v>
      </c>
      <c r="BA129" s="97">
        <v>0</v>
      </c>
      <c r="BB129" s="97">
        <v>0</v>
      </c>
      <c r="BC129" s="97">
        <v>0</v>
      </c>
      <c r="BD129" s="97">
        <v>0</v>
      </c>
      <c r="BE129" s="97">
        <v>0</v>
      </c>
      <c r="BF129" s="97">
        <v>0</v>
      </c>
      <c r="BG129" s="97">
        <v>0</v>
      </c>
      <c r="BH129" s="97">
        <v>0</v>
      </c>
      <c r="BI129" s="97">
        <v>0</v>
      </c>
    </row>
    <row r="130" spans="1:61" x14ac:dyDescent="0.25">
      <c r="A130" s="95" t="s">
        <v>20</v>
      </c>
      <c r="B130" s="95" t="s">
        <v>136</v>
      </c>
      <c r="C130" s="96" t="s">
        <v>40</v>
      </c>
      <c r="D130" s="96" t="e">
        <f>#N/A</f>
        <v>#N/A</v>
      </c>
      <c r="E130" s="96" t="s">
        <v>281</v>
      </c>
      <c r="F130" s="96" t="s">
        <v>285</v>
      </c>
      <c r="G130" s="97">
        <f t="shared" ref="G130:G136" si="2">SUM(I130:BI130)</f>
        <v>0</v>
      </c>
      <c r="H130" s="97">
        <f>SUMIF(I$1:BI$1,"&lt;="&amp;[2]PARAMETER!X$2,I130:BI130)</f>
        <v>0</v>
      </c>
      <c r="I130" s="97">
        <v>0</v>
      </c>
      <c r="J130" s="97">
        <v>0</v>
      </c>
      <c r="K130" s="97">
        <v>0</v>
      </c>
      <c r="L130" s="97">
        <v>0</v>
      </c>
      <c r="M130" s="97">
        <v>0</v>
      </c>
      <c r="N130" s="97">
        <v>0</v>
      </c>
      <c r="O130" s="97">
        <v>0</v>
      </c>
      <c r="P130" s="97">
        <v>0</v>
      </c>
      <c r="Q130" s="97">
        <v>0</v>
      </c>
      <c r="R130" s="97">
        <v>0</v>
      </c>
      <c r="S130" s="97">
        <v>0</v>
      </c>
      <c r="T130" s="97">
        <v>0</v>
      </c>
      <c r="U130" s="97">
        <v>0</v>
      </c>
      <c r="V130" s="97">
        <v>0</v>
      </c>
      <c r="W130" s="97">
        <v>0</v>
      </c>
      <c r="X130" s="97">
        <v>0</v>
      </c>
      <c r="Y130" s="97">
        <v>0</v>
      </c>
      <c r="Z130" s="97">
        <v>0</v>
      </c>
      <c r="AA130" s="97">
        <v>0</v>
      </c>
      <c r="AB130" s="97">
        <v>0</v>
      </c>
      <c r="AC130" s="97">
        <v>0</v>
      </c>
      <c r="AD130" s="97">
        <v>0</v>
      </c>
      <c r="AE130" s="97">
        <v>0</v>
      </c>
      <c r="AF130" s="97">
        <v>0</v>
      </c>
      <c r="AG130" s="97">
        <v>0</v>
      </c>
      <c r="AH130" s="97">
        <v>0</v>
      </c>
      <c r="AI130" s="97">
        <v>0</v>
      </c>
      <c r="AJ130" s="97">
        <v>0</v>
      </c>
      <c r="AK130" s="97">
        <v>0</v>
      </c>
      <c r="AL130" s="97">
        <v>0</v>
      </c>
      <c r="AM130" s="97">
        <v>0</v>
      </c>
      <c r="AN130" s="97">
        <v>0</v>
      </c>
      <c r="AO130" s="97">
        <v>0</v>
      </c>
      <c r="AP130" s="97">
        <v>0</v>
      </c>
      <c r="AQ130" s="97">
        <v>0</v>
      </c>
      <c r="AR130" s="97">
        <v>0</v>
      </c>
      <c r="AS130" s="97">
        <v>0</v>
      </c>
      <c r="AT130" s="97">
        <v>0</v>
      </c>
      <c r="AU130" s="97">
        <v>0</v>
      </c>
      <c r="AV130" s="97">
        <v>0</v>
      </c>
      <c r="AW130" s="97">
        <v>0</v>
      </c>
      <c r="AX130" s="97">
        <v>0</v>
      </c>
      <c r="AY130" s="97">
        <v>0</v>
      </c>
      <c r="AZ130" s="97">
        <v>0</v>
      </c>
      <c r="BA130" s="97">
        <v>0</v>
      </c>
      <c r="BB130" s="97">
        <v>0</v>
      </c>
      <c r="BC130" s="97">
        <v>0</v>
      </c>
      <c r="BD130" s="97">
        <v>0</v>
      </c>
      <c r="BE130" s="97">
        <v>0</v>
      </c>
      <c r="BF130" s="97">
        <v>0</v>
      </c>
      <c r="BG130" s="97">
        <v>0</v>
      </c>
      <c r="BH130" s="97">
        <v>0</v>
      </c>
      <c r="BI130" s="97">
        <v>0</v>
      </c>
    </row>
    <row r="131" spans="1:61" x14ac:dyDescent="0.25">
      <c r="A131" s="95" t="s">
        <v>12</v>
      </c>
      <c r="B131" s="95" t="s">
        <v>136</v>
      </c>
      <c r="C131" s="96" t="s">
        <v>41</v>
      </c>
      <c r="D131" s="96" t="e">
        <f>#N/A</f>
        <v>#N/A</v>
      </c>
      <c r="E131" s="96" t="s">
        <v>277</v>
      </c>
      <c r="F131" s="96" t="s">
        <v>286</v>
      </c>
      <c r="G131" s="97">
        <f t="shared" si="2"/>
        <v>0</v>
      </c>
      <c r="H131" s="97">
        <f>SUMIF(I$1:BI$1,"&lt;="&amp;[2]PARAMETER!X$2,I131:BI131)</f>
        <v>0</v>
      </c>
      <c r="I131" s="97">
        <v>0</v>
      </c>
      <c r="J131" s="97">
        <v>0</v>
      </c>
      <c r="K131" s="97">
        <v>0</v>
      </c>
      <c r="L131" s="97">
        <v>0</v>
      </c>
      <c r="M131" s="97">
        <v>0</v>
      </c>
      <c r="N131" s="97">
        <v>0</v>
      </c>
      <c r="O131" s="97">
        <v>0</v>
      </c>
      <c r="P131" s="97">
        <v>0</v>
      </c>
      <c r="Q131" s="97">
        <v>0</v>
      </c>
      <c r="R131" s="97">
        <v>0</v>
      </c>
      <c r="S131" s="97">
        <v>0</v>
      </c>
      <c r="T131" s="97">
        <v>0</v>
      </c>
      <c r="U131" s="97">
        <v>0</v>
      </c>
      <c r="V131" s="97">
        <v>0</v>
      </c>
      <c r="W131" s="97">
        <v>0</v>
      </c>
      <c r="X131" s="97">
        <v>0</v>
      </c>
      <c r="Y131" s="97">
        <v>0</v>
      </c>
      <c r="Z131" s="97">
        <v>0</v>
      </c>
      <c r="AA131" s="97">
        <v>0</v>
      </c>
      <c r="AB131" s="97">
        <v>0</v>
      </c>
      <c r="AC131" s="97">
        <v>0</v>
      </c>
      <c r="AD131" s="97">
        <v>0</v>
      </c>
      <c r="AE131" s="97">
        <v>0</v>
      </c>
      <c r="AF131" s="97">
        <v>0</v>
      </c>
      <c r="AG131" s="97">
        <v>0</v>
      </c>
      <c r="AH131" s="97">
        <v>0</v>
      </c>
      <c r="AI131" s="97">
        <v>0</v>
      </c>
      <c r="AJ131" s="97">
        <v>0</v>
      </c>
      <c r="AK131" s="97">
        <v>0</v>
      </c>
      <c r="AL131" s="97">
        <v>0</v>
      </c>
      <c r="AM131" s="97">
        <v>0</v>
      </c>
      <c r="AN131" s="97">
        <v>0</v>
      </c>
      <c r="AO131" s="97">
        <v>0</v>
      </c>
      <c r="AP131" s="97">
        <v>0</v>
      </c>
      <c r="AQ131" s="97">
        <v>0</v>
      </c>
      <c r="AR131" s="97">
        <v>0</v>
      </c>
      <c r="AS131" s="97">
        <v>0</v>
      </c>
      <c r="AT131" s="97">
        <v>0</v>
      </c>
      <c r="AU131" s="97">
        <v>0</v>
      </c>
      <c r="AV131" s="97">
        <v>0</v>
      </c>
      <c r="AW131" s="97">
        <v>0</v>
      </c>
      <c r="AX131" s="97">
        <v>0</v>
      </c>
      <c r="AY131" s="97">
        <v>0</v>
      </c>
      <c r="AZ131" s="97">
        <v>0</v>
      </c>
      <c r="BA131" s="97">
        <v>0</v>
      </c>
      <c r="BB131" s="97">
        <v>0</v>
      </c>
      <c r="BC131" s="97">
        <v>0</v>
      </c>
      <c r="BD131" s="97">
        <v>0</v>
      </c>
      <c r="BE131" s="97">
        <v>0</v>
      </c>
      <c r="BF131" s="97">
        <v>0</v>
      </c>
      <c r="BG131" s="97">
        <v>0</v>
      </c>
      <c r="BH131" s="97">
        <v>0</v>
      </c>
      <c r="BI131" s="97">
        <v>0</v>
      </c>
    </row>
    <row r="132" spans="1:61" x14ac:dyDescent="0.25">
      <c r="A132" s="95" t="s">
        <v>12</v>
      </c>
      <c r="B132" s="95" t="s">
        <v>136</v>
      </c>
      <c r="C132" s="96" t="s">
        <v>42</v>
      </c>
      <c r="D132" s="96" t="e">
        <f>#N/A</f>
        <v>#N/A</v>
      </c>
      <c r="E132" s="96" t="s">
        <v>279</v>
      </c>
      <c r="F132" s="96" t="s">
        <v>287</v>
      </c>
      <c r="G132" s="97">
        <f t="shared" si="2"/>
        <v>0</v>
      </c>
      <c r="H132" s="97">
        <f>SUMIF(I$1:BI$1,"&lt;="&amp;[2]PARAMETER!X$2,I132:BI132)</f>
        <v>0</v>
      </c>
      <c r="I132" s="97">
        <v>0</v>
      </c>
      <c r="J132" s="97">
        <v>0</v>
      </c>
      <c r="K132" s="97">
        <v>0</v>
      </c>
      <c r="L132" s="97">
        <v>0</v>
      </c>
      <c r="M132" s="97">
        <v>0</v>
      </c>
      <c r="N132" s="97">
        <v>0</v>
      </c>
      <c r="O132" s="97">
        <v>0</v>
      </c>
      <c r="P132" s="97">
        <v>0</v>
      </c>
      <c r="Q132" s="97">
        <v>0</v>
      </c>
      <c r="R132" s="97">
        <v>0</v>
      </c>
      <c r="S132" s="97">
        <v>0</v>
      </c>
      <c r="T132" s="97">
        <v>0</v>
      </c>
      <c r="U132" s="97">
        <v>0</v>
      </c>
      <c r="V132" s="97">
        <v>0</v>
      </c>
      <c r="W132" s="97">
        <v>0</v>
      </c>
      <c r="X132" s="97">
        <v>0</v>
      </c>
      <c r="Y132" s="97">
        <v>0</v>
      </c>
      <c r="Z132" s="97">
        <v>0</v>
      </c>
      <c r="AA132" s="97">
        <v>0</v>
      </c>
      <c r="AB132" s="97">
        <v>0</v>
      </c>
      <c r="AC132" s="97">
        <v>0</v>
      </c>
      <c r="AD132" s="97">
        <v>0</v>
      </c>
      <c r="AE132" s="97">
        <v>0</v>
      </c>
      <c r="AF132" s="97">
        <v>0</v>
      </c>
      <c r="AG132" s="97">
        <v>0</v>
      </c>
      <c r="AH132" s="97">
        <v>0</v>
      </c>
      <c r="AI132" s="97">
        <v>0</v>
      </c>
      <c r="AJ132" s="97">
        <v>0</v>
      </c>
      <c r="AK132" s="97">
        <v>0</v>
      </c>
      <c r="AL132" s="97">
        <v>0</v>
      </c>
      <c r="AM132" s="97">
        <v>0</v>
      </c>
      <c r="AN132" s="97">
        <v>0</v>
      </c>
      <c r="AO132" s="97">
        <v>0</v>
      </c>
      <c r="AP132" s="97">
        <v>0</v>
      </c>
      <c r="AQ132" s="97">
        <v>0</v>
      </c>
      <c r="AR132" s="97">
        <v>0</v>
      </c>
      <c r="AS132" s="97">
        <v>0</v>
      </c>
      <c r="AT132" s="97">
        <v>0</v>
      </c>
      <c r="AU132" s="97">
        <v>0</v>
      </c>
      <c r="AV132" s="97">
        <v>0</v>
      </c>
      <c r="AW132" s="97">
        <v>0</v>
      </c>
      <c r="AX132" s="97">
        <v>0</v>
      </c>
      <c r="AY132" s="97">
        <v>0</v>
      </c>
      <c r="AZ132" s="97">
        <v>0</v>
      </c>
      <c r="BA132" s="97">
        <v>0</v>
      </c>
      <c r="BB132" s="97">
        <v>0</v>
      </c>
      <c r="BC132" s="97">
        <v>0</v>
      </c>
      <c r="BD132" s="97">
        <v>0</v>
      </c>
      <c r="BE132" s="97">
        <v>0</v>
      </c>
      <c r="BF132" s="97">
        <v>0</v>
      </c>
      <c r="BG132" s="97">
        <v>0</v>
      </c>
      <c r="BH132" s="97">
        <v>0</v>
      </c>
      <c r="BI132" s="97">
        <v>0</v>
      </c>
    </row>
    <row r="133" spans="1:61" x14ac:dyDescent="0.25">
      <c r="A133" s="95" t="s">
        <v>12</v>
      </c>
      <c r="B133" s="95" t="s">
        <v>136</v>
      </c>
      <c r="C133" s="96" t="s">
        <v>40</v>
      </c>
      <c r="D133" s="96" t="e">
        <f>#N/A</f>
        <v>#N/A</v>
      </c>
      <c r="E133" s="96" t="s">
        <v>281</v>
      </c>
      <c r="F133" s="96" t="s">
        <v>288</v>
      </c>
      <c r="G133" s="97">
        <f t="shared" si="2"/>
        <v>0</v>
      </c>
      <c r="H133" s="97">
        <f>SUMIF(I$1:BI$1,"&lt;="&amp;[2]PARAMETER!X$2,I133:BI133)</f>
        <v>0</v>
      </c>
      <c r="I133" s="97">
        <v>0</v>
      </c>
      <c r="J133" s="97">
        <v>0</v>
      </c>
      <c r="K133" s="97">
        <v>0</v>
      </c>
      <c r="L133" s="97">
        <v>0</v>
      </c>
      <c r="M133" s="97">
        <v>0</v>
      </c>
      <c r="N133" s="97">
        <v>0</v>
      </c>
      <c r="O133" s="97">
        <v>0</v>
      </c>
      <c r="P133" s="97">
        <v>0</v>
      </c>
      <c r="Q133" s="97">
        <v>0</v>
      </c>
      <c r="R133" s="97">
        <v>0</v>
      </c>
      <c r="S133" s="97">
        <v>0</v>
      </c>
      <c r="T133" s="97">
        <v>0</v>
      </c>
      <c r="U133" s="97">
        <v>0</v>
      </c>
      <c r="V133" s="97">
        <v>0</v>
      </c>
      <c r="W133" s="97">
        <v>0</v>
      </c>
      <c r="X133" s="97">
        <v>0</v>
      </c>
      <c r="Y133" s="97">
        <v>0</v>
      </c>
      <c r="Z133" s="97">
        <v>0</v>
      </c>
      <c r="AA133" s="97">
        <v>0</v>
      </c>
      <c r="AB133" s="97">
        <v>0</v>
      </c>
      <c r="AC133" s="97">
        <v>0</v>
      </c>
      <c r="AD133" s="97">
        <v>0</v>
      </c>
      <c r="AE133" s="97">
        <v>0</v>
      </c>
      <c r="AF133" s="97">
        <v>0</v>
      </c>
      <c r="AG133" s="97">
        <v>0</v>
      </c>
      <c r="AH133" s="97">
        <v>0</v>
      </c>
      <c r="AI133" s="97">
        <v>0</v>
      </c>
      <c r="AJ133" s="97">
        <v>0</v>
      </c>
      <c r="AK133" s="97">
        <v>0</v>
      </c>
      <c r="AL133" s="97">
        <v>0</v>
      </c>
      <c r="AM133" s="97">
        <v>0</v>
      </c>
      <c r="AN133" s="97">
        <v>0</v>
      </c>
      <c r="AO133" s="97">
        <v>0</v>
      </c>
      <c r="AP133" s="97">
        <v>0</v>
      </c>
      <c r="AQ133" s="97">
        <v>0</v>
      </c>
      <c r="AR133" s="97">
        <v>0</v>
      </c>
      <c r="AS133" s="97">
        <v>0</v>
      </c>
      <c r="AT133" s="97">
        <v>0</v>
      </c>
      <c r="AU133" s="97">
        <v>0</v>
      </c>
      <c r="AV133" s="97">
        <v>0</v>
      </c>
      <c r="AW133" s="97">
        <v>0</v>
      </c>
      <c r="AX133" s="97">
        <v>0</v>
      </c>
      <c r="AY133" s="97">
        <v>0</v>
      </c>
      <c r="AZ133" s="97">
        <v>0</v>
      </c>
      <c r="BA133" s="97">
        <v>0</v>
      </c>
      <c r="BB133" s="97">
        <v>0</v>
      </c>
      <c r="BC133" s="97">
        <v>0</v>
      </c>
      <c r="BD133" s="97">
        <v>0</v>
      </c>
      <c r="BE133" s="97">
        <v>0</v>
      </c>
      <c r="BF133" s="97">
        <v>0</v>
      </c>
      <c r="BG133" s="97">
        <v>0</v>
      </c>
      <c r="BH133" s="97">
        <v>0</v>
      </c>
      <c r="BI133" s="97">
        <v>0</v>
      </c>
    </row>
    <row r="134" spans="1:61" x14ac:dyDescent="0.25">
      <c r="A134" s="95" t="s">
        <v>9</v>
      </c>
      <c r="B134" s="95" t="s">
        <v>136</v>
      </c>
      <c r="C134" s="96" t="s">
        <v>41</v>
      </c>
      <c r="D134" s="96" t="e">
        <f>#N/A</f>
        <v>#N/A</v>
      </c>
      <c r="E134" s="96" t="s">
        <v>277</v>
      </c>
      <c r="F134" s="96" t="s">
        <v>289</v>
      </c>
      <c r="G134" s="97">
        <f t="shared" si="2"/>
        <v>0</v>
      </c>
      <c r="H134" s="97">
        <f>SUMIF(I$1:BI$1,"&lt;="&amp;[2]PARAMETER!X$2,I134:BI134)</f>
        <v>0</v>
      </c>
      <c r="I134" s="97">
        <v>0</v>
      </c>
      <c r="J134" s="97">
        <v>0</v>
      </c>
      <c r="K134" s="97">
        <v>0</v>
      </c>
      <c r="L134" s="97">
        <v>0</v>
      </c>
      <c r="M134" s="97">
        <v>0</v>
      </c>
      <c r="N134" s="97">
        <v>0</v>
      </c>
      <c r="O134" s="97">
        <v>0</v>
      </c>
      <c r="P134" s="97">
        <v>0</v>
      </c>
      <c r="Q134" s="97">
        <v>0</v>
      </c>
      <c r="R134" s="97">
        <v>0</v>
      </c>
      <c r="S134" s="97">
        <v>0</v>
      </c>
      <c r="T134" s="97">
        <v>0</v>
      </c>
      <c r="U134" s="97">
        <v>0</v>
      </c>
      <c r="V134" s="97">
        <v>0</v>
      </c>
      <c r="W134" s="97">
        <v>0</v>
      </c>
      <c r="X134" s="97">
        <v>0</v>
      </c>
      <c r="Y134" s="97">
        <v>0</v>
      </c>
      <c r="Z134" s="97">
        <v>0</v>
      </c>
      <c r="AA134" s="97">
        <v>0</v>
      </c>
      <c r="AB134" s="97">
        <v>0</v>
      </c>
      <c r="AC134" s="97">
        <v>0</v>
      </c>
      <c r="AD134" s="97">
        <v>0</v>
      </c>
      <c r="AE134" s="97">
        <v>0</v>
      </c>
      <c r="AF134" s="97">
        <v>0</v>
      </c>
      <c r="AG134" s="97">
        <v>0</v>
      </c>
      <c r="AH134" s="97">
        <v>0</v>
      </c>
      <c r="AI134" s="97">
        <v>0</v>
      </c>
      <c r="AJ134" s="97">
        <v>0</v>
      </c>
      <c r="AK134" s="97">
        <v>0</v>
      </c>
      <c r="AL134" s="97">
        <v>0</v>
      </c>
      <c r="AM134" s="97">
        <v>0</v>
      </c>
      <c r="AN134" s="97">
        <v>0</v>
      </c>
      <c r="AO134" s="97">
        <v>0</v>
      </c>
      <c r="AP134" s="97">
        <v>0</v>
      </c>
      <c r="AQ134" s="97">
        <v>0</v>
      </c>
      <c r="AR134" s="97">
        <v>0</v>
      </c>
      <c r="AS134" s="97">
        <v>0</v>
      </c>
      <c r="AT134" s="97">
        <v>0</v>
      </c>
      <c r="AU134" s="97">
        <v>0</v>
      </c>
      <c r="AV134" s="97">
        <v>0</v>
      </c>
      <c r="AW134" s="97">
        <v>0</v>
      </c>
      <c r="AX134" s="97">
        <v>0</v>
      </c>
      <c r="AY134" s="97">
        <v>0</v>
      </c>
      <c r="AZ134" s="97">
        <v>0</v>
      </c>
      <c r="BA134" s="97">
        <v>0</v>
      </c>
      <c r="BB134" s="97">
        <v>0</v>
      </c>
      <c r="BC134" s="97">
        <v>0</v>
      </c>
      <c r="BD134" s="97">
        <v>0</v>
      </c>
      <c r="BE134" s="97">
        <v>0</v>
      </c>
      <c r="BF134" s="97">
        <v>0</v>
      </c>
      <c r="BG134" s="97">
        <v>0</v>
      </c>
      <c r="BH134" s="97">
        <v>0</v>
      </c>
      <c r="BI134" s="97">
        <v>0</v>
      </c>
    </row>
    <row r="135" spans="1:61" x14ac:dyDescent="0.25">
      <c r="A135" s="95" t="s">
        <v>9</v>
      </c>
      <c r="B135" s="95" t="s">
        <v>136</v>
      </c>
      <c r="C135" s="96" t="s">
        <v>42</v>
      </c>
      <c r="D135" s="96" t="e">
        <f>#N/A</f>
        <v>#N/A</v>
      </c>
      <c r="E135" s="96" t="s">
        <v>279</v>
      </c>
      <c r="F135" s="96" t="s">
        <v>290</v>
      </c>
      <c r="G135" s="97">
        <f t="shared" si="2"/>
        <v>0</v>
      </c>
      <c r="H135" s="97">
        <f>SUMIF(I$1:BI$1,"&lt;="&amp;[2]PARAMETER!X$2,I135:BI135)</f>
        <v>0</v>
      </c>
      <c r="I135" s="97">
        <v>0</v>
      </c>
      <c r="J135" s="97">
        <v>0</v>
      </c>
      <c r="K135" s="97">
        <v>0</v>
      </c>
      <c r="L135" s="97">
        <v>0</v>
      </c>
      <c r="M135" s="97">
        <v>0</v>
      </c>
      <c r="N135" s="97">
        <v>0</v>
      </c>
      <c r="O135" s="97">
        <v>0</v>
      </c>
      <c r="P135" s="97">
        <v>0</v>
      </c>
      <c r="Q135" s="97">
        <v>0</v>
      </c>
      <c r="R135" s="97">
        <v>0</v>
      </c>
      <c r="S135" s="97">
        <v>0</v>
      </c>
      <c r="T135" s="97">
        <v>0</v>
      </c>
      <c r="U135" s="97">
        <v>0</v>
      </c>
      <c r="V135" s="97">
        <v>0</v>
      </c>
      <c r="W135" s="97">
        <v>0</v>
      </c>
      <c r="X135" s="97">
        <v>0</v>
      </c>
      <c r="Y135" s="97">
        <v>0</v>
      </c>
      <c r="Z135" s="97">
        <v>0</v>
      </c>
      <c r="AA135" s="97">
        <v>0</v>
      </c>
      <c r="AB135" s="97">
        <v>0</v>
      </c>
      <c r="AC135" s="97">
        <v>0</v>
      </c>
      <c r="AD135" s="97">
        <v>0</v>
      </c>
      <c r="AE135" s="97">
        <v>0</v>
      </c>
      <c r="AF135" s="97">
        <v>0</v>
      </c>
      <c r="AG135" s="97">
        <v>0</v>
      </c>
      <c r="AH135" s="97">
        <v>0</v>
      </c>
      <c r="AI135" s="97">
        <v>0</v>
      </c>
      <c r="AJ135" s="97">
        <v>0</v>
      </c>
      <c r="AK135" s="97">
        <v>0</v>
      </c>
      <c r="AL135" s="97">
        <v>0</v>
      </c>
      <c r="AM135" s="97">
        <v>0</v>
      </c>
      <c r="AN135" s="97">
        <v>0</v>
      </c>
      <c r="AO135" s="97">
        <v>0</v>
      </c>
      <c r="AP135" s="97">
        <v>0</v>
      </c>
      <c r="AQ135" s="97">
        <v>0</v>
      </c>
      <c r="AR135" s="97">
        <v>0</v>
      </c>
      <c r="AS135" s="97">
        <v>0</v>
      </c>
      <c r="AT135" s="97">
        <v>0</v>
      </c>
      <c r="AU135" s="97">
        <v>0</v>
      </c>
      <c r="AV135" s="97">
        <v>0</v>
      </c>
      <c r="AW135" s="97">
        <v>0</v>
      </c>
      <c r="AX135" s="97">
        <v>0</v>
      </c>
      <c r="AY135" s="97">
        <v>0</v>
      </c>
      <c r="AZ135" s="97">
        <v>0</v>
      </c>
      <c r="BA135" s="97">
        <v>0</v>
      </c>
      <c r="BB135" s="97">
        <v>0</v>
      </c>
      <c r="BC135" s="97">
        <v>0</v>
      </c>
      <c r="BD135" s="97">
        <v>0</v>
      </c>
      <c r="BE135" s="97">
        <v>0</v>
      </c>
      <c r="BF135" s="97">
        <v>0</v>
      </c>
      <c r="BG135" s="97">
        <v>0</v>
      </c>
      <c r="BH135" s="97">
        <v>0</v>
      </c>
      <c r="BI135" s="97">
        <v>0</v>
      </c>
    </row>
    <row r="136" spans="1:61" x14ac:dyDescent="0.25">
      <c r="A136" s="95" t="s">
        <v>9</v>
      </c>
      <c r="B136" s="95" t="s">
        <v>136</v>
      </c>
      <c r="C136" s="96" t="s">
        <v>40</v>
      </c>
      <c r="D136" s="96" t="e">
        <f>#N/A</f>
        <v>#N/A</v>
      </c>
      <c r="E136" s="96" t="s">
        <v>281</v>
      </c>
      <c r="F136" s="96" t="s">
        <v>291</v>
      </c>
      <c r="G136" s="97">
        <f t="shared" si="2"/>
        <v>0</v>
      </c>
      <c r="H136" s="97">
        <f>SUMIF(I$1:BI$1,"&lt;="&amp;[2]PARAMETER!X$2,I136:BI136)</f>
        <v>0</v>
      </c>
      <c r="I136" s="97">
        <v>0</v>
      </c>
      <c r="J136" s="97">
        <v>0</v>
      </c>
      <c r="K136" s="97">
        <v>0</v>
      </c>
      <c r="L136" s="97">
        <v>0</v>
      </c>
      <c r="M136" s="97">
        <v>0</v>
      </c>
      <c r="N136" s="97">
        <v>0</v>
      </c>
      <c r="O136" s="97">
        <v>0</v>
      </c>
      <c r="P136" s="97">
        <v>0</v>
      </c>
      <c r="Q136" s="97">
        <v>0</v>
      </c>
      <c r="R136" s="97">
        <v>0</v>
      </c>
      <c r="S136" s="97">
        <v>0</v>
      </c>
      <c r="T136" s="97">
        <v>0</v>
      </c>
      <c r="U136" s="97">
        <v>0</v>
      </c>
      <c r="V136" s="97">
        <v>0</v>
      </c>
      <c r="W136" s="97">
        <v>0</v>
      </c>
      <c r="X136" s="97">
        <v>0</v>
      </c>
      <c r="Y136" s="97">
        <v>0</v>
      </c>
      <c r="Z136" s="97">
        <v>0</v>
      </c>
      <c r="AA136" s="97">
        <v>0</v>
      </c>
      <c r="AB136" s="97">
        <v>0</v>
      </c>
      <c r="AC136" s="97">
        <v>0</v>
      </c>
      <c r="AD136" s="97">
        <v>0</v>
      </c>
      <c r="AE136" s="97">
        <v>0</v>
      </c>
      <c r="AF136" s="97">
        <v>0</v>
      </c>
      <c r="AG136" s="97">
        <v>0</v>
      </c>
      <c r="AH136" s="97">
        <v>0</v>
      </c>
      <c r="AI136" s="97">
        <v>0</v>
      </c>
      <c r="AJ136" s="97">
        <v>0</v>
      </c>
      <c r="AK136" s="97">
        <v>0</v>
      </c>
      <c r="AL136" s="97">
        <v>0</v>
      </c>
      <c r="AM136" s="97">
        <v>0</v>
      </c>
      <c r="AN136" s="97">
        <v>0</v>
      </c>
      <c r="AO136" s="97">
        <v>0</v>
      </c>
      <c r="AP136" s="97">
        <v>0</v>
      </c>
      <c r="AQ136" s="97">
        <v>0</v>
      </c>
      <c r="AR136" s="97">
        <v>0</v>
      </c>
      <c r="AS136" s="97">
        <v>0</v>
      </c>
      <c r="AT136" s="97">
        <v>0</v>
      </c>
      <c r="AU136" s="97">
        <v>0</v>
      </c>
      <c r="AV136" s="97">
        <v>0</v>
      </c>
      <c r="AW136" s="97">
        <v>0</v>
      </c>
      <c r="AX136" s="97">
        <v>0</v>
      </c>
      <c r="AY136" s="97">
        <v>0</v>
      </c>
      <c r="AZ136" s="97">
        <v>0</v>
      </c>
      <c r="BA136" s="97">
        <v>0</v>
      </c>
      <c r="BB136" s="97">
        <v>0</v>
      </c>
      <c r="BC136" s="97">
        <v>0</v>
      </c>
      <c r="BD136" s="97">
        <v>0</v>
      </c>
      <c r="BE136" s="97">
        <v>0</v>
      </c>
      <c r="BF136" s="97">
        <v>0</v>
      </c>
      <c r="BG136" s="97">
        <v>0</v>
      </c>
      <c r="BH136" s="97">
        <v>0</v>
      </c>
      <c r="BI136" s="97">
        <v>0</v>
      </c>
    </row>
  </sheetData>
  <autoFilter ref="A1:BI2" xr:uid="{B9193910-6298-43C9-A5FD-FE7CE37F2A02}">
    <sortState xmlns:xlrd2="http://schemas.microsoft.com/office/spreadsheetml/2017/richdata2" ref="A2:BI2">
      <sortCondition ref="A1:A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C682-54BB-E94E-87B5-1F878F91A483}">
  <sheetPr codeName="Sheet8"/>
  <dimension ref="A1:AK61"/>
  <sheetViews>
    <sheetView zoomScale="80" workbookViewId="0">
      <selection activeCell="G39" sqref="G39"/>
    </sheetView>
  </sheetViews>
  <sheetFormatPr defaultColWidth="11" defaultRowHeight="15.75" x14ac:dyDescent="0.25"/>
  <cols>
    <col min="4" max="4" width="24" customWidth="1"/>
    <col min="13" max="13" width="19.375" customWidth="1"/>
    <col min="27" max="27" width="19.625" bestFit="1" customWidth="1"/>
    <col min="29" max="29" width="15.5" customWidth="1"/>
    <col min="30" max="30" width="26.125" bestFit="1" customWidth="1"/>
    <col min="31" max="31" width="17.375" bestFit="1" customWidth="1"/>
    <col min="34" max="34" width="19.625" bestFit="1" customWidth="1"/>
  </cols>
  <sheetData>
    <row r="1" spans="1:37" x14ac:dyDescent="0.25">
      <c r="A1" s="92" t="s">
        <v>58</v>
      </c>
      <c r="B1" s="92" t="s">
        <v>137</v>
      </c>
      <c r="C1" s="92" t="s">
        <v>39</v>
      </c>
      <c r="D1" s="46" t="s">
        <v>133</v>
      </c>
    </row>
    <row r="2" spans="1:37" x14ac:dyDescent="0.25">
      <c r="A2" s="49" t="s">
        <v>55</v>
      </c>
      <c r="B2" s="49">
        <f t="shared" ref="B2:B40" si="0">IF(A2=A1,B1+1,1)</f>
        <v>1</v>
      </c>
      <c r="C2" s="49" t="str">
        <f t="shared" ref="C2:C40" si="1">CONCATENATE(A2,B2)</f>
        <v>ADISTI1</v>
      </c>
      <c r="D2" s="48" t="s">
        <v>13</v>
      </c>
      <c r="E2" t="str">
        <f t="shared" ref="E2:E61" si="2">A2</f>
        <v>ADISTI</v>
      </c>
      <c r="G2">
        <v>1</v>
      </c>
      <c r="H2" s="49" t="s">
        <v>55</v>
      </c>
      <c r="I2">
        <v>3</v>
      </c>
      <c r="J2" t="str">
        <f>VLOOKUP(I2,G2:H5,2,0)</f>
        <v>RIFALDI</v>
      </c>
      <c r="K2" s="49">
        <v>1</v>
      </c>
      <c r="L2" s="49" t="str">
        <f>CONCATENATE(J$2,K2)</f>
        <v>RIFALDI1</v>
      </c>
      <c r="M2" s="49" t="str">
        <f t="shared" ref="M2:M23" si="3">IFERROR(VLOOKUP(L2,C:D,2,0),"")</f>
        <v>ANCOL</v>
      </c>
      <c r="O2">
        <v>1</v>
      </c>
      <c r="P2" s="53" t="s">
        <v>42</v>
      </c>
      <c r="Q2">
        <v>1</v>
      </c>
      <c r="S2">
        <v>2</v>
      </c>
      <c r="T2" t="str">
        <f>VLOOKUP(S2,O2:P4,2,0)</f>
        <v>VOL</v>
      </c>
      <c r="V2">
        <v>1</v>
      </c>
      <c r="W2" t="s">
        <v>75</v>
      </c>
      <c r="X2">
        <v>11</v>
      </c>
      <c r="Y2" t="str">
        <f>VLOOKUP(X2,V2:W54,2,0)</f>
        <v>Week-11</v>
      </c>
      <c r="AA2" s="49" t="s">
        <v>292</v>
      </c>
      <c r="AB2" s="49">
        <f t="shared" ref="AB2:AB16" si="4">IF(AA2=AA1,AB1+1,1)</f>
        <v>1</v>
      </c>
      <c r="AC2" s="49" t="str">
        <f t="shared" ref="AC2:AC16" si="5">CONCATENATE(AA2,AB2)</f>
        <v>VA API1</v>
      </c>
      <c r="AD2" s="91" t="s">
        <v>315</v>
      </c>
      <c r="AE2" s="53" t="str">
        <f t="shared" ref="AE2:AE22" si="6">AA2</f>
        <v>VA API</v>
      </c>
      <c r="AG2">
        <v>1</v>
      </c>
      <c r="AH2" s="49" t="s">
        <v>292</v>
      </c>
      <c r="AJ2">
        <v>1</v>
      </c>
      <c r="AK2" s="53" t="s">
        <v>42</v>
      </c>
    </row>
    <row r="3" spans="1:37" x14ac:dyDescent="0.25">
      <c r="A3" s="49" t="s">
        <v>55</v>
      </c>
      <c r="B3" s="49">
        <f t="shared" si="0"/>
        <v>2</v>
      </c>
      <c r="C3" s="49" t="str">
        <f t="shared" si="1"/>
        <v>ADISTI2</v>
      </c>
      <c r="D3" s="48" t="s">
        <v>16</v>
      </c>
      <c r="E3" t="str">
        <f t="shared" si="2"/>
        <v>ADISTI</v>
      </c>
      <c r="G3">
        <v>2</v>
      </c>
      <c r="H3" s="49" t="s">
        <v>54</v>
      </c>
      <c r="K3" s="49">
        <f>K2+1</f>
        <v>2</v>
      </c>
      <c r="L3" s="49" t="str">
        <f t="shared" ref="L3:L17" si="7">CONCATENATE(J$2,K3)</f>
        <v>RIFALDI2</v>
      </c>
      <c r="M3" s="49" t="str">
        <f t="shared" si="3"/>
        <v>DWIDAYA</v>
      </c>
      <c r="O3">
        <v>2</v>
      </c>
      <c r="P3" s="53" t="s">
        <v>41</v>
      </c>
      <c r="Q3" s="54">
        <v>1000000</v>
      </c>
      <c r="T3" s="2">
        <f>VLOOKUP(S2,O2:Q4,3,0)</f>
        <v>1000000</v>
      </c>
      <c r="V3">
        <f>V2+1</f>
        <v>2</v>
      </c>
      <c r="W3" t="s">
        <v>76</v>
      </c>
      <c r="AA3" s="49" t="s">
        <v>292</v>
      </c>
      <c r="AB3" s="49">
        <f t="shared" ref="AB3:AB5" si="8">IF(AA3=AA2,AB2+1,1)</f>
        <v>2</v>
      </c>
      <c r="AC3" s="49" t="str">
        <f t="shared" ref="AC3:AC5" si="9">CONCATENATE(AA3,AB3)</f>
        <v>VA API2</v>
      </c>
      <c r="AD3" s="91" t="s">
        <v>293</v>
      </c>
      <c r="AE3" s="53" t="str">
        <f t="shared" si="6"/>
        <v>VA API</v>
      </c>
      <c r="AG3">
        <v>2</v>
      </c>
      <c r="AH3" s="49" t="s">
        <v>296</v>
      </c>
      <c r="AJ3">
        <v>2</v>
      </c>
      <c r="AK3" s="53" t="s">
        <v>41</v>
      </c>
    </row>
    <row r="4" spans="1:37" x14ac:dyDescent="0.25">
      <c r="A4" s="49" t="s">
        <v>55</v>
      </c>
      <c r="B4" s="49">
        <f t="shared" si="0"/>
        <v>3</v>
      </c>
      <c r="C4" s="49" t="str">
        <f t="shared" si="1"/>
        <v>ADISTI3</v>
      </c>
      <c r="D4" s="48" t="s">
        <v>17</v>
      </c>
      <c r="E4" t="str">
        <f t="shared" si="2"/>
        <v>ADISTI</v>
      </c>
      <c r="G4">
        <v>3</v>
      </c>
      <c r="H4" s="49" t="s">
        <v>56</v>
      </c>
      <c r="K4" s="49">
        <f>K3+1</f>
        <v>3</v>
      </c>
      <c r="L4" s="49" t="str">
        <f>CONCATENATE(J$2,K4)</f>
        <v>RIFALDI3</v>
      </c>
      <c r="M4" s="49" t="str">
        <f t="shared" si="3"/>
        <v>GRAMEDIA</v>
      </c>
      <c r="O4">
        <v>3</v>
      </c>
      <c r="P4" s="53" t="s">
        <v>40</v>
      </c>
      <c r="Q4" s="80">
        <v>1000</v>
      </c>
      <c r="V4">
        <f>V3+1</f>
        <v>3</v>
      </c>
      <c r="W4" t="s">
        <v>77</v>
      </c>
      <c r="AA4" s="49" t="s">
        <v>292</v>
      </c>
      <c r="AB4" s="49">
        <f t="shared" si="8"/>
        <v>3</v>
      </c>
      <c r="AC4" s="49" t="str">
        <f t="shared" si="9"/>
        <v>VA API3</v>
      </c>
      <c r="AD4" s="91" t="s">
        <v>294</v>
      </c>
      <c r="AE4" s="53" t="str">
        <f t="shared" si="6"/>
        <v>VA API</v>
      </c>
      <c r="AG4">
        <v>3</v>
      </c>
      <c r="AH4" s="49" t="s">
        <v>303</v>
      </c>
      <c r="AJ4">
        <v>3</v>
      </c>
      <c r="AK4" s="53" t="s">
        <v>40</v>
      </c>
    </row>
    <row r="5" spans="1:37" x14ac:dyDescent="0.25">
      <c r="A5" s="49" t="s">
        <v>55</v>
      </c>
      <c r="B5" s="49">
        <f t="shared" si="0"/>
        <v>4</v>
      </c>
      <c r="C5" s="49" t="str">
        <f t="shared" si="1"/>
        <v>ADISTI4</v>
      </c>
      <c r="D5" s="48" t="s">
        <v>18</v>
      </c>
      <c r="E5" t="str">
        <f t="shared" si="2"/>
        <v>ADISTI</v>
      </c>
      <c r="G5">
        <v>4</v>
      </c>
      <c r="H5" s="49" t="s">
        <v>310</v>
      </c>
      <c r="K5" s="49">
        <f>K4+1</f>
        <v>4</v>
      </c>
      <c r="L5" s="49" t="str">
        <f t="shared" si="7"/>
        <v>RIFALDI4</v>
      </c>
      <c r="M5" s="49" t="str">
        <f t="shared" si="3"/>
        <v>KCIC</v>
      </c>
      <c r="O5" s="43"/>
      <c r="V5">
        <f>V4+1</f>
        <v>4</v>
      </c>
      <c r="W5" t="s">
        <v>78</v>
      </c>
      <c r="AA5" s="49" t="s">
        <v>292</v>
      </c>
      <c r="AB5" s="49">
        <f t="shared" si="8"/>
        <v>4</v>
      </c>
      <c r="AC5" s="49" t="str">
        <f t="shared" si="9"/>
        <v>VA API4</v>
      </c>
      <c r="AD5" s="91" t="s">
        <v>295</v>
      </c>
      <c r="AE5" s="53" t="str">
        <f t="shared" si="6"/>
        <v>VA API</v>
      </c>
      <c r="AG5">
        <v>4</v>
      </c>
      <c r="AH5" s="49" t="s">
        <v>306</v>
      </c>
    </row>
    <row r="6" spans="1:37" x14ac:dyDescent="0.25">
      <c r="A6" s="49" t="s">
        <v>55</v>
      </c>
      <c r="B6" s="49">
        <f t="shared" si="0"/>
        <v>5</v>
      </c>
      <c r="C6" s="49" t="str">
        <f t="shared" si="1"/>
        <v>ADISTI5</v>
      </c>
      <c r="D6" s="48" t="s">
        <v>47</v>
      </c>
      <c r="E6" t="str">
        <f t="shared" si="2"/>
        <v>ADISTI</v>
      </c>
      <c r="K6" s="49">
        <f t="shared" ref="K6:K23" si="10">K5+1</f>
        <v>5</v>
      </c>
      <c r="L6" s="49" t="str">
        <f t="shared" si="7"/>
        <v>RIFALDI5</v>
      </c>
      <c r="M6" s="49" t="str">
        <f t="shared" si="3"/>
        <v>OPTIK MELAWAI</v>
      </c>
      <c r="O6" s="43"/>
      <c r="V6">
        <f t="shared" ref="V6:V54" si="11">V5+1</f>
        <v>5</v>
      </c>
      <c r="W6" t="s">
        <v>79</v>
      </c>
      <c r="AA6" s="49" t="s">
        <v>296</v>
      </c>
      <c r="AB6" s="49">
        <f>IF(AA6=AA5,AB5+1,1)</f>
        <v>1</v>
      </c>
      <c r="AC6" s="49" t="str">
        <f>CONCATENATE(AA6,AB6)</f>
        <v>AGGREGATOR VA1</v>
      </c>
      <c r="AD6" s="91" t="s">
        <v>297</v>
      </c>
      <c r="AE6" s="53" t="str">
        <f>AA6</f>
        <v>AGGREGATOR VA</v>
      </c>
    </row>
    <row r="7" spans="1:37" x14ac:dyDescent="0.25">
      <c r="A7" s="49" t="s">
        <v>55</v>
      </c>
      <c r="B7" s="49">
        <f t="shared" si="0"/>
        <v>6</v>
      </c>
      <c r="C7" s="49" t="str">
        <f t="shared" si="1"/>
        <v>ADISTI6</v>
      </c>
      <c r="D7" s="48" t="s">
        <v>21</v>
      </c>
      <c r="E7" t="str">
        <f t="shared" si="2"/>
        <v>ADISTI</v>
      </c>
      <c r="K7" s="49">
        <f>K6+1</f>
        <v>6</v>
      </c>
      <c r="L7" s="49" t="str">
        <f t="shared" si="7"/>
        <v>RIFALDI6</v>
      </c>
      <c r="M7" s="49" t="str">
        <f t="shared" si="3"/>
        <v>PATRA JASA</v>
      </c>
      <c r="O7" s="43"/>
      <c r="V7">
        <f t="shared" si="11"/>
        <v>6</v>
      </c>
      <c r="W7" t="s">
        <v>80</v>
      </c>
      <c r="AA7" s="49" t="s">
        <v>296</v>
      </c>
      <c r="AB7" s="49">
        <f t="shared" ref="AB7:AB12" si="12">IF(AA7=AA6,AB6+1,1)</f>
        <v>2</v>
      </c>
      <c r="AC7" s="49" t="str">
        <f t="shared" ref="AC7:AC12" si="13">CONCATENATE(AA7,AB7)</f>
        <v>AGGREGATOR VA2</v>
      </c>
      <c r="AD7" s="91" t="s">
        <v>316</v>
      </c>
      <c r="AE7" s="53" t="str">
        <f>AA7</f>
        <v>AGGREGATOR VA</v>
      </c>
    </row>
    <row r="8" spans="1:37" x14ac:dyDescent="0.25">
      <c r="A8" s="49" t="s">
        <v>55</v>
      </c>
      <c r="B8" s="49">
        <f t="shared" si="0"/>
        <v>7</v>
      </c>
      <c r="C8" s="49" t="str">
        <f t="shared" si="1"/>
        <v>ADISTI7</v>
      </c>
      <c r="D8" s="48" t="s">
        <v>23</v>
      </c>
      <c r="E8" t="str">
        <f t="shared" si="2"/>
        <v>ADISTI</v>
      </c>
      <c r="K8" s="49">
        <f t="shared" si="10"/>
        <v>7</v>
      </c>
      <c r="L8" s="49" t="str">
        <f t="shared" si="7"/>
        <v>RIFALDI7</v>
      </c>
      <c r="M8" s="49" t="str">
        <f t="shared" si="3"/>
        <v>PERTAMINA RETAIL</v>
      </c>
      <c r="O8" s="43"/>
      <c r="V8">
        <f t="shared" si="11"/>
        <v>7</v>
      </c>
      <c r="W8" t="s">
        <v>81</v>
      </c>
      <c r="AA8" s="49" t="s">
        <v>296</v>
      </c>
      <c r="AB8" s="49">
        <f t="shared" si="12"/>
        <v>3</v>
      </c>
      <c r="AC8" s="49" t="str">
        <f t="shared" si="13"/>
        <v>AGGREGATOR VA3</v>
      </c>
      <c r="AD8" s="91" t="s">
        <v>298</v>
      </c>
      <c r="AE8" s="53" t="str">
        <f t="shared" si="6"/>
        <v>AGGREGATOR VA</v>
      </c>
    </row>
    <row r="9" spans="1:37" x14ac:dyDescent="0.25">
      <c r="A9" s="49" t="s">
        <v>55</v>
      </c>
      <c r="B9" s="49">
        <f t="shared" si="0"/>
        <v>8</v>
      </c>
      <c r="C9" s="49" t="str">
        <f t="shared" si="1"/>
        <v>ADISTI8</v>
      </c>
      <c r="D9" s="48" t="s">
        <v>31</v>
      </c>
      <c r="E9" t="str">
        <f t="shared" si="2"/>
        <v>ADISTI</v>
      </c>
      <c r="K9" s="49">
        <f>K8+1</f>
        <v>8</v>
      </c>
      <c r="L9" s="49" t="str">
        <f t="shared" si="7"/>
        <v>RIFALDI8</v>
      </c>
      <c r="M9" s="49" t="str">
        <f t="shared" si="3"/>
        <v>PLATINUM CINEPLEX</v>
      </c>
      <c r="N9" s="43"/>
      <c r="O9" s="43"/>
      <c r="V9">
        <f>V8+1</f>
        <v>8</v>
      </c>
      <c r="W9" t="s">
        <v>82</v>
      </c>
      <c r="AA9" s="49" t="s">
        <v>296</v>
      </c>
      <c r="AB9" s="49">
        <f t="shared" si="12"/>
        <v>4</v>
      </c>
      <c r="AC9" s="49" t="str">
        <f t="shared" si="13"/>
        <v>AGGREGATOR VA4</v>
      </c>
      <c r="AD9" s="91" t="s">
        <v>299</v>
      </c>
      <c r="AE9" s="53" t="str">
        <f t="shared" si="6"/>
        <v>AGGREGATOR VA</v>
      </c>
    </row>
    <row r="10" spans="1:37" x14ac:dyDescent="0.25">
      <c r="A10" s="49" t="s">
        <v>55</v>
      </c>
      <c r="B10" s="49">
        <f t="shared" si="0"/>
        <v>9</v>
      </c>
      <c r="C10" s="49" t="str">
        <f t="shared" si="1"/>
        <v>ADISTI9</v>
      </c>
      <c r="D10" s="48" t="s">
        <v>50</v>
      </c>
      <c r="E10" t="str">
        <f t="shared" si="2"/>
        <v>ADISTI</v>
      </c>
      <c r="K10" s="49">
        <f t="shared" si="10"/>
        <v>9</v>
      </c>
      <c r="L10" s="49" t="str">
        <f t="shared" si="7"/>
        <v>RIFALDI9</v>
      </c>
      <c r="M10" s="49" t="str">
        <f t="shared" si="3"/>
        <v/>
      </c>
      <c r="N10" s="43"/>
      <c r="O10" s="43"/>
      <c r="V10">
        <f t="shared" si="11"/>
        <v>9</v>
      </c>
      <c r="W10" t="s">
        <v>83</v>
      </c>
      <c r="AA10" s="49" t="s">
        <v>296</v>
      </c>
      <c r="AB10" s="49">
        <f t="shared" si="12"/>
        <v>5</v>
      </c>
      <c r="AC10" s="49" t="str">
        <f t="shared" si="13"/>
        <v>AGGREGATOR VA5</v>
      </c>
      <c r="AD10" s="91" t="s">
        <v>300</v>
      </c>
      <c r="AE10" s="53" t="str">
        <f t="shared" si="6"/>
        <v>AGGREGATOR VA</v>
      </c>
    </row>
    <row r="11" spans="1:37" x14ac:dyDescent="0.25">
      <c r="A11" s="49" t="s">
        <v>55</v>
      </c>
      <c r="B11" s="49">
        <f t="shared" si="0"/>
        <v>10</v>
      </c>
      <c r="C11" s="49" t="str">
        <f t="shared" si="1"/>
        <v>ADISTI10</v>
      </c>
      <c r="D11" s="48" t="s">
        <v>35</v>
      </c>
      <c r="E11" t="str">
        <f t="shared" si="2"/>
        <v>ADISTI</v>
      </c>
      <c r="K11" s="49">
        <f t="shared" si="10"/>
        <v>10</v>
      </c>
      <c r="L11" s="49" t="str">
        <f t="shared" si="7"/>
        <v>RIFALDI10</v>
      </c>
      <c r="M11" s="49" t="str">
        <f t="shared" si="3"/>
        <v/>
      </c>
      <c r="N11" s="43"/>
      <c r="O11" s="43"/>
      <c r="V11">
        <f t="shared" si="11"/>
        <v>10</v>
      </c>
      <c r="W11" t="s">
        <v>84</v>
      </c>
      <c r="AA11" s="49" t="s">
        <v>296</v>
      </c>
      <c r="AB11" s="49">
        <f t="shared" si="12"/>
        <v>6</v>
      </c>
      <c r="AC11" s="49" t="str">
        <f t="shared" si="13"/>
        <v>AGGREGATOR VA6</v>
      </c>
      <c r="AD11" s="91" t="s">
        <v>301</v>
      </c>
      <c r="AE11" s="53" t="str">
        <f t="shared" si="6"/>
        <v>AGGREGATOR VA</v>
      </c>
    </row>
    <row r="12" spans="1:37" x14ac:dyDescent="0.25">
      <c r="A12" s="49" t="s">
        <v>54</v>
      </c>
      <c r="B12" s="49">
        <f t="shared" si="0"/>
        <v>1</v>
      </c>
      <c r="C12" s="49" t="str">
        <f t="shared" si="1"/>
        <v>NINA1</v>
      </c>
      <c r="D12" s="48" t="s">
        <v>1</v>
      </c>
      <c r="E12" t="str">
        <f t="shared" si="2"/>
        <v>NINA</v>
      </c>
      <c r="K12" s="49">
        <f t="shared" si="10"/>
        <v>11</v>
      </c>
      <c r="L12" s="49" t="str">
        <f t="shared" si="7"/>
        <v>RIFALDI11</v>
      </c>
      <c r="M12" s="49" t="str">
        <f t="shared" si="3"/>
        <v/>
      </c>
      <c r="N12" s="43"/>
      <c r="O12" s="43"/>
      <c r="V12">
        <f t="shared" si="11"/>
        <v>11</v>
      </c>
      <c r="W12" t="s">
        <v>85</v>
      </c>
      <c r="AA12" s="49" t="s">
        <v>296</v>
      </c>
      <c r="AB12" s="49">
        <f t="shared" si="12"/>
        <v>7</v>
      </c>
      <c r="AC12" s="49" t="str">
        <f t="shared" si="13"/>
        <v>AGGREGATOR VA7</v>
      </c>
      <c r="AD12" s="91" t="s">
        <v>302</v>
      </c>
      <c r="AE12" s="53" t="str">
        <f t="shared" si="6"/>
        <v>AGGREGATOR VA</v>
      </c>
    </row>
    <row r="13" spans="1:37" x14ac:dyDescent="0.25">
      <c r="A13" s="49" t="s">
        <v>54</v>
      </c>
      <c r="B13" s="49">
        <f t="shared" si="0"/>
        <v>2</v>
      </c>
      <c r="C13" s="49" t="str">
        <f t="shared" si="1"/>
        <v>NINA2</v>
      </c>
      <c r="D13" s="48" t="s">
        <v>3</v>
      </c>
      <c r="E13" t="str">
        <f t="shared" si="2"/>
        <v>NINA</v>
      </c>
      <c r="K13" s="49">
        <f t="shared" si="10"/>
        <v>12</v>
      </c>
      <c r="L13" s="49" t="str">
        <f t="shared" si="7"/>
        <v>RIFALDI12</v>
      </c>
      <c r="M13" s="49" t="str">
        <f t="shared" si="3"/>
        <v/>
      </c>
      <c r="N13" s="43"/>
      <c r="O13" s="43"/>
      <c r="V13">
        <f t="shared" si="11"/>
        <v>12</v>
      </c>
      <c r="W13" t="s">
        <v>86</v>
      </c>
      <c r="AA13" s="49" t="s">
        <v>303</v>
      </c>
      <c r="AB13" s="49">
        <f t="shared" si="4"/>
        <v>1</v>
      </c>
      <c r="AC13" s="49" t="str">
        <f t="shared" si="5"/>
        <v>QRIS API1</v>
      </c>
      <c r="AD13" s="91" t="s">
        <v>304</v>
      </c>
      <c r="AE13" s="53" t="str">
        <f t="shared" si="6"/>
        <v>QRIS API</v>
      </c>
    </row>
    <row r="14" spans="1:37" x14ac:dyDescent="0.25">
      <c r="A14" s="49" t="s">
        <v>54</v>
      </c>
      <c r="B14" s="49">
        <f t="shared" si="0"/>
        <v>3</v>
      </c>
      <c r="C14" s="49" t="str">
        <f t="shared" si="1"/>
        <v>NINA3</v>
      </c>
      <c r="D14" s="48" t="s">
        <v>4</v>
      </c>
      <c r="E14" t="str">
        <f t="shared" si="2"/>
        <v>NINA</v>
      </c>
      <c r="K14" s="49">
        <f t="shared" si="10"/>
        <v>13</v>
      </c>
      <c r="L14" s="49" t="str">
        <f t="shared" si="7"/>
        <v>RIFALDI13</v>
      </c>
      <c r="M14" s="49" t="str">
        <f t="shared" si="3"/>
        <v/>
      </c>
      <c r="N14" s="43"/>
      <c r="O14" s="43"/>
      <c r="V14">
        <f t="shared" si="11"/>
        <v>13</v>
      </c>
      <c r="W14" t="s">
        <v>87</v>
      </c>
      <c r="AA14" s="49" t="s">
        <v>303</v>
      </c>
      <c r="AB14" s="49">
        <f t="shared" ref="AB14:AB15" si="14">IF(AA14=AA13,AB13+1,1)</f>
        <v>2</v>
      </c>
      <c r="AC14" s="49" t="str">
        <f t="shared" ref="AC14:AC15" si="15">CONCATENATE(AA14,AB14)</f>
        <v>QRIS API2</v>
      </c>
      <c r="AD14" s="91" t="s">
        <v>311</v>
      </c>
      <c r="AE14" s="53" t="str">
        <f t="shared" si="6"/>
        <v>QRIS API</v>
      </c>
    </row>
    <row r="15" spans="1:37" x14ac:dyDescent="0.25">
      <c r="A15" s="49" t="s">
        <v>54</v>
      </c>
      <c r="B15" s="49">
        <f t="shared" si="0"/>
        <v>4</v>
      </c>
      <c r="C15" s="49" t="str">
        <f t="shared" si="1"/>
        <v>NINA4</v>
      </c>
      <c r="D15" s="48" t="s">
        <v>6</v>
      </c>
      <c r="E15" t="str">
        <f t="shared" si="2"/>
        <v>NINA</v>
      </c>
      <c r="K15" s="49">
        <f t="shared" si="10"/>
        <v>14</v>
      </c>
      <c r="L15" s="49" t="str">
        <f t="shared" si="7"/>
        <v>RIFALDI14</v>
      </c>
      <c r="M15" s="49" t="str">
        <f t="shared" si="3"/>
        <v/>
      </c>
      <c r="N15" s="43"/>
      <c r="O15" s="43"/>
      <c r="V15">
        <f t="shared" si="11"/>
        <v>14</v>
      </c>
      <c r="W15" t="s">
        <v>88</v>
      </c>
      <c r="AA15" s="49" t="s">
        <v>303</v>
      </c>
      <c r="AB15" s="49">
        <f t="shared" si="14"/>
        <v>3</v>
      </c>
      <c r="AC15" s="49" t="str">
        <f t="shared" si="15"/>
        <v>QRIS API3</v>
      </c>
      <c r="AD15" s="91" t="s">
        <v>305</v>
      </c>
      <c r="AE15" s="53" t="str">
        <f t="shared" si="6"/>
        <v>QRIS API</v>
      </c>
    </row>
    <row r="16" spans="1:37" x14ac:dyDescent="0.25">
      <c r="A16" s="49" t="s">
        <v>54</v>
      </c>
      <c r="B16" s="49">
        <f t="shared" ref="B16:B32" si="16">IF(A16=A15,B15+1,1)</f>
        <v>5</v>
      </c>
      <c r="C16" s="49" t="str">
        <f t="shared" ref="C16:C32" si="17">CONCATENATE(A16,B16)</f>
        <v>NINA5</v>
      </c>
      <c r="D16" s="48" t="s">
        <v>45</v>
      </c>
      <c r="E16" t="str">
        <f t="shared" si="2"/>
        <v>NINA</v>
      </c>
      <c r="K16" s="49">
        <f t="shared" si="10"/>
        <v>15</v>
      </c>
      <c r="L16" s="49" t="str">
        <f t="shared" si="7"/>
        <v>RIFALDI15</v>
      </c>
      <c r="M16" s="49" t="str">
        <f t="shared" si="3"/>
        <v/>
      </c>
      <c r="N16" s="43"/>
      <c r="O16" s="43"/>
      <c r="V16">
        <f t="shared" si="11"/>
        <v>15</v>
      </c>
      <c r="W16" t="s">
        <v>89</v>
      </c>
      <c r="AA16" s="49" t="s">
        <v>306</v>
      </c>
      <c r="AB16" s="49">
        <f t="shared" si="4"/>
        <v>1</v>
      </c>
      <c r="AC16" s="49" t="str">
        <f t="shared" si="5"/>
        <v>AGGREGATOR QRIS1</v>
      </c>
      <c r="AD16" s="91" t="s">
        <v>307</v>
      </c>
      <c r="AE16" s="53" t="str">
        <f t="shared" si="6"/>
        <v>AGGREGATOR QRIS</v>
      </c>
    </row>
    <row r="17" spans="1:31" x14ac:dyDescent="0.25">
      <c r="A17" s="49" t="s">
        <v>54</v>
      </c>
      <c r="B17" s="49">
        <f t="shared" si="16"/>
        <v>6</v>
      </c>
      <c r="C17" s="49" t="str">
        <f t="shared" si="17"/>
        <v>NINA6</v>
      </c>
      <c r="D17" s="48" t="s">
        <v>11</v>
      </c>
      <c r="E17" t="str">
        <f t="shared" si="2"/>
        <v>NINA</v>
      </c>
      <c r="K17" s="49">
        <f t="shared" si="10"/>
        <v>16</v>
      </c>
      <c r="L17" s="49" t="str">
        <f t="shared" si="7"/>
        <v>RIFALDI16</v>
      </c>
      <c r="M17" s="49" t="str">
        <f t="shared" si="3"/>
        <v/>
      </c>
      <c r="N17" s="43"/>
      <c r="O17" s="43"/>
      <c r="V17">
        <f t="shared" si="11"/>
        <v>16</v>
      </c>
      <c r="W17" t="s">
        <v>90</v>
      </c>
      <c r="AA17" s="49" t="s">
        <v>306</v>
      </c>
      <c r="AB17" s="49">
        <f t="shared" ref="AB17:AB22" si="18">IF(AA17=AA16,AB16+1,1)</f>
        <v>2</v>
      </c>
      <c r="AC17" s="49" t="str">
        <f t="shared" ref="AC17:AC22" si="19">CONCATENATE(AA17,AB17)</f>
        <v>AGGREGATOR QRIS2</v>
      </c>
      <c r="AD17" s="91" t="s">
        <v>308</v>
      </c>
      <c r="AE17" s="53" t="str">
        <f t="shared" si="6"/>
        <v>AGGREGATOR QRIS</v>
      </c>
    </row>
    <row r="18" spans="1:31" x14ac:dyDescent="0.25">
      <c r="A18" s="49" t="s">
        <v>54</v>
      </c>
      <c r="B18" s="49">
        <f t="shared" si="16"/>
        <v>7</v>
      </c>
      <c r="C18" s="49" t="str">
        <f t="shared" si="17"/>
        <v>NINA7</v>
      </c>
      <c r="D18" s="48" t="s">
        <v>46</v>
      </c>
      <c r="E18" t="str">
        <f t="shared" si="2"/>
        <v>NINA</v>
      </c>
      <c r="K18" s="49">
        <f t="shared" si="10"/>
        <v>17</v>
      </c>
      <c r="L18" s="49" t="str">
        <f t="shared" ref="L18:L23" si="20">CONCATENATE(J$2,K18)</f>
        <v>RIFALDI17</v>
      </c>
      <c r="M18" s="49" t="str">
        <f t="shared" si="3"/>
        <v/>
      </c>
      <c r="V18">
        <f t="shared" si="11"/>
        <v>17</v>
      </c>
      <c r="W18" t="s">
        <v>91</v>
      </c>
      <c r="AA18" s="49" t="s">
        <v>306</v>
      </c>
      <c r="AB18" s="49">
        <f t="shared" si="18"/>
        <v>3</v>
      </c>
      <c r="AC18" s="49" t="str">
        <f t="shared" si="19"/>
        <v>AGGREGATOR QRIS3</v>
      </c>
      <c r="AD18" s="91" t="s">
        <v>309</v>
      </c>
      <c r="AE18" s="53" t="str">
        <f t="shared" si="6"/>
        <v>AGGREGATOR QRIS</v>
      </c>
    </row>
    <row r="19" spans="1:31" x14ac:dyDescent="0.25">
      <c r="A19" s="49" t="s">
        <v>54</v>
      </c>
      <c r="B19" s="49">
        <f t="shared" si="16"/>
        <v>8</v>
      </c>
      <c r="C19" s="49" t="str">
        <f t="shared" si="17"/>
        <v>NINA8</v>
      </c>
      <c r="D19" s="48" t="s">
        <v>14</v>
      </c>
      <c r="E19" t="str">
        <f t="shared" si="2"/>
        <v>NINA</v>
      </c>
      <c r="K19" s="49">
        <f t="shared" si="10"/>
        <v>18</v>
      </c>
      <c r="L19" s="49" t="str">
        <f t="shared" si="20"/>
        <v>RIFALDI18</v>
      </c>
      <c r="M19" s="49" t="str">
        <f t="shared" si="3"/>
        <v/>
      </c>
      <c r="V19">
        <f t="shared" si="11"/>
        <v>18</v>
      </c>
      <c r="W19" t="s">
        <v>92</v>
      </c>
      <c r="AA19" s="49" t="s">
        <v>306</v>
      </c>
      <c r="AB19" s="49">
        <f t="shared" si="18"/>
        <v>4</v>
      </c>
      <c r="AC19" s="49" t="str">
        <f t="shared" si="19"/>
        <v>AGGREGATOR QRIS4</v>
      </c>
      <c r="AD19" s="91" t="s">
        <v>312</v>
      </c>
      <c r="AE19" s="53" t="str">
        <f t="shared" si="6"/>
        <v>AGGREGATOR QRIS</v>
      </c>
    </row>
    <row r="20" spans="1:31" x14ac:dyDescent="0.25">
      <c r="A20" s="49" t="s">
        <v>54</v>
      </c>
      <c r="B20" s="49">
        <f t="shared" si="16"/>
        <v>9</v>
      </c>
      <c r="C20" s="49" t="str">
        <f t="shared" si="17"/>
        <v>NINA9</v>
      </c>
      <c r="D20" s="48" t="s">
        <v>15</v>
      </c>
      <c r="E20" t="str">
        <f t="shared" si="2"/>
        <v>NINA</v>
      </c>
      <c r="K20" s="49">
        <f t="shared" si="10"/>
        <v>19</v>
      </c>
      <c r="L20" s="49" t="str">
        <f t="shared" si="20"/>
        <v>RIFALDI19</v>
      </c>
      <c r="M20" s="49" t="str">
        <f t="shared" si="3"/>
        <v/>
      </c>
      <c r="V20">
        <f t="shared" si="11"/>
        <v>19</v>
      </c>
      <c r="W20" t="s">
        <v>93</v>
      </c>
      <c r="AA20" s="49" t="s">
        <v>306</v>
      </c>
      <c r="AB20" s="49">
        <f t="shared" si="18"/>
        <v>5</v>
      </c>
      <c r="AC20" s="49" t="str">
        <f t="shared" si="19"/>
        <v>AGGREGATOR QRIS5</v>
      </c>
      <c r="AD20" s="91" t="s">
        <v>313</v>
      </c>
      <c r="AE20" s="53" t="str">
        <f t="shared" si="6"/>
        <v>AGGREGATOR QRIS</v>
      </c>
    </row>
    <row r="21" spans="1:31" x14ac:dyDescent="0.25">
      <c r="A21" s="49" t="s">
        <v>54</v>
      </c>
      <c r="B21" s="49">
        <f t="shared" si="16"/>
        <v>10</v>
      </c>
      <c r="C21" s="49" t="str">
        <f t="shared" si="17"/>
        <v>NINA10</v>
      </c>
      <c r="D21" s="48" t="s">
        <v>48</v>
      </c>
      <c r="E21" t="str">
        <f t="shared" si="2"/>
        <v>NINA</v>
      </c>
      <c r="K21" s="49">
        <f t="shared" si="10"/>
        <v>20</v>
      </c>
      <c r="L21" s="49" t="str">
        <f t="shared" si="20"/>
        <v>RIFALDI20</v>
      </c>
      <c r="M21" s="49" t="str">
        <f t="shared" si="3"/>
        <v/>
      </c>
      <c r="V21">
        <f t="shared" si="11"/>
        <v>20</v>
      </c>
      <c r="W21" t="s">
        <v>94</v>
      </c>
      <c r="AA21" s="49" t="s">
        <v>306</v>
      </c>
      <c r="AB21" s="49">
        <f t="shared" si="18"/>
        <v>6</v>
      </c>
      <c r="AC21" s="49" t="str">
        <f t="shared" si="19"/>
        <v>AGGREGATOR QRIS6</v>
      </c>
      <c r="AD21" s="91" t="s">
        <v>298</v>
      </c>
      <c r="AE21" s="53" t="str">
        <f t="shared" si="6"/>
        <v>AGGREGATOR QRIS</v>
      </c>
    </row>
    <row r="22" spans="1:31" x14ac:dyDescent="0.25">
      <c r="A22" s="49" t="s">
        <v>54</v>
      </c>
      <c r="B22" s="49">
        <f t="shared" si="16"/>
        <v>11</v>
      </c>
      <c r="C22" s="49" t="str">
        <f t="shared" si="17"/>
        <v>NINA11</v>
      </c>
      <c r="D22" s="48" t="s">
        <v>28</v>
      </c>
      <c r="E22" t="str">
        <f t="shared" si="2"/>
        <v>NINA</v>
      </c>
      <c r="K22" s="49">
        <f t="shared" si="10"/>
        <v>21</v>
      </c>
      <c r="L22" s="49" t="str">
        <f t="shared" si="20"/>
        <v>RIFALDI21</v>
      </c>
      <c r="M22" s="49" t="str">
        <f t="shared" si="3"/>
        <v/>
      </c>
      <c r="V22">
        <f t="shared" si="11"/>
        <v>21</v>
      </c>
      <c r="W22" t="s">
        <v>95</v>
      </c>
      <c r="AA22" s="49" t="s">
        <v>306</v>
      </c>
      <c r="AB22" s="49">
        <f t="shared" si="18"/>
        <v>7</v>
      </c>
      <c r="AC22" s="49" t="str">
        <f t="shared" si="19"/>
        <v>AGGREGATOR QRIS7</v>
      </c>
      <c r="AD22" s="91" t="s">
        <v>314</v>
      </c>
      <c r="AE22" s="53" t="str">
        <f t="shared" si="6"/>
        <v>AGGREGATOR QRIS</v>
      </c>
    </row>
    <row r="23" spans="1:31" x14ac:dyDescent="0.25">
      <c r="A23" s="49" t="s">
        <v>54</v>
      </c>
      <c r="B23" s="49">
        <f t="shared" si="16"/>
        <v>12</v>
      </c>
      <c r="C23" s="49" t="str">
        <f t="shared" si="17"/>
        <v>NINA12</v>
      </c>
      <c r="D23" s="48" t="s">
        <v>49</v>
      </c>
      <c r="E23" t="str">
        <f t="shared" si="2"/>
        <v>NINA</v>
      </c>
      <c r="K23" s="49">
        <f t="shared" si="10"/>
        <v>22</v>
      </c>
      <c r="L23" s="49" t="str">
        <f t="shared" si="20"/>
        <v>RIFALDI22</v>
      </c>
      <c r="M23" s="49" t="str">
        <f t="shared" si="3"/>
        <v/>
      </c>
      <c r="V23">
        <f t="shared" si="11"/>
        <v>22</v>
      </c>
      <c r="W23" t="s">
        <v>96</v>
      </c>
    </row>
    <row r="24" spans="1:31" x14ac:dyDescent="0.25">
      <c r="A24" s="49" t="s">
        <v>54</v>
      </c>
      <c r="B24" s="49">
        <f t="shared" si="16"/>
        <v>13</v>
      </c>
      <c r="C24" s="49" t="str">
        <f t="shared" si="17"/>
        <v>NINA13</v>
      </c>
      <c r="D24" s="48" t="s">
        <v>32</v>
      </c>
      <c r="E24" t="str">
        <f t="shared" si="2"/>
        <v>NINA</v>
      </c>
      <c r="V24">
        <f t="shared" si="11"/>
        <v>23</v>
      </c>
      <c r="W24" t="s">
        <v>97</v>
      </c>
    </row>
    <row r="25" spans="1:31" x14ac:dyDescent="0.25">
      <c r="A25" s="49" t="s">
        <v>54</v>
      </c>
      <c r="B25" s="49">
        <f t="shared" si="16"/>
        <v>14</v>
      </c>
      <c r="C25" s="49" t="str">
        <f t="shared" si="17"/>
        <v>NINA14</v>
      </c>
      <c r="D25" s="48" t="s">
        <v>33</v>
      </c>
      <c r="E25" t="str">
        <f t="shared" si="2"/>
        <v>NINA</v>
      </c>
      <c r="V25">
        <f t="shared" si="11"/>
        <v>24</v>
      </c>
      <c r="W25" t="s">
        <v>98</v>
      </c>
    </row>
    <row r="26" spans="1:31" x14ac:dyDescent="0.25">
      <c r="A26" s="49" t="s">
        <v>54</v>
      </c>
      <c r="B26" s="49">
        <f t="shared" si="16"/>
        <v>15</v>
      </c>
      <c r="C26" s="49" t="str">
        <f t="shared" si="17"/>
        <v>NINA15</v>
      </c>
      <c r="D26" s="48" t="s">
        <v>34</v>
      </c>
      <c r="E26" t="str">
        <f t="shared" si="2"/>
        <v>NINA</v>
      </c>
      <c r="V26">
        <f t="shared" si="11"/>
        <v>25</v>
      </c>
      <c r="W26" t="s">
        <v>99</v>
      </c>
    </row>
    <row r="27" spans="1:31" x14ac:dyDescent="0.25">
      <c r="A27" s="49" t="s">
        <v>54</v>
      </c>
      <c r="B27" s="49">
        <f t="shared" si="16"/>
        <v>16</v>
      </c>
      <c r="C27" s="49" t="str">
        <f t="shared" si="17"/>
        <v>NINA16</v>
      </c>
      <c r="D27" s="48" t="s">
        <v>53</v>
      </c>
      <c r="E27" t="str">
        <f t="shared" si="2"/>
        <v>NINA</v>
      </c>
      <c r="V27">
        <f t="shared" si="11"/>
        <v>26</v>
      </c>
      <c r="W27" t="s">
        <v>100</v>
      </c>
    </row>
    <row r="28" spans="1:31" x14ac:dyDescent="0.25">
      <c r="A28" s="49" t="s">
        <v>54</v>
      </c>
      <c r="B28" s="49">
        <f t="shared" si="16"/>
        <v>17</v>
      </c>
      <c r="C28" s="49" t="str">
        <f t="shared" si="17"/>
        <v>NINA17</v>
      </c>
      <c r="D28" s="48" t="s">
        <v>51</v>
      </c>
      <c r="E28" t="str">
        <f t="shared" si="2"/>
        <v>NINA</v>
      </c>
      <c r="V28">
        <f t="shared" si="11"/>
        <v>27</v>
      </c>
      <c r="W28" t="s">
        <v>101</v>
      </c>
    </row>
    <row r="29" spans="1:31" x14ac:dyDescent="0.25">
      <c r="A29" s="49" t="s">
        <v>54</v>
      </c>
      <c r="B29" s="49">
        <f t="shared" si="16"/>
        <v>18</v>
      </c>
      <c r="C29" s="49" t="str">
        <f t="shared" si="17"/>
        <v>NINA18</v>
      </c>
      <c r="D29" s="48" t="s">
        <v>36</v>
      </c>
      <c r="E29" t="str">
        <f t="shared" si="2"/>
        <v>NINA</v>
      </c>
      <c r="V29">
        <f t="shared" si="11"/>
        <v>28</v>
      </c>
      <c r="W29" t="s">
        <v>102</v>
      </c>
    </row>
    <row r="30" spans="1:31" x14ac:dyDescent="0.25">
      <c r="A30" s="49" t="s">
        <v>54</v>
      </c>
      <c r="B30" s="49">
        <f t="shared" si="16"/>
        <v>19</v>
      </c>
      <c r="C30" s="49" t="str">
        <f t="shared" si="17"/>
        <v>NINA19</v>
      </c>
      <c r="D30" s="48" t="s">
        <v>37</v>
      </c>
      <c r="E30" t="str">
        <f t="shared" si="2"/>
        <v>NINA</v>
      </c>
      <c r="V30">
        <f t="shared" si="11"/>
        <v>29</v>
      </c>
      <c r="W30" t="s">
        <v>103</v>
      </c>
    </row>
    <row r="31" spans="1:31" x14ac:dyDescent="0.25">
      <c r="A31" s="49" t="s">
        <v>54</v>
      </c>
      <c r="B31" s="49">
        <f t="shared" si="16"/>
        <v>20</v>
      </c>
      <c r="C31" s="49" t="str">
        <f t="shared" si="17"/>
        <v>NINA20</v>
      </c>
      <c r="D31" s="48" t="s">
        <v>38</v>
      </c>
      <c r="E31" t="str">
        <f t="shared" si="2"/>
        <v>NINA</v>
      </c>
      <c r="V31">
        <f t="shared" si="11"/>
        <v>30</v>
      </c>
      <c r="W31" t="s">
        <v>104</v>
      </c>
    </row>
    <row r="32" spans="1:31" x14ac:dyDescent="0.25">
      <c r="A32" s="49" t="s">
        <v>54</v>
      </c>
      <c r="B32" s="49">
        <f t="shared" si="16"/>
        <v>21</v>
      </c>
      <c r="C32" s="49" t="str">
        <f t="shared" si="17"/>
        <v>NINA21</v>
      </c>
      <c r="D32" s="48" t="s">
        <v>52</v>
      </c>
      <c r="E32" t="str">
        <f t="shared" si="2"/>
        <v>NINA</v>
      </c>
      <c r="V32">
        <f t="shared" si="11"/>
        <v>31</v>
      </c>
      <c r="W32" t="s">
        <v>105</v>
      </c>
    </row>
    <row r="33" spans="1:23" x14ac:dyDescent="0.25">
      <c r="A33" s="49" t="s">
        <v>56</v>
      </c>
      <c r="B33" s="49">
        <f t="shared" si="0"/>
        <v>1</v>
      </c>
      <c r="C33" s="49" t="str">
        <f t="shared" si="1"/>
        <v>RIFALDI1</v>
      </c>
      <c r="D33" s="48" t="s">
        <v>2</v>
      </c>
      <c r="E33" t="str">
        <f t="shared" si="2"/>
        <v>RIFALDI</v>
      </c>
      <c r="V33">
        <f t="shared" si="11"/>
        <v>32</v>
      </c>
      <c r="W33" t="s">
        <v>106</v>
      </c>
    </row>
    <row r="34" spans="1:23" x14ac:dyDescent="0.25">
      <c r="A34" s="49" t="s">
        <v>56</v>
      </c>
      <c r="B34" s="49">
        <f t="shared" si="0"/>
        <v>2</v>
      </c>
      <c r="C34" s="49" t="str">
        <f t="shared" si="1"/>
        <v>RIFALDI2</v>
      </c>
      <c r="D34" s="48" t="s">
        <v>8</v>
      </c>
      <c r="E34" t="str">
        <f t="shared" si="2"/>
        <v>RIFALDI</v>
      </c>
      <c r="V34">
        <f t="shared" si="11"/>
        <v>33</v>
      </c>
      <c r="W34" t="s">
        <v>107</v>
      </c>
    </row>
    <row r="35" spans="1:23" x14ac:dyDescent="0.25">
      <c r="A35" s="49" t="s">
        <v>56</v>
      </c>
      <c r="B35" s="49">
        <f t="shared" si="0"/>
        <v>3</v>
      </c>
      <c r="C35" s="49" t="str">
        <f t="shared" si="1"/>
        <v>RIFALDI3</v>
      </c>
      <c r="D35" s="48" t="s">
        <v>10</v>
      </c>
      <c r="E35" t="str">
        <f t="shared" si="2"/>
        <v>RIFALDI</v>
      </c>
      <c r="V35">
        <f t="shared" si="11"/>
        <v>34</v>
      </c>
      <c r="W35" t="s">
        <v>108</v>
      </c>
    </row>
    <row r="36" spans="1:23" x14ac:dyDescent="0.25">
      <c r="A36" s="49" t="s">
        <v>56</v>
      </c>
      <c r="B36" s="49">
        <f t="shared" si="0"/>
        <v>4</v>
      </c>
      <c r="C36" s="49" t="str">
        <f t="shared" si="1"/>
        <v>RIFALDI4</v>
      </c>
      <c r="D36" s="48" t="s">
        <v>19</v>
      </c>
      <c r="E36" t="str">
        <f t="shared" si="2"/>
        <v>RIFALDI</v>
      </c>
      <c r="V36">
        <f t="shared" si="11"/>
        <v>35</v>
      </c>
      <c r="W36" t="s">
        <v>109</v>
      </c>
    </row>
    <row r="37" spans="1:23" x14ac:dyDescent="0.25">
      <c r="A37" s="49" t="s">
        <v>56</v>
      </c>
      <c r="B37" s="49">
        <f t="shared" si="0"/>
        <v>5</v>
      </c>
      <c r="C37" s="49" t="str">
        <f t="shared" si="1"/>
        <v>RIFALDI5</v>
      </c>
      <c r="D37" s="48" t="s">
        <v>25</v>
      </c>
      <c r="E37" t="str">
        <f t="shared" si="2"/>
        <v>RIFALDI</v>
      </c>
      <c r="V37">
        <f t="shared" si="11"/>
        <v>36</v>
      </c>
      <c r="W37" t="s">
        <v>110</v>
      </c>
    </row>
    <row r="38" spans="1:23" x14ac:dyDescent="0.25">
      <c r="A38" s="49" t="s">
        <v>56</v>
      </c>
      <c r="B38" s="49">
        <f t="shared" si="0"/>
        <v>6</v>
      </c>
      <c r="C38" s="49" t="str">
        <f t="shared" si="1"/>
        <v>RIFALDI6</v>
      </c>
      <c r="D38" s="48" t="s">
        <v>26</v>
      </c>
      <c r="E38" t="str">
        <f t="shared" si="2"/>
        <v>RIFALDI</v>
      </c>
      <c r="V38">
        <f t="shared" si="11"/>
        <v>37</v>
      </c>
      <c r="W38" t="s">
        <v>111</v>
      </c>
    </row>
    <row r="39" spans="1:23" x14ac:dyDescent="0.25">
      <c r="A39" s="49" t="s">
        <v>56</v>
      </c>
      <c r="B39" s="49">
        <f t="shared" si="0"/>
        <v>7</v>
      </c>
      <c r="C39" s="49" t="str">
        <f t="shared" si="1"/>
        <v>RIFALDI7</v>
      </c>
      <c r="D39" s="48" t="s">
        <v>27</v>
      </c>
      <c r="E39" t="str">
        <f t="shared" si="2"/>
        <v>RIFALDI</v>
      </c>
      <c r="V39">
        <f t="shared" si="11"/>
        <v>38</v>
      </c>
      <c r="W39" t="s">
        <v>112</v>
      </c>
    </row>
    <row r="40" spans="1:23" x14ac:dyDescent="0.25">
      <c r="A40" s="49" t="s">
        <v>56</v>
      </c>
      <c r="B40" s="49">
        <f t="shared" si="0"/>
        <v>8</v>
      </c>
      <c r="C40" s="49" t="str">
        <f t="shared" si="1"/>
        <v>RIFALDI8</v>
      </c>
      <c r="D40" s="48" t="s">
        <v>29</v>
      </c>
      <c r="E40" t="str">
        <f t="shared" si="2"/>
        <v>RIFALDI</v>
      </c>
      <c r="V40">
        <f t="shared" si="11"/>
        <v>39</v>
      </c>
      <c r="W40" t="s">
        <v>113</v>
      </c>
    </row>
    <row r="41" spans="1:23" x14ac:dyDescent="0.25">
      <c r="A41" s="49" t="s">
        <v>310</v>
      </c>
      <c r="B41" s="49">
        <f t="shared" ref="B41" si="21">IF(A41=A40,B40+1,1)</f>
        <v>1</v>
      </c>
      <c r="C41" s="49" t="str">
        <f t="shared" ref="C41" si="22">CONCATENATE(A41,B41)</f>
        <v>ANIN1</v>
      </c>
      <c r="D41" s="93" t="s">
        <v>315</v>
      </c>
      <c r="E41" t="str">
        <f t="shared" si="2"/>
        <v>ANIN</v>
      </c>
      <c r="V41">
        <f t="shared" si="11"/>
        <v>40</v>
      </c>
      <c r="W41" t="s">
        <v>114</v>
      </c>
    </row>
    <row r="42" spans="1:23" x14ac:dyDescent="0.25">
      <c r="A42" s="49" t="s">
        <v>310</v>
      </c>
      <c r="B42" s="49">
        <f t="shared" ref="B42:B61" si="23">IF(A42=A41,B41+1,1)</f>
        <v>2</v>
      </c>
      <c r="C42" s="49" t="str">
        <f t="shared" ref="C42:C61" si="24">CONCATENATE(A42,B42)</f>
        <v>ANIN2</v>
      </c>
      <c r="D42" s="93" t="s">
        <v>293</v>
      </c>
      <c r="E42" t="str">
        <f t="shared" si="2"/>
        <v>ANIN</v>
      </c>
      <c r="V42">
        <f t="shared" si="11"/>
        <v>41</v>
      </c>
      <c r="W42" t="s">
        <v>115</v>
      </c>
    </row>
    <row r="43" spans="1:23" x14ac:dyDescent="0.25">
      <c r="A43" s="49" t="s">
        <v>310</v>
      </c>
      <c r="B43" s="49">
        <f t="shared" si="23"/>
        <v>3</v>
      </c>
      <c r="C43" s="49" t="str">
        <f t="shared" si="24"/>
        <v>ANIN3</v>
      </c>
      <c r="D43" s="93" t="s">
        <v>294</v>
      </c>
      <c r="E43" t="str">
        <f t="shared" si="2"/>
        <v>ANIN</v>
      </c>
      <c r="V43">
        <f t="shared" si="11"/>
        <v>42</v>
      </c>
      <c r="W43" t="s">
        <v>116</v>
      </c>
    </row>
    <row r="44" spans="1:23" x14ac:dyDescent="0.25">
      <c r="A44" s="49" t="s">
        <v>310</v>
      </c>
      <c r="B44" s="49">
        <f t="shared" si="23"/>
        <v>4</v>
      </c>
      <c r="C44" s="49" t="str">
        <f t="shared" si="24"/>
        <v>ANIN4</v>
      </c>
      <c r="D44" s="93" t="s">
        <v>295</v>
      </c>
      <c r="E44" t="str">
        <f t="shared" si="2"/>
        <v>ANIN</v>
      </c>
      <c r="V44">
        <f t="shared" si="11"/>
        <v>43</v>
      </c>
      <c r="W44" t="s">
        <v>117</v>
      </c>
    </row>
    <row r="45" spans="1:23" x14ac:dyDescent="0.25">
      <c r="A45" s="49" t="s">
        <v>310</v>
      </c>
      <c r="B45" s="49">
        <f t="shared" si="23"/>
        <v>5</v>
      </c>
      <c r="C45" s="49" t="str">
        <f t="shared" si="24"/>
        <v>ANIN5</v>
      </c>
      <c r="D45" s="93" t="s">
        <v>297</v>
      </c>
      <c r="E45" t="str">
        <f t="shared" si="2"/>
        <v>ANIN</v>
      </c>
      <c r="V45">
        <f t="shared" si="11"/>
        <v>44</v>
      </c>
      <c r="W45" t="s">
        <v>118</v>
      </c>
    </row>
    <row r="46" spans="1:23" x14ac:dyDescent="0.25">
      <c r="A46" s="49" t="s">
        <v>310</v>
      </c>
      <c r="B46" s="49">
        <f t="shared" si="23"/>
        <v>6</v>
      </c>
      <c r="C46" s="49" t="str">
        <f t="shared" si="24"/>
        <v>ANIN6</v>
      </c>
      <c r="D46" s="93" t="s">
        <v>316</v>
      </c>
      <c r="E46" t="str">
        <f t="shared" si="2"/>
        <v>ANIN</v>
      </c>
      <c r="V46">
        <f t="shared" si="11"/>
        <v>45</v>
      </c>
      <c r="W46" t="s">
        <v>119</v>
      </c>
    </row>
    <row r="47" spans="1:23" x14ac:dyDescent="0.25">
      <c r="A47" s="49" t="s">
        <v>310</v>
      </c>
      <c r="B47" s="49">
        <f t="shared" si="23"/>
        <v>7</v>
      </c>
      <c r="C47" s="49" t="str">
        <f t="shared" si="24"/>
        <v>ANIN7</v>
      </c>
      <c r="D47" s="93" t="s">
        <v>298</v>
      </c>
      <c r="E47" t="str">
        <f t="shared" si="2"/>
        <v>ANIN</v>
      </c>
      <c r="V47">
        <f t="shared" si="11"/>
        <v>46</v>
      </c>
      <c r="W47" t="s">
        <v>120</v>
      </c>
    </row>
    <row r="48" spans="1:23" x14ac:dyDescent="0.25">
      <c r="A48" s="49" t="s">
        <v>310</v>
      </c>
      <c r="B48" s="49">
        <f t="shared" si="23"/>
        <v>8</v>
      </c>
      <c r="C48" s="49" t="str">
        <f t="shared" si="24"/>
        <v>ANIN8</v>
      </c>
      <c r="D48" s="93" t="s">
        <v>299</v>
      </c>
      <c r="E48" t="str">
        <f t="shared" si="2"/>
        <v>ANIN</v>
      </c>
      <c r="V48">
        <f t="shared" si="11"/>
        <v>47</v>
      </c>
      <c r="W48" t="s">
        <v>121</v>
      </c>
    </row>
    <row r="49" spans="1:23" x14ac:dyDescent="0.25">
      <c r="A49" s="49" t="s">
        <v>310</v>
      </c>
      <c r="B49" s="49">
        <f t="shared" si="23"/>
        <v>9</v>
      </c>
      <c r="C49" s="49" t="str">
        <f t="shared" si="24"/>
        <v>ANIN9</v>
      </c>
      <c r="D49" s="93" t="s">
        <v>300</v>
      </c>
      <c r="E49" t="str">
        <f t="shared" si="2"/>
        <v>ANIN</v>
      </c>
      <c r="V49">
        <f t="shared" si="11"/>
        <v>48</v>
      </c>
      <c r="W49" t="s">
        <v>122</v>
      </c>
    </row>
    <row r="50" spans="1:23" x14ac:dyDescent="0.25">
      <c r="A50" s="49" t="s">
        <v>310</v>
      </c>
      <c r="B50" s="49">
        <f t="shared" si="23"/>
        <v>10</v>
      </c>
      <c r="C50" s="49" t="str">
        <f t="shared" si="24"/>
        <v>ANIN10</v>
      </c>
      <c r="D50" s="93" t="s">
        <v>301</v>
      </c>
      <c r="E50" t="str">
        <f t="shared" si="2"/>
        <v>ANIN</v>
      </c>
      <c r="V50">
        <f t="shared" si="11"/>
        <v>49</v>
      </c>
      <c r="W50" t="s">
        <v>123</v>
      </c>
    </row>
    <row r="51" spans="1:23" x14ac:dyDescent="0.25">
      <c r="A51" s="49" t="s">
        <v>310</v>
      </c>
      <c r="B51" s="49">
        <f t="shared" si="23"/>
        <v>11</v>
      </c>
      <c r="C51" s="49" t="str">
        <f t="shared" si="24"/>
        <v>ANIN11</v>
      </c>
      <c r="D51" s="93" t="s">
        <v>302</v>
      </c>
      <c r="E51" t="str">
        <f t="shared" si="2"/>
        <v>ANIN</v>
      </c>
      <c r="V51">
        <f t="shared" si="11"/>
        <v>50</v>
      </c>
      <c r="W51" t="s">
        <v>124</v>
      </c>
    </row>
    <row r="52" spans="1:23" x14ac:dyDescent="0.25">
      <c r="A52" s="49" t="s">
        <v>310</v>
      </c>
      <c r="B52" s="49">
        <f t="shared" si="23"/>
        <v>12</v>
      </c>
      <c r="C52" s="49" t="str">
        <f t="shared" si="24"/>
        <v>ANIN12</v>
      </c>
      <c r="D52" s="93" t="s">
        <v>304</v>
      </c>
      <c r="E52" t="str">
        <f t="shared" si="2"/>
        <v>ANIN</v>
      </c>
      <c r="V52">
        <f t="shared" si="11"/>
        <v>51</v>
      </c>
      <c r="W52" t="s">
        <v>125</v>
      </c>
    </row>
    <row r="53" spans="1:23" x14ac:dyDescent="0.25">
      <c r="A53" s="49" t="s">
        <v>310</v>
      </c>
      <c r="B53" s="49">
        <f t="shared" si="23"/>
        <v>13</v>
      </c>
      <c r="C53" s="49" t="str">
        <f t="shared" si="24"/>
        <v>ANIN13</v>
      </c>
      <c r="D53" s="93" t="s">
        <v>311</v>
      </c>
      <c r="E53" t="str">
        <f t="shared" si="2"/>
        <v>ANIN</v>
      </c>
      <c r="V53">
        <f t="shared" si="11"/>
        <v>52</v>
      </c>
      <c r="W53" t="s">
        <v>126</v>
      </c>
    </row>
    <row r="54" spans="1:23" x14ac:dyDescent="0.25">
      <c r="A54" s="49" t="s">
        <v>310</v>
      </c>
      <c r="B54" s="49">
        <f t="shared" si="23"/>
        <v>14</v>
      </c>
      <c r="C54" s="49" t="str">
        <f t="shared" si="24"/>
        <v>ANIN14</v>
      </c>
      <c r="D54" s="93" t="s">
        <v>305</v>
      </c>
      <c r="E54" t="str">
        <f t="shared" si="2"/>
        <v>ANIN</v>
      </c>
      <c r="V54">
        <f t="shared" si="11"/>
        <v>53</v>
      </c>
      <c r="W54" t="s">
        <v>132</v>
      </c>
    </row>
    <row r="55" spans="1:23" x14ac:dyDescent="0.25">
      <c r="A55" s="49" t="s">
        <v>310</v>
      </c>
      <c r="B55" s="49">
        <f t="shared" si="23"/>
        <v>15</v>
      </c>
      <c r="C55" s="49" t="str">
        <f t="shared" si="24"/>
        <v>ANIN15</v>
      </c>
      <c r="D55" s="93" t="s">
        <v>307</v>
      </c>
      <c r="E55" t="str">
        <f t="shared" si="2"/>
        <v>ANIN</v>
      </c>
    </row>
    <row r="56" spans="1:23" x14ac:dyDescent="0.25">
      <c r="A56" s="49" t="s">
        <v>310</v>
      </c>
      <c r="B56" s="49">
        <f t="shared" si="23"/>
        <v>16</v>
      </c>
      <c r="C56" s="49" t="str">
        <f t="shared" si="24"/>
        <v>ANIN16</v>
      </c>
      <c r="D56" s="93" t="s">
        <v>308</v>
      </c>
      <c r="E56" t="str">
        <f t="shared" si="2"/>
        <v>ANIN</v>
      </c>
    </row>
    <row r="57" spans="1:23" x14ac:dyDescent="0.25">
      <c r="A57" s="49" t="s">
        <v>310</v>
      </c>
      <c r="B57" s="49">
        <f t="shared" si="23"/>
        <v>17</v>
      </c>
      <c r="C57" s="49" t="str">
        <f t="shared" si="24"/>
        <v>ANIN17</v>
      </c>
      <c r="D57" s="93" t="s">
        <v>309</v>
      </c>
      <c r="E57" t="str">
        <f t="shared" si="2"/>
        <v>ANIN</v>
      </c>
    </row>
    <row r="58" spans="1:23" x14ac:dyDescent="0.25">
      <c r="A58" s="49" t="s">
        <v>310</v>
      </c>
      <c r="B58" s="49">
        <f t="shared" si="23"/>
        <v>18</v>
      </c>
      <c r="C58" s="49" t="str">
        <f t="shared" si="24"/>
        <v>ANIN18</v>
      </c>
      <c r="D58" s="93" t="s">
        <v>312</v>
      </c>
      <c r="E58" t="str">
        <f t="shared" si="2"/>
        <v>ANIN</v>
      </c>
    </row>
    <row r="59" spans="1:23" x14ac:dyDescent="0.25">
      <c r="A59" s="49" t="s">
        <v>310</v>
      </c>
      <c r="B59" s="49">
        <f t="shared" si="23"/>
        <v>19</v>
      </c>
      <c r="C59" s="49" t="str">
        <f t="shared" si="24"/>
        <v>ANIN19</v>
      </c>
      <c r="D59" s="93" t="s">
        <v>313</v>
      </c>
      <c r="E59" t="str">
        <f t="shared" si="2"/>
        <v>ANIN</v>
      </c>
    </row>
    <row r="60" spans="1:23" x14ac:dyDescent="0.25">
      <c r="A60" s="49" t="s">
        <v>310</v>
      </c>
      <c r="B60" s="49">
        <f t="shared" si="23"/>
        <v>20</v>
      </c>
      <c r="C60" s="49" t="str">
        <f t="shared" si="24"/>
        <v>ANIN20</v>
      </c>
      <c r="D60" s="93" t="s">
        <v>298</v>
      </c>
      <c r="E60" t="str">
        <f t="shared" si="2"/>
        <v>ANIN</v>
      </c>
    </row>
    <row r="61" spans="1:23" x14ac:dyDescent="0.25">
      <c r="A61" s="49" t="s">
        <v>310</v>
      </c>
      <c r="B61" s="49">
        <f t="shared" si="23"/>
        <v>21</v>
      </c>
      <c r="C61" s="49" t="str">
        <f t="shared" si="24"/>
        <v>ANIN21</v>
      </c>
      <c r="D61" s="93" t="s">
        <v>314</v>
      </c>
      <c r="E61" t="str">
        <f t="shared" si="2"/>
        <v>ANIN</v>
      </c>
    </row>
  </sheetData>
  <sortState xmlns:xlrd2="http://schemas.microsoft.com/office/spreadsheetml/2017/richdata2" ref="A2:D40">
    <sortCondition ref="A2:A40"/>
    <sortCondition ref="D2:D4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36B3-C40E-674C-A18D-48A395AD420C}">
  <sheetPr codeName="Sheet10"/>
  <dimension ref="A1:E49"/>
  <sheetViews>
    <sheetView workbookViewId="0">
      <selection activeCell="I37" sqref="I37"/>
    </sheetView>
  </sheetViews>
  <sheetFormatPr defaultColWidth="11" defaultRowHeight="15.75" x14ac:dyDescent="0.25"/>
  <sheetData>
    <row r="1" spans="1:5" x14ac:dyDescent="0.25">
      <c r="A1" s="7" t="s">
        <v>61</v>
      </c>
      <c r="B1" s="13" t="s">
        <v>58</v>
      </c>
      <c r="C1" s="7" t="s">
        <v>40</v>
      </c>
      <c r="D1" s="7" t="s">
        <v>42</v>
      </c>
      <c r="E1" s="7" t="s">
        <v>41</v>
      </c>
    </row>
    <row r="2" spans="1:5" x14ac:dyDescent="0.25">
      <c r="A2" s="8" t="s">
        <v>1</v>
      </c>
      <c r="B2" t="s">
        <v>54</v>
      </c>
      <c r="C2">
        <v>1566855289</v>
      </c>
      <c r="D2">
        <v>1317683</v>
      </c>
      <c r="E2">
        <v>149096608933</v>
      </c>
    </row>
    <row r="3" spans="1:5" x14ac:dyDescent="0.25">
      <c r="A3" s="8" t="s">
        <v>2</v>
      </c>
      <c r="B3" t="s">
        <v>55</v>
      </c>
      <c r="C3">
        <v>940163</v>
      </c>
      <c r="D3">
        <v>6266</v>
      </c>
      <c r="E3">
        <v>532273171</v>
      </c>
    </row>
    <row r="4" spans="1:5" x14ac:dyDescent="0.25">
      <c r="A4" s="8" t="s">
        <v>3</v>
      </c>
      <c r="B4" t="s">
        <v>54</v>
      </c>
      <c r="C4">
        <v>1217886</v>
      </c>
      <c r="D4">
        <v>3204</v>
      </c>
      <c r="E4">
        <v>174398486</v>
      </c>
    </row>
    <row r="5" spans="1:5" x14ac:dyDescent="0.25">
      <c r="A5" s="8" t="s">
        <v>4</v>
      </c>
      <c r="B5" t="s">
        <v>54</v>
      </c>
      <c r="C5">
        <v>729773</v>
      </c>
      <c r="D5">
        <v>502</v>
      </c>
      <c r="E5">
        <v>85192523</v>
      </c>
    </row>
    <row r="6" spans="1:5" x14ac:dyDescent="0.25">
      <c r="A6" s="8" t="s">
        <v>43</v>
      </c>
      <c r="B6" s="12" t="s">
        <v>54</v>
      </c>
      <c r="C6">
        <v>174740</v>
      </c>
      <c r="D6">
        <v>3720</v>
      </c>
      <c r="E6">
        <v>60334699</v>
      </c>
    </row>
    <row r="7" spans="1:5" x14ac:dyDescent="0.25">
      <c r="A7" s="8" t="s">
        <v>5</v>
      </c>
      <c r="B7" s="12" t="s">
        <v>54</v>
      </c>
      <c r="C7">
        <v>3658032</v>
      </c>
      <c r="D7">
        <v>6289</v>
      </c>
      <c r="E7">
        <v>529661825</v>
      </c>
    </row>
    <row r="8" spans="1:5" x14ac:dyDescent="0.25">
      <c r="A8" s="8" t="s">
        <v>6</v>
      </c>
      <c r="B8" t="s">
        <v>56</v>
      </c>
      <c r="C8">
        <v>1828925</v>
      </c>
      <c r="D8">
        <v>2728</v>
      </c>
      <c r="E8">
        <v>326950706</v>
      </c>
    </row>
    <row r="9" spans="1:5" x14ac:dyDescent="0.25">
      <c r="A9" s="8" t="s">
        <v>7</v>
      </c>
      <c r="B9" t="s">
        <v>54</v>
      </c>
      <c r="C9">
        <v>2311590</v>
      </c>
      <c r="D9">
        <v>945</v>
      </c>
      <c r="E9">
        <v>297570014</v>
      </c>
    </row>
    <row r="10" spans="1:5" x14ac:dyDescent="0.25">
      <c r="A10" s="8" t="s">
        <v>44</v>
      </c>
      <c r="B10" t="s">
        <v>54</v>
      </c>
      <c r="C10">
        <v>3495791</v>
      </c>
      <c r="D10">
        <v>1660</v>
      </c>
      <c r="E10">
        <v>407392673</v>
      </c>
    </row>
    <row r="11" spans="1:5" x14ac:dyDescent="0.25">
      <c r="A11" s="8" t="s">
        <v>8</v>
      </c>
      <c r="B11" t="s">
        <v>54</v>
      </c>
      <c r="C11">
        <v>29582800</v>
      </c>
      <c r="D11">
        <v>762</v>
      </c>
      <c r="E11">
        <v>4790621974</v>
      </c>
    </row>
    <row r="12" spans="1:5" x14ac:dyDescent="0.25">
      <c r="A12" s="8" t="s">
        <v>45</v>
      </c>
      <c r="B12" t="s">
        <v>55</v>
      </c>
      <c r="C12">
        <v>2256776</v>
      </c>
      <c r="D12">
        <v>183</v>
      </c>
      <c r="E12">
        <v>197203359</v>
      </c>
    </row>
    <row r="13" spans="1:5" x14ac:dyDescent="0.25">
      <c r="A13" s="8" t="s">
        <v>9</v>
      </c>
      <c r="B13" t="s">
        <v>56</v>
      </c>
      <c r="C13">
        <v>1330</v>
      </c>
      <c r="D13">
        <v>6</v>
      </c>
      <c r="E13">
        <v>133027</v>
      </c>
    </row>
    <row r="14" spans="1:5" x14ac:dyDescent="0.25">
      <c r="A14" s="8" t="s">
        <v>10</v>
      </c>
      <c r="B14" t="s">
        <v>56</v>
      </c>
      <c r="C14">
        <v>105328</v>
      </c>
      <c r="D14">
        <v>76</v>
      </c>
      <c r="E14">
        <v>57897375</v>
      </c>
    </row>
    <row r="15" spans="1:5" x14ac:dyDescent="0.25">
      <c r="A15" s="8" t="s">
        <v>11</v>
      </c>
      <c r="B15" t="s">
        <v>56</v>
      </c>
      <c r="C15">
        <v>60946741</v>
      </c>
      <c r="D15">
        <v>207873</v>
      </c>
      <c r="E15">
        <v>8825551128</v>
      </c>
    </row>
    <row r="16" spans="1:5" x14ac:dyDescent="0.25">
      <c r="A16" s="8" t="s">
        <v>12</v>
      </c>
      <c r="B16" t="s">
        <v>55</v>
      </c>
      <c r="C16">
        <v>13626</v>
      </c>
      <c r="D16">
        <v>19</v>
      </c>
      <c r="E16">
        <v>2730860</v>
      </c>
    </row>
    <row r="17" spans="1:5" x14ac:dyDescent="0.25">
      <c r="A17" s="8" t="s">
        <v>13</v>
      </c>
      <c r="B17" t="s">
        <v>56</v>
      </c>
      <c r="C17">
        <v>879548</v>
      </c>
      <c r="D17">
        <v>1576</v>
      </c>
      <c r="E17">
        <v>140270030</v>
      </c>
    </row>
    <row r="18" spans="1:5" x14ac:dyDescent="0.25">
      <c r="A18" s="8" t="s">
        <v>46</v>
      </c>
      <c r="B18" t="s">
        <v>55</v>
      </c>
      <c r="C18">
        <v>15047687</v>
      </c>
      <c r="D18">
        <v>20494</v>
      </c>
      <c r="E18">
        <v>2065407863</v>
      </c>
    </row>
    <row r="19" spans="1:5" x14ac:dyDescent="0.25">
      <c r="A19" s="8" t="s">
        <v>14</v>
      </c>
      <c r="B19" t="s">
        <v>54</v>
      </c>
      <c r="C19">
        <v>14380067</v>
      </c>
      <c r="D19">
        <v>32905</v>
      </c>
      <c r="E19">
        <v>2174967662</v>
      </c>
    </row>
    <row r="20" spans="1:5" x14ac:dyDescent="0.25">
      <c r="A20" s="8" t="s">
        <v>15</v>
      </c>
      <c r="B20" t="s">
        <v>54</v>
      </c>
      <c r="C20">
        <v>2707</v>
      </c>
      <c r="D20">
        <v>129188</v>
      </c>
      <c r="E20">
        <v>3481303956</v>
      </c>
    </row>
    <row r="21" spans="1:5" x14ac:dyDescent="0.25">
      <c r="A21" s="8" t="s">
        <v>16</v>
      </c>
      <c r="B21" t="s">
        <v>55</v>
      </c>
      <c r="C21">
        <v>298837</v>
      </c>
      <c r="D21">
        <v>246</v>
      </c>
      <c r="E21">
        <v>199225800</v>
      </c>
    </row>
    <row r="22" spans="1:5" x14ac:dyDescent="0.25">
      <c r="A22" s="8" t="s">
        <v>17</v>
      </c>
      <c r="B22" t="s">
        <v>55</v>
      </c>
      <c r="C22">
        <v>1359911266</v>
      </c>
      <c r="D22">
        <v>1332619</v>
      </c>
      <c r="E22">
        <v>138419536549</v>
      </c>
    </row>
    <row r="23" spans="1:5" x14ac:dyDescent="0.25">
      <c r="A23" s="8" t="s">
        <v>18</v>
      </c>
      <c r="B23" t="s">
        <v>56</v>
      </c>
      <c r="C23">
        <v>77357522</v>
      </c>
      <c r="D23">
        <v>50535</v>
      </c>
      <c r="E23">
        <v>34181388769</v>
      </c>
    </row>
    <row r="24" spans="1:5" x14ac:dyDescent="0.25">
      <c r="A24" s="8" t="s">
        <v>19</v>
      </c>
      <c r="B24" t="s">
        <v>56</v>
      </c>
      <c r="C24">
        <v>301411612</v>
      </c>
      <c r="D24">
        <v>36044</v>
      </c>
      <c r="E24">
        <v>24109409008</v>
      </c>
    </row>
    <row r="25" spans="1:5" x14ac:dyDescent="0.25">
      <c r="A25" s="8" t="s">
        <v>20</v>
      </c>
      <c r="B25" t="s">
        <v>55</v>
      </c>
      <c r="C25">
        <v>26632</v>
      </c>
      <c r="D25">
        <v>38</v>
      </c>
      <c r="E25">
        <v>7920366</v>
      </c>
    </row>
    <row r="26" spans="1:5" x14ac:dyDescent="0.25">
      <c r="A26" s="8" t="s">
        <v>47</v>
      </c>
      <c r="B26" t="s">
        <v>55</v>
      </c>
      <c r="C26">
        <v>3817007</v>
      </c>
      <c r="D26">
        <v>4684</v>
      </c>
      <c r="E26">
        <v>2541246340</v>
      </c>
    </row>
    <row r="27" spans="1:5" x14ac:dyDescent="0.25">
      <c r="A27" s="8" t="s">
        <v>48</v>
      </c>
      <c r="B27" t="s">
        <v>55</v>
      </c>
      <c r="C27">
        <v>930678</v>
      </c>
      <c r="D27">
        <v>1468</v>
      </c>
      <c r="E27">
        <v>125174201</v>
      </c>
    </row>
    <row r="28" spans="1:5" x14ac:dyDescent="0.25">
      <c r="A28" s="8" t="s">
        <v>21</v>
      </c>
      <c r="B28" t="s">
        <v>55</v>
      </c>
      <c r="C28">
        <v>1772888423</v>
      </c>
      <c r="D28">
        <v>154654</v>
      </c>
      <c r="E28">
        <v>155161811004</v>
      </c>
    </row>
    <row r="29" spans="1:5" x14ac:dyDescent="0.25">
      <c r="A29" s="8" t="s">
        <v>22</v>
      </c>
      <c r="B29" s="12" t="s">
        <v>54</v>
      </c>
      <c r="C29">
        <v>3150</v>
      </c>
      <c r="D29">
        <v>2521</v>
      </c>
      <c r="E29">
        <v>85248402</v>
      </c>
    </row>
    <row r="30" spans="1:5" x14ac:dyDescent="0.25">
      <c r="A30" s="8" t="s">
        <v>23</v>
      </c>
      <c r="B30" t="s">
        <v>55</v>
      </c>
      <c r="C30">
        <v>18138388</v>
      </c>
      <c r="D30">
        <v>5306</v>
      </c>
      <c r="E30">
        <v>11395607007</v>
      </c>
    </row>
    <row r="31" spans="1:5" x14ac:dyDescent="0.25">
      <c r="A31" s="8" t="s">
        <v>24</v>
      </c>
      <c r="B31" s="12" t="s">
        <v>54</v>
      </c>
      <c r="C31">
        <v>707421</v>
      </c>
      <c r="D31">
        <v>39</v>
      </c>
      <c r="E31">
        <v>189108816</v>
      </c>
    </row>
    <row r="32" spans="1:5" x14ac:dyDescent="0.25">
      <c r="A32" s="8" t="s">
        <v>25</v>
      </c>
      <c r="B32" t="s">
        <v>55</v>
      </c>
      <c r="C32">
        <v>54881795</v>
      </c>
      <c r="D32">
        <v>8229</v>
      </c>
      <c r="E32">
        <v>8030809711</v>
      </c>
    </row>
    <row r="33" spans="1:5" x14ac:dyDescent="0.25">
      <c r="A33" s="8" t="s">
        <v>26</v>
      </c>
      <c r="B33" t="s">
        <v>56</v>
      </c>
      <c r="C33">
        <v>268076</v>
      </c>
      <c r="D33">
        <v>16</v>
      </c>
      <c r="E33">
        <v>17791331</v>
      </c>
    </row>
    <row r="34" spans="1:5" x14ac:dyDescent="0.25">
      <c r="A34" s="8" t="s">
        <v>27</v>
      </c>
      <c r="B34" t="s">
        <v>56</v>
      </c>
      <c r="C34">
        <v>2031137</v>
      </c>
      <c r="D34">
        <v>2908</v>
      </c>
      <c r="E34">
        <v>381424048</v>
      </c>
    </row>
    <row r="35" spans="1:5" x14ac:dyDescent="0.25">
      <c r="A35" s="8" t="s">
        <v>28</v>
      </c>
      <c r="B35" t="s">
        <v>56</v>
      </c>
      <c r="C35">
        <v>1273753</v>
      </c>
      <c r="D35">
        <v>4471</v>
      </c>
      <c r="E35">
        <v>815322819</v>
      </c>
    </row>
    <row r="36" spans="1:5" x14ac:dyDescent="0.25">
      <c r="A36" s="8" t="s">
        <v>29</v>
      </c>
      <c r="B36" t="s">
        <v>54</v>
      </c>
      <c r="C36">
        <v>19519665</v>
      </c>
      <c r="D36">
        <v>21222</v>
      </c>
      <c r="E36">
        <v>2369683250</v>
      </c>
    </row>
    <row r="37" spans="1:5" x14ac:dyDescent="0.25">
      <c r="A37" s="8" t="s">
        <v>30</v>
      </c>
      <c r="B37" t="s">
        <v>55</v>
      </c>
      <c r="C37">
        <v>12922</v>
      </c>
      <c r="D37">
        <v>4</v>
      </c>
      <c r="E37">
        <v>3294000</v>
      </c>
    </row>
    <row r="38" spans="1:5" x14ac:dyDescent="0.25">
      <c r="A38" s="8" t="s">
        <v>49</v>
      </c>
      <c r="B38" t="s">
        <v>54</v>
      </c>
      <c r="C38">
        <v>313890</v>
      </c>
      <c r="D38">
        <v>1122</v>
      </c>
      <c r="E38">
        <v>45546210</v>
      </c>
    </row>
    <row r="39" spans="1:5" x14ac:dyDescent="0.25">
      <c r="A39" s="8" t="s">
        <v>31</v>
      </c>
      <c r="B39" t="s">
        <v>56</v>
      </c>
      <c r="C39">
        <v>98617109</v>
      </c>
      <c r="D39">
        <v>6072</v>
      </c>
      <c r="E39">
        <v>6423159873</v>
      </c>
    </row>
    <row r="40" spans="1:5" x14ac:dyDescent="0.25">
      <c r="A40" s="8" t="s">
        <v>32</v>
      </c>
      <c r="B40" t="s">
        <v>55</v>
      </c>
      <c r="C40">
        <v>5394049</v>
      </c>
      <c r="D40">
        <v>24879</v>
      </c>
      <c r="E40">
        <v>1393131204</v>
      </c>
    </row>
    <row r="41" spans="1:5" x14ac:dyDescent="0.25">
      <c r="A41" s="8" t="s">
        <v>33</v>
      </c>
      <c r="B41" t="s">
        <v>54</v>
      </c>
      <c r="C41">
        <v>10265926</v>
      </c>
      <c r="D41">
        <v>23372</v>
      </c>
      <c r="E41">
        <v>3767295500</v>
      </c>
    </row>
    <row r="42" spans="1:5" x14ac:dyDescent="0.25">
      <c r="A42" s="8" t="s">
        <v>34</v>
      </c>
      <c r="B42" t="s">
        <v>56</v>
      </c>
      <c r="C42">
        <v>6363914</v>
      </c>
      <c r="D42">
        <v>11867</v>
      </c>
      <c r="E42">
        <v>910456426</v>
      </c>
    </row>
    <row r="43" spans="1:5" x14ac:dyDescent="0.25">
      <c r="A43" s="8" t="s">
        <v>50</v>
      </c>
      <c r="B43" t="s">
        <v>56</v>
      </c>
      <c r="C43">
        <v>50699</v>
      </c>
      <c r="D43">
        <v>46</v>
      </c>
      <c r="E43">
        <v>33800103</v>
      </c>
    </row>
    <row r="44" spans="1:5" x14ac:dyDescent="0.25">
      <c r="A44" s="8" t="s">
        <v>35</v>
      </c>
      <c r="B44" t="s">
        <v>54</v>
      </c>
      <c r="C44">
        <v>204724</v>
      </c>
      <c r="D44">
        <v>55</v>
      </c>
      <c r="E44">
        <v>64378300</v>
      </c>
    </row>
    <row r="45" spans="1:5" x14ac:dyDescent="0.25">
      <c r="A45" s="8" t="s">
        <v>51</v>
      </c>
      <c r="B45" t="s">
        <v>54</v>
      </c>
      <c r="C45">
        <v>30530</v>
      </c>
      <c r="D45">
        <v>158</v>
      </c>
      <c r="E45">
        <v>31037450</v>
      </c>
    </row>
    <row r="46" spans="1:5" x14ac:dyDescent="0.25">
      <c r="A46" s="8" t="s">
        <v>36</v>
      </c>
      <c r="B46" t="s">
        <v>55</v>
      </c>
      <c r="C46">
        <v>29472</v>
      </c>
      <c r="D46">
        <v>9</v>
      </c>
      <c r="E46">
        <v>2380400</v>
      </c>
    </row>
    <row r="47" spans="1:5" x14ac:dyDescent="0.25">
      <c r="A47" s="8" t="s">
        <v>37</v>
      </c>
      <c r="B47" t="s">
        <v>54</v>
      </c>
      <c r="C47">
        <v>20056</v>
      </c>
      <c r="D47">
        <v>68048</v>
      </c>
      <c r="E47">
        <v>4684788193</v>
      </c>
    </row>
    <row r="48" spans="1:5" x14ac:dyDescent="0.25">
      <c r="A48" s="8" t="s">
        <v>38</v>
      </c>
      <c r="B48" t="s">
        <v>54</v>
      </c>
      <c r="C48">
        <v>1181931517</v>
      </c>
      <c r="D48">
        <v>8757489</v>
      </c>
      <c r="E48">
        <v>160749636104</v>
      </c>
    </row>
    <row r="49" spans="1:5" x14ac:dyDescent="0.25">
      <c r="A49" s="8" t="s">
        <v>52</v>
      </c>
      <c r="B49" t="s">
        <v>56</v>
      </c>
      <c r="C49">
        <v>72190569</v>
      </c>
      <c r="D49">
        <v>38402</v>
      </c>
      <c r="E49">
        <v>10205885438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78B6-B6DA-414C-A277-AD6D47CCD178}">
  <sheetPr codeName="Sheet11"/>
  <dimension ref="A1:AC56"/>
  <sheetViews>
    <sheetView topLeftCell="A10" workbookViewId="0">
      <selection activeCell="M24" sqref="M24"/>
    </sheetView>
  </sheetViews>
  <sheetFormatPr defaultColWidth="11" defaultRowHeight="15.75" x14ac:dyDescent="0.25"/>
  <cols>
    <col min="1" max="1" width="23.125" bestFit="1" customWidth="1"/>
    <col min="3" max="3" width="16" style="2" hidden="1" customWidth="1"/>
    <col min="4" max="4" width="17.625" style="2" bestFit="1" customWidth="1"/>
    <col min="5" max="7" width="17.625" style="2" hidden="1" customWidth="1"/>
    <col min="8" max="9" width="17.625" style="2" customWidth="1"/>
    <col min="10" max="10" width="21.125" style="2" bestFit="1" customWidth="1"/>
    <col min="11" max="11" width="17.625" style="2" customWidth="1"/>
    <col min="12" max="12" width="21.125" style="2" bestFit="1" customWidth="1"/>
    <col min="13" max="14" width="14" customWidth="1"/>
    <col min="15" max="15" width="16" customWidth="1"/>
    <col min="16" max="17" width="10.875" customWidth="1"/>
    <col min="18" max="18" width="16" customWidth="1"/>
    <col min="19" max="19" width="10.875" customWidth="1"/>
    <col min="20" max="20" width="21.625" customWidth="1"/>
    <col min="21" max="27" width="10.875" customWidth="1"/>
    <col min="28" max="28" width="22" bestFit="1" customWidth="1"/>
  </cols>
  <sheetData>
    <row r="1" spans="1:29" x14ac:dyDescent="0.25">
      <c r="A1" s="13" t="s">
        <v>57</v>
      </c>
      <c r="B1" s="13" t="s">
        <v>58</v>
      </c>
      <c r="C1" s="9" t="s">
        <v>59</v>
      </c>
      <c r="D1" s="17" t="s">
        <v>63</v>
      </c>
      <c r="E1" s="9" t="s">
        <v>65</v>
      </c>
      <c r="F1" s="9" t="s">
        <v>66</v>
      </c>
      <c r="G1" s="9" t="s">
        <v>42</v>
      </c>
      <c r="H1" s="17" t="s">
        <v>64</v>
      </c>
      <c r="I1" s="19" t="s">
        <v>67</v>
      </c>
      <c r="J1" s="19" t="s">
        <v>40</v>
      </c>
      <c r="K1" s="19" t="s">
        <v>68</v>
      </c>
      <c r="L1" s="17" t="s">
        <v>71</v>
      </c>
      <c r="M1" s="14" t="s">
        <v>40</v>
      </c>
      <c r="N1" s="14" t="s">
        <v>42</v>
      </c>
      <c r="O1" s="14" t="s">
        <v>41</v>
      </c>
      <c r="P1" s="14" t="s">
        <v>62</v>
      </c>
      <c r="X1" s="7" t="s">
        <v>61</v>
      </c>
      <c r="Y1" s="7" t="s">
        <v>40</v>
      </c>
      <c r="Z1" s="7" t="s">
        <v>42</v>
      </c>
      <c r="AA1" s="7" t="s">
        <v>41</v>
      </c>
      <c r="AB1" s="20" t="s">
        <v>70</v>
      </c>
    </row>
    <row r="2" spans="1:29" x14ac:dyDescent="0.25">
      <c r="A2" s="1" t="s">
        <v>1</v>
      </c>
      <c r="B2" t="s">
        <v>54</v>
      </c>
      <c r="C2" s="2">
        <v>166890286131.03003</v>
      </c>
      <c r="D2" s="2">
        <v>170000000000</v>
      </c>
      <c r="E2" s="2">
        <f t="shared" ref="E2:E49" si="0">(O2/N2)</f>
        <v>113150.59003796816</v>
      </c>
      <c r="F2" s="2">
        <v>100000</v>
      </c>
      <c r="G2" s="2">
        <f>D2/F2</f>
        <v>1700000</v>
      </c>
      <c r="H2" s="2">
        <f>G2</f>
        <v>1700000</v>
      </c>
      <c r="I2" s="18">
        <f>M2/O2</f>
        <v>1.0508993465465754E-2</v>
      </c>
      <c r="J2" s="2">
        <f>D2*I2</f>
        <v>1786528889.1291783</v>
      </c>
      <c r="K2" s="2">
        <f>ROUND(J2/1000,0)</f>
        <v>1786529</v>
      </c>
      <c r="L2" s="2">
        <f>K2*1000</f>
        <v>1786529000</v>
      </c>
      <c r="M2" s="2">
        <f>VLOOKUP($A2,SUM!$A:$E,3,0)</f>
        <v>1566855289</v>
      </c>
      <c r="N2" s="2">
        <f>VLOOKUP($A2,SUM!$A:$E,4,0)</f>
        <v>1317683</v>
      </c>
      <c r="O2" s="2">
        <f>VLOOKUP($A2,SUM!$A:$E,5,0)</f>
        <v>149096608933</v>
      </c>
      <c r="P2" s="10">
        <f t="shared" ref="P2:P49" si="1">O2/C2</f>
        <v>0.89338098932816412</v>
      </c>
      <c r="Q2" s="10">
        <f t="shared" ref="Q2:Q49" si="2">O2/D2</f>
        <v>0.87703887607647057</v>
      </c>
      <c r="R2" s="2">
        <f t="shared" ref="R2:R49" si="3">VLOOKUP(A2,X:AA,4,0)</f>
        <v>155971368844</v>
      </c>
      <c r="S2" s="16">
        <f t="shared" ref="S2:S49" si="4">D2/R2-1</f>
        <v>8.994363042380682E-2</v>
      </c>
      <c r="X2" s="8" t="s">
        <v>1</v>
      </c>
      <c r="Y2">
        <v>1506606873</v>
      </c>
      <c r="Z2">
        <v>1366477</v>
      </c>
      <c r="AA2">
        <v>155971368844</v>
      </c>
      <c r="AB2" s="1" t="str">
        <f>A2</f>
        <v>ALFA GROUP</v>
      </c>
    </row>
    <row r="3" spans="1:29" x14ac:dyDescent="0.25">
      <c r="A3" s="1" t="s">
        <v>2</v>
      </c>
      <c r="B3" t="s">
        <v>55</v>
      </c>
      <c r="D3" s="2">
        <v>500000000</v>
      </c>
      <c r="E3" s="2">
        <f t="shared" si="0"/>
        <v>84946.244972869448</v>
      </c>
      <c r="F3" s="2">
        <v>85000</v>
      </c>
      <c r="G3" s="2">
        <f t="shared" ref="G3:G48" si="5">D3/F3</f>
        <v>5882.3529411764703</v>
      </c>
      <c r="H3" s="2">
        <v>6000</v>
      </c>
      <c r="I3" s="18">
        <f t="shared" ref="I3:I49" si="6">M3/O3</f>
        <v>1.7663167170978828E-3</v>
      </c>
      <c r="J3" s="2">
        <f t="shared" ref="J3:J49" si="7">D3*I3</f>
        <v>883158.35854894144</v>
      </c>
      <c r="K3" s="2">
        <f t="shared" ref="K3:K49" si="8">ROUND(J3/1000,0)</f>
        <v>883</v>
      </c>
      <c r="L3" s="2">
        <f t="shared" ref="L3:L49" si="9">K3*1000</f>
        <v>883000</v>
      </c>
      <c r="M3" s="2">
        <f>VLOOKUP($A3,SUM!$A:$E,3,0)</f>
        <v>940163</v>
      </c>
      <c r="N3" s="2">
        <f>VLOOKUP($A3,SUM!$A:$E,4,0)</f>
        <v>6266</v>
      </c>
      <c r="O3" s="2">
        <f>VLOOKUP($A3,SUM!$A:$E,5,0)</f>
        <v>532273171</v>
      </c>
      <c r="P3" s="10" t="e">
        <f t="shared" si="1"/>
        <v>#DIV/0!</v>
      </c>
      <c r="Q3" s="10">
        <f t="shared" si="2"/>
        <v>1.0645463420000001</v>
      </c>
      <c r="R3" s="2">
        <f t="shared" si="3"/>
        <v>69127100</v>
      </c>
      <c r="S3" s="16">
        <f t="shared" si="4"/>
        <v>6.233053317729226</v>
      </c>
      <c r="X3" s="8" t="s">
        <v>2</v>
      </c>
      <c r="Y3">
        <v>691744</v>
      </c>
      <c r="Z3">
        <v>469</v>
      </c>
      <c r="AA3">
        <v>69127100</v>
      </c>
      <c r="AB3" s="1" t="str">
        <f>A3</f>
        <v>ANCOL</v>
      </c>
    </row>
    <row r="4" spans="1:29" x14ac:dyDescent="0.25">
      <c r="A4" s="1" t="s">
        <v>3</v>
      </c>
      <c r="B4" t="s">
        <v>54</v>
      </c>
      <c r="C4" s="2">
        <v>215269877.07000002</v>
      </c>
      <c r="D4" s="2">
        <v>200000000</v>
      </c>
      <c r="E4" s="2">
        <f t="shared" si="0"/>
        <v>54431.487515605491</v>
      </c>
      <c r="F4" s="2">
        <v>55000</v>
      </c>
      <c r="G4" s="2">
        <f t="shared" si="5"/>
        <v>3636.3636363636365</v>
      </c>
      <c r="H4" s="2">
        <v>3500</v>
      </c>
      <c r="I4" s="18">
        <f t="shared" si="6"/>
        <v>6.983351908227001E-3</v>
      </c>
      <c r="J4" s="2">
        <f t="shared" si="7"/>
        <v>1396670.3816454003</v>
      </c>
      <c r="K4" s="2">
        <f t="shared" si="8"/>
        <v>1397</v>
      </c>
      <c r="L4" s="2">
        <f t="shared" si="9"/>
        <v>1397000</v>
      </c>
      <c r="M4" s="2">
        <f>VLOOKUP($A4,SUM!$A:$E,3,0)</f>
        <v>1217886</v>
      </c>
      <c r="N4" s="2">
        <f>VLOOKUP($A4,SUM!$A:$E,4,0)</f>
        <v>3204</v>
      </c>
      <c r="O4" s="2">
        <f>VLOOKUP($A4,SUM!$A:$E,5,0)</f>
        <v>174398486</v>
      </c>
      <c r="P4" s="10">
        <f t="shared" si="1"/>
        <v>0.81013882840324314</v>
      </c>
      <c r="Q4" s="10">
        <f t="shared" si="2"/>
        <v>0.87199243000000004</v>
      </c>
      <c r="R4" s="2">
        <f t="shared" si="3"/>
        <v>194407692</v>
      </c>
      <c r="S4" s="16">
        <f t="shared" si="4"/>
        <v>2.8765878255475608E-2</v>
      </c>
      <c r="X4" s="8" t="s">
        <v>3</v>
      </c>
      <c r="Y4">
        <v>516423</v>
      </c>
      <c r="Z4">
        <v>3586</v>
      </c>
      <c r="AA4">
        <v>194407692</v>
      </c>
      <c r="AB4" s="1" t="str">
        <f>A4</f>
        <v>BANBAN TEA</v>
      </c>
    </row>
    <row r="5" spans="1:29" x14ac:dyDescent="0.25">
      <c r="A5" s="1" t="s">
        <v>4</v>
      </c>
      <c r="B5" t="s">
        <v>54</v>
      </c>
      <c r="C5" s="2">
        <v>0</v>
      </c>
      <c r="D5" s="2">
        <v>100000000</v>
      </c>
      <c r="E5" s="2">
        <f t="shared" si="0"/>
        <v>169706.22111553786</v>
      </c>
      <c r="F5" s="2">
        <v>170000</v>
      </c>
      <c r="G5" s="2">
        <f t="shared" si="5"/>
        <v>588.23529411764707</v>
      </c>
      <c r="H5" s="2">
        <v>600</v>
      </c>
      <c r="I5" s="18">
        <f t="shared" si="6"/>
        <v>8.5661625492650332E-3</v>
      </c>
      <c r="J5" s="2">
        <f t="shared" si="7"/>
        <v>856616.25492650329</v>
      </c>
      <c r="K5" s="2">
        <f t="shared" si="8"/>
        <v>857</v>
      </c>
      <c r="L5" s="2">
        <f t="shared" si="9"/>
        <v>857000</v>
      </c>
      <c r="M5" s="2">
        <f>VLOOKUP($A5,SUM!$A:$E,3,0)</f>
        <v>729773</v>
      </c>
      <c r="N5" s="2">
        <f>VLOOKUP($A5,SUM!$A:$E,4,0)</f>
        <v>502</v>
      </c>
      <c r="O5" s="2">
        <f>VLOOKUP($A5,SUM!$A:$E,5,0)</f>
        <v>85192523</v>
      </c>
      <c r="P5" s="10" t="e">
        <f t="shared" si="1"/>
        <v>#DIV/0!</v>
      </c>
      <c r="Q5" s="10">
        <f t="shared" si="2"/>
        <v>0.85192522999999998</v>
      </c>
      <c r="R5" s="2">
        <f t="shared" si="3"/>
        <v>1065000</v>
      </c>
      <c r="S5" s="16">
        <f t="shared" si="4"/>
        <v>92.896713615023472</v>
      </c>
      <c r="X5" s="8" t="s">
        <v>4</v>
      </c>
      <c r="Y5">
        <v>1597</v>
      </c>
      <c r="Z5">
        <v>12</v>
      </c>
      <c r="AA5">
        <v>1065000</v>
      </c>
      <c r="AB5" s="1" t="str">
        <f>A5</f>
        <v>BEARD PAPA</v>
      </c>
    </row>
    <row r="6" spans="1:29" x14ac:dyDescent="0.25">
      <c r="A6" s="11" t="s">
        <v>43</v>
      </c>
      <c r="B6" s="12" t="s">
        <v>54</v>
      </c>
      <c r="C6" s="2">
        <v>0</v>
      </c>
      <c r="D6" s="2">
        <v>100000000</v>
      </c>
      <c r="E6" s="2">
        <f t="shared" si="0"/>
        <v>16219.005107526882</v>
      </c>
      <c r="F6" s="2">
        <v>50000</v>
      </c>
      <c r="G6" s="2">
        <f t="shared" si="5"/>
        <v>2000</v>
      </c>
      <c r="H6" s="2">
        <v>2000</v>
      </c>
      <c r="I6" s="18">
        <f t="shared" si="6"/>
        <v>2.8961775379040175E-3</v>
      </c>
      <c r="J6" s="2">
        <f t="shared" si="7"/>
        <v>289617.75379040174</v>
      </c>
      <c r="K6" s="2">
        <f t="shared" si="8"/>
        <v>290</v>
      </c>
      <c r="L6" s="2">
        <f t="shared" si="9"/>
        <v>290000</v>
      </c>
      <c r="M6" s="2">
        <f>VLOOKUP($A6,SUM!$A:$E,3,0)</f>
        <v>174740</v>
      </c>
      <c r="N6" s="2">
        <f>VLOOKUP($A6,SUM!$A:$E,4,0)</f>
        <v>3720</v>
      </c>
      <c r="O6" s="2">
        <f>VLOOKUP($A6,SUM!$A:$E,5,0)</f>
        <v>60334699</v>
      </c>
      <c r="P6" s="10" t="e">
        <f t="shared" si="1"/>
        <v>#DIV/0!</v>
      </c>
      <c r="Q6" s="10">
        <f t="shared" si="2"/>
        <v>0.60334699000000003</v>
      </c>
      <c r="R6" s="2" t="e">
        <f t="shared" si="3"/>
        <v>#N/A</v>
      </c>
      <c r="S6" s="16" t="e">
        <f t="shared" si="4"/>
        <v>#N/A</v>
      </c>
      <c r="X6" s="8" t="s">
        <v>5</v>
      </c>
      <c r="Y6">
        <v>5732</v>
      </c>
      <c r="Z6">
        <v>23</v>
      </c>
      <c r="AA6">
        <v>1912200</v>
      </c>
      <c r="AB6" t="s">
        <v>53</v>
      </c>
      <c r="AC6" t="str">
        <f>AB6</f>
        <v>STEVEN GROUP</v>
      </c>
    </row>
    <row r="7" spans="1:29" x14ac:dyDescent="0.25">
      <c r="A7" s="11" t="s">
        <v>5</v>
      </c>
      <c r="B7" s="12" t="s">
        <v>54</v>
      </c>
      <c r="D7" s="2">
        <v>500000000</v>
      </c>
      <c r="E7" s="2">
        <f t="shared" si="0"/>
        <v>84220.356972491645</v>
      </c>
      <c r="F7" s="2">
        <v>100000</v>
      </c>
      <c r="G7" s="2">
        <f t="shared" si="5"/>
        <v>5000</v>
      </c>
      <c r="H7" s="2">
        <v>5000</v>
      </c>
      <c r="I7" s="18">
        <f t="shared" si="6"/>
        <v>6.9063538796665215E-3</v>
      </c>
      <c r="J7" s="2">
        <f t="shared" si="7"/>
        <v>3453176.9398332606</v>
      </c>
      <c r="K7" s="2">
        <f t="shared" si="8"/>
        <v>3453</v>
      </c>
      <c r="L7" s="2">
        <f t="shared" si="9"/>
        <v>3453000</v>
      </c>
      <c r="M7" s="2">
        <f>VLOOKUP($A7,SUM!$A:$E,3,0)</f>
        <v>3658032</v>
      </c>
      <c r="N7" s="2">
        <f>VLOOKUP($A7,SUM!$A:$E,4,0)</f>
        <v>6289</v>
      </c>
      <c r="O7" s="2">
        <f>VLOOKUP($A7,SUM!$A:$E,5,0)</f>
        <v>529661825</v>
      </c>
      <c r="P7" s="10" t="e">
        <f t="shared" si="1"/>
        <v>#DIV/0!</v>
      </c>
      <c r="Q7" s="10">
        <f t="shared" si="2"/>
        <v>1.0593236500000001</v>
      </c>
      <c r="R7" s="2">
        <f t="shared" si="3"/>
        <v>1912200</v>
      </c>
      <c r="S7" s="16">
        <f t="shared" si="4"/>
        <v>260.47892479866124</v>
      </c>
      <c r="X7" s="8" t="s">
        <v>6</v>
      </c>
      <c r="Y7">
        <v>5580023</v>
      </c>
      <c r="Z7">
        <v>15559</v>
      </c>
      <c r="AA7">
        <v>2169395249</v>
      </c>
      <c r="AB7" t="s">
        <v>53</v>
      </c>
      <c r="AC7" t="str">
        <f>AB7</f>
        <v>STEVEN GROUP</v>
      </c>
    </row>
    <row r="8" spans="1:29" x14ac:dyDescent="0.25">
      <c r="A8" s="1" t="s">
        <v>6</v>
      </c>
      <c r="B8" t="s">
        <v>56</v>
      </c>
      <c r="C8" s="2">
        <v>2347371350</v>
      </c>
      <c r="D8" s="2">
        <v>2200000000</v>
      </c>
      <c r="E8" s="2">
        <f t="shared" si="0"/>
        <v>119849.965542522</v>
      </c>
      <c r="F8" s="2">
        <v>120000</v>
      </c>
      <c r="G8" s="2">
        <f t="shared" si="5"/>
        <v>18333.333333333332</v>
      </c>
      <c r="H8" s="2">
        <v>18000</v>
      </c>
      <c r="I8" s="18">
        <f t="shared" si="6"/>
        <v>5.5938860703974138E-3</v>
      </c>
      <c r="J8" s="2">
        <f t="shared" si="7"/>
        <v>12306549.354874311</v>
      </c>
      <c r="K8" s="2">
        <f t="shared" si="8"/>
        <v>12307</v>
      </c>
      <c r="L8" s="2">
        <f t="shared" si="9"/>
        <v>12307000</v>
      </c>
      <c r="M8" s="2">
        <f>VLOOKUP($A8,SUM!$A:$E,3,0)</f>
        <v>1828925</v>
      </c>
      <c r="N8" s="2">
        <f>VLOOKUP($A8,SUM!$A:$E,4,0)</f>
        <v>2728</v>
      </c>
      <c r="O8" s="2">
        <f>VLOOKUP($A8,SUM!$A:$E,5,0)</f>
        <v>326950706</v>
      </c>
      <c r="P8" s="10">
        <f t="shared" si="1"/>
        <v>0.13928375925692371</v>
      </c>
      <c r="Q8" s="10">
        <f t="shared" si="2"/>
        <v>0.14861395727272728</v>
      </c>
      <c r="R8" s="2">
        <f t="shared" si="3"/>
        <v>2169395249</v>
      </c>
      <c r="S8" s="16">
        <f t="shared" si="4"/>
        <v>1.4107503468585358E-2</v>
      </c>
      <c r="X8" s="8" t="s">
        <v>7</v>
      </c>
      <c r="Y8">
        <v>27520</v>
      </c>
      <c r="Z8">
        <v>17</v>
      </c>
      <c r="AA8">
        <v>2750003</v>
      </c>
      <c r="AB8" s="1" t="str">
        <f>A8</f>
        <v>CHAMP RESTO</v>
      </c>
    </row>
    <row r="9" spans="1:29" x14ac:dyDescent="0.25">
      <c r="A9" s="1" t="s">
        <v>7</v>
      </c>
      <c r="B9" t="s">
        <v>54</v>
      </c>
      <c r="C9" s="2">
        <v>0</v>
      </c>
      <c r="D9" s="2">
        <v>300000000</v>
      </c>
      <c r="E9" s="2">
        <f t="shared" si="0"/>
        <v>314888.90370370372</v>
      </c>
      <c r="F9" s="2">
        <v>300000</v>
      </c>
      <c r="G9" s="2">
        <f t="shared" si="5"/>
        <v>1000</v>
      </c>
      <c r="H9" s="2">
        <v>1000</v>
      </c>
      <c r="I9" s="18">
        <f t="shared" si="6"/>
        <v>7.7682222376075838E-3</v>
      </c>
      <c r="J9" s="2">
        <f t="shared" si="7"/>
        <v>2330466.6712822751</v>
      </c>
      <c r="K9" s="2">
        <f t="shared" si="8"/>
        <v>2330</v>
      </c>
      <c r="L9" s="2">
        <f t="shared" si="9"/>
        <v>2330000</v>
      </c>
      <c r="M9" s="2">
        <f>VLOOKUP($A9,SUM!$A:$E,3,0)</f>
        <v>2311590</v>
      </c>
      <c r="N9" s="2">
        <f>VLOOKUP($A9,SUM!$A:$E,4,0)</f>
        <v>945</v>
      </c>
      <c r="O9" s="2">
        <f>VLOOKUP($A9,SUM!$A:$E,5,0)</f>
        <v>297570014</v>
      </c>
      <c r="P9" s="10" t="e">
        <f t="shared" si="1"/>
        <v>#DIV/0!</v>
      </c>
      <c r="Q9" s="10">
        <f t="shared" si="2"/>
        <v>0.99190004666666665</v>
      </c>
      <c r="R9" s="2">
        <f t="shared" si="3"/>
        <v>2750003</v>
      </c>
      <c r="S9" s="16">
        <f t="shared" si="4"/>
        <v>108.09079008277446</v>
      </c>
      <c r="X9" s="8" t="s">
        <v>8</v>
      </c>
      <c r="Y9">
        <v>613259</v>
      </c>
      <c r="Z9">
        <v>35</v>
      </c>
      <c r="AA9">
        <v>119988248</v>
      </c>
      <c r="AB9" s="1" t="str">
        <f>A9</f>
        <v>DAMRI</v>
      </c>
    </row>
    <row r="10" spans="1:29" x14ac:dyDescent="0.25">
      <c r="A10" s="1" t="s">
        <v>44</v>
      </c>
      <c r="B10" t="s">
        <v>54</v>
      </c>
      <c r="D10" s="2">
        <v>500000000</v>
      </c>
      <c r="E10" s="2">
        <f t="shared" si="0"/>
        <v>245417.27289156627</v>
      </c>
      <c r="F10" s="2">
        <v>250000</v>
      </c>
      <c r="G10" s="2">
        <f t="shared" si="5"/>
        <v>2000</v>
      </c>
      <c r="H10" s="2">
        <v>2000</v>
      </c>
      <c r="I10" s="18">
        <f t="shared" si="6"/>
        <v>8.580888247835523E-3</v>
      </c>
      <c r="J10" s="2">
        <f t="shared" si="7"/>
        <v>4290444.1239177613</v>
      </c>
      <c r="K10" s="2">
        <f t="shared" si="8"/>
        <v>4290</v>
      </c>
      <c r="L10" s="2">
        <f t="shared" si="9"/>
        <v>4290000</v>
      </c>
      <c r="M10" s="2">
        <f>VLOOKUP($A10,SUM!$A:$E,3,0)</f>
        <v>3495791</v>
      </c>
      <c r="N10" s="2">
        <f>VLOOKUP($A10,SUM!$A:$E,4,0)</f>
        <v>1660</v>
      </c>
      <c r="O10" s="2">
        <f>VLOOKUP($A10,SUM!$A:$E,5,0)</f>
        <v>407392673</v>
      </c>
      <c r="P10" s="10" t="e">
        <f t="shared" si="1"/>
        <v>#DIV/0!</v>
      </c>
      <c r="Q10" s="10">
        <f t="shared" si="2"/>
        <v>0.81478534599999997</v>
      </c>
      <c r="R10" s="2" t="e">
        <f t="shared" si="3"/>
        <v>#N/A</v>
      </c>
      <c r="S10" s="16" t="e">
        <f t="shared" si="4"/>
        <v>#N/A</v>
      </c>
      <c r="X10" s="8" t="s">
        <v>9</v>
      </c>
      <c r="Y10">
        <v>1338163</v>
      </c>
      <c r="Z10">
        <v>3239</v>
      </c>
      <c r="AA10">
        <v>191151980</v>
      </c>
      <c r="AB10" s="1" t="str">
        <f>A10</f>
        <v>DELTA WIBAWA BERSAMA</v>
      </c>
    </row>
    <row r="11" spans="1:29" x14ac:dyDescent="0.25">
      <c r="A11" s="1" t="s">
        <v>8</v>
      </c>
      <c r="B11" t="s">
        <v>54</v>
      </c>
      <c r="C11" s="2">
        <v>44111820</v>
      </c>
      <c r="D11" s="2">
        <v>6000000000</v>
      </c>
      <c r="E11" s="2">
        <f t="shared" si="0"/>
        <v>6286905.4776902888</v>
      </c>
      <c r="F11" s="2">
        <v>5000000</v>
      </c>
      <c r="G11" s="2">
        <f t="shared" si="5"/>
        <v>1200</v>
      </c>
      <c r="H11" s="2">
        <v>1200</v>
      </c>
      <c r="I11" s="18">
        <f t="shared" si="6"/>
        <v>6.1751480623087876E-3</v>
      </c>
      <c r="J11" s="2">
        <f t="shared" si="7"/>
        <v>37050888.373852722</v>
      </c>
      <c r="K11" s="2">
        <f t="shared" si="8"/>
        <v>37051</v>
      </c>
      <c r="L11" s="2">
        <f t="shared" si="9"/>
        <v>37051000</v>
      </c>
      <c r="M11" s="2">
        <f>VLOOKUP($A11,SUM!$A:$E,3,0)</f>
        <v>29582800</v>
      </c>
      <c r="N11" s="2">
        <f>VLOOKUP($A11,SUM!$A:$E,4,0)</f>
        <v>762</v>
      </c>
      <c r="O11" s="2">
        <f>VLOOKUP($A11,SUM!$A:$E,5,0)</f>
        <v>4790621974</v>
      </c>
      <c r="P11" s="10">
        <f t="shared" si="1"/>
        <v>108.60177553317909</v>
      </c>
      <c r="Q11" s="10">
        <f t="shared" si="2"/>
        <v>0.7984369956666667</v>
      </c>
      <c r="R11" s="2">
        <f t="shared" si="3"/>
        <v>119988248</v>
      </c>
      <c r="S11" s="16">
        <f t="shared" si="4"/>
        <v>49.004897146260525</v>
      </c>
      <c r="X11" s="8" t="s">
        <v>10</v>
      </c>
      <c r="Y11">
        <v>65944508</v>
      </c>
      <c r="Z11">
        <v>37767</v>
      </c>
      <c r="AA11">
        <v>7787426433</v>
      </c>
      <c r="AB11" s="1" t="str">
        <f>A11</f>
        <v>DWIDAYA</v>
      </c>
    </row>
    <row r="12" spans="1:29" x14ac:dyDescent="0.25">
      <c r="A12" s="1" t="s">
        <v>45</v>
      </c>
      <c r="B12" t="s">
        <v>55</v>
      </c>
      <c r="C12" s="2">
        <v>0</v>
      </c>
      <c r="D12" s="2">
        <v>200000000</v>
      </c>
      <c r="E12" s="2">
        <f t="shared" si="0"/>
        <v>1077613.9836065574</v>
      </c>
      <c r="F12" s="2">
        <v>1000000</v>
      </c>
      <c r="G12" s="2">
        <f t="shared" si="5"/>
        <v>200</v>
      </c>
      <c r="H12" s="2">
        <v>200</v>
      </c>
      <c r="I12" s="18">
        <f t="shared" si="6"/>
        <v>1.1443902433730857E-2</v>
      </c>
      <c r="J12" s="2">
        <f t="shared" si="7"/>
        <v>2288780.4867461715</v>
      </c>
      <c r="K12" s="2">
        <f t="shared" si="8"/>
        <v>2289</v>
      </c>
      <c r="L12" s="2">
        <f t="shared" si="9"/>
        <v>2289000</v>
      </c>
      <c r="M12" s="2">
        <f>VLOOKUP($A12,SUM!$A:$E,3,0)</f>
        <v>2256776</v>
      </c>
      <c r="N12" s="2">
        <f>VLOOKUP($A12,SUM!$A:$E,4,0)</f>
        <v>183</v>
      </c>
      <c r="O12" s="2">
        <f>VLOOKUP($A12,SUM!$A:$E,5,0)</f>
        <v>197203359</v>
      </c>
      <c r="P12" s="10" t="e">
        <f t="shared" si="1"/>
        <v>#DIV/0!</v>
      </c>
      <c r="Q12" s="10">
        <f t="shared" si="2"/>
        <v>0.98601679499999995</v>
      </c>
      <c r="R12" s="2" t="e">
        <f t="shared" si="3"/>
        <v>#N/A</v>
      </c>
      <c r="S12" s="16" t="e">
        <f t="shared" si="4"/>
        <v>#N/A</v>
      </c>
      <c r="T12" s="1" t="s">
        <v>0</v>
      </c>
      <c r="X12" s="8" t="s">
        <v>11</v>
      </c>
      <c r="Y12">
        <v>25824215</v>
      </c>
      <c r="Z12">
        <v>90765</v>
      </c>
      <c r="AA12">
        <v>3683562273</v>
      </c>
      <c r="AB12" s="1" t="str">
        <f>A12</f>
        <v>EKA HOSPITAL</v>
      </c>
    </row>
    <row r="13" spans="1:29" x14ac:dyDescent="0.25">
      <c r="A13" s="15" t="s">
        <v>9</v>
      </c>
      <c r="B13" t="s">
        <v>56</v>
      </c>
      <c r="D13" s="2">
        <v>0</v>
      </c>
      <c r="E13" s="2">
        <f t="shared" si="0"/>
        <v>22171.166666666668</v>
      </c>
      <c r="F13" s="2">
        <v>0</v>
      </c>
      <c r="G13" s="2">
        <v>0</v>
      </c>
      <c r="I13" s="18">
        <f t="shared" si="6"/>
        <v>9.99797033684891E-3</v>
      </c>
      <c r="J13" s="2">
        <f t="shared" si="7"/>
        <v>0</v>
      </c>
      <c r="K13" s="2">
        <f t="shared" si="8"/>
        <v>0</v>
      </c>
      <c r="L13" s="2">
        <f t="shared" si="9"/>
        <v>0</v>
      </c>
      <c r="M13" s="2">
        <f>VLOOKUP($A13,SUM!$A:$E,3,0)</f>
        <v>1330</v>
      </c>
      <c r="N13" s="2">
        <f>VLOOKUP($A13,SUM!$A:$E,4,0)</f>
        <v>6</v>
      </c>
      <c r="O13" s="2">
        <f>VLOOKUP($A13,SUM!$A:$E,5,0)</f>
        <v>133027</v>
      </c>
      <c r="P13" s="10" t="e">
        <f t="shared" si="1"/>
        <v>#DIV/0!</v>
      </c>
      <c r="Q13" s="10" t="e">
        <f t="shared" si="2"/>
        <v>#DIV/0!</v>
      </c>
      <c r="R13" s="2">
        <f t="shared" si="3"/>
        <v>191151980</v>
      </c>
      <c r="S13" s="16">
        <f t="shared" si="4"/>
        <v>-1</v>
      </c>
      <c r="T13" s="1" t="s">
        <v>9</v>
      </c>
      <c r="X13" s="8" t="s">
        <v>12</v>
      </c>
      <c r="Y13">
        <v>13658</v>
      </c>
      <c r="Z13">
        <v>36</v>
      </c>
      <c r="AA13">
        <v>5305758</v>
      </c>
      <c r="AB13" t="s">
        <v>69</v>
      </c>
    </row>
    <row r="14" spans="1:29" x14ac:dyDescent="0.25">
      <c r="A14" s="15" t="s">
        <v>10</v>
      </c>
      <c r="B14" t="s">
        <v>56</v>
      </c>
      <c r="C14" s="2">
        <v>5339128800</v>
      </c>
      <c r="D14" s="2">
        <v>0</v>
      </c>
      <c r="E14" s="2">
        <f t="shared" si="0"/>
        <v>761807.56578947371</v>
      </c>
      <c r="F14" s="2">
        <v>0</v>
      </c>
      <c r="G14" s="2">
        <v>0</v>
      </c>
      <c r="I14" s="18">
        <f t="shared" si="6"/>
        <v>1.8192189196833189E-3</v>
      </c>
      <c r="J14" s="2">
        <f t="shared" si="7"/>
        <v>0</v>
      </c>
      <c r="K14" s="2">
        <f t="shared" si="8"/>
        <v>0</v>
      </c>
      <c r="L14" s="2">
        <f t="shared" si="9"/>
        <v>0</v>
      </c>
      <c r="M14" s="2">
        <f>VLOOKUP($A14,SUM!$A:$E,3,0)</f>
        <v>105328</v>
      </c>
      <c r="N14" s="2">
        <f>VLOOKUP($A14,SUM!$A:$E,4,0)</f>
        <v>76</v>
      </c>
      <c r="O14" s="2">
        <f>VLOOKUP($A14,SUM!$A:$E,5,0)</f>
        <v>57897375</v>
      </c>
      <c r="P14" s="10">
        <f t="shared" si="1"/>
        <v>1.0843974207926956E-2</v>
      </c>
      <c r="Q14" s="10" t="e">
        <f t="shared" si="2"/>
        <v>#DIV/0!</v>
      </c>
      <c r="R14" s="2">
        <f t="shared" si="3"/>
        <v>7787426433</v>
      </c>
      <c r="S14" s="16">
        <f t="shared" si="4"/>
        <v>-1</v>
      </c>
      <c r="T14" s="1" t="s">
        <v>10</v>
      </c>
      <c r="X14" s="8" t="s">
        <v>13</v>
      </c>
      <c r="Y14">
        <v>10161</v>
      </c>
      <c r="Z14">
        <v>20</v>
      </c>
      <c r="AA14">
        <v>3536100</v>
      </c>
      <c r="AB14" s="1" t="str">
        <f t="shared" ref="AB14:AB28" si="10">A14</f>
        <v>GRAMEDIA</v>
      </c>
    </row>
    <row r="15" spans="1:29" x14ac:dyDescent="0.25">
      <c r="A15" s="1" t="s">
        <v>11</v>
      </c>
      <c r="B15" t="s">
        <v>56</v>
      </c>
      <c r="C15" s="2">
        <v>14010548.970000001</v>
      </c>
      <c r="D15" s="2">
        <v>9000000000</v>
      </c>
      <c r="E15" s="2">
        <f t="shared" si="0"/>
        <v>42456.457202234058</v>
      </c>
      <c r="F15" s="2">
        <v>50000</v>
      </c>
      <c r="G15" s="2">
        <f t="shared" si="5"/>
        <v>180000</v>
      </c>
      <c r="H15" s="2">
        <v>180000</v>
      </c>
      <c r="I15" s="18">
        <f t="shared" si="6"/>
        <v>6.9057150217667401E-3</v>
      </c>
      <c r="J15" s="2">
        <f t="shared" si="7"/>
        <v>62151435.195900664</v>
      </c>
      <c r="K15" s="2">
        <f t="shared" si="8"/>
        <v>62151</v>
      </c>
      <c r="L15" s="2">
        <f t="shared" si="9"/>
        <v>62151000</v>
      </c>
      <c r="M15" s="2">
        <f>VLOOKUP($A15,SUM!$A:$E,3,0)</f>
        <v>60946741</v>
      </c>
      <c r="N15" s="2">
        <f>VLOOKUP($A15,SUM!$A:$E,4,0)</f>
        <v>207873</v>
      </c>
      <c r="O15" s="2">
        <f>VLOOKUP($A15,SUM!$A:$E,5,0)</f>
        <v>8825551128</v>
      </c>
      <c r="P15" s="10">
        <f t="shared" si="1"/>
        <v>629.92186436788847</v>
      </c>
      <c r="Q15" s="10">
        <f t="shared" si="2"/>
        <v>0.98061679199999996</v>
      </c>
      <c r="R15" s="2">
        <f t="shared" si="3"/>
        <v>3683562273</v>
      </c>
      <c r="S15" s="16">
        <f t="shared" si="4"/>
        <v>1.4432870501385984</v>
      </c>
      <c r="T15" s="1" t="s">
        <v>12</v>
      </c>
      <c r="X15" s="8" t="s">
        <v>14</v>
      </c>
      <c r="Y15">
        <v>12322769</v>
      </c>
      <c r="Z15">
        <v>21177</v>
      </c>
      <c r="AA15">
        <v>1679966981</v>
      </c>
      <c r="AB15" s="1" t="str">
        <f t="shared" si="10"/>
        <v>HAUS</v>
      </c>
    </row>
    <row r="16" spans="1:29" x14ac:dyDescent="0.25">
      <c r="A16" s="15" t="s">
        <v>12</v>
      </c>
      <c r="B16" t="s">
        <v>55</v>
      </c>
      <c r="C16" s="2">
        <v>5511557.1600000001</v>
      </c>
      <c r="D16" s="2">
        <v>0</v>
      </c>
      <c r="E16" s="2">
        <f t="shared" si="0"/>
        <v>143729.47368421053</v>
      </c>
      <c r="F16" s="2">
        <v>0</v>
      </c>
      <c r="G16" s="2">
        <v>0</v>
      </c>
      <c r="I16" s="18">
        <f t="shared" si="6"/>
        <v>4.9896369641797824E-3</v>
      </c>
      <c r="J16" s="2">
        <f t="shared" si="7"/>
        <v>0</v>
      </c>
      <c r="K16" s="2">
        <f t="shared" si="8"/>
        <v>0</v>
      </c>
      <c r="L16" s="2">
        <f t="shared" si="9"/>
        <v>0</v>
      </c>
      <c r="M16" s="2">
        <f>VLOOKUP($A16,SUM!$A:$E,3,0)</f>
        <v>13626</v>
      </c>
      <c r="N16" s="2">
        <f>VLOOKUP($A16,SUM!$A:$E,4,0)</f>
        <v>19</v>
      </c>
      <c r="O16" s="2">
        <f>VLOOKUP($A16,SUM!$A:$E,5,0)</f>
        <v>2730860</v>
      </c>
      <c r="P16" s="10">
        <f t="shared" si="1"/>
        <v>0.49547884939290004</v>
      </c>
      <c r="Q16" s="10" t="e">
        <f t="shared" si="2"/>
        <v>#DIV/0!</v>
      </c>
      <c r="R16" s="2">
        <f t="shared" si="3"/>
        <v>5305758</v>
      </c>
      <c r="S16" s="16">
        <f t="shared" si="4"/>
        <v>-1</v>
      </c>
      <c r="T16" s="1" t="s">
        <v>20</v>
      </c>
      <c r="X16" s="8" t="s">
        <v>15</v>
      </c>
      <c r="Y16">
        <v>4682482</v>
      </c>
      <c r="Z16">
        <v>20744</v>
      </c>
      <c r="AA16">
        <v>753745338</v>
      </c>
      <c r="AB16" s="1" t="str">
        <f t="shared" si="10"/>
        <v>HEAVENLY WANG</v>
      </c>
    </row>
    <row r="17" spans="1:29" x14ac:dyDescent="0.25">
      <c r="A17" s="1" t="s">
        <v>13</v>
      </c>
      <c r="B17" t="s">
        <v>56</v>
      </c>
      <c r="C17" s="2">
        <v>0</v>
      </c>
      <c r="D17" s="2">
        <v>200000000</v>
      </c>
      <c r="E17" s="2">
        <f t="shared" si="0"/>
        <v>89003.826142131977</v>
      </c>
      <c r="F17" s="2">
        <v>100000</v>
      </c>
      <c r="G17" s="2">
        <f t="shared" si="5"/>
        <v>2000</v>
      </c>
      <c r="H17" s="2">
        <v>2000</v>
      </c>
      <c r="I17" s="18">
        <f t="shared" si="6"/>
        <v>6.2703914727900182E-3</v>
      </c>
      <c r="J17" s="2">
        <f t="shared" si="7"/>
        <v>1254078.2945580035</v>
      </c>
      <c r="K17" s="2">
        <f t="shared" si="8"/>
        <v>1254</v>
      </c>
      <c r="L17" s="2">
        <f t="shared" si="9"/>
        <v>1254000</v>
      </c>
      <c r="M17" s="2">
        <f>VLOOKUP($A17,SUM!$A:$E,3,0)</f>
        <v>879548</v>
      </c>
      <c r="N17" s="2">
        <f>VLOOKUP($A17,SUM!$A:$E,4,0)</f>
        <v>1576</v>
      </c>
      <c r="O17" s="2">
        <f>VLOOKUP($A17,SUM!$A:$E,5,0)</f>
        <v>140270030</v>
      </c>
      <c r="P17" s="10" t="e">
        <f t="shared" si="1"/>
        <v>#DIV/0!</v>
      </c>
      <c r="Q17" s="10">
        <f t="shared" si="2"/>
        <v>0.70135015000000001</v>
      </c>
      <c r="R17" s="2">
        <f t="shared" si="3"/>
        <v>3536100</v>
      </c>
      <c r="S17" s="16">
        <f t="shared" si="4"/>
        <v>55.559486439863129</v>
      </c>
      <c r="T17" s="1" t="s">
        <v>24</v>
      </c>
      <c r="X17" s="8" t="s">
        <v>16</v>
      </c>
      <c r="Y17">
        <v>291604</v>
      </c>
      <c r="Z17">
        <v>198</v>
      </c>
      <c r="AA17">
        <v>138979393</v>
      </c>
      <c r="AB17" s="1" t="str">
        <f t="shared" si="10"/>
        <v>HERO GROUP</v>
      </c>
    </row>
    <row r="18" spans="1:29" x14ac:dyDescent="0.25">
      <c r="A18" s="11" t="s">
        <v>46</v>
      </c>
      <c r="B18" t="s">
        <v>55</v>
      </c>
      <c r="D18" s="2">
        <v>2000000000</v>
      </c>
      <c r="E18" s="2">
        <f t="shared" si="0"/>
        <v>100781.09998048209</v>
      </c>
      <c r="F18" s="2">
        <v>100000</v>
      </c>
      <c r="G18" s="2">
        <f t="shared" si="5"/>
        <v>20000</v>
      </c>
      <c r="H18" s="2">
        <v>20000</v>
      </c>
      <c r="I18" s="18">
        <f t="shared" si="6"/>
        <v>7.2855765050411254E-3</v>
      </c>
      <c r="J18" s="2">
        <f t="shared" si="7"/>
        <v>14571153.01008225</v>
      </c>
      <c r="K18" s="2">
        <f t="shared" si="8"/>
        <v>14571</v>
      </c>
      <c r="L18" s="2">
        <f t="shared" si="9"/>
        <v>14571000</v>
      </c>
      <c r="M18" s="2">
        <f>VLOOKUP($A18,SUM!$A:$E,3,0)</f>
        <v>15047687</v>
      </c>
      <c r="N18" s="2">
        <f>VLOOKUP($A18,SUM!$A:$E,4,0)</f>
        <v>20494</v>
      </c>
      <c r="O18" s="2">
        <f>VLOOKUP($A18,SUM!$A:$E,5,0)</f>
        <v>2065407863</v>
      </c>
      <c r="P18" s="10" t="e">
        <f t="shared" si="1"/>
        <v>#DIV/0!</v>
      </c>
      <c r="Q18" s="10">
        <f t="shared" si="2"/>
        <v>1.0327039314999999</v>
      </c>
      <c r="R18" s="2" t="e">
        <f t="shared" si="3"/>
        <v>#N/A</v>
      </c>
      <c r="S18" s="16" t="e">
        <f t="shared" si="4"/>
        <v>#N/A</v>
      </c>
      <c r="T18" s="1" t="s">
        <v>30</v>
      </c>
      <c r="X18" s="8" t="s">
        <v>17</v>
      </c>
      <c r="Y18">
        <v>1155090490</v>
      </c>
      <c r="Z18">
        <v>1547819</v>
      </c>
      <c r="AA18">
        <v>144426676977</v>
      </c>
      <c r="AB18" s="1" t="str">
        <f t="shared" si="10"/>
        <v>HOKBEN</v>
      </c>
    </row>
    <row r="19" spans="1:29" x14ac:dyDescent="0.25">
      <c r="A19" s="1" t="s">
        <v>14</v>
      </c>
      <c r="B19" t="s">
        <v>54</v>
      </c>
      <c r="C19" s="2">
        <v>1568321767.46</v>
      </c>
      <c r="D19" s="2">
        <v>2000000000</v>
      </c>
      <c r="E19" s="2">
        <f t="shared" si="0"/>
        <v>66098.394225801545</v>
      </c>
      <c r="F19" s="2">
        <v>50000</v>
      </c>
      <c r="G19" s="2">
        <f t="shared" si="5"/>
        <v>40000</v>
      </c>
      <c r="H19" s="2">
        <v>40000</v>
      </c>
      <c r="I19" s="18">
        <f t="shared" si="6"/>
        <v>6.6116233593913548E-3</v>
      </c>
      <c r="J19" s="2">
        <f t="shared" si="7"/>
        <v>13223246.71878271</v>
      </c>
      <c r="K19" s="2">
        <f t="shared" si="8"/>
        <v>13223</v>
      </c>
      <c r="L19" s="2">
        <f t="shared" si="9"/>
        <v>13223000</v>
      </c>
      <c r="M19" s="2">
        <f>VLOOKUP($A19,SUM!$A:$E,3,0)</f>
        <v>14380067</v>
      </c>
      <c r="N19" s="2">
        <f>VLOOKUP($A19,SUM!$A:$E,4,0)</f>
        <v>32905</v>
      </c>
      <c r="O19" s="2">
        <f>VLOOKUP($A19,SUM!$A:$E,5,0)</f>
        <v>2174967662</v>
      </c>
      <c r="P19" s="10">
        <f t="shared" si="1"/>
        <v>1.386812137105323</v>
      </c>
      <c r="Q19" s="10">
        <f t="shared" si="2"/>
        <v>1.0874838309999999</v>
      </c>
      <c r="R19" s="2">
        <f t="shared" si="3"/>
        <v>1679966981</v>
      </c>
      <c r="S19" s="16">
        <f t="shared" si="4"/>
        <v>0.19049958875352435</v>
      </c>
      <c r="T19" s="1" t="s">
        <v>49</v>
      </c>
      <c r="X19" s="8" t="s">
        <v>18</v>
      </c>
      <c r="Y19">
        <v>85185354</v>
      </c>
      <c r="Z19">
        <v>36213</v>
      </c>
      <c r="AA19">
        <v>43729925142</v>
      </c>
      <c r="AB19" s="1" t="str">
        <f t="shared" si="10"/>
        <v>HOKKAIDO BAKED CHEESE</v>
      </c>
    </row>
    <row r="20" spans="1:29" x14ac:dyDescent="0.25">
      <c r="A20" s="1" t="s">
        <v>15</v>
      </c>
      <c r="B20" t="s">
        <v>54</v>
      </c>
      <c r="C20" s="2">
        <v>0</v>
      </c>
      <c r="D20" s="2">
        <v>3500000000</v>
      </c>
      <c r="E20" s="2">
        <f t="shared" si="0"/>
        <v>26947.579930024462</v>
      </c>
      <c r="F20" s="2">
        <v>30000</v>
      </c>
      <c r="G20" s="2">
        <f t="shared" si="5"/>
        <v>116666.66666666667</v>
      </c>
      <c r="H20" s="2">
        <v>115000</v>
      </c>
      <c r="I20" s="18">
        <f t="shared" si="6"/>
        <v>7.7758220316686422E-7</v>
      </c>
      <c r="J20" s="2">
        <f t="shared" si="7"/>
        <v>2721.537711084025</v>
      </c>
      <c r="K20" s="2">
        <f t="shared" si="8"/>
        <v>3</v>
      </c>
      <c r="L20" s="2">
        <f t="shared" si="9"/>
        <v>3000</v>
      </c>
      <c r="M20" s="2">
        <f>VLOOKUP($A20,SUM!$A:$E,3,0)</f>
        <v>2707</v>
      </c>
      <c r="N20" s="2">
        <f>VLOOKUP($A20,SUM!$A:$E,4,0)</f>
        <v>129188</v>
      </c>
      <c r="O20" s="2">
        <f>VLOOKUP($A20,SUM!$A:$E,5,0)</f>
        <v>3481303956</v>
      </c>
      <c r="P20" s="10" t="e">
        <f t="shared" si="1"/>
        <v>#DIV/0!</v>
      </c>
      <c r="Q20" s="10">
        <f t="shared" si="2"/>
        <v>0.99465827314285715</v>
      </c>
      <c r="R20" s="2">
        <f t="shared" si="3"/>
        <v>753745338</v>
      </c>
      <c r="S20" s="16">
        <f t="shared" si="4"/>
        <v>3.6434781398276455</v>
      </c>
      <c r="T20" s="1" t="s">
        <v>50</v>
      </c>
      <c r="X20" s="8" t="s">
        <v>19</v>
      </c>
      <c r="Y20">
        <v>222297817</v>
      </c>
      <c r="Z20">
        <v>30376</v>
      </c>
      <c r="AA20">
        <v>18287320300</v>
      </c>
      <c r="AB20" s="1" t="str">
        <f t="shared" si="10"/>
        <v>HOP HOP</v>
      </c>
    </row>
    <row r="21" spans="1:29" x14ac:dyDescent="0.25">
      <c r="A21" s="1" t="s">
        <v>16</v>
      </c>
      <c r="B21" t="s">
        <v>55</v>
      </c>
      <c r="C21" s="2">
        <v>148707950.51000002</v>
      </c>
      <c r="D21" s="2">
        <v>200000000</v>
      </c>
      <c r="E21" s="2">
        <f t="shared" si="0"/>
        <v>809860.97560975607</v>
      </c>
      <c r="F21" s="2">
        <v>800000</v>
      </c>
      <c r="G21" s="2">
        <f t="shared" si="5"/>
        <v>250</v>
      </c>
      <c r="H21" s="2">
        <v>250</v>
      </c>
      <c r="I21" s="18">
        <f t="shared" si="6"/>
        <v>1.4999914669686356E-3</v>
      </c>
      <c r="J21" s="2">
        <f t="shared" si="7"/>
        <v>299998.2933937271</v>
      </c>
      <c r="K21" s="2">
        <f t="shared" si="8"/>
        <v>300</v>
      </c>
      <c r="L21" s="2">
        <f t="shared" si="9"/>
        <v>300000</v>
      </c>
      <c r="M21" s="2">
        <f>VLOOKUP($A21,SUM!$A:$E,3,0)</f>
        <v>298837</v>
      </c>
      <c r="N21" s="2">
        <f>VLOOKUP($A21,SUM!$A:$E,4,0)</f>
        <v>246</v>
      </c>
      <c r="O21" s="2">
        <f>VLOOKUP($A21,SUM!$A:$E,5,0)</f>
        <v>199225800</v>
      </c>
      <c r="P21" s="10">
        <f t="shared" si="1"/>
        <v>1.3397118265482575</v>
      </c>
      <c r="Q21" s="10">
        <f t="shared" si="2"/>
        <v>0.99612900000000004</v>
      </c>
      <c r="R21" s="2">
        <f t="shared" si="3"/>
        <v>138979393</v>
      </c>
      <c r="S21" s="16">
        <f t="shared" si="4"/>
        <v>0.43906226443225282</v>
      </c>
      <c r="T21" s="1" t="s">
        <v>35</v>
      </c>
      <c r="X21" s="8" t="s">
        <v>20</v>
      </c>
      <c r="Y21">
        <v>16628147</v>
      </c>
      <c r="Z21">
        <v>5801</v>
      </c>
      <c r="AA21">
        <v>1679145208</v>
      </c>
      <c r="AB21" s="1" t="str">
        <f t="shared" si="10"/>
        <v>IKEA</v>
      </c>
    </row>
    <row r="22" spans="1:29" x14ac:dyDescent="0.25">
      <c r="A22" s="1" t="s">
        <v>17</v>
      </c>
      <c r="B22" t="s">
        <v>55</v>
      </c>
      <c r="C22" s="2">
        <v>155383987406.33002</v>
      </c>
      <c r="D22" s="2">
        <v>160000000000</v>
      </c>
      <c r="E22" s="2">
        <f t="shared" si="0"/>
        <v>103870.30092547082</v>
      </c>
      <c r="F22" s="2">
        <v>100000</v>
      </c>
      <c r="G22" s="2">
        <f t="shared" si="5"/>
        <v>1600000</v>
      </c>
      <c r="H22" s="2">
        <v>1600000</v>
      </c>
      <c r="I22" s="18">
        <f t="shared" si="6"/>
        <v>9.8245616182842544E-3</v>
      </c>
      <c r="J22" s="2">
        <f t="shared" si="7"/>
        <v>1571929858.9254806</v>
      </c>
      <c r="K22" s="2">
        <f t="shared" si="8"/>
        <v>1571930</v>
      </c>
      <c r="L22" s="2">
        <f t="shared" si="9"/>
        <v>1571930000</v>
      </c>
      <c r="M22" s="2">
        <f>VLOOKUP($A22,SUM!$A:$E,3,0)</f>
        <v>1359911266</v>
      </c>
      <c r="N22" s="2">
        <f>VLOOKUP($A22,SUM!$A:$E,4,0)</f>
        <v>1332619</v>
      </c>
      <c r="O22" s="2">
        <f>VLOOKUP($A22,SUM!$A:$E,5,0)</f>
        <v>138419536549</v>
      </c>
      <c r="P22" s="10">
        <f t="shared" si="1"/>
        <v>0.89082239978198086</v>
      </c>
      <c r="Q22" s="10">
        <f t="shared" si="2"/>
        <v>0.86512210343124996</v>
      </c>
      <c r="R22" s="2">
        <f t="shared" si="3"/>
        <v>144426676977</v>
      </c>
      <c r="S22" s="16">
        <f t="shared" si="4"/>
        <v>0.10782857674887891</v>
      </c>
      <c r="T22" s="1" t="s">
        <v>36</v>
      </c>
      <c r="X22" s="8" t="s">
        <v>21</v>
      </c>
      <c r="Y22">
        <v>4783</v>
      </c>
      <c r="Z22">
        <v>7</v>
      </c>
      <c r="AA22">
        <v>478300</v>
      </c>
      <c r="AB22" s="1" t="str">
        <f t="shared" si="10"/>
        <v>INDOMARET</v>
      </c>
    </row>
    <row r="23" spans="1:29" x14ac:dyDescent="0.25">
      <c r="A23" s="1" t="s">
        <v>18</v>
      </c>
      <c r="B23" t="s">
        <v>56</v>
      </c>
      <c r="C23" s="2">
        <v>46641633044.990005</v>
      </c>
      <c r="D23" s="2">
        <v>45000000000</v>
      </c>
      <c r="E23" s="2">
        <f t="shared" si="0"/>
        <v>676390.39812011481</v>
      </c>
      <c r="F23" s="2">
        <v>500000</v>
      </c>
      <c r="G23" s="2">
        <f t="shared" si="5"/>
        <v>90000</v>
      </c>
      <c r="H23" s="2">
        <v>90000</v>
      </c>
      <c r="I23" s="18">
        <f t="shared" si="6"/>
        <v>2.263147425717166E-3</v>
      </c>
      <c r="J23" s="2">
        <f t="shared" si="7"/>
        <v>101841634.15727247</v>
      </c>
      <c r="K23" s="2">
        <f t="shared" si="8"/>
        <v>101842</v>
      </c>
      <c r="L23" s="2">
        <f t="shared" si="9"/>
        <v>101842000</v>
      </c>
      <c r="M23" s="2">
        <f>VLOOKUP($A23,SUM!$A:$E,3,0)</f>
        <v>77357522</v>
      </c>
      <c r="N23" s="2">
        <f>VLOOKUP($A23,SUM!$A:$E,4,0)</f>
        <v>50535</v>
      </c>
      <c r="O23" s="2">
        <f>VLOOKUP($A23,SUM!$A:$E,5,0)</f>
        <v>34181388769</v>
      </c>
      <c r="P23" s="10">
        <f t="shared" si="1"/>
        <v>0.73285145775296956</v>
      </c>
      <c r="Q23" s="10">
        <f t="shared" si="2"/>
        <v>0.75958641708888885</v>
      </c>
      <c r="R23" s="2">
        <f t="shared" si="3"/>
        <v>43729925142</v>
      </c>
      <c r="S23" s="16">
        <f t="shared" si="4"/>
        <v>2.9043609241859114E-2</v>
      </c>
      <c r="T23" s="1" t="s">
        <v>52</v>
      </c>
      <c r="X23" s="8" t="s">
        <v>22</v>
      </c>
      <c r="Y23">
        <v>416893</v>
      </c>
      <c r="Z23">
        <v>3636</v>
      </c>
      <c r="AA23">
        <v>134129938</v>
      </c>
      <c r="AB23" s="1" t="str">
        <f t="shared" si="10"/>
        <v>KAWAN LAMA</v>
      </c>
    </row>
    <row r="24" spans="1:29" x14ac:dyDescent="0.25">
      <c r="A24" s="1" t="s">
        <v>19</v>
      </c>
      <c r="B24" t="s">
        <v>56</v>
      </c>
      <c r="C24" s="2">
        <v>19567432721</v>
      </c>
      <c r="D24" s="2">
        <v>30000000000</v>
      </c>
      <c r="E24" s="2">
        <f t="shared" si="0"/>
        <v>668888.27566307841</v>
      </c>
      <c r="F24" s="2">
        <v>500000</v>
      </c>
      <c r="G24" s="2">
        <f t="shared" si="5"/>
        <v>60000</v>
      </c>
      <c r="H24" s="2">
        <v>60000</v>
      </c>
      <c r="I24" s="18">
        <f t="shared" si="6"/>
        <v>1.2501824988741342E-2</v>
      </c>
      <c r="J24" s="2">
        <f t="shared" si="7"/>
        <v>375054749.66224027</v>
      </c>
      <c r="K24" s="2">
        <f t="shared" si="8"/>
        <v>375055</v>
      </c>
      <c r="L24" s="2">
        <f t="shared" si="9"/>
        <v>375055000</v>
      </c>
      <c r="M24" s="2">
        <f>VLOOKUP($A24,SUM!$A:$E,3,0)</f>
        <v>301411612</v>
      </c>
      <c r="N24" s="2">
        <f>VLOOKUP($A24,SUM!$A:$E,4,0)</f>
        <v>36044</v>
      </c>
      <c r="O24" s="2">
        <f>VLOOKUP($A24,SUM!$A:$E,5,0)</f>
        <v>24109409008</v>
      </c>
      <c r="P24" s="10">
        <f t="shared" si="1"/>
        <v>1.232119172288018</v>
      </c>
      <c r="Q24" s="10">
        <f t="shared" si="2"/>
        <v>0.80364696693333337</v>
      </c>
      <c r="R24" s="2">
        <f t="shared" si="3"/>
        <v>18287320300</v>
      </c>
      <c r="S24" s="16">
        <f t="shared" si="4"/>
        <v>0.64048091835521692</v>
      </c>
      <c r="X24" s="8" t="s">
        <v>23</v>
      </c>
      <c r="Y24">
        <v>37444668</v>
      </c>
      <c r="Z24">
        <v>9195</v>
      </c>
      <c r="AA24">
        <v>20823185360</v>
      </c>
      <c r="AB24" s="1" t="str">
        <f t="shared" si="10"/>
        <v>KCIC</v>
      </c>
    </row>
    <row r="25" spans="1:29" x14ac:dyDescent="0.25">
      <c r="A25" s="15" t="s">
        <v>20</v>
      </c>
      <c r="B25" t="s">
        <v>55</v>
      </c>
      <c r="C25" s="2">
        <v>1795463698.99</v>
      </c>
      <c r="D25" s="2">
        <v>0</v>
      </c>
      <c r="E25" s="2">
        <f t="shared" si="0"/>
        <v>208430.68421052632</v>
      </c>
      <c r="F25" s="2">
        <v>0</v>
      </c>
      <c r="G25" s="2">
        <v>0</v>
      </c>
      <c r="I25" s="18">
        <f t="shared" si="6"/>
        <v>3.3624708757145818E-3</v>
      </c>
      <c r="J25" s="2">
        <f t="shared" si="7"/>
        <v>0</v>
      </c>
      <c r="K25" s="2">
        <f t="shared" si="8"/>
        <v>0</v>
      </c>
      <c r="L25" s="2">
        <f t="shared" si="9"/>
        <v>0</v>
      </c>
      <c r="M25" s="2">
        <f>VLOOKUP($A25,SUM!$A:$E,3,0)</f>
        <v>26632</v>
      </c>
      <c r="N25" s="2">
        <f>VLOOKUP($A25,SUM!$A:$E,4,0)</f>
        <v>38</v>
      </c>
      <c r="O25" s="2">
        <f>VLOOKUP($A25,SUM!$A:$E,5,0)</f>
        <v>7920366</v>
      </c>
      <c r="P25" s="10">
        <f t="shared" si="1"/>
        <v>4.411320598937998E-3</v>
      </c>
      <c r="Q25" s="10" t="e">
        <f t="shared" si="2"/>
        <v>#DIV/0!</v>
      </c>
      <c r="R25" s="2">
        <f t="shared" si="3"/>
        <v>1679145208</v>
      </c>
      <c r="S25" s="16">
        <f t="shared" si="4"/>
        <v>-1</v>
      </c>
      <c r="X25" s="8" t="s">
        <v>24</v>
      </c>
      <c r="Y25">
        <v>200736</v>
      </c>
      <c r="Z25">
        <v>45</v>
      </c>
      <c r="AA25">
        <v>33426704</v>
      </c>
      <c r="AB25" s="1" t="str">
        <f t="shared" si="10"/>
        <v>KIMIA FARMA</v>
      </c>
    </row>
    <row r="26" spans="1:29" x14ac:dyDescent="0.25">
      <c r="A26" s="1" t="s">
        <v>47</v>
      </c>
      <c r="B26" t="s">
        <v>55</v>
      </c>
      <c r="C26" s="2">
        <v>0</v>
      </c>
      <c r="D26" s="2">
        <v>3000000000</v>
      </c>
      <c r="E26" s="2">
        <f t="shared" si="0"/>
        <v>542537.64730999141</v>
      </c>
      <c r="F26" s="2">
        <v>500000</v>
      </c>
      <c r="G26" s="2">
        <f t="shared" si="5"/>
        <v>6000</v>
      </c>
      <c r="H26" s="2">
        <v>6000</v>
      </c>
      <c r="I26" s="18">
        <f t="shared" si="6"/>
        <v>1.5020216418688477E-3</v>
      </c>
      <c r="J26" s="2">
        <f t="shared" si="7"/>
        <v>4506064.9256065432</v>
      </c>
      <c r="K26" s="2">
        <f t="shared" si="8"/>
        <v>4506</v>
      </c>
      <c r="L26" s="2">
        <f t="shared" si="9"/>
        <v>4506000</v>
      </c>
      <c r="M26" s="2">
        <f>VLOOKUP($A26,SUM!$A:$E,3,0)</f>
        <v>3817007</v>
      </c>
      <c r="N26" s="2">
        <f>VLOOKUP($A26,SUM!$A:$E,4,0)</f>
        <v>4684</v>
      </c>
      <c r="O26" s="2">
        <f>VLOOKUP($A26,SUM!$A:$E,5,0)</f>
        <v>2541246340</v>
      </c>
      <c r="P26" s="10" t="e">
        <f t="shared" si="1"/>
        <v>#DIV/0!</v>
      </c>
      <c r="Q26" s="10">
        <f t="shared" si="2"/>
        <v>0.84708211333333339</v>
      </c>
      <c r="R26" s="2" t="e">
        <f t="shared" si="3"/>
        <v>#N/A</v>
      </c>
      <c r="S26" s="16" t="e">
        <f t="shared" si="4"/>
        <v>#N/A</v>
      </c>
      <c r="X26" s="8" t="s">
        <v>25</v>
      </c>
      <c r="Y26">
        <v>124362277</v>
      </c>
      <c r="Z26">
        <v>10659</v>
      </c>
      <c r="AA26">
        <v>14034752356</v>
      </c>
      <c r="AB26" s="1" t="str">
        <f t="shared" si="10"/>
        <v>LOTTE GROUP</v>
      </c>
    </row>
    <row r="27" spans="1:29" x14ac:dyDescent="0.25">
      <c r="A27" s="1" t="s">
        <v>48</v>
      </c>
      <c r="B27" t="s">
        <v>55</v>
      </c>
      <c r="C27" s="2">
        <v>0</v>
      </c>
      <c r="D27" s="2">
        <v>150000000</v>
      </c>
      <c r="E27" s="2">
        <f t="shared" si="0"/>
        <v>85268.529291553132</v>
      </c>
      <c r="F27" s="2">
        <v>85000</v>
      </c>
      <c r="G27" s="2">
        <f t="shared" si="5"/>
        <v>1764.7058823529412</v>
      </c>
      <c r="H27" s="2">
        <v>1800</v>
      </c>
      <c r="I27" s="18">
        <f t="shared" si="6"/>
        <v>7.4350624375065909E-3</v>
      </c>
      <c r="J27" s="2">
        <f t="shared" si="7"/>
        <v>1115259.3656259887</v>
      </c>
      <c r="K27" s="2">
        <f t="shared" si="8"/>
        <v>1115</v>
      </c>
      <c r="L27" s="2">
        <f t="shared" si="9"/>
        <v>1115000</v>
      </c>
      <c r="M27" s="2">
        <f>VLOOKUP($A27,SUM!$A:$E,3,0)</f>
        <v>930678</v>
      </c>
      <c r="N27" s="2">
        <f>VLOOKUP($A27,SUM!$A:$E,4,0)</f>
        <v>1468</v>
      </c>
      <c r="O27" s="2">
        <f>VLOOKUP($A27,SUM!$A:$E,5,0)</f>
        <v>125174201</v>
      </c>
      <c r="P27" s="10" t="e">
        <f t="shared" si="1"/>
        <v>#DIV/0!</v>
      </c>
      <c r="Q27" s="10">
        <f t="shared" si="2"/>
        <v>0.83449467333333338</v>
      </c>
      <c r="R27" s="2" t="e">
        <f t="shared" si="3"/>
        <v>#N/A</v>
      </c>
      <c r="S27" s="16" t="e">
        <f t="shared" si="4"/>
        <v>#N/A</v>
      </c>
      <c r="X27" s="8" t="s">
        <v>26</v>
      </c>
      <c r="Y27">
        <v>73300</v>
      </c>
      <c r="Z27">
        <v>9</v>
      </c>
      <c r="AA27">
        <v>9200000</v>
      </c>
      <c r="AB27" s="1" t="str">
        <f t="shared" si="10"/>
        <v>MAMA ROZ</v>
      </c>
    </row>
    <row r="28" spans="1:29" x14ac:dyDescent="0.25">
      <c r="A28" s="1" t="s">
        <v>21</v>
      </c>
      <c r="B28" t="s">
        <v>55</v>
      </c>
      <c r="C28" s="2">
        <v>0</v>
      </c>
      <c r="D28" s="2">
        <v>150000000000</v>
      </c>
      <c r="E28" s="2">
        <f t="shared" si="0"/>
        <v>1003283.529711485</v>
      </c>
      <c r="F28" s="2">
        <v>1000000</v>
      </c>
      <c r="G28" s="2">
        <f t="shared" si="5"/>
        <v>150000</v>
      </c>
      <c r="H28" s="2">
        <v>150000</v>
      </c>
      <c r="I28" s="18">
        <f t="shared" si="6"/>
        <v>1.1426061680565817E-2</v>
      </c>
      <c r="J28" s="2">
        <f t="shared" si="7"/>
        <v>1713909252.0848725</v>
      </c>
      <c r="K28" s="2">
        <f t="shared" si="8"/>
        <v>1713909</v>
      </c>
      <c r="L28" s="2">
        <f t="shared" si="9"/>
        <v>1713909000</v>
      </c>
      <c r="M28" s="2">
        <f>VLOOKUP($A28,SUM!$A:$E,3,0)</f>
        <v>1772888423</v>
      </c>
      <c r="N28" s="2">
        <f>VLOOKUP($A28,SUM!$A:$E,4,0)</f>
        <v>154654</v>
      </c>
      <c r="O28" s="2">
        <f>VLOOKUP($A28,SUM!$A:$E,5,0)</f>
        <v>155161811004</v>
      </c>
      <c r="P28" s="10" t="e">
        <f t="shared" si="1"/>
        <v>#DIV/0!</v>
      </c>
      <c r="Q28" s="10">
        <f t="shared" si="2"/>
        <v>1.03441207336</v>
      </c>
      <c r="R28" s="2">
        <f t="shared" si="3"/>
        <v>478300</v>
      </c>
      <c r="S28" s="16">
        <f t="shared" si="4"/>
        <v>313609.70457871631</v>
      </c>
      <c r="X28" s="8" t="s">
        <v>27</v>
      </c>
      <c r="Y28">
        <v>1424689915</v>
      </c>
      <c r="Z28">
        <v>1264661</v>
      </c>
      <c r="AA28">
        <v>286130322318</v>
      </c>
      <c r="AB28" s="1" t="str">
        <f t="shared" si="10"/>
        <v>MAP GROUP</v>
      </c>
    </row>
    <row r="29" spans="1:29" x14ac:dyDescent="0.25">
      <c r="A29" s="11" t="s">
        <v>22</v>
      </c>
      <c r="B29" s="12" t="s">
        <v>54</v>
      </c>
      <c r="D29" s="2">
        <v>100000000</v>
      </c>
      <c r="E29" s="2">
        <f t="shared" si="0"/>
        <v>33815.312177707259</v>
      </c>
      <c r="F29" s="2">
        <v>30000</v>
      </c>
      <c r="G29" s="2">
        <f t="shared" si="5"/>
        <v>3333.3333333333335</v>
      </c>
      <c r="H29" s="2">
        <v>3000</v>
      </c>
      <c r="I29" s="18">
        <f t="shared" si="6"/>
        <v>3.6950839266171815E-5</v>
      </c>
      <c r="J29" s="2">
        <f t="shared" si="7"/>
        <v>3695.0839266171815</v>
      </c>
      <c r="K29" s="2">
        <f t="shared" si="8"/>
        <v>4</v>
      </c>
      <c r="L29" s="2">
        <f t="shared" si="9"/>
        <v>4000</v>
      </c>
      <c r="M29" s="2">
        <f>VLOOKUP($A29,SUM!$A:$E,3,0)</f>
        <v>3150</v>
      </c>
      <c r="N29" s="2">
        <f>VLOOKUP($A29,SUM!$A:$E,4,0)</f>
        <v>2521</v>
      </c>
      <c r="O29" s="2">
        <f>VLOOKUP($A29,SUM!$A:$E,5,0)</f>
        <v>85248402</v>
      </c>
      <c r="P29" s="10" t="e">
        <f t="shared" si="1"/>
        <v>#DIV/0!</v>
      </c>
      <c r="Q29" s="10">
        <f t="shared" si="2"/>
        <v>0.85248402000000001</v>
      </c>
      <c r="R29" s="2">
        <f t="shared" si="3"/>
        <v>134129938</v>
      </c>
      <c r="S29" s="16">
        <f t="shared" si="4"/>
        <v>-0.25445428894479916</v>
      </c>
      <c r="X29" s="8" t="s">
        <v>28</v>
      </c>
      <c r="Y29">
        <v>1813484</v>
      </c>
      <c r="Z29">
        <v>4386</v>
      </c>
      <c r="AA29">
        <v>1088624925</v>
      </c>
      <c r="AB29" t="s">
        <v>53</v>
      </c>
      <c r="AC29" t="str">
        <f>AB29</f>
        <v>STEVEN GROUP</v>
      </c>
    </row>
    <row r="30" spans="1:29" x14ac:dyDescent="0.25">
      <c r="A30" s="1" t="s">
        <v>23</v>
      </c>
      <c r="B30" t="s">
        <v>55</v>
      </c>
      <c r="C30" s="2">
        <v>22281246350.400002</v>
      </c>
      <c r="D30" s="2">
        <v>23000000000</v>
      </c>
      <c r="E30" s="2">
        <f t="shared" si="0"/>
        <v>2147683.1901620808</v>
      </c>
      <c r="F30" s="2">
        <v>2000000</v>
      </c>
      <c r="G30" s="2">
        <f t="shared" si="5"/>
        <v>11500</v>
      </c>
      <c r="H30" s="2">
        <v>11500</v>
      </c>
      <c r="I30" s="18">
        <f t="shared" si="6"/>
        <v>1.5917000286915913E-3</v>
      </c>
      <c r="J30" s="2">
        <f t="shared" si="7"/>
        <v>36609100.659906603</v>
      </c>
      <c r="K30" s="2">
        <f t="shared" si="8"/>
        <v>36609</v>
      </c>
      <c r="L30" s="2">
        <f t="shared" si="9"/>
        <v>36609000</v>
      </c>
      <c r="M30" s="2">
        <f>VLOOKUP($A30,SUM!$A:$E,3,0)</f>
        <v>18138388</v>
      </c>
      <c r="N30" s="2">
        <f>VLOOKUP($A30,SUM!$A:$E,4,0)</f>
        <v>5306</v>
      </c>
      <c r="O30" s="2">
        <f>VLOOKUP($A30,SUM!$A:$E,5,0)</f>
        <v>11395607007</v>
      </c>
      <c r="P30" s="10">
        <f t="shared" si="1"/>
        <v>0.51144387651346179</v>
      </c>
      <c r="Q30" s="10">
        <f t="shared" si="2"/>
        <v>0.49546117421739133</v>
      </c>
      <c r="R30" s="2">
        <f t="shared" si="3"/>
        <v>20823185360</v>
      </c>
      <c r="S30" s="16">
        <f t="shared" si="4"/>
        <v>0.10453802347557839</v>
      </c>
      <c r="X30" s="8" t="s">
        <v>29</v>
      </c>
      <c r="Y30">
        <v>7894364</v>
      </c>
      <c r="Z30">
        <v>10059</v>
      </c>
      <c r="AA30">
        <v>1024812813</v>
      </c>
      <c r="AB30" s="1" t="str">
        <f>A30</f>
        <v>MITRA10</v>
      </c>
    </row>
    <row r="31" spans="1:29" x14ac:dyDescent="0.25">
      <c r="A31" s="15" t="s">
        <v>24</v>
      </c>
      <c r="B31" s="12" t="s">
        <v>54</v>
      </c>
      <c r="D31" s="2">
        <v>0</v>
      </c>
      <c r="E31" s="2">
        <f t="shared" si="0"/>
        <v>4848944</v>
      </c>
      <c r="F31" s="2">
        <v>0</v>
      </c>
      <c r="G31" s="2">
        <v>0</v>
      </c>
      <c r="I31" s="18">
        <f t="shared" si="6"/>
        <v>3.7408144948673362E-3</v>
      </c>
      <c r="J31" s="2">
        <f t="shared" si="7"/>
        <v>0</v>
      </c>
      <c r="K31" s="2">
        <f t="shared" si="8"/>
        <v>0</v>
      </c>
      <c r="L31" s="2">
        <f t="shared" si="9"/>
        <v>0</v>
      </c>
      <c r="M31" s="2">
        <f>VLOOKUP($A31,SUM!$A:$E,3,0)</f>
        <v>707421</v>
      </c>
      <c r="N31" s="2">
        <f>VLOOKUP($A31,SUM!$A:$E,4,0)</f>
        <v>39</v>
      </c>
      <c r="O31" s="2">
        <f>VLOOKUP($A31,SUM!$A:$E,5,0)</f>
        <v>189108816</v>
      </c>
      <c r="P31" s="10" t="e">
        <f t="shared" si="1"/>
        <v>#DIV/0!</v>
      </c>
      <c r="Q31" s="10" t="e">
        <f t="shared" si="2"/>
        <v>#DIV/0!</v>
      </c>
      <c r="R31" s="2">
        <f t="shared" si="3"/>
        <v>33426704</v>
      </c>
      <c r="S31" s="16">
        <f t="shared" si="4"/>
        <v>-1</v>
      </c>
      <c r="X31" s="8" t="s">
        <v>30</v>
      </c>
      <c r="Y31">
        <v>23262</v>
      </c>
      <c r="Z31">
        <v>12</v>
      </c>
      <c r="AA31">
        <v>4685000</v>
      </c>
      <c r="AB31" t="s">
        <v>53</v>
      </c>
      <c r="AC31" t="str">
        <f>AB31</f>
        <v>STEVEN GROUP</v>
      </c>
    </row>
    <row r="32" spans="1:29" x14ac:dyDescent="0.25">
      <c r="A32" s="1" t="s">
        <v>25</v>
      </c>
      <c r="B32" t="s">
        <v>55</v>
      </c>
      <c r="C32" s="2">
        <v>13201345313</v>
      </c>
      <c r="D32" s="2">
        <v>15000000000</v>
      </c>
      <c r="E32" s="2">
        <f t="shared" si="0"/>
        <v>975915.62899501761</v>
      </c>
      <c r="F32" s="2">
        <v>1000000</v>
      </c>
      <c r="G32" s="2">
        <f t="shared" si="5"/>
        <v>15000</v>
      </c>
      <c r="H32" s="2">
        <v>15000</v>
      </c>
      <c r="I32" s="18">
        <f t="shared" si="6"/>
        <v>6.8339055431517748E-3</v>
      </c>
      <c r="J32" s="2">
        <f t="shared" si="7"/>
        <v>102508583.14727663</v>
      </c>
      <c r="K32" s="2">
        <f t="shared" si="8"/>
        <v>102509</v>
      </c>
      <c r="L32" s="2">
        <f t="shared" si="9"/>
        <v>102509000</v>
      </c>
      <c r="M32" s="2">
        <f>VLOOKUP($A32,SUM!$A:$E,3,0)</f>
        <v>54881795</v>
      </c>
      <c r="N32" s="2">
        <f>VLOOKUP($A32,SUM!$A:$E,4,0)</f>
        <v>8229</v>
      </c>
      <c r="O32" s="2">
        <f>VLOOKUP($A32,SUM!$A:$E,5,0)</f>
        <v>8030809711</v>
      </c>
      <c r="P32" s="10">
        <f t="shared" si="1"/>
        <v>0.60833267523815737</v>
      </c>
      <c r="Q32" s="10">
        <f t="shared" si="2"/>
        <v>0.53538731406666662</v>
      </c>
      <c r="R32" s="2">
        <f t="shared" si="3"/>
        <v>14034752356</v>
      </c>
      <c r="S32" s="16">
        <f t="shared" si="4"/>
        <v>6.8775538001377479E-2</v>
      </c>
      <c r="X32" s="8" t="s">
        <v>31</v>
      </c>
      <c r="Y32">
        <v>138412032</v>
      </c>
      <c r="Z32">
        <v>10124</v>
      </c>
      <c r="AA32">
        <v>10350683880</v>
      </c>
      <c r="AB32" s="1" t="str">
        <f>A32</f>
        <v>OPTIK MELAWAI</v>
      </c>
    </row>
    <row r="33" spans="1:29" x14ac:dyDescent="0.25">
      <c r="A33" s="1" t="s">
        <v>26</v>
      </c>
      <c r="B33" t="s">
        <v>56</v>
      </c>
      <c r="D33" s="2">
        <v>50000000</v>
      </c>
      <c r="E33" s="2">
        <f t="shared" si="0"/>
        <v>1111958.1875</v>
      </c>
      <c r="F33" s="2">
        <v>1000000</v>
      </c>
      <c r="G33" s="2">
        <f t="shared" si="5"/>
        <v>50</v>
      </c>
      <c r="H33" s="2">
        <v>50</v>
      </c>
      <c r="I33" s="18">
        <f t="shared" si="6"/>
        <v>1.5067787789457686E-2</v>
      </c>
      <c r="J33" s="2">
        <f t="shared" si="7"/>
        <v>753389.38947288424</v>
      </c>
      <c r="K33" s="2">
        <f t="shared" si="8"/>
        <v>753</v>
      </c>
      <c r="L33" s="2">
        <f t="shared" si="9"/>
        <v>753000</v>
      </c>
      <c r="M33" s="2">
        <f>VLOOKUP($A33,SUM!$A:$E,3,0)</f>
        <v>268076</v>
      </c>
      <c r="N33" s="2">
        <f>VLOOKUP($A33,SUM!$A:$E,4,0)</f>
        <v>16</v>
      </c>
      <c r="O33" s="2">
        <f>VLOOKUP($A33,SUM!$A:$E,5,0)</f>
        <v>17791331</v>
      </c>
      <c r="P33" s="10" t="e">
        <f t="shared" si="1"/>
        <v>#DIV/0!</v>
      </c>
      <c r="Q33" s="10">
        <f t="shared" si="2"/>
        <v>0.35582661999999998</v>
      </c>
      <c r="R33" s="2">
        <f t="shared" si="3"/>
        <v>9200000</v>
      </c>
      <c r="S33" s="16">
        <f t="shared" si="4"/>
        <v>4.4347826086956523</v>
      </c>
      <c r="X33" s="8" t="s">
        <v>32</v>
      </c>
      <c r="Y33">
        <v>2994609</v>
      </c>
      <c r="Z33">
        <v>18634</v>
      </c>
      <c r="AA33">
        <v>876168049</v>
      </c>
      <c r="AB33" s="1" t="str">
        <f>A33</f>
        <v>PATRA JASA</v>
      </c>
    </row>
    <row r="34" spans="1:29" x14ac:dyDescent="0.25">
      <c r="A34" s="1" t="s">
        <v>27</v>
      </c>
      <c r="B34" t="s">
        <v>56</v>
      </c>
      <c r="C34" s="2">
        <v>330543179130</v>
      </c>
      <c r="D34" s="2">
        <v>200000000000</v>
      </c>
      <c r="E34" s="2">
        <f t="shared" si="0"/>
        <v>131163.70288858321</v>
      </c>
      <c r="F34" s="2">
        <v>130000</v>
      </c>
      <c r="G34" s="2">
        <f>D34/F34</f>
        <v>1538461.5384615385</v>
      </c>
      <c r="H34" s="2">
        <v>1500000</v>
      </c>
      <c r="I34" s="18">
        <f t="shared" si="6"/>
        <v>5.3251414289431486E-3</v>
      </c>
      <c r="J34" s="2">
        <f t="shared" si="7"/>
        <v>1065028285.7886298</v>
      </c>
      <c r="K34" s="2">
        <f t="shared" si="8"/>
        <v>1065028</v>
      </c>
      <c r="L34" s="2">
        <f t="shared" si="9"/>
        <v>1065028000</v>
      </c>
      <c r="M34" s="2">
        <f>VLOOKUP($A34,SUM!$A:$E,3,0)</f>
        <v>2031137</v>
      </c>
      <c r="N34" s="2">
        <f>VLOOKUP($A34,SUM!$A:$E,4,0)</f>
        <v>2908</v>
      </c>
      <c r="O34" s="2">
        <f>VLOOKUP($A34,SUM!$A:$E,5,0)</f>
        <v>381424048</v>
      </c>
      <c r="P34" s="10">
        <f t="shared" si="1"/>
        <v>1.1539310809677574E-3</v>
      </c>
      <c r="Q34" s="10">
        <f t="shared" si="2"/>
        <v>1.9071202399999999E-3</v>
      </c>
      <c r="R34" s="2">
        <f t="shared" si="3"/>
        <v>286130322318</v>
      </c>
      <c r="S34" s="16">
        <f t="shared" si="4"/>
        <v>-0.30101780762080976</v>
      </c>
      <c r="X34" s="8" t="s">
        <v>33</v>
      </c>
      <c r="Y34">
        <v>6521520</v>
      </c>
      <c r="Z34">
        <v>23146</v>
      </c>
      <c r="AA34">
        <v>3954419488</v>
      </c>
      <c r="AB34" s="1" t="str">
        <f>A34</f>
        <v>PERTAMINA RETAIL</v>
      </c>
    </row>
    <row r="35" spans="1:29" x14ac:dyDescent="0.25">
      <c r="A35" s="1" t="s">
        <v>28</v>
      </c>
      <c r="B35" t="s">
        <v>56</v>
      </c>
      <c r="C35" s="2">
        <v>1163493390</v>
      </c>
      <c r="D35" s="2">
        <v>1000000000</v>
      </c>
      <c r="E35" s="2">
        <f t="shared" si="0"/>
        <v>182358.04495638559</v>
      </c>
      <c r="F35" s="2">
        <v>180000</v>
      </c>
      <c r="G35" s="2">
        <f t="shared" si="5"/>
        <v>5555.5555555555557</v>
      </c>
      <c r="H35" s="2">
        <v>5500</v>
      </c>
      <c r="I35" s="18">
        <f t="shared" si="6"/>
        <v>1.562268306880296E-3</v>
      </c>
      <c r="J35" s="2">
        <f t="shared" si="7"/>
        <v>1562268.306880296</v>
      </c>
      <c r="K35" s="2">
        <f t="shared" si="8"/>
        <v>1562</v>
      </c>
      <c r="L35" s="2">
        <f t="shared" si="9"/>
        <v>1562000</v>
      </c>
      <c r="M35" s="2">
        <f>VLOOKUP($A35,SUM!$A:$E,3,0)</f>
        <v>1273753</v>
      </c>
      <c r="N35" s="2">
        <f>VLOOKUP($A35,SUM!$A:$E,4,0)</f>
        <v>4471</v>
      </c>
      <c r="O35" s="2">
        <f>VLOOKUP($A35,SUM!$A:$E,5,0)</f>
        <v>815322819</v>
      </c>
      <c r="P35" s="10">
        <f t="shared" si="1"/>
        <v>0.70075414781686041</v>
      </c>
      <c r="Q35" s="10">
        <f t="shared" si="2"/>
        <v>0.81532281900000003</v>
      </c>
      <c r="R35" s="2">
        <f t="shared" si="3"/>
        <v>1088624925</v>
      </c>
      <c r="S35" s="16">
        <f t="shared" si="4"/>
        <v>-8.1409972309792522E-2</v>
      </c>
      <c r="X35" s="8" t="s">
        <v>34</v>
      </c>
      <c r="Y35">
        <v>726876</v>
      </c>
      <c r="Z35">
        <v>1745</v>
      </c>
      <c r="AA35">
        <v>132707341</v>
      </c>
      <c r="AB35" s="1" t="str">
        <f>A35</f>
        <v>PIZZA HUT</v>
      </c>
    </row>
    <row r="36" spans="1:29" x14ac:dyDescent="0.25">
      <c r="A36" s="1" t="s">
        <v>29</v>
      </c>
      <c r="B36" t="s">
        <v>54</v>
      </c>
      <c r="C36" s="2">
        <v>1095683437.9100001</v>
      </c>
      <c r="D36" s="2">
        <v>2000000000</v>
      </c>
      <c r="E36" s="2">
        <f t="shared" si="0"/>
        <v>111661.63650928282</v>
      </c>
      <c r="F36" s="2">
        <v>100000</v>
      </c>
      <c r="G36" s="2">
        <f t="shared" si="5"/>
        <v>20000</v>
      </c>
      <c r="H36" s="2">
        <v>20000</v>
      </c>
      <c r="I36" s="18">
        <f t="shared" si="6"/>
        <v>8.2372464758739376E-3</v>
      </c>
      <c r="J36" s="2">
        <f t="shared" si="7"/>
        <v>16474492.951747876</v>
      </c>
      <c r="K36" s="2">
        <f t="shared" si="8"/>
        <v>16474</v>
      </c>
      <c r="L36" s="2">
        <f t="shared" si="9"/>
        <v>16474000</v>
      </c>
      <c r="M36" s="2">
        <f>VLOOKUP($A36,SUM!$A:$E,3,0)</f>
        <v>19519665</v>
      </c>
      <c r="N36" s="2">
        <f>VLOOKUP($A36,SUM!$A:$E,4,0)</f>
        <v>21222</v>
      </c>
      <c r="O36" s="2">
        <f>VLOOKUP($A36,SUM!$A:$E,5,0)</f>
        <v>2369683250</v>
      </c>
      <c r="P36" s="10">
        <f t="shared" si="1"/>
        <v>2.1627444278250074</v>
      </c>
      <c r="Q36" s="10">
        <f t="shared" si="2"/>
        <v>1.184841625</v>
      </c>
      <c r="R36" s="2">
        <f t="shared" si="3"/>
        <v>1024812813</v>
      </c>
      <c r="S36" s="16">
        <f t="shared" si="4"/>
        <v>0.95157591184410761</v>
      </c>
      <c r="X36" s="8" t="s">
        <v>35</v>
      </c>
      <c r="Y36">
        <v>151714</v>
      </c>
      <c r="Z36">
        <v>50</v>
      </c>
      <c r="AA36">
        <v>46773100</v>
      </c>
      <c r="AB36" s="1" t="str">
        <f>A36</f>
        <v>PLATINUM CINEPLEX</v>
      </c>
    </row>
    <row r="37" spans="1:29" x14ac:dyDescent="0.25">
      <c r="A37" s="15" t="s">
        <v>30</v>
      </c>
      <c r="B37" t="s">
        <v>55</v>
      </c>
      <c r="D37" s="2">
        <v>0</v>
      </c>
      <c r="E37" s="2">
        <f t="shared" si="0"/>
        <v>823500</v>
      </c>
      <c r="F37" s="2">
        <v>0</v>
      </c>
      <c r="G37" s="2">
        <v>0</v>
      </c>
      <c r="H37" s="2">
        <v>0</v>
      </c>
      <c r="I37" s="18">
        <f t="shared" si="6"/>
        <v>3.9228901032179724E-3</v>
      </c>
      <c r="J37" s="2">
        <f t="shared" si="7"/>
        <v>0</v>
      </c>
      <c r="K37" s="2">
        <f t="shared" si="8"/>
        <v>0</v>
      </c>
      <c r="L37" s="2">
        <f t="shared" si="9"/>
        <v>0</v>
      </c>
      <c r="M37" s="2">
        <f>VLOOKUP($A37,SUM!$A:$E,3,0)</f>
        <v>12922</v>
      </c>
      <c r="N37" s="2">
        <f>VLOOKUP($A37,SUM!$A:$E,4,0)</f>
        <v>4</v>
      </c>
      <c r="O37" s="2">
        <f>VLOOKUP($A37,SUM!$A:$E,5,0)</f>
        <v>3294000</v>
      </c>
      <c r="P37" s="10" t="e">
        <f t="shared" si="1"/>
        <v>#DIV/0!</v>
      </c>
      <c r="Q37" s="10" t="e">
        <f t="shared" si="2"/>
        <v>#DIV/0!</v>
      </c>
      <c r="R37" s="2">
        <f t="shared" si="3"/>
        <v>4685000</v>
      </c>
      <c r="S37" s="16">
        <f t="shared" si="4"/>
        <v>-1</v>
      </c>
      <c r="X37" s="8" t="s">
        <v>36</v>
      </c>
      <c r="Y37">
        <v>283243</v>
      </c>
      <c r="Z37">
        <v>147</v>
      </c>
      <c r="AA37">
        <v>47441100</v>
      </c>
      <c r="AB37" s="1" t="s">
        <v>21</v>
      </c>
      <c r="AC37" s="1" t="s">
        <v>21</v>
      </c>
    </row>
    <row r="38" spans="1:29" x14ac:dyDescent="0.25">
      <c r="A38" s="15" t="s">
        <v>49</v>
      </c>
      <c r="B38" t="s">
        <v>54</v>
      </c>
      <c r="C38" s="2">
        <v>0</v>
      </c>
      <c r="D38" s="2">
        <v>0</v>
      </c>
      <c r="E38" s="2">
        <f t="shared" si="0"/>
        <v>40593.770053475935</v>
      </c>
      <c r="F38" s="2">
        <v>0</v>
      </c>
      <c r="G38" s="2">
        <v>0</v>
      </c>
      <c r="H38" s="2">
        <v>0</v>
      </c>
      <c r="I38" s="18">
        <f t="shared" si="6"/>
        <v>6.8916820960514607E-3</v>
      </c>
      <c r="J38" s="2">
        <f t="shared" si="7"/>
        <v>0</v>
      </c>
      <c r="K38" s="2">
        <f t="shared" si="8"/>
        <v>0</v>
      </c>
      <c r="L38" s="2">
        <f t="shared" si="9"/>
        <v>0</v>
      </c>
      <c r="M38" s="2">
        <f>VLOOKUP($A38,SUM!$A:$E,3,0)</f>
        <v>313890</v>
      </c>
      <c r="N38" s="2">
        <f>VLOOKUP($A38,SUM!$A:$E,4,0)</f>
        <v>1122</v>
      </c>
      <c r="O38" s="2">
        <f>VLOOKUP($A38,SUM!$A:$E,5,0)</f>
        <v>45546210</v>
      </c>
      <c r="P38" s="10" t="e">
        <f t="shared" si="1"/>
        <v>#DIV/0!</v>
      </c>
      <c r="Q38" s="10" t="e">
        <f t="shared" si="2"/>
        <v>#DIV/0!</v>
      </c>
      <c r="R38" s="2" t="e">
        <f t="shared" si="3"/>
        <v>#N/A</v>
      </c>
      <c r="S38" s="16" t="e">
        <f t="shared" si="4"/>
        <v>#N/A</v>
      </c>
      <c r="X38" s="8" t="s">
        <v>37</v>
      </c>
      <c r="Y38">
        <v>186623</v>
      </c>
      <c r="Z38">
        <v>4744</v>
      </c>
      <c r="AA38">
        <v>354916618</v>
      </c>
      <c r="AB38" s="1" t="str">
        <f t="shared" ref="AB38:AB49" si="11">A38</f>
        <v>POPEYES</v>
      </c>
    </row>
    <row r="39" spans="1:29" x14ac:dyDescent="0.25">
      <c r="A39" s="1" t="s">
        <v>31</v>
      </c>
      <c r="B39" t="s">
        <v>56</v>
      </c>
      <c r="C39" s="2">
        <v>11014868900</v>
      </c>
      <c r="D39" s="2">
        <v>11000000000</v>
      </c>
      <c r="E39" s="2">
        <f t="shared" si="0"/>
        <v>1057832.6536561265</v>
      </c>
      <c r="F39" s="2">
        <v>1000000</v>
      </c>
      <c r="G39" s="2">
        <f t="shared" si="5"/>
        <v>11000</v>
      </c>
      <c r="H39" s="2">
        <v>11000</v>
      </c>
      <c r="I39" s="18">
        <f t="shared" si="6"/>
        <v>1.5353363601385794E-2</v>
      </c>
      <c r="J39" s="2">
        <f t="shared" si="7"/>
        <v>168886999.61524373</v>
      </c>
      <c r="K39" s="2">
        <f t="shared" si="8"/>
        <v>168887</v>
      </c>
      <c r="L39" s="2">
        <f t="shared" si="9"/>
        <v>168887000</v>
      </c>
      <c r="M39" s="2">
        <f>VLOOKUP($A39,SUM!$A:$E,3,0)</f>
        <v>98617109</v>
      </c>
      <c r="N39" s="2">
        <f>VLOOKUP($A39,SUM!$A:$E,4,0)</f>
        <v>6072</v>
      </c>
      <c r="O39" s="2">
        <f>VLOOKUP($A39,SUM!$A:$E,5,0)</f>
        <v>6423159873</v>
      </c>
      <c r="P39" s="10">
        <f t="shared" si="1"/>
        <v>0.58313539010890991</v>
      </c>
      <c r="Q39" s="10">
        <f t="shared" si="2"/>
        <v>0.58392362481818183</v>
      </c>
      <c r="R39" s="2">
        <f t="shared" si="3"/>
        <v>10350683880</v>
      </c>
      <c r="S39" s="16">
        <f t="shared" si="4"/>
        <v>6.2731711984232774E-2</v>
      </c>
      <c r="X39" s="8" t="s">
        <v>38</v>
      </c>
      <c r="Y39">
        <v>55646184</v>
      </c>
      <c r="Z39">
        <v>38563</v>
      </c>
      <c r="AA39">
        <v>5768993500</v>
      </c>
      <c r="AB39" s="1" t="str">
        <f t="shared" si="11"/>
        <v>SARINAH</v>
      </c>
    </row>
    <row r="40" spans="1:29" x14ac:dyDescent="0.25">
      <c r="A40" s="1" t="s">
        <v>32</v>
      </c>
      <c r="B40" t="s">
        <v>55</v>
      </c>
      <c r="C40" s="2">
        <v>1043999235.4000001</v>
      </c>
      <c r="D40" s="2">
        <v>2000000000</v>
      </c>
      <c r="E40" s="2">
        <f t="shared" si="0"/>
        <v>55996.270107319426</v>
      </c>
      <c r="F40" s="2">
        <v>50000</v>
      </c>
      <c r="G40" s="2">
        <f t="shared" si="5"/>
        <v>40000</v>
      </c>
      <c r="H40" s="2">
        <v>40000</v>
      </c>
      <c r="I40" s="18">
        <f t="shared" si="6"/>
        <v>3.8718887241291021E-3</v>
      </c>
      <c r="J40" s="2">
        <f t="shared" si="7"/>
        <v>7743777.4482582044</v>
      </c>
      <c r="K40" s="2">
        <f t="shared" si="8"/>
        <v>7744</v>
      </c>
      <c r="L40" s="2">
        <f t="shared" si="9"/>
        <v>7744000</v>
      </c>
      <c r="M40" s="2">
        <f>VLOOKUP($A40,SUM!$A:$E,3,0)</f>
        <v>5394049</v>
      </c>
      <c r="N40" s="2">
        <f>VLOOKUP($A40,SUM!$A:$E,4,0)</f>
        <v>24879</v>
      </c>
      <c r="O40" s="2">
        <f>VLOOKUP($A40,SUM!$A:$E,5,0)</f>
        <v>1393131204</v>
      </c>
      <c r="P40" s="10">
        <f t="shared" si="1"/>
        <v>1.3344178393638695</v>
      </c>
      <c r="Q40" s="10">
        <f t="shared" si="2"/>
        <v>0.69656560199999995</v>
      </c>
      <c r="R40" s="2">
        <f t="shared" si="3"/>
        <v>876168049</v>
      </c>
      <c r="S40" s="16">
        <f t="shared" si="4"/>
        <v>1.2826671233705307</v>
      </c>
      <c r="AB40" s="1" t="str">
        <f t="shared" si="11"/>
        <v>SHIHLIN</v>
      </c>
    </row>
    <row r="41" spans="1:29" x14ac:dyDescent="0.25">
      <c r="A41" s="1" t="s">
        <v>33</v>
      </c>
      <c r="B41" t="s">
        <v>54</v>
      </c>
      <c r="C41" s="2">
        <v>4217818542.1600003</v>
      </c>
      <c r="D41" s="2">
        <v>4000000000</v>
      </c>
      <c r="E41" s="2">
        <f t="shared" si="0"/>
        <v>161188.40920759883</v>
      </c>
      <c r="F41" s="2">
        <v>150000</v>
      </c>
      <c r="G41" s="2">
        <f t="shared" si="5"/>
        <v>26666.666666666668</v>
      </c>
      <c r="H41" s="2">
        <v>37000</v>
      </c>
      <c r="I41" s="18">
        <f t="shared" si="6"/>
        <v>2.7250121473083276E-3</v>
      </c>
      <c r="J41" s="2">
        <f t="shared" si="7"/>
        <v>10900048.589233311</v>
      </c>
      <c r="K41" s="2">
        <f t="shared" si="8"/>
        <v>10900</v>
      </c>
      <c r="L41" s="2">
        <f t="shared" si="9"/>
        <v>10900000</v>
      </c>
      <c r="M41" s="2">
        <f>VLOOKUP($A41,SUM!$A:$E,3,0)</f>
        <v>10265926</v>
      </c>
      <c r="N41" s="2">
        <f>VLOOKUP($A41,SUM!$A:$E,4,0)</f>
        <v>23372</v>
      </c>
      <c r="O41" s="2">
        <f>VLOOKUP($A41,SUM!$A:$E,5,0)</f>
        <v>3767295500</v>
      </c>
      <c r="P41" s="10">
        <f t="shared" si="1"/>
        <v>0.89318576945482309</v>
      </c>
      <c r="Q41" s="10">
        <f t="shared" si="2"/>
        <v>0.94182387499999998</v>
      </c>
      <c r="R41" s="2">
        <f t="shared" si="3"/>
        <v>3954419488</v>
      </c>
      <c r="S41" s="16">
        <f t="shared" si="4"/>
        <v>1.1526473642545332E-2</v>
      </c>
      <c r="AB41" s="1" t="str">
        <f t="shared" si="11"/>
        <v>SOLARIA</v>
      </c>
    </row>
    <row r="42" spans="1:29" x14ac:dyDescent="0.25">
      <c r="A42" s="1" t="s">
        <v>34</v>
      </c>
      <c r="B42" t="s">
        <v>56</v>
      </c>
      <c r="C42" s="2">
        <v>39372576</v>
      </c>
      <c r="D42" s="2">
        <v>1000000000</v>
      </c>
      <c r="E42" s="2">
        <f t="shared" si="0"/>
        <v>76721.701019634274</v>
      </c>
      <c r="F42" s="2">
        <v>75000</v>
      </c>
      <c r="G42" s="2">
        <f t="shared" si="5"/>
        <v>13333.333333333334</v>
      </c>
      <c r="H42" s="2">
        <v>13000</v>
      </c>
      <c r="I42" s="18">
        <f t="shared" si="6"/>
        <v>6.9898062315395205E-3</v>
      </c>
      <c r="J42" s="2">
        <f t="shared" si="7"/>
        <v>6989806.2315395204</v>
      </c>
      <c r="K42" s="2">
        <f t="shared" si="8"/>
        <v>6990</v>
      </c>
      <c r="L42" s="2">
        <f t="shared" si="9"/>
        <v>6990000</v>
      </c>
      <c r="M42" s="2">
        <f>VLOOKUP($A42,SUM!$A:$E,3,0)</f>
        <v>6363914</v>
      </c>
      <c r="N42" s="2">
        <f>VLOOKUP($A42,SUM!$A:$E,4,0)</f>
        <v>11867</v>
      </c>
      <c r="O42" s="2">
        <f>VLOOKUP($A42,SUM!$A:$E,5,0)</f>
        <v>910456426</v>
      </c>
      <c r="P42" s="10">
        <f t="shared" si="1"/>
        <v>23.124126447809765</v>
      </c>
      <c r="Q42" s="10">
        <f t="shared" si="2"/>
        <v>0.91045642599999999</v>
      </c>
      <c r="R42" s="2">
        <f t="shared" si="3"/>
        <v>132707341</v>
      </c>
      <c r="S42" s="16">
        <f t="shared" si="4"/>
        <v>6.5353781672108102</v>
      </c>
      <c r="AB42" s="1" t="str">
        <f t="shared" si="11"/>
        <v>SOUR SALLY</v>
      </c>
    </row>
    <row r="43" spans="1:29" x14ac:dyDescent="0.25">
      <c r="A43" s="15" t="s">
        <v>50</v>
      </c>
      <c r="B43" t="s">
        <v>56</v>
      </c>
      <c r="D43" s="2">
        <v>0</v>
      </c>
      <c r="E43" s="2">
        <f t="shared" si="0"/>
        <v>734784.84782608692</v>
      </c>
      <c r="F43" s="2">
        <v>0</v>
      </c>
      <c r="G43" s="2">
        <v>0</v>
      </c>
      <c r="H43" s="2">
        <v>0</v>
      </c>
      <c r="I43" s="18">
        <f t="shared" si="6"/>
        <v>1.4999658432993533E-3</v>
      </c>
      <c r="J43" s="2">
        <f t="shared" si="7"/>
        <v>0</v>
      </c>
      <c r="K43" s="2">
        <f t="shared" si="8"/>
        <v>0</v>
      </c>
      <c r="L43" s="2">
        <f t="shared" si="9"/>
        <v>0</v>
      </c>
      <c r="M43" s="2">
        <f>VLOOKUP($A43,SUM!$A:$E,3,0)</f>
        <v>50699</v>
      </c>
      <c r="N43" s="2">
        <f>VLOOKUP($A43,SUM!$A:$E,4,0)</f>
        <v>46</v>
      </c>
      <c r="O43" s="2">
        <f>VLOOKUP($A43,SUM!$A:$E,5,0)</f>
        <v>33800103</v>
      </c>
      <c r="P43" s="10" t="e">
        <f t="shared" si="1"/>
        <v>#DIV/0!</v>
      </c>
      <c r="Q43" s="10" t="e">
        <f t="shared" si="2"/>
        <v>#DIV/0!</v>
      </c>
      <c r="R43" s="2" t="e">
        <f t="shared" si="3"/>
        <v>#N/A</v>
      </c>
      <c r="S43" s="16" t="e">
        <f t="shared" si="4"/>
        <v>#N/A</v>
      </c>
      <c r="AB43" s="1" t="str">
        <f t="shared" si="11"/>
        <v>SUPRA BOGA LESTARI</v>
      </c>
    </row>
    <row r="44" spans="1:29" x14ac:dyDescent="0.25">
      <c r="A44" s="15" t="s">
        <v>35</v>
      </c>
      <c r="B44" t="s">
        <v>54</v>
      </c>
      <c r="C44" s="2">
        <v>34181150</v>
      </c>
      <c r="D44" s="2">
        <v>100000000</v>
      </c>
      <c r="E44" s="2">
        <f t="shared" si="0"/>
        <v>1170514.5454545454</v>
      </c>
      <c r="F44" s="2">
        <v>1000000</v>
      </c>
      <c r="G44" s="2">
        <f t="shared" si="5"/>
        <v>100</v>
      </c>
      <c r="H44" s="2">
        <v>100</v>
      </c>
      <c r="I44" s="18">
        <f t="shared" si="6"/>
        <v>3.1800156263834243E-3</v>
      </c>
      <c r="J44" s="2">
        <f t="shared" si="7"/>
        <v>318001.56263834244</v>
      </c>
      <c r="K44" s="2">
        <f t="shared" si="8"/>
        <v>318</v>
      </c>
      <c r="L44" s="2">
        <f t="shared" si="9"/>
        <v>318000</v>
      </c>
      <c r="M44" s="2">
        <f>VLOOKUP($A44,SUM!$A:$E,3,0)</f>
        <v>204724</v>
      </c>
      <c r="N44" s="2">
        <f>VLOOKUP($A44,SUM!$A:$E,4,0)</f>
        <v>55</v>
      </c>
      <c r="O44" s="2">
        <f>VLOOKUP($A44,SUM!$A:$E,5,0)</f>
        <v>64378300</v>
      </c>
      <c r="P44" s="10">
        <f t="shared" si="1"/>
        <v>1.883444530099192</v>
      </c>
      <c r="Q44" s="10">
        <f t="shared" si="2"/>
        <v>0.64378299999999999</v>
      </c>
      <c r="R44" s="2">
        <f t="shared" si="3"/>
        <v>46773100</v>
      </c>
      <c r="S44" s="16">
        <f t="shared" si="4"/>
        <v>1.1379810190045134</v>
      </c>
      <c r="AB44" s="1" t="str">
        <f t="shared" si="11"/>
        <v>SURYA BUMI RETAILINDO</v>
      </c>
    </row>
    <row r="45" spans="1:29" x14ac:dyDescent="0.25">
      <c r="A45" s="11" t="s">
        <v>51</v>
      </c>
      <c r="B45" t="s">
        <v>54</v>
      </c>
      <c r="D45" s="2">
        <v>100000000</v>
      </c>
      <c r="E45" s="2">
        <f t="shared" si="0"/>
        <v>196439.55696202532</v>
      </c>
      <c r="F45" s="2">
        <v>200000</v>
      </c>
      <c r="G45" s="2">
        <f t="shared" si="5"/>
        <v>500</v>
      </c>
      <c r="H45" s="2">
        <v>500</v>
      </c>
      <c r="I45" s="18">
        <f t="shared" si="6"/>
        <v>9.8365039653708656E-4</v>
      </c>
      <c r="J45" s="2">
        <f t="shared" si="7"/>
        <v>98365.039653708649</v>
      </c>
      <c r="K45" s="2">
        <f t="shared" si="8"/>
        <v>98</v>
      </c>
      <c r="L45" s="2">
        <f t="shared" si="9"/>
        <v>98000</v>
      </c>
      <c r="M45" s="2">
        <f>VLOOKUP($A45,SUM!$A:$E,3,0)</f>
        <v>30530</v>
      </c>
      <c r="N45" s="2">
        <f>VLOOKUP($A45,SUM!$A:$E,4,0)</f>
        <v>158</v>
      </c>
      <c r="O45" s="2">
        <f>VLOOKUP($A45,SUM!$A:$E,5,0)</f>
        <v>31037450</v>
      </c>
      <c r="P45" s="10" t="e">
        <f t="shared" si="1"/>
        <v>#DIV/0!</v>
      </c>
      <c r="Q45" s="10">
        <f t="shared" si="2"/>
        <v>0.3103745</v>
      </c>
      <c r="R45" s="2" t="e">
        <f t="shared" si="3"/>
        <v>#N/A</v>
      </c>
      <c r="S45" s="16" t="e">
        <f t="shared" si="4"/>
        <v>#N/A</v>
      </c>
      <c r="AB45" s="1" t="str">
        <f t="shared" si="11"/>
        <v>SUSHI TEI</v>
      </c>
    </row>
    <row r="46" spans="1:29" x14ac:dyDescent="0.25">
      <c r="A46" s="15" t="s">
        <v>36</v>
      </c>
      <c r="B46" t="s">
        <v>55</v>
      </c>
      <c r="C46" s="2">
        <v>50633577</v>
      </c>
      <c r="D46" s="2">
        <v>0</v>
      </c>
      <c r="E46" s="2">
        <f t="shared" si="0"/>
        <v>264488.88888888888</v>
      </c>
      <c r="F46" s="2">
        <v>0</v>
      </c>
      <c r="G46" s="2">
        <v>0</v>
      </c>
      <c r="H46" s="2">
        <v>0</v>
      </c>
      <c r="I46" s="18">
        <f t="shared" si="6"/>
        <v>1.2381112418080995E-2</v>
      </c>
      <c r="J46" s="2">
        <f t="shared" si="7"/>
        <v>0</v>
      </c>
      <c r="K46" s="2">
        <f t="shared" si="8"/>
        <v>0</v>
      </c>
      <c r="L46" s="2">
        <f t="shared" si="9"/>
        <v>0</v>
      </c>
      <c r="M46" s="2">
        <f>VLOOKUP($A46,SUM!$A:$E,3,0)</f>
        <v>29472</v>
      </c>
      <c r="N46" s="2">
        <f>VLOOKUP($A46,SUM!$A:$E,4,0)</f>
        <v>9</v>
      </c>
      <c r="O46" s="2">
        <f>VLOOKUP($A46,SUM!$A:$E,5,0)</f>
        <v>2380400</v>
      </c>
      <c r="P46" s="10">
        <f t="shared" si="1"/>
        <v>4.7012281988294054E-2</v>
      </c>
      <c r="Q46" s="10" t="e">
        <f t="shared" si="2"/>
        <v>#DIV/0!</v>
      </c>
      <c r="R46" s="2">
        <f t="shared" si="3"/>
        <v>47441100</v>
      </c>
      <c r="S46" s="16">
        <f t="shared" si="4"/>
        <v>-1</v>
      </c>
      <c r="AB46" s="1" t="str">
        <f t="shared" si="11"/>
        <v>TAMANI</v>
      </c>
    </row>
    <row r="47" spans="1:29" x14ac:dyDescent="0.25">
      <c r="A47" s="11" t="s">
        <v>37</v>
      </c>
      <c r="B47" t="s">
        <v>54</v>
      </c>
      <c r="D47" s="2">
        <v>5000000000</v>
      </c>
      <c r="E47" s="2">
        <f t="shared" si="0"/>
        <v>68845.34729896544</v>
      </c>
      <c r="F47" s="2">
        <v>50000</v>
      </c>
      <c r="G47" s="2">
        <f t="shared" si="5"/>
        <v>100000</v>
      </c>
      <c r="H47" s="2">
        <v>100000</v>
      </c>
      <c r="I47" s="18">
        <f t="shared" si="6"/>
        <v>4.2810900245111681E-6</v>
      </c>
      <c r="J47" s="2">
        <f t="shared" si="7"/>
        <v>21405.450122555842</v>
      </c>
      <c r="K47" s="2">
        <f t="shared" si="8"/>
        <v>21</v>
      </c>
      <c r="L47" s="2">
        <f t="shared" si="9"/>
        <v>21000</v>
      </c>
      <c r="M47" s="2">
        <f>VLOOKUP($A47,SUM!$A:$E,3,0)</f>
        <v>20056</v>
      </c>
      <c r="N47" s="2">
        <f>VLOOKUP($A47,SUM!$A:$E,4,0)</f>
        <v>68048</v>
      </c>
      <c r="O47" s="2">
        <f>VLOOKUP($A47,SUM!$A:$E,5,0)</f>
        <v>4684788193</v>
      </c>
      <c r="P47" s="10" t="e">
        <f t="shared" si="1"/>
        <v>#DIV/0!</v>
      </c>
      <c r="Q47" s="10">
        <f t="shared" si="2"/>
        <v>0.93695763860000003</v>
      </c>
      <c r="R47" s="2">
        <f t="shared" si="3"/>
        <v>354916618</v>
      </c>
      <c r="S47" s="16">
        <f t="shared" si="4"/>
        <v>13.087815972595569</v>
      </c>
      <c r="AB47" s="1" t="str">
        <f t="shared" si="11"/>
        <v>YOGURT REPUBLIC</v>
      </c>
    </row>
    <row r="48" spans="1:29" x14ac:dyDescent="0.25">
      <c r="A48" s="1" t="s">
        <v>38</v>
      </c>
      <c r="B48" t="s">
        <v>54</v>
      </c>
      <c r="C48" s="2">
        <v>6172054785</v>
      </c>
      <c r="D48" s="2">
        <v>150000000000</v>
      </c>
      <c r="E48" s="2">
        <f t="shared" si="0"/>
        <v>18355.676621917537</v>
      </c>
      <c r="F48" s="2">
        <v>20000</v>
      </c>
      <c r="G48" s="2">
        <f t="shared" si="5"/>
        <v>7500000</v>
      </c>
      <c r="H48" s="2">
        <v>7500000</v>
      </c>
      <c r="I48" s="18">
        <f t="shared" si="6"/>
        <v>7.3526232820541326E-3</v>
      </c>
      <c r="J48" s="2">
        <f t="shared" si="7"/>
        <v>1102893492.30812</v>
      </c>
      <c r="K48" s="2">
        <f t="shared" si="8"/>
        <v>1102893</v>
      </c>
      <c r="L48" s="2">
        <f t="shared" si="9"/>
        <v>1102893000</v>
      </c>
      <c r="M48" s="2">
        <f>VLOOKUP($A48,SUM!$A:$E,3,0)</f>
        <v>1181931517</v>
      </c>
      <c r="N48" s="2">
        <f>VLOOKUP($A48,SUM!$A:$E,4,0)</f>
        <v>8757489</v>
      </c>
      <c r="O48" s="2">
        <f>VLOOKUP($A48,SUM!$A:$E,5,0)</f>
        <v>160749636104</v>
      </c>
      <c r="P48" s="10">
        <f t="shared" si="1"/>
        <v>26.044751983516296</v>
      </c>
      <c r="Q48" s="10">
        <f t="shared" si="2"/>
        <v>1.0716642406933334</v>
      </c>
      <c r="R48" s="2">
        <f t="shared" si="3"/>
        <v>5768993500</v>
      </c>
      <c r="S48" s="16">
        <f t="shared" si="4"/>
        <v>25.001069337311613</v>
      </c>
      <c r="AB48" s="1" t="str">
        <f t="shared" si="11"/>
        <v>YOSHINOYA</v>
      </c>
    </row>
    <row r="49" spans="1:28" x14ac:dyDescent="0.25">
      <c r="A49" s="15" t="s">
        <v>52</v>
      </c>
      <c r="B49" t="s">
        <v>56</v>
      </c>
      <c r="C49" s="2">
        <v>0</v>
      </c>
      <c r="D49" s="2">
        <v>0</v>
      </c>
      <c r="E49" s="2">
        <f t="shared" si="0"/>
        <v>265764.42471746262</v>
      </c>
      <c r="F49" s="2">
        <v>0</v>
      </c>
      <c r="G49" s="2">
        <v>0</v>
      </c>
      <c r="H49" s="2">
        <v>0</v>
      </c>
      <c r="I49" s="18">
        <f t="shared" si="6"/>
        <v>7.0734253719143114E-3</v>
      </c>
      <c r="J49" s="2">
        <f t="shared" si="7"/>
        <v>0</v>
      </c>
      <c r="K49" s="2">
        <f t="shared" si="8"/>
        <v>0</v>
      </c>
      <c r="L49" s="2">
        <f t="shared" si="9"/>
        <v>0</v>
      </c>
      <c r="M49" s="2">
        <f>VLOOKUP($A49,SUM!$A:$E,3,0)</f>
        <v>72190569</v>
      </c>
      <c r="N49" s="2">
        <f>VLOOKUP($A49,SUM!$A:$E,4,0)</f>
        <v>38402</v>
      </c>
      <c r="O49" s="2">
        <f>VLOOKUP($A49,SUM!$A:$E,5,0)</f>
        <v>10205885438</v>
      </c>
      <c r="P49" s="10" t="e">
        <f t="shared" si="1"/>
        <v>#DIV/0!</v>
      </c>
      <c r="Q49" s="10" t="e">
        <f t="shared" si="2"/>
        <v>#DIV/0!</v>
      </c>
      <c r="R49" s="2" t="e">
        <f t="shared" si="3"/>
        <v>#N/A</v>
      </c>
      <c r="S49" s="16" t="e">
        <f t="shared" si="4"/>
        <v>#N/A</v>
      </c>
      <c r="AB49" s="1" t="str">
        <f t="shared" si="11"/>
        <v>ZENBU</v>
      </c>
    </row>
    <row r="50" spans="1:28" x14ac:dyDescent="0.25">
      <c r="C50" s="9">
        <f>SUM(C2:C49)</f>
        <v>790819113060.38013</v>
      </c>
      <c r="D50" s="9">
        <f>SUM(D2:D49)</f>
        <v>1000000000000</v>
      </c>
      <c r="E50" s="9"/>
      <c r="F50" s="9"/>
      <c r="G50" s="9">
        <f>SUM(G2:G49)</f>
        <v>13292022.085104438</v>
      </c>
      <c r="H50" s="9">
        <f>SUM(H2:H49)</f>
        <v>13261200</v>
      </c>
      <c r="I50" s="9">
        <f t="shared" ref="I50:L50" si="12">SUM(I2:I49)</f>
        <v>0.28551098724583596</v>
      </c>
      <c r="J50" s="9">
        <f t="shared" si="12"/>
        <v>8232326421.572773</v>
      </c>
      <c r="K50" s="9">
        <f t="shared" si="12"/>
        <v>8232325</v>
      </c>
      <c r="L50" s="9">
        <f t="shared" si="12"/>
        <v>8232325000</v>
      </c>
      <c r="M50" s="9">
        <f t="shared" ref="M50:O50" si="13">SUM(M2:M49)</f>
        <v>6693319538</v>
      </c>
      <c r="N50" s="9">
        <f t="shared" si="13"/>
        <v>12292602</v>
      </c>
      <c r="O50" s="9">
        <f t="shared" si="13"/>
        <v>739591966886</v>
      </c>
    </row>
    <row r="52" spans="1:28" x14ac:dyDescent="0.25">
      <c r="D52" s="2">
        <f>O55-D50</f>
        <v>0</v>
      </c>
    </row>
    <row r="53" spans="1:28" x14ac:dyDescent="0.25">
      <c r="D53" s="2">
        <f>D48+D52</f>
        <v>150000000000</v>
      </c>
      <c r="O53" s="3"/>
    </row>
    <row r="54" spans="1:28" x14ac:dyDescent="0.25">
      <c r="O54" s="4">
        <v>2062500</v>
      </c>
    </row>
    <row r="55" spans="1:28" x14ac:dyDescent="0.25">
      <c r="N55" t="s">
        <v>60</v>
      </c>
      <c r="O55" s="5">
        <v>1000000000000</v>
      </c>
    </row>
    <row r="56" spans="1:28" x14ac:dyDescent="0.25">
      <c r="N56" t="s">
        <v>40</v>
      </c>
      <c r="O56" s="6">
        <v>5500000000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PerPM</vt:lpstr>
      <vt:lpstr>PerMerchant</vt:lpstr>
      <vt:lpstr>2024</vt:lpstr>
      <vt:lpstr>2025</vt:lpstr>
      <vt:lpstr>2025 T</vt:lpstr>
      <vt:lpstr>2026</vt:lpstr>
      <vt:lpstr>2026 T</vt:lpstr>
      <vt:lpstr>PARAMETER</vt:lpstr>
      <vt:lpstr>SUM</vt:lpstr>
      <vt:lpstr>Edit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Efnu Triyono</dc:creator>
  <cp:lastModifiedBy>2023 MARVEL KEVIN NATHANAEL (00000108042)</cp:lastModifiedBy>
  <dcterms:created xsi:type="dcterms:W3CDTF">2025-12-09T03:58:45Z</dcterms:created>
  <dcterms:modified xsi:type="dcterms:W3CDTF">2026-03-17T06:50:08Z</dcterms:modified>
</cp:coreProperties>
</file>