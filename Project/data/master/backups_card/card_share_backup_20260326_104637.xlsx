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cuments\UMN\Semester 6 Magang\17 mar\"/>
    </mc:Choice>
  </mc:AlternateContent>
  <xr:revisionPtr revIDLastSave="0" documentId="13_ncr:1_{E64E62AE-FB59-4B8D-8F75-D5395A409886}" xr6:coauthVersionLast="47" xr6:coauthVersionMax="47" xr10:uidLastSave="{00000000-0000-0000-0000-000000000000}"/>
  <bookViews>
    <workbookView xWindow="-120" yWindow="-120" windowWidth="29040" windowHeight="15720" xr2:uid="{9FAB911C-D0D5-8B4C-9F6B-8BC6BEEBCBB8}"/>
  </bookViews>
  <sheets>
    <sheet name="Highlight" sheetId="3" r:id="rId1"/>
    <sheet name="Portfolio" sheetId="1" r:id="rId2"/>
    <sheet name="Sheet4" sheetId="8" r:id="rId3"/>
    <sheet name="Sheet1" sheetId="9" r:id="rId4"/>
    <sheet name="Realisasi" sheetId="4" r:id="rId5"/>
  </sheets>
  <externalReferences>
    <externalReference r:id="rId6"/>
  </externalReferences>
  <definedNames>
    <definedName name="_xlnm._FilterDatabase" localSheetId="1" hidden="1">Portfolio!$A$1:$U$136</definedName>
    <definedName name="_xlnm._FilterDatabase" localSheetId="4" hidden="1">Realisasi!$A$1:$T$2224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39" i="4" l="1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1765" i="4"/>
  <c r="E1766" i="4"/>
  <c r="E1767" i="4"/>
  <c r="E1768" i="4"/>
  <c r="E1769" i="4"/>
  <c r="E1770" i="4"/>
  <c r="E1771" i="4"/>
  <c r="E1772" i="4"/>
  <c r="E1773" i="4"/>
  <c r="E1774" i="4"/>
  <c r="E2020" i="4"/>
  <c r="E2021" i="4"/>
  <c r="E2022" i="4"/>
  <c r="E2023" i="4"/>
  <c r="E2024" i="4"/>
  <c r="E2025" i="4"/>
  <c r="E2026" i="4"/>
  <c r="E2027" i="4"/>
  <c r="E2028" i="4"/>
  <c r="E2131" i="4"/>
  <c r="E2132" i="4"/>
  <c r="E2133" i="4"/>
  <c r="E2134" i="4"/>
  <c r="E2135" i="4"/>
  <c r="E2136" i="4"/>
  <c r="E2137" i="4"/>
  <c r="E2138" i="4"/>
  <c r="E2139" i="4"/>
  <c r="E2140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141" i="4"/>
  <c r="E2142" i="4"/>
  <c r="E2143" i="4"/>
  <c r="E2144" i="4"/>
  <c r="E2145" i="4"/>
  <c r="E2146" i="4"/>
  <c r="E1788" i="4"/>
  <c r="E1789" i="4"/>
  <c r="E2042" i="4"/>
  <c r="E2043" i="4"/>
  <c r="E2147" i="4"/>
  <c r="E2148" i="4"/>
  <c r="E2149" i="4"/>
  <c r="E2150" i="4"/>
  <c r="E1790" i="4"/>
  <c r="E1791" i="4"/>
  <c r="E1792" i="4"/>
  <c r="E1793" i="4"/>
  <c r="E1794" i="4"/>
  <c r="E2044" i="4"/>
  <c r="E2045" i="4"/>
  <c r="E2046" i="4"/>
  <c r="E2047" i="4"/>
  <c r="E2151" i="4"/>
  <c r="E2152" i="4"/>
  <c r="E1795" i="4"/>
  <c r="E1796" i="4"/>
  <c r="E1797" i="4"/>
  <c r="E1798" i="4"/>
  <c r="E2048" i="4"/>
  <c r="E2049" i="4"/>
  <c r="E2050" i="4"/>
  <c r="E2153" i="4"/>
  <c r="E2154" i="4"/>
  <c r="E1799" i="4"/>
  <c r="E1800" i="4"/>
  <c r="E1801" i="4"/>
  <c r="E1802" i="4"/>
  <c r="E1803" i="4"/>
  <c r="E1804" i="4"/>
  <c r="E2051" i="4"/>
  <c r="E2052" i="4"/>
  <c r="E2053" i="4"/>
  <c r="E2054" i="4"/>
  <c r="E2055" i="4"/>
  <c r="E2056" i="4"/>
  <c r="E2155" i="4"/>
  <c r="E1805" i="4"/>
  <c r="E1806" i="4"/>
  <c r="E1807" i="4"/>
  <c r="E1808" i="4"/>
  <c r="E1809" i="4"/>
  <c r="E2057" i="4"/>
  <c r="E2058" i="4"/>
  <c r="E2059" i="4"/>
  <c r="E2060" i="4"/>
  <c r="E2061" i="4"/>
  <c r="E2062" i="4"/>
  <c r="E2156" i="4"/>
  <c r="E2157" i="4"/>
  <c r="E2158" i="4"/>
  <c r="E2159" i="4"/>
  <c r="E1810" i="4"/>
  <c r="E1811" i="4"/>
  <c r="E1812" i="4"/>
  <c r="E1813" i="4"/>
  <c r="E2063" i="4"/>
  <c r="E2064" i="4"/>
  <c r="E2065" i="4"/>
  <c r="E2066" i="4"/>
  <c r="E2160" i="4"/>
  <c r="E1814" i="4"/>
  <c r="E1815" i="4"/>
  <c r="E2067" i="4"/>
  <c r="E2068" i="4"/>
  <c r="E2069" i="4"/>
  <c r="E2161" i="4"/>
  <c r="E2162" i="4"/>
  <c r="E2163" i="4"/>
  <c r="E1816" i="4"/>
  <c r="E2070" i="4"/>
  <c r="E2164" i="4"/>
  <c r="E1817" i="4"/>
  <c r="E1818" i="4"/>
  <c r="E1819" i="4"/>
  <c r="E2071" i="4"/>
  <c r="E2072" i="4"/>
  <c r="E2073" i="4"/>
  <c r="E2074" i="4"/>
  <c r="E2165" i="4"/>
  <c r="E2075" i="4"/>
  <c r="E2076" i="4"/>
  <c r="E1820" i="4"/>
  <c r="E1821" i="4"/>
  <c r="E2166" i="4"/>
  <c r="E1822" i="4"/>
  <c r="E1823" i="4"/>
  <c r="E1824" i="4"/>
  <c r="E1825" i="4"/>
  <c r="E2077" i="4"/>
  <c r="E2078" i="4"/>
  <c r="E2079" i="4"/>
  <c r="E2167" i="4"/>
  <c r="E2168" i="4"/>
  <c r="E1826" i="4"/>
  <c r="E2080" i="4"/>
  <c r="E2081" i="4"/>
  <c r="E2082" i="4"/>
  <c r="E2169" i="4"/>
  <c r="E2170" i="4"/>
  <c r="E2171" i="4"/>
  <c r="E2172" i="4"/>
  <c r="E1827" i="4"/>
  <c r="E1828" i="4"/>
  <c r="E2083" i="4"/>
  <c r="E2173" i="4"/>
  <c r="E2174" i="4"/>
  <c r="E1829" i="4"/>
  <c r="E2084" i="4"/>
  <c r="E2175" i="4"/>
  <c r="E2176" i="4"/>
  <c r="E1830" i="4"/>
  <c r="E2177" i="4"/>
  <c r="E1831" i="4"/>
  <c r="E2178" i="4"/>
  <c r="E2179" i="4"/>
  <c r="E1832" i="4"/>
  <c r="E2085" i="4"/>
  <c r="E2180" i="4"/>
  <c r="E2181" i="4"/>
  <c r="E2086" i="4"/>
  <c r="E2182" i="4"/>
  <c r="E2183" i="4"/>
  <c r="E2184" i="4"/>
  <c r="E1833" i="4"/>
  <c r="E1834" i="4"/>
  <c r="E1835" i="4"/>
  <c r="E1836" i="4"/>
  <c r="E2185" i="4"/>
  <c r="E2186" i="4"/>
  <c r="E1837" i="4"/>
  <c r="E2087" i="4"/>
  <c r="E2088" i="4"/>
  <c r="E2187" i="4"/>
  <c r="E2188" i="4"/>
  <c r="E2189" i="4"/>
  <c r="E2190" i="4"/>
  <c r="E2191" i="4"/>
  <c r="E1838" i="4"/>
  <c r="E1839" i="4"/>
  <c r="E2089" i="4"/>
  <c r="E2090" i="4"/>
  <c r="E1840" i="4"/>
  <c r="E1841" i="4"/>
  <c r="E2091" i="4"/>
  <c r="E2192" i="4"/>
  <c r="E2193" i="4"/>
  <c r="E2092" i="4"/>
  <c r="E2093" i="4"/>
  <c r="E1842" i="4"/>
  <c r="E2094" i="4"/>
  <c r="E2095" i="4"/>
  <c r="E2194" i="4"/>
  <c r="E2195" i="4"/>
  <c r="E2196" i="4"/>
  <c r="E2197" i="4"/>
  <c r="E2198" i="4"/>
  <c r="E2096" i="4"/>
  <c r="E2199" i="4"/>
  <c r="E2200" i="4"/>
  <c r="E1843" i="4"/>
  <c r="E2097" i="4"/>
  <c r="E2098" i="4"/>
  <c r="E2201" i="4"/>
  <c r="E2202" i="4"/>
  <c r="E2203" i="4"/>
  <c r="E1844" i="4"/>
  <c r="E2099" i="4"/>
  <c r="E2204" i="4"/>
  <c r="E2205" i="4"/>
  <c r="E1845" i="4"/>
  <c r="E2100" i="4"/>
  <c r="E2101" i="4"/>
  <c r="E2206" i="4"/>
  <c r="E2207" i="4"/>
  <c r="E2208" i="4"/>
  <c r="E1846" i="4"/>
  <c r="E2102" i="4"/>
  <c r="E1847" i="4"/>
  <c r="E2209" i="4"/>
  <c r="E2210" i="4"/>
  <c r="E1848" i="4"/>
  <c r="E2211" i="4"/>
  <c r="E2103" i="4"/>
  <c r="E2212" i="4"/>
  <c r="E2213" i="4"/>
  <c r="E1849" i="4"/>
  <c r="E1850" i="4"/>
  <c r="E1851" i="4"/>
  <c r="E2104" i="4"/>
  <c r="E1852" i="4"/>
  <c r="E2105" i="4"/>
  <c r="E2214" i="4"/>
  <c r="E1853" i="4"/>
  <c r="E1854" i="4"/>
  <c r="E1855" i="4"/>
  <c r="E2106" i="4"/>
  <c r="E2215" i="4"/>
  <c r="E2216" i="4"/>
  <c r="E1856" i="4"/>
  <c r="E2107" i="4"/>
  <c r="E1857" i="4"/>
  <c r="E2108" i="4"/>
  <c r="E2217" i="4"/>
  <c r="E1858" i="4"/>
  <c r="E2109" i="4"/>
  <c r="E1859" i="4"/>
  <c r="E2110" i="4"/>
  <c r="E1860" i="4"/>
  <c r="E2111" i="4"/>
  <c r="E2218" i="4"/>
  <c r="E1861" i="4"/>
  <c r="E2112" i="4"/>
  <c r="E1862" i="4"/>
  <c r="E1863" i="4"/>
  <c r="E2113" i="4"/>
  <c r="E2219" i="4"/>
  <c r="E2220" i="4"/>
  <c r="E2114" i="4"/>
  <c r="E2221" i="4"/>
  <c r="E2115" i="4"/>
  <c r="E2222" i="4"/>
  <c r="E2223" i="4"/>
  <c r="E1864" i="4"/>
  <c r="E2116" i="4"/>
  <c r="E2117" i="4"/>
  <c r="E1865" i="4"/>
  <c r="E2118" i="4"/>
  <c r="E2224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1765" i="4"/>
  <c r="D1766" i="4"/>
  <c r="D1767" i="4"/>
  <c r="D1768" i="4"/>
  <c r="D1769" i="4"/>
  <c r="D1770" i="4"/>
  <c r="D1771" i="4"/>
  <c r="D1772" i="4"/>
  <c r="D1773" i="4"/>
  <c r="D1774" i="4"/>
  <c r="D2020" i="4"/>
  <c r="D2021" i="4"/>
  <c r="D2022" i="4"/>
  <c r="D2023" i="4"/>
  <c r="D2024" i="4"/>
  <c r="D2025" i="4"/>
  <c r="D2026" i="4"/>
  <c r="D2027" i="4"/>
  <c r="D2028" i="4"/>
  <c r="D2131" i="4"/>
  <c r="D2132" i="4"/>
  <c r="D2133" i="4"/>
  <c r="D2134" i="4"/>
  <c r="D2135" i="4"/>
  <c r="D2136" i="4"/>
  <c r="D2137" i="4"/>
  <c r="D2138" i="4"/>
  <c r="D2139" i="4"/>
  <c r="D2140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141" i="4"/>
  <c r="D2142" i="4"/>
  <c r="D2143" i="4"/>
  <c r="D2144" i="4"/>
  <c r="D2145" i="4"/>
  <c r="D2146" i="4"/>
  <c r="D1788" i="4"/>
  <c r="D1789" i="4"/>
  <c r="D2042" i="4"/>
  <c r="D2043" i="4"/>
  <c r="D2147" i="4"/>
  <c r="D2148" i="4"/>
  <c r="D2149" i="4"/>
  <c r="D2150" i="4"/>
  <c r="D1790" i="4"/>
  <c r="D1791" i="4"/>
  <c r="D1792" i="4"/>
  <c r="D1793" i="4"/>
  <c r="D1794" i="4"/>
  <c r="D2044" i="4"/>
  <c r="D2045" i="4"/>
  <c r="D2046" i="4"/>
  <c r="D2047" i="4"/>
  <c r="D2151" i="4"/>
  <c r="D2152" i="4"/>
  <c r="D1795" i="4"/>
  <c r="D1796" i="4"/>
  <c r="D1797" i="4"/>
  <c r="D1798" i="4"/>
  <c r="D2048" i="4"/>
  <c r="D2049" i="4"/>
  <c r="D2050" i="4"/>
  <c r="D2153" i="4"/>
  <c r="D2154" i="4"/>
  <c r="D1799" i="4"/>
  <c r="D1800" i="4"/>
  <c r="D1801" i="4"/>
  <c r="D1802" i="4"/>
  <c r="D1803" i="4"/>
  <c r="D1804" i="4"/>
  <c r="D2051" i="4"/>
  <c r="D2052" i="4"/>
  <c r="D2053" i="4"/>
  <c r="D2054" i="4"/>
  <c r="D2055" i="4"/>
  <c r="D2056" i="4"/>
  <c r="D2155" i="4"/>
  <c r="D1805" i="4"/>
  <c r="D1806" i="4"/>
  <c r="D1807" i="4"/>
  <c r="D1808" i="4"/>
  <c r="D1809" i="4"/>
  <c r="D2057" i="4"/>
  <c r="D2058" i="4"/>
  <c r="D2059" i="4"/>
  <c r="D2060" i="4"/>
  <c r="D2061" i="4"/>
  <c r="D2062" i="4"/>
  <c r="D2156" i="4"/>
  <c r="D2157" i="4"/>
  <c r="D2158" i="4"/>
  <c r="D2159" i="4"/>
  <c r="D1810" i="4"/>
  <c r="D1811" i="4"/>
  <c r="D1812" i="4"/>
  <c r="D1813" i="4"/>
  <c r="D2063" i="4"/>
  <c r="D2064" i="4"/>
  <c r="D2065" i="4"/>
  <c r="D2066" i="4"/>
  <c r="D2160" i="4"/>
  <c r="D1814" i="4"/>
  <c r="D1815" i="4"/>
  <c r="D2067" i="4"/>
  <c r="D2068" i="4"/>
  <c r="D2069" i="4"/>
  <c r="D2161" i="4"/>
  <c r="D2162" i="4"/>
  <c r="D2163" i="4"/>
  <c r="D1816" i="4"/>
  <c r="D2070" i="4"/>
  <c r="D2164" i="4"/>
  <c r="D1817" i="4"/>
  <c r="D1818" i="4"/>
  <c r="D1819" i="4"/>
  <c r="D2071" i="4"/>
  <c r="D2072" i="4"/>
  <c r="D2073" i="4"/>
  <c r="D2074" i="4"/>
  <c r="D2165" i="4"/>
  <c r="D2075" i="4"/>
  <c r="D2076" i="4"/>
  <c r="D1820" i="4"/>
  <c r="D1821" i="4"/>
  <c r="D2166" i="4"/>
  <c r="D1822" i="4"/>
  <c r="D1823" i="4"/>
  <c r="D1824" i="4"/>
  <c r="D1825" i="4"/>
  <c r="D2077" i="4"/>
  <c r="D2078" i="4"/>
  <c r="D2079" i="4"/>
  <c r="D2167" i="4"/>
  <c r="D2168" i="4"/>
  <c r="D1826" i="4"/>
  <c r="D2080" i="4"/>
  <c r="D2081" i="4"/>
  <c r="D2082" i="4"/>
  <c r="D2169" i="4"/>
  <c r="D2170" i="4"/>
  <c r="D2171" i="4"/>
  <c r="D2172" i="4"/>
  <c r="D1827" i="4"/>
  <c r="D1828" i="4"/>
  <c r="D2083" i="4"/>
  <c r="D2173" i="4"/>
  <c r="D2174" i="4"/>
  <c r="D1829" i="4"/>
  <c r="D2084" i="4"/>
  <c r="D2175" i="4"/>
  <c r="D2176" i="4"/>
  <c r="D1830" i="4"/>
  <c r="D2177" i="4"/>
  <c r="D1831" i="4"/>
  <c r="D2178" i="4"/>
  <c r="D2179" i="4"/>
  <c r="D1832" i="4"/>
  <c r="D2085" i="4"/>
  <c r="D2180" i="4"/>
  <c r="D2181" i="4"/>
  <c r="D2086" i="4"/>
  <c r="D2182" i="4"/>
  <c r="D2183" i="4"/>
  <c r="D2184" i="4"/>
  <c r="D1833" i="4"/>
  <c r="D1834" i="4"/>
  <c r="D1835" i="4"/>
  <c r="D1836" i="4"/>
  <c r="D2185" i="4"/>
  <c r="D2186" i="4"/>
  <c r="D1837" i="4"/>
  <c r="D2087" i="4"/>
  <c r="D2088" i="4"/>
  <c r="D2187" i="4"/>
  <c r="D2188" i="4"/>
  <c r="D2189" i="4"/>
  <c r="D2190" i="4"/>
  <c r="D2191" i="4"/>
  <c r="D1838" i="4"/>
  <c r="D1839" i="4"/>
  <c r="D2089" i="4"/>
  <c r="D2090" i="4"/>
  <c r="D1840" i="4"/>
  <c r="D1841" i="4"/>
  <c r="D2091" i="4"/>
  <c r="D2192" i="4"/>
  <c r="D2193" i="4"/>
  <c r="D2092" i="4"/>
  <c r="D2093" i="4"/>
  <c r="D1842" i="4"/>
  <c r="D2094" i="4"/>
  <c r="D2095" i="4"/>
  <c r="D2194" i="4"/>
  <c r="D2195" i="4"/>
  <c r="D2196" i="4"/>
  <c r="D2197" i="4"/>
  <c r="D2198" i="4"/>
  <c r="D2096" i="4"/>
  <c r="D2199" i="4"/>
  <c r="D2200" i="4"/>
  <c r="D1843" i="4"/>
  <c r="D2097" i="4"/>
  <c r="D2098" i="4"/>
  <c r="D2201" i="4"/>
  <c r="D2202" i="4"/>
  <c r="D2203" i="4"/>
  <c r="D1844" i="4"/>
  <c r="D2099" i="4"/>
  <c r="D2204" i="4"/>
  <c r="D2205" i="4"/>
  <c r="D1845" i="4"/>
  <c r="D2100" i="4"/>
  <c r="D2101" i="4"/>
  <c r="D2206" i="4"/>
  <c r="D2207" i="4"/>
  <c r="D2208" i="4"/>
  <c r="D1846" i="4"/>
  <c r="D2102" i="4"/>
  <c r="D1847" i="4"/>
  <c r="D2209" i="4"/>
  <c r="D2210" i="4"/>
  <c r="D1848" i="4"/>
  <c r="D2211" i="4"/>
  <c r="D2103" i="4"/>
  <c r="D2212" i="4"/>
  <c r="D2213" i="4"/>
  <c r="D1849" i="4"/>
  <c r="D1850" i="4"/>
  <c r="D1851" i="4"/>
  <c r="D2104" i="4"/>
  <c r="D1852" i="4"/>
  <c r="D2105" i="4"/>
  <c r="D2214" i="4"/>
  <c r="D1853" i="4"/>
  <c r="D1854" i="4"/>
  <c r="D1855" i="4"/>
  <c r="D2106" i="4"/>
  <c r="D2215" i="4"/>
  <c r="D2216" i="4"/>
  <c r="D1856" i="4"/>
  <c r="D2107" i="4"/>
  <c r="D1857" i="4"/>
  <c r="D2108" i="4"/>
  <c r="D2217" i="4"/>
  <c r="D1858" i="4"/>
  <c r="D2109" i="4"/>
  <c r="D1859" i="4"/>
  <c r="D2110" i="4"/>
  <c r="D1860" i="4"/>
  <c r="D2111" i="4"/>
  <c r="D2218" i="4"/>
  <c r="D1861" i="4"/>
  <c r="D2112" i="4"/>
  <c r="D1862" i="4"/>
  <c r="D1863" i="4"/>
  <c r="D2113" i="4"/>
  <c r="D2219" i="4"/>
  <c r="D2220" i="4"/>
  <c r="D2114" i="4"/>
  <c r="D2221" i="4"/>
  <c r="D2115" i="4"/>
  <c r="D2222" i="4"/>
  <c r="D2223" i="4"/>
  <c r="D1864" i="4"/>
  <c r="D2116" i="4"/>
  <c r="D2117" i="4"/>
  <c r="D1865" i="4"/>
  <c r="D2118" i="4"/>
  <c r="D2224" i="4"/>
  <c r="D2" i="4"/>
  <c r="E2" i="4"/>
  <c r="D3" i="4"/>
  <c r="E3" i="4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E100" i="4"/>
  <c r="D101" i="4"/>
  <c r="E101" i="4"/>
  <c r="D102" i="4"/>
  <c r="E102" i="4"/>
  <c r="D103" i="4"/>
  <c r="E103" i="4"/>
  <c r="D104" i="4"/>
  <c r="E104" i="4"/>
  <c r="D105" i="4"/>
  <c r="E105" i="4"/>
  <c r="D106" i="4"/>
  <c r="E106" i="4"/>
  <c r="D107" i="4"/>
  <c r="E107" i="4"/>
  <c r="D108" i="4"/>
  <c r="E108" i="4"/>
  <c r="D109" i="4"/>
  <c r="E109" i="4"/>
  <c r="D110" i="4"/>
  <c r="E110" i="4"/>
  <c r="D111" i="4"/>
  <c r="E111" i="4"/>
  <c r="D112" i="4"/>
  <c r="E112" i="4"/>
  <c r="D113" i="4"/>
  <c r="E113" i="4"/>
  <c r="D114" i="4"/>
  <c r="E114" i="4"/>
  <c r="D115" i="4"/>
  <c r="E115" i="4"/>
  <c r="D116" i="4"/>
  <c r="E116" i="4"/>
  <c r="D117" i="4"/>
  <c r="E117" i="4"/>
  <c r="D118" i="4"/>
  <c r="E118" i="4"/>
  <c r="D119" i="4"/>
  <c r="E119" i="4"/>
  <c r="D120" i="4"/>
  <c r="E120" i="4"/>
  <c r="D121" i="4"/>
  <c r="E121" i="4"/>
  <c r="D122" i="4"/>
  <c r="E122" i="4"/>
  <c r="D123" i="4"/>
  <c r="E123" i="4"/>
  <c r="D124" i="4"/>
  <c r="E124" i="4"/>
  <c r="D125" i="4"/>
  <c r="E125" i="4"/>
  <c r="D126" i="4"/>
  <c r="E126" i="4"/>
  <c r="D127" i="4"/>
  <c r="E127" i="4"/>
  <c r="D128" i="4"/>
  <c r="E128" i="4"/>
  <c r="D129" i="4"/>
  <c r="E129" i="4"/>
  <c r="D130" i="4"/>
  <c r="E130" i="4"/>
  <c r="D131" i="4"/>
  <c r="E131" i="4"/>
  <c r="D132" i="4"/>
  <c r="E132" i="4"/>
  <c r="D133" i="4"/>
  <c r="E133" i="4"/>
  <c r="D134" i="4"/>
  <c r="E134" i="4"/>
  <c r="D135" i="4"/>
  <c r="E135" i="4"/>
  <c r="D136" i="4"/>
  <c r="E136" i="4"/>
  <c r="D137" i="4"/>
  <c r="E137" i="4"/>
  <c r="D138" i="4"/>
  <c r="E138" i="4"/>
  <c r="D139" i="4"/>
  <c r="E139" i="4"/>
  <c r="D140" i="4"/>
  <c r="E140" i="4"/>
  <c r="D141" i="4"/>
  <c r="E141" i="4"/>
  <c r="D142" i="4"/>
  <c r="E142" i="4"/>
  <c r="D143" i="4"/>
  <c r="E143" i="4"/>
  <c r="D144" i="4"/>
  <c r="E144" i="4"/>
  <c r="D145" i="4"/>
  <c r="E145" i="4"/>
  <c r="D146" i="4"/>
  <c r="E146" i="4"/>
  <c r="D147" i="4"/>
  <c r="E147" i="4"/>
  <c r="D148" i="4"/>
  <c r="E148" i="4"/>
  <c r="D149" i="4"/>
  <c r="E149" i="4"/>
  <c r="D150" i="4"/>
  <c r="E150" i="4"/>
  <c r="D151" i="4"/>
  <c r="E151" i="4"/>
  <c r="D152" i="4"/>
  <c r="E152" i="4"/>
  <c r="D153" i="4"/>
  <c r="E153" i="4"/>
  <c r="D154" i="4"/>
  <c r="E154" i="4"/>
  <c r="D155" i="4"/>
  <c r="E155" i="4"/>
  <c r="D156" i="4"/>
  <c r="E156" i="4"/>
  <c r="D157" i="4"/>
  <c r="E157" i="4"/>
  <c r="D158" i="4"/>
  <c r="E158" i="4"/>
  <c r="D159" i="4"/>
  <c r="E159" i="4"/>
  <c r="D160" i="4"/>
  <c r="E160" i="4"/>
  <c r="D161" i="4"/>
  <c r="E161" i="4"/>
  <c r="D162" i="4"/>
  <c r="E162" i="4"/>
  <c r="D163" i="4"/>
  <c r="E163" i="4"/>
  <c r="D164" i="4"/>
  <c r="E164" i="4"/>
  <c r="D165" i="4"/>
  <c r="E165" i="4"/>
  <c r="D166" i="4"/>
  <c r="E166" i="4"/>
  <c r="D167" i="4"/>
  <c r="E167" i="4"/>
  <c r="D168" i="4"/>
  <c r="E168" i="4"/>
  <c r="D169" i="4"/>
  <c r="E169" i="4"/>
  <c r="D170" i="4"/>
  <c r="E170" i="4"/>
  <c r="D171" i="4"/>
  <c r="E171" i="4"/>
  <c r="D172" i="4"/>
  <c r="E172" i="4"/>
  <c r="D173" i="4"/>
  <c r="E173" i="4"/>
  <c r="D174" i="4"/>
  <c r="E174" i="4"/>
  <c r="D175" i="4"/>
  <c r="E175" i="4"/>
  <c r="D176" i="4"/>
  <c r="E176" i="4"/>
  <c r="D177" i="4"/>
  <c r="E177" i="4"/>
  <c r="D178" i="4"/>
  <c r="E178" i="4"/>
  <c r="D179" i="4"/>
  <c r="E179" i="4"/>
  <c r="D180" i="4"/>
  <c r="E180" i="4"/>
  <c r="D181" i="4"/>
  <c r="E181" i="4"/>
  <c r="D182" i="4"/>
  <c r="E182" i="4"/>
  <c r="D183" i="4"/>
  <c r="E183" i="4"/>
  <c r="D184" i="4"/>
  <c r="E184" i="4"/>
  <c r="D185" i="4"/>
  <c r="E185" i="4"/>
  <c r="D186" i="4"/>
  <c r="E186" i="4"/>
  <c r="D187" i="4"/>
  <c r="E187" i="4"/>
  <c r="D188" i="4"/>
  <c r="E188" i="4"/>
  <c r="D189" i="4"/>
  <c r="E189" i="4"/>
  <c r="D190" i="4"/>
  <c r="E190" i="4"/>
  <c r="D191" i="4"/>
  <c r="E191" i="4"/>
  <c r="D192" i="4"/>
  <c r="E192" i="4"/>
  <c r="D193" i="4"/>
  <c r="E193" i="4"/>
  <c r="D194" i="4"/>
  <c r="E194" i="4"/>
  <c r="D195" i="4"/>
  <c r="E195" i="4"/>
  <c r="D196" i="4"/>
  <c r="E196" i="4"/>
  <c r="D197" i="4"/>
  <c r="E197" i="4"/>
  <c r="D198" i="4"/>
  <c r="E198" i="4"/>
  <c r="D199" i="4"/>
  <c r="E199" i="4"/>
  <c r="D200" i="4"/>
  <c r="E200" i="4"/>
  <c r="D201" i="4"/>
  <c r="E201" i="4"/>
  <c r="D202" i="4"/>
  <c r="E202" i="4"/>
  <c r="D203" i="4"/>
  <c r="E203" i="4"/>
  <c r="D204" i="4"/>
  <c r="E204" i="4"/>
  <c r="D205" i="4"/>
  <c r="E205" i="4"/>
  <c r="D206" i="4"/>
  <c r="E206" i="4"/>
  <c r="D207" i="4"/>
  <c r="E207" i="4"/>
  <c r="D208" i="4"/>
  <c r="E208" i="4"/>
  <c r="D209" i="4"/>
  <c r="E209" i="4"/>
  <c r="D210" i="4"/>
  <c r="E210" i="4"/>
  <c r="D211" i="4"/>
  <c r="E211" i="4"/>
  <c r="D212" i="4"/>
  <c r="E212" i="4"/>
  <c r="D213" i="4"/>
  <c r="E213" i="4"/>
  <c r="D214" i="4"/>
  <c r="E214" i="4"/>
  <c r="D215" i="4"/>
  <c r="E215" i="4"/>
  <c r="D216" i="4"/>
  <c r="E216" i="4"/>
  <c r="D217" i="4"/>
  <c r="E217" i="4"/>
  <c r="D218" i="4"/>
  <c r="E218" i="4"/>
  <c r="D219" i="4"/>
  <c r="E219" i="4"/>
  <c r="D220" i="4"/>
  <c r="E220" i="4"/>
  <c r="D221" i="4"/>
  <c r="E221" i="4"/>
  <c r="D222" i="4"/>
  <c r="E222" i="4"/>
  <c r="D223" i="4"/>
  <c r="E223" i="4"/>
  <c r="D224" i="4"/>
  <c r="E224" i="4"/>
  <c r="D225" i="4"/>
  <c r="E225" i="4"/>
  <c r="D226" i="4"/>
  <c r="E226" i="4"/>
  <c r="D227" i="4"/>
  <c r="E227" i="4"/>
  <c r="D228" i="4"/>
  <c r="E228" i="4"/>
  <c r="D229" i="4"/>
  <c r="E229" i="4"/>
  <c r="D230" i="4"/>
  <c r="E230" i="4"/>
  <c r="D231" i="4"/>
  <c r="E231" i="4"/>
  <c r="D232" i="4"/>
  <c r="E232" i="4"/>
  <c r="D233" i="4"/>
  <c r="E233" i="4"/>
  <c r="D234" i="4"/>
  <c r="E234" i="4"/>
  <c r="D235" i="4"/>
  <c r="E235" i="4"/>
  <c r="D236" i="4"/>
  <c r="E236" i="4"/>
  <c r="D237" i="4"/>
  <c r="E237" i="4"/>
  <c r="D238" i="4"/>
  <c r="E238" i="4"/>
  <c r="D239" i="4"/>
  <c r="E239" i="4"/>
  <c r="D240" i="4"/>
  <c r="E240" i="4"/>
  <c r="D241" i="4"/>
  <c r="E241" i="4"/>
  <c r="D242" i="4"/>
  <c r="E242" i="4"/>
  <c r="D243" i="4"/>
  <c r="E243" i="4"/>
  <c r="D244" i="4"/>
  <c r="E244" i="4"/>
  <c r="D245" i="4"/>
  <c r="E245" i="4"/>
  <c r="D246" i="4"/>
  <c r="E246" i="4"/>
  <c r="D247" i="4"/>
  <c r="E247" i="4"/>
  <c r="D248" i="4"/>
  <c r="E248" i="4"/>
  <c r="D249" i="4"/>
  <c r="E249" i="4"/>
  <c r="D250" i="4"/>
  <c r="E250" i="4"/>
  <c r="D251" i="4"/>
  <c r="E251" i="4"/>
  <c r="D252" i="4"/>
  <c r="E252" i="4"/>
  <c r="D253" i="4"/>
  <c r="E253" i="4"/>
  <c r="D254" i="4"/>
  <c r="E254" i="4"/>
  <c r="D255" i="4"/>
  <c r="E255" i="4"/>
  <c r="D256" i="4"/>
  <c r="E256" i="4"/>
  <c r="D257" i="4"/>
  <c r="E257" i="4"/>
  <c r="D258" i="4"/>
  <c r="E258" i="4"/>
  <c r="D259" i="4"/>
  <c r="E259" i="4"/>
  <c r="D260" i="4"/>
  <c r="E260" i="4"/>
  <c r="D261" i="4"/>
  <c r="E261" i="4"/>
  <c r="D262" i="4"/>
  <c r="E262" i="4"/>
  <c r="D263" i="4"/>
  <c r="E263" i="4"/>
  <c r="D264" i="4"/>
  <c r="E264" i="4"/>
  <c r="D265" i="4"/>
  <c r="E265" i="4"/>
  <c r="D266" i="4"/>
  <c r="E266" i="4"/>
  <c r="D267" i="4"/>
  <c r="E267" i="4"/>
  <c r="D268" i="4"/>
  <c r="E268" i="4"/>
  <c r="D269" i="4"/>
  <c r="E269" i="4"/>
  <c r="D270" i="4"/>
  <c r="E270" i="4"/>
  <c r="D271" i="4"/>
  <c r="E271" i="4"/>
  <c r="D272" i="4"/>
  <c r="E272" i="4"/>
  <c r="D273" i="4"/>
  <c r="E273" i="4"/>
  <c r="D274" i="4"/>
  <c r="E274" i="4"/>
  <c r="D275" i="4"/>
  <c r="E275" i="4"/>
  <c r="D276" i="4"/>
  <c r="E276" i="4"/>
  <c r="D277" i="4"/>
  <c r="E277" i="4"/>
  <c r="D278" i="4"/>
  <c r="E278" i="4"/>
  <c r="D279" i="4"/>
  <c r="E279" i="4"/>
  <c r="D280" i="4"/>
  <c r="E280" i="4"/>
  <c r="D281" i="4"/>
  <c r="E281" i="4"/>
  <c r="D282" i="4"/>
  <c r="E282" i="4"/>
  <c r="D283" i="4"/>
  <c r="E283" i="4"/>
  <c r="D284" i="4"/>
  <c r="E284" i="4"/>
  <c r="D285" i="4"/>
  <c r="E285" i="4"/>
  <c r="D286" i="4"/>
  <c r="E286" i="4"/>
  <c r="D287" i="4"/>
  <c r="E287" i="4"/>
  <c r="D288" i="4"/>
  <c r="E288" i="4"/>
  <c r="D289" i="4"/>
  <c r="E289" i="4"/>
  <c r="D290" i="4"/>
  <c r="E290" i="4"/>
  <c r="D291" i="4"/>
  <c r="E291" i="4"/>
  <c r="D292" i="4"/>
  <c r="E292" i="4"/>
  <c r="D293" i="4"/>
  <c r="E293" i="4"/>
  <c r="D294" i="4"/>
  <c r="E294" i="4"/>
  <c r="D295" i="4"/>
  <c r="E295" i="4"/>
  <c r="D296" i="4"/>
  <c r="E296" i="4"/>
  <c r="D297" i="4"/>
  <c r="E297" i="4"/>
  <c r="D298" i="4"/>
  <c r="E298" i="4"/>
  <c r="D299" i="4"/>
  <c r="E299" i="4"/>
  <c r="D300" i="4"/>
  <c r="E300" i="4"/>
  <c r="D301" i="4"/>
  <c r="E301" i="4"/>
  <c r="D302" i="4"/>
  <c r="E302" i="4"/>
  <c r="D303" i="4"/>
  <c r="E303" i="4"/>
  <c r="D304" i="4"/>
  <c r="E304" i="4"/>
  <c r="D305" i="4"/>
  <c r="E305" i="4"/>
  <c r="D306" i="4"/>
  <c r="E306" i="4"/>
  <c r="D307" i="4"/>
  <c r="E307" i="4"/>
  <c r="D308" i="4"/>
  <c r="E308" i="4"/>
  <c r="D309" i="4"/>
  <c r="E309" i="4"/>
  <c r="D310" i="4"/>
  <c r="E310" i="4"/>
  <c r="D311" i="4"/>
  <c r="E311" i="4"/>
  <c r="D312" i="4"/>
  <c r="E312" i="4"/>
  <c r="D313" i="4"/>
  <c r="E313" i="4"/>
  <c r="D314" i="4"/>
  <c r="E314" i="4"/>
  <c r="D315" i="4"/>
  <c r="E315" i="4"/>
  <c r="D316" i="4"/>
  <c r="E316" i="4"/>
  <c r="D317" i="4"/>
  <c r="E317" i="4"/>
  <c r="D318" i="4"/>
  <c r="E318" i="4"/>
  <c r="D319" i="4"/>
  <c r="E319" i="4"/>
  <c r="D320" i="4"/>
  <c r="E320" i="4"/>
  <c r="D321" i="4"/>
  <c r="E321" i="4"/>
  <c r="D322" i="4"/>
  <c r="E322" i="4"/>
  <c r="D323" i="4"/>
  <c r="E323" i="4"/>
  <c r="D324" i="4"/>
  <c r="E324" i="4"/>
  <c r="D325" i="4"/>
  <c r="E325" i="4"/>
  <c r="D326" i="4"/>
  <c r="E326" i="4"/>
  <c r="D327" i="4"/>
  <c r="E327" i="4"/>
  <c r="D328" i="4"/>
  <c r="E328" i="4"/>
  <c r="D329" i="4"/>
  <c r="E329" i="4"/>
  <c r="D330" i="4"/>
  <c r="E330" i="4"/>
  <c r="D331" i="4"/>
  <c r="E331" i="4"/>
  <c r="D332" i="4"/>
  <c r="E332" i="4"/>
  <c r="D333" i="4"/>
  <c r="E333" i="4"/>
  <c r="D334" i="4"/>
  <c r="E334" i="4"/>
  <c r="D335" i="4"/>
  <c r="E335" i="4"/>
  <c r="D336" i="4"/>
  <c r="E336" i="4"/>
  <c r="D337" i="4"/>
  <c r="E337" i="4"/>
  <c r="D338" i="4"/>
  <c r="E338" i="4"/>
  <c r="D339" i="4"/>
  <c r="E339" i="4"/>
  <c r="D340" i="4"/>
  <c r="E340" i="4"/>
  <c r="D341" i="4"/>
  <c r="E341" i="4"/>
  <c r="D342" i="4"/>
  <c r="E342" i="4"/>
  <c r="D343" i="4"/>
  <c r="E343" i="4"/>
  <c r="D344" i="4"/>
  <c r="E344" i="4"/>
  <c r="D345" i="4"/>
  <c r="E345" i="4"/>
  <c r="D346" i="4"/>
  <c r="E346" i="4"/>
  <c r="D347" i="4"/>
  <c r="E347" i="4"/>
  <c r="D348" i="4"/>
  <c r="E348" i="4"/>
  <c r="D349" i="4"/>
  <c r="E349" i="4"/>
  <c r="D350" i="4"/>
  <c r="E350" i="4"/>
  <c r="D351" i="4"/>
  <c r="E351" i="4"/>
  <c r="D352" i="4"/>
  <c r="E352" i="4"/>
  <c r="D353" i="4"/>
  <c r="E353" i="4"/>
  <c r="D354" i="4"/>
  <c r="E354" i="4"/>
  <c r="D355" i="4"/>
  <c r="E355" i="4"/>
  <c r="D356" i="4"/>
  <c r="E356" i="4"/>
  <c r="D357" i="4"/>
  <c r="E357" i="4"/>
  <c r="D358" i="4"/>
  <c r="E358" i="4"/>
  <c r="D359" i="4"/>
  <c r="E359" i="4"/>
  <c r="D360" i="4"/>
  <c r="E360" i="4"/>
  <c r="D361" i="4"/>
  <c r="E361" i="4"/>
  <c r="D362" i="4"/>
  <c r="E362" i="4"/>
  <c r="D363" i="4"/>
  <c r="E363" i="4"/>
  <c r="D364" i="4"/>
  <c r="E364" i="4"/>
  <c r="D365" i="4"/>
  <c r="E365" i="4"/>
  <c r="D366" i="4"/>
  <c r="E366" i="4"/>
  <c r="D367" i="4"/>
  <c r="E367" i="4"/>
  <c r="D368" i="4"/>
  <c r="E368" i="4"/>
  <c r="D369" i="4"/>
  <c r="E369" i="4"/>
  <c r="D370" i="4"/>
  <c r="E370" i="4"/>
  <c r="D371" i="4"/>
  <c r="E371" i="4"/>
  <c r="D372" i="4"/>
  <c r="E372" i="4"/>
  <c r="D373" i="4"/>
  <c r="E373" i="4"/>
  <c r="D374" i="4"/>
  <c r="E374" i="4"/>
  <c r="D375" i="4"/>
  <c r="E375" i="4"/>
  <c r="D376" i="4"/>
  <c r="E376" i="4"/>
  <c r="D377" i="4"/>
  <c r="E377" i="4"/>
  <c r="D378" i="4"/>
  <c r="E378" i="4"/>
  <c r="D379" i="4"/>
  <c r="E379" i="4"/>
  <c r="D380" i="4"/>
  <c r="E380" i="4"/>
  <c r="D381" i="4"/>
  <c r="E381" i="4"/>
  <c r="D382" i="4"/>
  <c r="E382" i="4"/>
  <c r="D383" i="4"/>
  <c r="E383" i="4"/>
  <c r="D384" i="4"/>
  <c r="E384" i="4"/>
  <c r="D385" i="4"/>
  <c r="E385" i="4"/>
  <c r="D386" i="4"/>
  <c r="E386" i="4"/>
  <c r="D387" i="4"/>
  <c r="E387" i="4"/>
  <c r="D388" i="4"/>
  <c r="E388" i="4"/>
  <c r="D389" i="4"/>
  <c r="E389" i="4"/>
  <c r="D390" i="4"/>
  <c r="E390" i="4"/>
  <c r="D391" i="4"/>
  <c r="E391" i="4"/>
  <c r="D392" i="4"/>
  <c r="E392" i="4"/>
  <c r="D393" i="4"/>
  <c r="E393" i="4"/>
  <c r="D394" i="4"/>
  <c r="E394" i="4"/>
  <c r="D395" i="4"/>
  <c r="E395" i="4"/>
  <c r="D396" i="4"/>
  <c r="E396" i="4"/>
  <c r="D397" i="4"/>
  <c r="E397" i="4"/>
  <c r="D398" i="4"/>
  <c r="E398" i="4"/>
  <c r="D399" i="4"/>
  <c r="E399" i="4"/>
  <c r="D400" i="4"/>
  <c r="E400" i="4"/>
  <c r="D401" i="4"/>
  <c r="E401" i="4"/>
  <c r="D402" i="4"/>
  <c r="E402" i="4"/>
  <c r="D403" i="4"/>
  <c r="E403" i="4"/>
  <c r="D404" i="4"/>
  <c r="E404" i="4"/>
  <c r="D405" i="4"/>
  <c r="E405" i="4"/>
  <c r="D406" i="4"/>
  <c r="E406" i="4"/>
  <c r="D407" i="4"/>
  <c r="E407" i="4"/>
  <c r="D408" i="4"/>
  <c r="E408" i="4"/>
  <c r="D409" i="4"/>
  <c r="E409" i="4"/>
  <c r="D410" i="4"/>
  <c r="E410" i="4"/>
  <c r="D411" i="4"/>
  <c r="E411" i="4"/>
  <c r="D412" i="4"/>
  <c r="E412" i="4"/>
  <c r="D413" i="4"/>
  <c r="E413" i="4"/>
  <c r="D414" i="4"/>
  <c r="E414" i="4"/>
  <c r="D415" i="4"/>
  <c r="E415" i="4"/>
  <c r="D416" i="4"/>
  <c r="E416" i="4"/>
  <c r="D417" i="4"/>
  <c r="E417" i="4"/>
  <c r="D418" i="4"/>
  <c r="E418" i="4"/>
  <c r="D419" i="4"/>
  <c r="E419" i="4"/>
  <c r="D420" i="4"/>
  <c r="E420" i="4"/>
  <c r="D421" i="4"/>
  <c r="E421" i="4"/>
  <c r="D422" i="4"/>
  <c r="E422" i="4"/>
  <c r="D423" i="4"/>
  <c r="E423" i="4"/>
  <c r="D424" i="4"/>
  <c r="E424" i="4"/>
  <c r="D425" i="4"/>
  <c r="E425" i="4"/>
  <c r="D426" i="4"/>
  <c r="E426" i="4"/>
  <c r="D427" i="4"/>
  <c r="E427" i="4"/>
  <c r="D428" i="4"/>
  <c r="E428" i="4"/>
  <c r="D429" i="4"/>
  <c r="E429" i="4"/>
  <c r="D430" i="4"/>
  <c r="E430" i="4"/>
  <c r="D431" i="4"/>
  <c r="E431" i="4"/>
  <c r="D432" i="4"/>
  <c r="E432" i="4"/>
  <c r="D433" i="4"/>
  <c r="E433" i="4"/>
  <c r="D434" i="4"/>
  <c r="E434" i="4"/>
  <c r="D435" i="4"/>
  <c r="E435" i="4"/>
  <c r="D436" i="4"/>
  <c r="E436" i="4"/>
  <c r="D437" i="4"/>
  <c r="E437" i="4"/>
  <c r="D438" i="4"/>
  <c r="E438" i="4"/>
  <c r="D439" i="4"/>
  <c r="E439" i="4"/>
  <c r="D440" i="4"/>
  <c r="E440" i="4"/>
  <c r="D441" i="4"/>
  <c r="E441" i="4"/>
  <c r="D442" i="4"/>
  <c r="E442" i="4"/>
  <c r="D443" i="4"/>
  <c r="E443" i="4"/>
  <c r="D444" i="4"/>
  <c r="E444" i="4"/>
  <c r="D445" i="4"/>
  <c r="E445" i="4"/>
  <c r="D446" i="4"/>
  <c r="E446" i="4"/>
  <c r="D447" i="4"/>
  <c r="E447" i="4"/>
  <c r="D448" i="4"/>
  <c r="E448" i="4"/>
  <c r="D449" i="4"/>
  <c r="E449" i="4"/>
  <c r="D450" i="4"/>
  <c r="E450" i="4"/>
  <c r="D451" i="4"/>
  <c r="E451" i="4"/>
  <c r="D452" i="4"/>
  <c r="E452" i="4"/>
  <c r="D453" i="4"/>
  <c r="E453" i="4"/>
  <c r="D454" i="4"/>
  <c r="E454" i="4"/>
  <c r="D455" i="4"/>
  <c r="E455" i="4"/>
  <c r="D456" i="4"/>
  <c r="E456" i="4"/>
  <c r="D457" i="4"/>
  <c r="E457" i="4"/>
  <c r="D458" i="4"/>
  <c r="E458" i="4"/>
  <c r="D459" i="4"/>
  <c r="E459" i="4"/>
  <c r="D460" i="4"/>
  <c r="E460" i="4"/>
  <c r="D461" i="4"/>
  <c r="E461" i="4"/>
  <c r="D462" i="4"/>
  <c r="E462" i="4"/>
  <c r="D463" i="4"/>
  <c r="E463" i="4"/>
  <c r="D464" i="4"/>
  <c r="E464" i="4"/>
  <c r="D465" i="4"/>
  <c r="E465" i="4"/>
  <c r="D466" i="4"/>
  <c r="E466" i="4"/>
  <c r="D467" i="4"/>
  <c r="E467" i="4"/>
  <c r="D468" i="4"/>
  <c r="E468" i="4"/>
  <c r="D469" i="4"/>
  <c r="E469" i="4"/>
  <c r="D470" i="4"/>
  <c r="E470" i="4"/>
  <c r="D471" i="4"/>
  <c r="E471" i="4"/>
  <c r="D472" i="4"/>
  <c r="E472" i="4"/>
  <c r="D473" i="4"/>
  <c r="E473" i="4"/>
  <c r="D474" i="4"/>
  <c r="E474" i="4"/>
  <c r="D475" i="4"/>
  <c r="E475" i="4"/>
  <c r="D476" i="4"/>
  <c r="E476" i="4"/>
  <c r="D477" i="4"/>
  <c r="E477" i="4"/>
  <c r="D478" i="4"/>
  <c r="E478" i="4"/>
  <c r="D479" i="4"/>
  <c r="E479" i="4"/>
  <c r="D480" i="4"/>
  <c r="E480" i="4"/>
  <c r="D481" i="4"/>
  <c r="E481" i="4"/>
  <c r="D482" i="4"/>
  <c r="E482" i="4"/>
  <c r="D483" i="4"/>
  <c r="E483" i="4"/>
  <c r="D484" i="4"/>
  <c r="E484" i="4"/>
  <c r="D485" i="4"/>
  <c r="E485" i="4"/>
  <c r="D486" i="4"/>
  <c r="E486" i="4"/>
  <c r="D487" i="4"/>
  <c r="E487" i="4"/>
  <c r="D488" i="4"/>
  <c r="E488" i="4"/>
  <c r="D489" i="4"/>
  <c r="E489" i="4"/>
  <c r="D490" i="4"/>
  <c r="E490" i="4"/>
  <c r="D491" i="4"/>
  <c r="E491" i="4"/>
  <c r="D492" i="4"/>
  <c r="E492" i="4"/>
  <c r="D493" i="4"/>
  <c r="E493" i="4"/>
  <c r="D494" i="4"/>
  <c r="E494" i="4"/>
  <c r="D495" i="4"/>
  <c r="E495" i="4"/>
  <c r="D496" i="4"/>
  <c r="E496" i="4"/>
  <c r="D497" i="4"/>
  <c r="E497" i="4"/>
  <c r="D498" i="4"/>
  <c r="E498" i="4"/>
  <c r="D499" i="4"/>
  <c r="E499" i="4"/>
  <c r="D500" i="4"/>
  <c r="E500" i="4"/>
  <c r="D501" i="4"/>
  <c r="E501" i="4"/>
  <c r="D502" i="4"/>
  <c r="E502" i="4"/>
  <c r="D503" i="4"/>
  <c r="E503" i="4"/>
  <c r="D504" i="4"/>
  <c r="E504" i="4"/>
  <c r="D505" i="4"/>
  <c r="E505" i="4"/>
  <c r="D506" i="4"/>
  <c r="E506" i="4"/>
  <c r="D507" i="4"/>
  <c r="E507" i="4"/>
  <c r="D508" i="4"/>
  <c r="E508" i="4"/>
  <c r="D509" i="4"/>
  <c r="E509" i="4"/>
  <c r="D510" i="4"/>
  <c r="E510" i="4"/>
  <c r="D511" i="4"/>
  <c r="E511" i="4"/>
  <c r="D512" i="4"/>
  <c r="E512" i="4"/>
  <c r="D513" i="4"/>
  <c r="E513" i="4"/>
  <c r="D514" i="4"/>
  <c r="E514" i="4"/>
  <c r="D515" i="4"/>
  <c r="E515" i="4"/>
  <c r="D516" i="4"/>
  <c r="E516" i="4"/>
  <c r="D517" i="4"/>
  <c r="E517" i="4"/>
  <c r="D518" i="4"/>
  <c r="E518" i="4"/>
  <c r="D519" i="4"/>
  <c r="E519" i="4"/>
  <c r="D520" i="4"/>
  <c r="E520" i="4"/>
  <c r="D521" i="4"/>
  <c r="E521" i="4"/>
  <c r="D522" i="4"/>
  <c r="E522" i="4"/>
  <c r="D523" i="4"/>
  <c r="E523" i="4"/>
  <c r="D524" i="4"/>
  <c r="E524" i="4"/>
  <c r="D525" i="4"/>
  <c r="E525" i="4"/>
  <c r="D526" i="4"/>
  <c r="E526" i="4"/>
  <c r="D527" i="4"/>
  <c r="E527" i="4"/>
  <c r="D528" i="4"/>
  <c r="E528" i="4"/>
  <c r="D529" i="4"/>
  <c r="E529" i="4"/>
  <c r="D530" i="4"/>
  <c r="E530" i="4"/>
  <c r="D531" i="4"/>
  <c r="E531" i="4"/>
  <c r="D532" i="4"/>
  <c r="E532" i="4"/>
  <c r="D533" i="4"/>
  <c r="E533" i="4"/>
  <c r="D534" i="4"/>
  <c r="E534" i="4"/>
  <c r="D535" i="4"/>
  <c r="E535" i="4"/>
  <c r="D536" i="4"/>
  <c r="E536" i="4"/>
  <c r="D537" i="4"/>
  <c r="E537" i="4"/>
  <c r="D538" i="4"/>
  <c r="E538" i="4"/>
  <c r="D539" i="4"/>
  <c r="E539" i="4"/>
  <c r="D540" i="4"/>
  <c r="E540" i="4"/>
  <c r="D541" i="4"/>
  <c r="E541" i="4"/>
  <c r="D542" i="4"/>
  <c r="E542" i="4"/>
  <c r="D543" i="4"/>
  <c r="E543" i="4"/>
  <c r="D544" i="4"/>
  <c r="E544" i="4"/>
  <c r="D545" i="4"/>
  <c r="E545" i="4"/>
  <c r="D546" i="4"/>
  <c r="E546" i="4"/>
  <c r="D547" i="4"/>
  <c r="E547" i="4"/>
  <c r="D548" i="4"/>
  <c r="E548" i="4"/>
  <c r="D549" i="4"/>
  <c r="E549" i="4"/>
  <c r="D550" i="4"/>
  <c r="E550" i="4"/>
  <c r="D551" i="4"/>
  <c r="E551" i="4"/>
  <c r="D552" i="4"/>
  <c r="E552" i="4"/>
  <c r="D553" i="4"/>
  <c r="E553" i="4"/>
  <c r="D554" i="4"/>
  <c r="E554" i="4"/>
  <c r="D555" i="4"/>
  <c r="E555" i="4"/>
  <c r="D556" i="4"/>
  <c r="E556" i="4"/>
  <c r="D557" i="4"/>
  <c r="E557" i="4"/>
  <c r="D558" i="4"/>
  <c r="E558" i="4"/>
  <c r="D559" i="4"/>
  <c r="E559" i="4"/>
  <c r="D560" i="4"/>
  <c r="E560" i="4"/>
  <c r="D561" i="4"/>
  <c r="E561" i="4"/>
  <c r="D562" i="4"/>
  <c r="E562" i="4"/>
  <c r="D563" i="4"/>
  <c r="E563" i="4"/>
  <c r="D564" i="4"/>
  <c r="E564" i="4"/>
  <c r="D565" i="4"/>
  <c r="E565" i="4"/>
  <c r="D566" i="4"/>
  <c r="E566" i="4"/>
  <c r="D567" i="4"/>
  <c r="E567" i="4"/>
  <c r="D568" i="4"/>
  <c r="E568" i="4"/>
  <c r="D569" i="4"/>
  <c r="E569" i="4"/>
  <c r="D570" i="4"/>
  <c r="E570" i="4"/>
  <c r="D571" i="4"/>
  <c r="E571" i="4"/>
  <c r="D572" i="4"/>
  <c r="E572" i="4"/>
  <c r="D573" i="4"/>
  <c r="E573" i="4"/>
  <c r="D574" i="4"/>
  <c r="E574" i="4"/>
  <c r="D575" i="4"/>
  <c r="E575" i="4"/>
  <c r="D576" i="4"/>
  <c r="E576" i="4"/>
  <c r="D577" i="4"/>
  <c r="E577" i="4"/>
  <c r="D578" i="4"/>
  <c r="E578" i="4"/>
  <c r="D579" i="4"/>
  <c r="E579" i="4"/>
  <c r="D580" i="4"/>
  <c r="E580" i="4"/>
  <c r="D581" i="4"/>
  <c r="E581" i="4"/>
  <c r="D582" i="4"/>
  <c r="E582" i="4"/>
  <c r="D583" i="4"/>
  <c r="E583" i="4"/>
  <c r="D584" i="4"/>
  <c r="E584" i="4"/>
  <c r="D585" i="4"/>
  <c r="E585" i="4"/>
  <c r="D586" i="4"/>
  <c r="E586" i="4"/>
  <c r="D587" i="4"/>
  <c r="E587" i="4"/>
  <c r="D588" i="4"/>
  <c r="E588" i="4"/>
  <c r="D589" i="4"/>
  <c r="E589" i="4"/>
  <c r="D590" i="4"/>
  <c r="E590" i="4"/>
  <c r="D591" i="4"/>
  <c r="E591" i="4"/>
  <c r="D592" i="4"/>
  <c r="E592" i="4"/>
  <c r="D593" i="4"/>
  <c r="E593" i="4"/>
  <c r="D594" i="4"/>
  <c r="E594" i="4"/>
  <c r="D595" i="4"/>
  <c r="E595" i="4"/>
  <c r="D596" i="4"/>
  <c r="E596" i="4"/>
  <c r="D597" i="4"/>
  <c r="E597" i="4"/>
  <c r="D598" i="4"/>
  <c r="E598" i="4"/>
  <c r="D599" i="4"/>
  <c r="E599" i="4"/>
  <c r="D600" i="4"/>
  <c r="E600" i="4"/>
  <c r="D601" i="4"/>
  <c r="E601" i="4"/>
  <c r="D602" i="4"/>
  <c r="E602" i="4"/>
  <c r="D603" i="4"/>
  <c r="E603" i="4"/>
  <c r="D604" i="4"/>
  <c r="E604" i="4"/>
  <c r="D605" i="4"/>
  <c r="E605" i="4"/>
  <c r="D606" i="4"/>
  <c r="E606" i="4"/>
  <c r="D607" i="4"/>
  <c r="E607" i="4"/>
  <c r="D608" i="4"/>
  <c r="E608" i="4"/>
  <c r="D609" i="4"/>
  <c r="E609" i="4"/>
  <c r="D610" i="4"/>
  <c r="E610" i="4"/>
  <c r="D611" i="4"/>
  <c r="E611" i="4"/>
  <c r="D612" i="4"/>
  <c r="E612" i="4"/>
  <c r="D613" i="4"/>
  <c r="E613" i="4"/>
  <c r="D614" i="4"/>
  <c r="E614" i="4"/>
  <c r="D615" i="4"/>
  <c r="E615" i="4"/>
  <c r="D616" i="4"/>
  <c r="E616" i="4"/>
  <c r="D617" i="4"/>
  <c r="E617" i="4"/>
  <c r="D618" i="4"/>
  <c r="E618" i="4"/>
  <c r="D619" i="4"/>
  <c r="E619" i="4"/>
  <c r="D620" i="4"/>
  <c r="E620" i="4"/>
  <c r="D621" i="4"/>
  <c r="E621" i="4"/>
  <c r="D622" i="4"/>
  <c r="E622" i="4"/>
  <c r="D623" i="4"/>
  <c r="E623" i="4"/>
  <c r="D624" i="4"/>
  <c r="E624" i="4"/>
  <c r="D625" i="4"/>
  <c r="E625" i="4"/>
  <c r="D626" i="4"/>
  <c r="E626" i="4"/>
  <c r="D627" i="4"/>
  <c r="E627" i="4"/>
  <c r="D628" i="4"/>
  <c r="E628" i="4"/>
  <c r="D629" i="4"/>
  <c r="E629" i="4"/>
  <c r="D630" i="4"/>
  <c r="E630" i="4"/>
  <c r="D631" i="4"/>
  <c r="E631" i="4"/>
  <c r="D632" i="4"/>
  <c r="E632" i="4"/>
  <c r="D633" i="4"/>
  <c r="E633" i="4"/>
  <c r="D634" i="4"/>
  <c r="E634" i="4"/>
  <c r="D635" i="4"/>
  <c r="E635" i="4"/>
  <c r="D636" i="4"/>
  <c r="E636" i="4"/>
  <c r="D637" i="4"/>
  <c r="E637" i="4"/>
  <c r="D638" i="4"/>
  <c r="E638" i="4"/>
  <c r="D639" i="4"/>
  <c r="E639" i="4"/>
  <c r="D640" i="4"/>
  <c r="E640" i="4"/>
  <c r="D641" i="4"/>
  <c r="E641" i="4"/>
  <c r="D642" i="4"/>
  <c r="E642" i="4"/>
  <c r="D643" i="4"/>
  <c r="E643" i="4"/>
  <c r="D644" i="4"/>
  <c r="E644" i="4"/>
  <c r="D645" i="4"/>
  <c r="E645" i="4"/>
  <c r="D646" i="4"/>
  <c r="E646" i="4"/>
  <c r="D647" i="4"/>
  <c r="E647" i="4"/>
  <c r="D648" i="4"/>
  <c r="E648" i="4"/>
  <c r="D649" i="4"/>
  <c r="E649" i="4"/>
  <c r="D650" i="4"/>
  <c r="E650" i="4"/>
  <c r="D651" i="4"/>
  <c r="E651" i="4"/>
  <c r="D652" i="4"/>
  <c r="E652" i="4"/>
  <c r="D653" i="4"/>
  <c r="E653" i="4"/>
  <c r="D654" i="4"/>
  <c r="E654" i="4"/>
  <c r="D655" i="4"/>
  <c r="E655" i="4"/>
  <c r="D656" i="4"/>
  <c r="E656" i="4"/>
  <c r="D657" i="4"/>
  <c r="E657" i="4"/>
  <c r="D658" i="4"/>
  <c r="E658" i="4"/>
  <c r="D659" i="4"/>
  <c r="E659" i="4"/>
  <c r="D660" i="4"/>
  <c r="E660" i="4"/>
  <c r="D661" i="4"/>
  <c r="E661" i="4"/>
  <c r="D662" i="4"/>
  <c r="E662" i="4"/>
  <c r="D663" i="4"/>
  <c r="E663" i="4"/>
  <c r="D664" i="4"/>
  <c r="E664" i="4"/>
  <c r="D665" i="4"/>
  <c r="E665" i="4"/>
  <c r="D666" i="4"/>
  <c r="E666" i="4"/>
  <c r="D667" i="4"/>
  <c r="E667" i="4"/>
  <c r="D668" i="4"/>
  <c r="E668" i="4"/>
  <c r="D669" i="4"/>
  <c r="E669" i="4"/>
  <c r="D670" i="4"/>
  <c r="E670" i="4"/>
  <c r="D671" i="4"/>
  <c r="E671" i="4"/>
  <c r="D672" i="4"/>
  <c r="E672" i="4"/>
  <c r="D673" i="4"/>
  <c r="E673" i="4"/>
  <c r="D674" i="4"/>
  <c r="E674" i="4"/>
  <c r="D675" i="4"/>
  <c r="E675" i="4"/>
  <c r="D676" i="4"/>
  <c r="E676" i="4"/>
  <c r="D677" i="4"/>
  <c r="E677" i="4"/>
  <c r="D678" i="4"/>
  <c r="E678" i="4"/>
  <c r="D679" i="4"/>
  <c r="E679" i="4"/>
  <c r="D680" i="4"/>
  <c r="E680" i="4"/>
  <c r="D681" i="4"/>
  <c r="E681" i="4"/>
  <c r="D682" i="4"/>
  <c r="E682" i="4"/>
  <c r="D683" i="4"/>
  <c r="E683" i="4"/>
  <c r="D684" i="4"/>
  <c r="E684" i="4"/>
  <c r="D685" i="4"/>
  <c r="E685" i="4"/>
  <c r="D686" i="4"/>
  <c r="E686" i="4"/>
  <c r="D687" i="4"/>
  <c r="E687" i="4"/>
  <c r="D688" i="4"/>
  <c r="E688" i="4"/>
  <c r="D689" i="4"/>
  <c r="E689" i="4"/>
  <c r="D690" i="4"/>
  <c r="E690" i="4"/>
  <c r="D691" i="4"/>
  <c r="E691" i="4"/>
  <c r="D692" i="4"/>
  <c r="E692" i="4"/>
  <c r="D693" i="4"/>
  <c r="E693" i="4"/>
  <c r="D694" i="4"/>
  <c r="E694" i="4"/>
  <c r="D695" i="4"/>
  <c r="E695" i="4"/>
  <c r="D696" i="4"/>
  <c r="E696" i="4"/>
  <c r="D697" i="4"/>
  <c r="E697" i="4"/>
  <c r="D698" i="4"/>
  <c r="E698" i="4"/>
  <c r="D699" i="4"/>
  <c r="E699" i="4"/>
  <c r="D700" i="4"/>
  <c r="E700" i="4"/>
  <c r="D701" i="4"/>
  <c r="E701" i="4"/>
  <c r="D702" i="4"/>
  <c r="E702" i="4"/>
  <c r="D703" i="4"/>
  <c r="E703" i="4"/>
  <c r="D704" i="4"/>
  <c r="E704" i="4"/>
  <c r="D705" i="4"/>
  <c r="E705" i="4"/>
  <c r="D706" i="4"/>
  <c r="E706" i="4"/>
  <c r="D707" i="4"/>
  <c r="E707" i="4"/>
  <c r="D708" i="4"/>
  <c r="E708" i="4"/>
  <c r="D709" i="4"/>
  <c r="E709" i="4"/>
  <c r="D710" i="4"/>
  <c r="E710" i="4"/>
  <c r="D711" i="4"/>
  <c r="E711" i="4"/>
  <c r="D712" i="4"/>
  <c r="E712" i="4"/>
  <c r="D713" i="4"/>
  <c r="E713" i="4"/>
  <c r="D714" i="4"/>
  <c r="E714" i="4"/>
  <c r="D715" i="4"/>
  <c r="E715" i="4"/>
  <c r="D716" i="4"/>
  <c r="E716" i="4"/>
  <c r="D717" i="4"/>
  <c r="E717" i="4"/>
  <c r="D718" i="4"/>
  <c r="E718" i="4"/>
  <c r="D719" i="4"/>
  <c r="E719" i="4"/>
  <c r="D720" i="4"/>
  <c r="E720" i="4"/>
  <c r="D721" i="4"/>
  <c r="E721" i="4"/>
  <c r="D722" i="4"/>
  <c r="E722" i="4"/>
  <c r="D723" i="4"/>
  <c r="E723" i="4"/>
  <c r="D724" i="4"/>
  <c r="E724" i="4"/>
  <c r="D725" i="4"/>
  <c r="E725" i="4"/>
  <c r="D726" i="4"/>
  <c r="E726" i="4"/>
  <c r="D727" i="4"/>
  <c r="E727" i="4"/>
  <c r="D728" i="4"/>
  <c r="E728" i="4"/>
  <c r="D729" i="4"/>
  <c r="E729" i="4"/>
  <c r="D730" i="4"/>
  <c r="E730" i="4"/>
  <c r="D731" i="4"/>
  <c r="E731" i="4"/>
  <c r="D732" i="4"/>
  <c r="E732" i="4"/>
  <c r="D733" i="4"/>
  <c r="E733" i="4"/>
  <c r="D734" i="4"/>
  <c r="E734" i="4"/>
  <c r="D735" i="4"/>
  <c r="E735" i="4"/>
  <c r="D736" i="4"/>
  <c r="E736" i="4"/>
  <c r="D737" i="4"/>
  <c r="E737" i="4"/>
  <c r="D738" i="4"/>
  <c r="E738" i="4"/>
  <c r="D739" i="4"/>
  <c r="E739" i="4"/>
  <c r="D740" i="4"/>
  <c r="E740" i="4"/>
  <c r="D741" i="4"/>
  <c r="E741" i="4"/>
  <c r="D742" i="4"/>
  <c r="E742" i="4"/>
  <c r="D743" i="4"/>
  <c r="E743" i="4"/>
  <c r="D744" i="4"/>
  <c r="E744" i="4"/>
  <c r="D745" i="4"/>
  <c r="E745" i="4"/>
  <c r="D746" i="4"/>
  <c r="E746" i="4"/>
  <c r="D747" i="4"/>
  <c r="E747" i="4"/>
  <c r="D748" i="4"/>
  <c r="E748" i="4"/>
  <c r="D749" i="4"/>
  <c r="E749" i="4"/>
  <c r="D750" i="4"/>
  <c r="E750" i="4"/>
  <c r="D751" i="4"/>
  <c r="E751" i="4"/>
  <c r="D752" i="4"/>
  <c r="E752" i="4"/>
  <c r="D753" i="4"/>
  <c r="E753" i="4"/>
  <c r="D754" i="4"/>
  <c r="E754" i="4"/>
  <c r="D755" i="4"/>
  <c r="E755" i="4"/>
  <c r="D756" i="4"/>
  <c r="E756" i="4"/>
  <c r="D757" i="4"/>
  <c r="E757" i="4"/>
  <c r="D758" i="4"/>
  <c r="E758" i="4"/>
  <c r="D759" i="4"/>
  <c r="E759" i="4"/>
  <c r="D760" i="4"/>
  <c r="E760" i="4"/>
  <c r="D761" i="4"/>
  <c r="E761" i="4"/>
  <c r="D762" i="4"/>
  <c r="E762" i="4"/>
  <c r="D763" i="4"/>
  <c r="E763" i="4"/>
  <c r="D764" i="4"/>
  <c r="E764" i="4"/>
  <c r="D765" i="4"/>
  <c r="E765" i="4"/>
  <c r="D766" i="4"/>
  <c r="E766" i="4"/>
  <c r="D767" i="4"/>
  <c r="E767" i="4"/>
  <c r="D768" i="4"/>
  <c r="E768" i="4"/>
  <c r="D769" i="4"/>
  <c r="E769" i="4"/>
  <c r="D770" i="4"/>
  <c r="E770" i="4"/>
  <c r="D771" i="4"/>
  <c r="E771" i="4"/>
  <c r="D772" i="4"/>
  <c r="E772" i="4"/>
  <c r="D773" i="4"/>
  <c r="E773" i="4"/>
  <c r="D774" i="4"/>
  <c r="E774" i="4"/>
  <c r="D775" i="4"/>
  <c r="E775" i="4"/>
  <c r="D776" i="4"/>
  <c r="E776" i="4"/>
  <c r="D777" i="4"/>
  <c r="E777" i="4"/>
  <c r="D778" i="4"/>
  <c r="E778" i="4"/>
  <c r="D779" i="4"/>
  <c r="E779" i="4"/>
  <c r="D780" i="4"/>
  <c r="E780" i="4"/>
  <c r="D781" i="4"/>
  <c r="E781" i="4"/>
  <c r="D782" i="4"/>
  <c r="E782" i="4"/>
  <c r="D783" i="4"/>
  <c r="E783" i="4"/>
  <c r="D784" i="4"/>
  <c r="E784" i="4"/>
  <c r="D785" i="4"/>
  <c r="E785" i="4"/>
  <c r="D786" i="4"/>
  <c r="E786" i="4"/>
  <c r="D787" i="4"/>
  <c r="E787" i="4"/>
  <c r="D788" i="4"/>
  <c r="E788" i="4"/>
  <c r="D789" i="4"/>
  <c r="E789" i="4"/>
  <c r="D790" i="4"/>
  <c r="E790" i="4"/>
  <c r="D791" i="4"/>
  <c r="E791" i="4"/>
  <c r="D792" i="4"/>
  <c r="E792" i="4"/>
  <c r="D793" i="4"/>
  <c r="E793" i="4"/>
  <c r="D794" i="4"/>
  <c r="E794" i="4"/>
  <c r="D795" i="4"/>
  <c r="E795" i="4"/>
  <c r="D796" i="4"/>
  <c r="E796" i="4"/>
  <c r="D797" i="4"/>
  <c r="E797" i="4"/>
  <c r="D798" i="4"/>
  <c r="E798" i="4"/>
  <c r="D799" i="4"/>
  <c r="E799" i="4"/>
  <c r="D800" i="4"/>
  <c r="E800" i="4"/>
  <c r="D801" i="4"/>
  <c r="E801" i="4"/>
  <c r="D802" i="4"/>
  <c r="E802" i="4"/>
  <c r="D803" i="4"/>
  <c r="E803" i="4"/>
  <c r="D804" i="4"/>
  <c r="E804" i="4"/>
  <c r="D805" i="4"/>
  <c r="E805" i="4"/>
  <c r="D806" i="4"/>
  <c r="E806" i="4"/>
  <c r="D807" i="4"/>
  <c r="E807" i="4"/>
  <c r="D808" i="4"/>
  <c r="E808" i="4"/>
  <c r="D809" i="4"/>
  <c r="E809" i="4"/>
  <c r="D810" i="4"/>
  <c r="E810" i="4"/>
  <c r="D811" i="4"/>
  <c r="E811" i="4"/>
  <c r="D812" i="4"/>
  <c r="E812" i="4"/>
  <c r="D813" i="4"/>
  <c r="E813" i="4"/>
  <c r="D814" i="4"/>
  <c r="E814" i="4"/>
  <c r="D815" i="4"/>
  <c r="E815" i="4"/>
  <c r="D816" i="4"/>
  <c r="E816" i="4"/>
  <c r="D817" i="4"/>
  <c r="E817" i="4"/>
  <c r="D818" i="4"/>
  <c r="E818" i="4"/>
  <c r="D819" i="4"/>
  <c r="E819" i="4"/>
  <c r="D820" i="4"/>
  <c r="E820" i="4"/>
  <c r="D821" i="4"/>
  <c r="E821" i="4"/>
  <c r="D822" i="4"/>
  <c r="E822" i="4"/>
  <c r="D823" i="4"/>
  <c r="E823" i="4"/>
  <c r="D824" i="4"/>
  <c r="E824" i="4"/>
  <c r="D825" i="4"/>
  <c r="E825" i="4"/>
  <c r="D826" i="4"/>
  <c r="E826" i="4"/>
  <c r="D827" i="4"/>
  <c r="E827" i="4"/>
  <c r="D828" i="4"/>
  <c r="E828" i="4"/>
  <c r="D829" i="4"/>
  <c r="E829" i="4"/>
  <c r="D830" i="4"/>
  <c r="E830" i="4"/>
  <c r="D831" i="4"/>
  <c r="E831" i="4"/>
  <c r="D832" i="4"/>
  <c r="E832" i="4"/>
  <c r="D833" i="4"/>
  <c r="E833" i="4"/>
  <c r="D834" i="4"/>
  <c r="E834" i="4"/>
  <c r="D835" i="4"/>
  <c r="E835" i="4"/>
  <c r="D836" i="4"/>
  <c r="E836" i="4"/>
  <c r="D837" i="4"/>
  <c r="E837" i="4"/>
  <c r="D838" i="4"/>
  <c r="E838" i="4"/>
  <c r="D839" i="4"/>
  <c r="E839" i="4"/>
  <c r="D840" i="4"/>
  <c r="E840" i="4"/>
  <c r="D841" i="4"/>
  <c r="E841" i="4"/>
  <c r="D842" i="4"/>
  <c r="E842" i="4"/>
  <c r="D843" i="4"/>
  <c r="E843" i="4"/>
  <c r="D844" i="4"/>
  <c r="E844" i="4"/>
  <c r="D845" i="4"/>
  <c r="E845" i="4"/>
  <c r="D846" i="4"/>
  <c r="E846" i="4"/>
  <c r="D847" i="4"/>
  <c r="E847" i="4"/>
  <c r="D848" i="4"/>
  <c r="E848" i="4"/>
  <c r="D849" i="4"/>
  <c r="E849" i="4"/>
  <c r="D850" i="4"/>
  <c r="E850" i="4"/>
  <c r="D851" i="4"/>
  <c r="E851" i="4"/>
  <c r="D852" i="4"/>
  <c r="E852" i="4"/>
  <c r="D853" i="4"/>
  <c r="E853" i="4"/>
  <c r="D854" i="4"/>
  <c r="E854" i="4"/>
  <c r="D855" i="4"/>
  <c r="E855" i="4"/>
  <c r="D856" i="4"/>
  <c r="E856" i="4"/>
  <c r="D857" i="4"/>
  <c r="E857" i="4"/>
  <c r="D858" i="4"/>
  <c r="E858" i="4"/>
  <c r="D859" i="4"/>
  <c r="E859" i="4"/>
  <c r="D860" i="4"/>
  <c r="E860" i="4"/>
  <c r="D861" i="4"/>
  <c r="E861" i="4"/>
  <c r="D862" i="4"/>
  <c r="E862" i="4"/>
  <c r="D863" i="4"/>
  <c r="E863" i="4"/>
  <c r="D864" i="4"/>
  <c r="E864" i="4"/>
  <c r="D865" i="4"/>
  <c r="E865" i="4"/>
  <c r="D866" i="4"/>
  <c r="E866" i="4"/>
  <c r="D867" i="4"/>
  <c r="E867" i="4"/>
  <c r="D868" i="4"/>
  <c r="E868" i="4"/>
  <c r="D869" i="4"/>
  <c r="E869" i="4"/>
  <c r="D870" i="4"/>
  <c r="E870" i="4"/>
  <c r="D871" i="4"/>
  <c r="E871" i="4"/>
  <c r="D872" i="4"/>
  <c r="E872" i="4"/>
  <c r="D873" i="4"/>
  <c r="E873" i="4"/>
  <c r="D874" i="4"/>
  <c r="E874" i="4"/>
  <c r="D875" i="4"/>
  <c r="E875" i="4"/>
  <c r="D876" i="4"/>
  <c r="E876" i="4"/>
  <c r="D877" i="4"/>
  <c r="E877" i="4"/>
  <c r="D878" i="4"/>
  <c r="E878" i="4"/>
  <c r="D879" i="4"/>
  <c r="E879" i="4"/>
  <c r="D880" i="4"/>
  <c r="E880" i="4"/>
  <c r="D881" i="4"/>
  <c r="E881" i="4"/>
  <c r="D882" i="4"/>
  <c r="E882" i="4"/>
  <c r="D883" i="4"/>
  <c r="E883" i="4"/>
  <c r="D884" i="4"/>
  <c r="E884" i="4"/>
  <c r="D885" i="4"/>
  <c r="E885" i="4"/>
  <c r="D886" i="4"/>
  <c r="E886" i="4"/>
  <c r="D887" i="4"/>
  <c r="E887" i="4"/>
  <c r="D888" i="4"/>
  <c r="E888" i="4"/>
  <c r="D889" i="4"/>
  <c r="E889" i="4"/>
  <c r="D890" i="4"/>
  <c r="E890" i="4"/>
  <c r="D891" i="4"/>
  <c r="E891" i="4"/>
  <c r="D892" i="4"/>
  <c r="E892" i="4"/>
  <c r="D893" i="4"/>
  <c r="E893" i="4"/>
  <c r="D894" i="4"/>
  <c r="E894" i="4"/>
  <c r="D895" i="4"/>
  <c r="E895" i="4"/>
  <c r="D896" i="4"/>
  <c r="E896" i="4"/>
  <c r="D897" i="4"/>
  <c r="E897" i="4"/>
  <c r="D898" i="4"/>
  <c r="E898" i="4"/>
  <c r="D899" i="4"/>
  <c r="E899" i="4"/>
  <c r="D900" i="4"/>
  <c r="E900" i="4"/>
  <c r="D901" i="4"/>
  <c r="E901" i="4"/>
  <c r="D902" i="4"/>
  <c r="E902" i="4"/>
  <c r="D903" i="4"/>
  <c r="E903" i="4"/>
  <c r="D904" i="4"/>
  <c r="E904" i="4"/>
  <c r="D905" i="4"/>
  <c r="E905" i="4"/>
  <c r="D906" i="4"/>
  <c r="E906" i="4"/>
  <c r="D907" i="4"/>
  <c r="E907" i="4"/>
  <c r="D908" i="4"/>
  <c r="E908" i="4"/>
  <c r="D909" i="4"/>
  <c r="E909" i="4"/>
  <c r="D910" i="4"/>
  <c r="E910" i="4"/>
  <c r="D911" i="4"/>
  <c r="E911" i="4"/>
  <c r="D912" i="4"/>
  <c r="E912" i="4"/>
  <c r="D913" i="4"/>
  <c r="E913" i="4"/>
  <c r="D914" i="4"/>
  <c r="E914" i="4"/>
  <c r="D915" i="4"/>
  <c r="E915" i="4"/>
  <c r="D916" i="4"/>
  <c r="E916" i="4"/>
  <c r="D917" i="4"/>
  <c r="E917" i="4"/>
  <c r="D918" i="4"/>
  <c r="E918" i="4"/>
  <c r="D919" i="4"/>
  <c r="E919" i="4"/>
  <c r="D920" i="4"/>
  <c r="E920" i="4"/>
  <c r="D921" i="4"/>
  <c r="E921" i="4"/>
  <c r="D922" i="4"/>
  <c r="E922" i="4"/>
  <c r="D923" i="4"/>
  <c r="E923" i="4"/>
  <c r="D924" i="4"/>
  <c r="E924" i="4"/>
  <c r="D925" i="4"/>
  <c r="E925" i="4"/>
  <c r="D926" i="4"/>
  <c r="E926" i="4"/>
  <c r="D927" i="4"/>
  <c r="E927" i="4"/>
  <c r="D928" i="4"/>
  <c r="E928" i="4"/>
  <c r="D929" i="4"/>
  <c r="E929" i="4"/>
  <c r="D930" i="4"/>
  <c r="E930" i="4"/>
  <c r="D931" i="4"/>
  <c r="E931" i="4"/>
  <c r="D932" i="4"/>
  <c r="E932" i="4"/>
  <c r="D933" i="4"/>
  <c r="E933" i="4"/>
  <c r="D934" i="4"/>
  <c r="E934" i="4"/>
  <c r="D935" i="4"/>
  <c r="E935" i="4"/>
  <c r="D936" i="4"/>
  <c r="E936" i="4"/>
  <c r="D937" i="4"/>
  <c r="E937" i="4"/>
  <c r="D938" i="4"/>
  <c r="E938" i="4"/>
  <c r="D939" i="4"/>
  <c r="E939" i="4"/>
  <c r="D940" i="4"/>
  <c r="E940" i="4"/>
  <c r="D941" i="4"/>
  <c r="E941" i="4"/>
  <c r="D942" i="4"/>
  <c r="E942" i="4"/>
  <c r="D943" i="4"/>
  <c r="E943" i="4"/>
  <c r="D944" i="4"/>
  <c r="E944" i="4"/>
  <c r="D945" i="4"/>
  <c r="E945" i="4"/>
  <c r="D946" i="4"/>
  <c r="E946" i="4"/>
  <c r="D947" i="4"/>
  <c r="E947" i="4"/>
  <c r="D948" i="4"/>
  <c r="E948" i="4"/>
  <c r="D949" i="4"/>
  <c r="E949" i="4"/>
  <c r="D950" i="4"/>
  <c r="E950" i="4"/>
  <c r="D951" i="4"/>
  <c r="E951" i="4"/>
  <c r="D952" i="4"/>
  <c r="E952" i="4"/>
  <c r="D953" i="4"/>
  <c r="E953" i="4"/>
  <c r="D954" i="4"/>
  <c r="E954" i="4"/>
  <c r="D955" i="4"/>
  <c r="E955" i="4"/>
  <c r="D956" i="4"/>
  <c r="E956" i="4"/>
  <c r="D957" i="4"/>
  <c r="E957" i="4"/>
  <c r="D958" i="4"/>
  <c r="E958" i="4"/>
  <c r="D959" i="4"/>
  <c r="E959" i="4"/>
  <c r="D960" i="4"/>
  <c r="E960" i="4"/>
  <c r="D961" i="4"/>
  <c r="E961" i="4"/>
  <c r="D962" i="4"/>
  <c r="E962" i="4"/>
  <c r="D963" i="4"/>
  <c r="E963" i="4"/>
  <c r="D964" i="4"/>
  <c r="E964" i="4"/>
  <c r="D965" i="4"/>
  <c r="E965" i="4"/>
  <c r="D966" i="4"/>
  <c r="E966" i="4"/>
  <c r="D967" i="4"/>
  <c r="E967" i="4"/>
  <c r="D968" i="4"/>
  <c r="E968" i="4"/>
  <c r="D969" i="4"/>
  <c r="E969" i="4"/>
  <c r="D970" i="4"/>
  <c r="E970" i="4"/>
  <c r="D971" i="4"/>
  <c r="E971" i="4"/>
  <c r="D972" i="4"/>
  <c r="E972" i="4"/>
  <c r="D973" i="4"/>
  <c r="E973" i="4"/>
  <c r="D974" i="4"/>
  <c r="E974" i="4"/>
  <c r="D975" i="4"/>
  <c r="E975" i="4"/>
  <c r="D976" i="4"/>
  <c r="E976" i="4"/>
  <c r="D977" i="4"/>
  <c r="E977" i="4"/>
  <c r="D978" i="4"/>
  <c r="E978" i="4"/>
  <c r="D979" i="4"/>
  <c r="E979" i="4"/>
  <c r="D980" i="4"/>
  <c r="E980" i="4"/>
  <c r="D981" i="4"/>
  <c r="E981" i="4"/>
  <c r="D982" i="4"/>
  <c r="E982" i="4"/>
  <c r="D983" i="4"/>
  <c r="E983" i="4"/>
  <c r="D984" i="4"/>
  <c r="E984" i="4"/>
  <c r="D985" i="4"/>
  <c r="E985" i="4"/>
  <c r="D986" i="4"/>
  <c r="E986" i="4"/>
  <c r="D987" i="4"/>
  <c r="E987" i="4"/>
  <c r="D988" i="4"/>
  <c r="E988" i="4"/>
  <c r="D989" i="4"/>
  <c r="E989" i="4"/>
  <c r="D990" i="4"/>
  <c r="E990" i="4"/>
  <c r="D991" i="4"/>
  <c r="E991" i="4"/>
  <c r="D992" i="4"/>
  <c r="E992" i="4"/>
  <c r="D993" i="4"/>
  <c r="E993" i="4"/>
  <c r="D994" i="4"/>
  <c r="E994" i="4"/>
  <c r="D995" i="4"/>
  <c r="E995" i="4"/>
  <c r="D996" i="4"/>
  <c r="E996" i="4"/>
  <c r="D997" i="4"/>
  <c r="E997" i="4"/>
  <c r="D998" i="4"/>
  <c r="E998" i="4"/>
  <c r="D999" i="4"/>
  <c r="E999" i="4"/>
  <c r="D1000" i="4"/>
  <c r="E1000" i="4"/>
  <c r="D1001" i="4"/>
  <c r="E1001" i="4"/>
  <c r="D1002" i="4"/>
  <c r="E1002" i="4"/>
  <c r="D1003" i="4"/>
  <c r="E1003" i="4"/>
  <c r="D1004" i="4"/>
  <c r="E1004" i="4"/>
  <c r="D1005" i="4"/>
  <c r="E1005" i="4"/>
  <c r="D1006" i="4"/>
  <c r="E1006" i="4"/>
  <c r="D1007" i="4"/>
  <c r="E1007" i="4"/>
  <c r="D1008" i="4"/>
  <c r="E1008" i="4"/>
  <c r="D1009" i="4"/>
  <c r="E1009" i="4"/>
  <c r="D1010" i="4"/>
  <c r="E1010" i="4"/>
  <c r="D1011" i="4"/>
  <c r="E1011" i="4"/>
  <c r="D1012" i="4"/>
  <c r="E1012" i="4"/>
  <c r="D1013" i="4"/>
  <c r="E1013" i="4"/>
  <c r="D1014" i="4"/>
  <c r="E1014" i="4"/>
  <c r="D1015" i="4"/>
  <c r="E1015" i="4"/>
  <c r="D1016" i="4"/>
  <c r="E1016" i="4"/>
  <c r="D1017" i="4"/>
  <c r="E1017" i="4"/>
  <c r="D1018" i="4"/>
  <c r="E1018" i="4"/>
  <c r="D1019" i="4"/>
  <c r="E1019" i="4"/>
  <c r="D1020" i="4"/>
  <c r="E1020" i="4"/>
  <c r="D1021" i="4"/>
  <c r="E1021" i="4"/>
  <c r="D1022" i="4"/>
  <c r="E1022" i="4"/>
  <c r="D1023" i="4"/>
  <c r="E1023" i="4"/>
  <c r="D1024" i="4"/>
  <c r="E1024" i="4"/>
  <c r="D1025" i="4"/>
  <c r="E1025" i="4"/>
  <c r="D1026" i="4"/>
  <c r="E1026" i="4"/>
  <c r="D1027" i="4"/>
  <c r="E1027" i="4"/>
  <c r="D1028" i="4"/>
  <c r="E1028" i="4"/>
  <c r="D1029" i="4"/>
  <c r="E1029" i="4"/>
  <c r="D1030" i="4"/>
  <c r="E1030" i="4"/>
  <c r="D1031" i="4"/>
  <c r="E1031" i="4"/>
  <c r="D1032" i="4"/>
  <c r="E1032" i="4"/>
  <c r="D1033" i="4"/>
  <c r="E1033" i="4"/>
  <c r="D1034" i="4"/>
  <c r="E1034" i="4"/>
  <c r="D1035" i="4"/>
  <c r="E1035" i="4"/>
  <c r="D1036" i="4"/>
  <c r="E1036" i="4"/>
  <c r="D1037" i="4"/>
  <c r="E1037" i="4"/>
  <c r="D1038" i="4"/>
  <c r="E1038" i="4"/>
  <c r="D1039" i="4"/>
  <c r="E1039" i="4"/>
  <c r="D1040" i="4"/>
  <c r="E1040" i="4"/>
  <c r="D1041" i="4"/>
  <c r="E1041" i="4"/>
  <c r="D1042" i="4"/>
  <c r="E1042" i="4"/>
  <c r="D1043" i="4"/>
  <c r="E1043" i="4"/>
  <c r="D1044" i="4"/>
  <c r="E1044" i="4"/>
  <c r="D1045" i="4"/>
  <c r="E1045" i="4"/>
  <c r="D1046" i="4"/>
  <c r="E1046" i="4"/>
  <c r="D1047" i="4"/>
  <c r="E1047" i="4"/>
  <c r="D1048" i="4"/>
  <c r="E1048" i="4"/>
  <c r="D1049" i="4"/>
  <c r="E1049" i="4"/>
  <c r="D1050" i="4"/>
  <c r="E1050" i="4"/>
  <c r="D1051" i="4"/>
  <c r="E1051" i="4"/>
  <c r="D1052" i="4"/>
  <c r="E1052" i="4"/>
  <c r="D1053" i="4"/>
  <c r="E1053" i="4"/>
  <c r="D1054" i="4"/>
  <c r="E1054" i="4"/>
  <c r="D1055" i="4"/>
  <c r="E1055" i="4"/>
  <c r="D1056" i="4"/>
  <c r="E1056" i="4"/>
  <c r="D1057" i="4"/>
  <c r="E1057" i="4"/>
  <c r="D1058" i="4"/>
  <c r="E1058" i="4"/>
  <c r="D1059" i="4"/>
  <c r="E1059" i="4"/>
  <c r="D1060" i="4"/>
  <c r="E1060" i="4"/>
  <c r="D1061" i="4"/>
  <c r="E1061" i="4"/>
  <c r="D1062" i="4"/>
  <c r="E1062" i="4"/>
  <c r="D1063" i="4"/>
  <c r="E1063" i="4"/>
  <c r="D1064" i="4"/>
  <c r="E1064" i="4"/>
  <c r="D1065" i="4"/>
  <c r="E1065" i="4"/>
  <c r="D1066" i="4"/>
  <c r="E1066" i="4"/>
  <c r="D1067" i="4"/>
  <c r="E1067" i="4"/>
  <c r="D1068" i="4"/>
  <c r="E1068" i="4"/>
  <c r="D1069" i="4"/>
  <c r="E1069" i="4"/>
  <c r="D1070" i="4"/>
  <c r="E1070" i="4"/>
  <c r="D1071" i="4"/>
  <c r="E1071" i="4"/>
  <c r="D1072" i="4"/>
  <c r="E1072" i="4"/>
  <c r="D1073" i="4"/>
  <c r="E1073" i="4"/>
  <c r="D1074" i="4"/>
  <c r="E1074" i="4"/>
  <c r="D1075" i="4"/>
  <c r="E1075" i="4"/>
  <c r="D1076" i="4"/>
  <c r="E1076" i="4"/>
  <c r="D1077" i="4"/>
  <c r="E1077" i="4"/>
  <c r="D1078" i="4"/>
  <c r="E1078" i="4"/>
  <c r="D1079" i="4"/>
  <c r="E1079" i="4"/>
  <c r="D1080" i="4"/>
  <c r="E1080" i="4"/>
  <c r="D1081" i="4"/>
  <c r="E1081" i="4"/>
  <c r="D1082" i="4"/>
  <c r="E1082" i="4"/>
  <c r="D1083" i="4"/>
  <c r="E1083" i="4"/>
  <c r="D1084" i="4"/>
  <c r="E1084" i="4"/>
  <c r="D1085" i="4"/>
  <c r="E1085" i="4"/>
  <c r="D1086" i="4"/>
  <c r="E1086" i="4"/>
  <c r="D1087" i="4"/>
  <c r="E1087" i="4"/>
  <c r="D1088" i="4"/>
  <c r="E1088" i="4"/>
  <c r="D1089" i="4"/>
  <c r="E1089" i="4"/>
  <c r="D1090" i="4"/>
  <c r="E1090" i="4"/>
  <c r="D1091" i="4"/>
  <c r="E1091" i="4"/>
  <c r="D1092" i="4"/>
  <c r="E1092" i="4"/>
  <c r="D1093" i="4"/>
  <c r="E1093" i="4"/>
  <c r="D1094" i="4"/>
  <c r="E1094" i="4"/>
  <c r="D1095" i="4"/>
  <c r="E1095" i="4"/>
  <c r="D1096" i="4"/>
  <c r="E1096" i="4"/>
  <c r="D1097" i="4"/>
  <c r="E1097" i="4"/>
  <c r="D1098" i="4"/>
  <c r="E1098" i="4"/>
  <c r="D1099" i="4"/>
  <c r="E1099" i="4"/>
  <c r="D1100" i="4"/>
  <c r="E1100" i="4"/>
  <c r="D1101" i="4"/>
  <c r="E1101" i="4"/>
  <c r="D1102" i="4"/>
  <c r="E1102" i="4"/>
  <c r="D1103" i="4"/>
  <c r="E1103" i="4"/>
  <c r="D1104" i="4"/>
  <c r="E1104" i="4"/>
  <c r="D1105" i="4"/>
  <c r="E1105" i="4"/>
  <c r="D1106" i="4"/>
  <c r="E1106" i="4"/>
  <c r="D1107" i="4"/>
  <c r="E1107" i="4"/>
  <c r="D1108" i="4"/>
  <c r="E1108" i="4"/>
  <c r="D1109" i="4"/>
  <c r="E1109" i="4"/>
  <c r="D1110" i="4"/>
  <c r="E1110" i="4"/>
  <c r="D1111" i="4"/>
  <c r="E1111" i="4"/>
  <c r="D1112" i="4"/>
  <c r="E1112" i="4"/>
  <c r="D1113" i="4"/>
  <c r="E1113" i="4"/>
  <c r="D1114" i="4"/>
  <c r="E1114" i="4"/>
  <c r="D1115" i="4"/>
  <c r="E1115" i="4"/>
  <c r="D1116" i="4"/>
  <c r="E1116" i="4"/>
  <c r="D1117" i="4"/>
  <c r="E1117" i="4"/>
  <c r="D1118" i="4"/>
  <c r="E1118" i="4"/>
  <c r="D1119" i="4"/>
  <c r="E1119" i="4"/>
  <c r="D1120" i="4"/>
  <c r="E1120" i="4"/>
  <c r="D1121" i="4"/>
  <c r="E1121" i="4"/>
  <c r="D1122" i="4"/>
  <c r="E1122" i="4"/>
  <c r="D1123" i="4"/>
  <c r="E1123" i="4"/>
  <c r="D1124" i="4"/>
  <c r="E1124" i="4"/>
  <c r="D1125" i="4"/>
  <c r="E1125" i="4"/>
  <c r="D1126" i="4"/>
  <c r="E1126" i="4"/>
  <c r="D1127" i="4"/>
  <c r="E1127" i="4"/>
  <c r="D1128" i="4"/>
  <c r="E1128" i="4"/>
  <c r="D1129" i="4"/>
  <c r="E1129" i="4"/>
  <c r="D1130" i="4"/>
  <c r="E1130" i="4"/>
  <c r="D1131" i="4"/>
  <c r="E1131" i="4"/>
  <c r="D1132" i="4"/>
  <c r="E1132" i="4"/>
  <c r="D1133" i="4"/>
  <c r="E1133" i="4"/>
  <c r="D1134" i="4"/>
  <c r="E1134" i="4"/>
  <c r="D1135" i="4"/>
  <c r="E1135" i="4"/>
  <c r="D1136" i="4"/>
  <c r="E1136" i="4"/>
  <c r="D1137" i="4"/>
  <c r="E1137" i="4"/>
  <c r="D1138" i="4"/>
  <c r="E1138" i="4"/>
  <c r="D1139" i="4"/>
  <c r="E1139" i="4"/>
  <c r="D1140" i="4"/>
  <c r="E1140" i="4"/>
  <c r="D1141" i="4"/>
  <c r="E1141" i="4"/>
  <c r="D1142" i="4"/>
  <c r="E1142" i="4"/>
  <c r="D1143" i="4"/>
  <c r="E1143" i="4"/>
  <c r="D1144" i="4"/>
  <c r="E1144" i="4"/>
  <c r="D1145" i="4"/>
  <c r="E1145" i="4"/>
  <c r="D1146" i="4"/>
  <c r="E1146" i="4"/>
  <c r="D1147" i="4"/>
  <c r="E1147" i="4"/>
  <c r="D1148" i="4"/>
  <c r="E1148" i="4"/>
  <c r="D1149" i="4"/>
  <c r="E1149" i="4"/>
  <c r="D1150" i="4"/>
  <c r="E1150" i="4"/>
  <c r="D1151" i="4"/>
  <c r="E1151" i="4"/>
  <c r="D1152" i="4"/>
  <c r="E1152" i="4"/>
  <c r="D1153" i="4"/>
  <c r="E1153" i="4"/>
  <c r="D1154" i="4"/>
  <c r="E1154" i="4"/>
  <c r="D1155" i="4"/>
  <c r="E1155" i="4"/>
  <c r="D1156" i="4"/>
  <c r="E1156" i="4"/>
  <c r="D1157" i="4"/>
  <c r="E1157" i="4"/>
  <c r="D1158" i="4"/>
  <c r="E1158" i="4"/>
  <c r="D1159" i="4"/>
  <c r="E1159" i="4"/>
  <c r="D1160" i="4"/>
  <c r="E1160" i="4"/>
  <c r="D1161" i="4"/>
  <c r="E1161" i="4"/>
  <c r="D1162" i="4"/>
  <c r="E1162" i="4"/>
  <c r="D1163" i="4"/>
  <c r="E1163" i="4"/>
  <c r="D1164" i="4"/>
  <c r="E1164" i="4"/>
  <c r="D1165" i="4"/>
  <c r="E1165" i="4"/>
  <c r="D1166" i="4"/>
  <c r="E1166" i="4"/>
  <c r="D1167" i="4"/>
  <c r="E1167" i="4"/>
  <c r="D1168" i="4"/>
  <c r="E1168" i="4"/>
  <c r="D1169" i="4"/>
  <c r="E1169" i="4"/>
  <c r="D1170" i="4"/>
  <c r="E1170" i="4"/>
  <c r="D1171" i="4"/>
  <c r="E1171" i="4"/>
  <c r="D1172" i="4"/>
  <c r="E1172" i="4"/>
  <c r="D1173" i="4"/>
  <c r="E1173" i="4"/>
  <c r="D1174" i="4"/>
  <c r="E1174" i="4"/>
  <c r="D1175" i="4"/>
  <c r="E1175" i="4"/>
  <c r="D1176" i="4"/>
  <c r="E1176" i="4"/>
  <c r="D1177" i="4"/>
  <c r="E1177" i="4"/>
  <c r="D1178" i="4"/>
  <c r="E1178" i="4"/>
  <c r="D1179" i="4"/>
  <c r="E1179" i="4"/>
  <c r="D1180" i="4"/>
  <c r="E1180" i="4"/>
  <c r="D1181" i="4"/>
  <c r="E1181" i="4"/>
  <c r="D1182" i="4"/>
  <c r="E1182" i="4"/>
  <c r="D1183" i="4"/>
  <c r="E1183" i="4"/>
  <c r="D1184" i="4"/>
  <c r="E1184" i="4"/>
  <c r="D1185" i="4"/>
  <c r="E1185" i="4"/>
  <c r="D1186" i="4"/>
  <c r="E1186" i="4"/>
  <c r="D1187" i="4"/>
  <c r="E1187" i="4"/>
  <c r="D1188" i="4"/>
  <c r="E1188" i="4"/>
  <c r="D1189" i="4"/>
  <c r="E1189" i="4"/>
  <c r="D1190" i="4"/>
  <c r="E1190" i="4"/>
  <c r="D1191" i="4"/>
  <c r="E1191" i="4"/>
  <c r="D1192" i="4"/>
  <c r="E1192" i="4"/>
  <c r="D1193" i="4"/>
  <c r="E1193" i="4"/>
  <c r="D1194" i="4"/>
  <c r="E1194" i="4"/>
  <c r="D1195" i="4"/>
  <c r="E1195" i="4"/>
  <c r="D1196" i="4"/>
  <c r="E1196" i="4"/>
  <c r="D1197" i="4"/>
  <c r="E1197" i="4"/>
  <c r="D1198" i="4"/>
  <c r="E1198" i="4"/>
  <c r="D1199" i="4"/>
  <c r="E1199" i="4"/>
  <c r="D1200" i="4"/>
  <c r="E1200" i="4"/>
  <c r="D1201" i="4"/>
  <c r="E1201" i="4"/>
  <c r="D1202" i="4"/>
  <c r="E1202" i="4"/>
  <c r="D1203" i="4"/>
  <c r="E1203" i="4"/>
  <c r="D1204" i="4"/>
  <c r="E1204" i="4"/>
  <c r="D1205" i="4"/>
  <c r="E1205" i="4"/>
  <c r="D1206" i="4"/>
  <c r="E1206" i="4"/>
  <c r="D1207" i="4"/>
  <c r="E1207" i="4"/>
  <c r="D1208" i="4"/>
  <c r="E1208" i="4"/>
  <c r="D1209" i="4"/>
  <c r="E1209" i="4"/>
  <c r="D1210" i="4"/>
  <c r="E1210" i="4"/>
  <c r="D1211" i="4"/>
  <c r="E1211" i="4"/>
  <c r="D1212" i="4"/>
  <c r="E1212" i="4"/>
  <c r="D1213" i="4"/>
  <c r="E1213" i="4"/>
  <c r="D1214" i="4"/>
  <c r="E1214" i="4"/>
  <c r="D1215" i="4"/>
  <c r="E1215" i="4"/>
  <c r="D1216" i="4"/>
  <c r="E1216" i="4"/>
  <c r="D1217" i="4"/>
  <c r="E1217" i="4"/>
  <c r="D1218" i="4"/>
  <c r="E1218" i="4"/>
  <c r="D1219" i="4"/>
  <c r="E1219" i="4"/>
  <c r="D1220" i="4"/>
  <c r="E1220" i="4"/>
  <c r="D1221" i="4"/>
  <c r="E1221" i="4"/>
  <c r="D1222" i="4"/>
  <c r="E1222" i="4"/>
  <c r="D1223" i="4"/>
  <c r="E1223" i="4"/>
  <c r="D1224" i="4"/>
  <c r="E1224" i="4"/>
  <c r="D1225" i="4"/>
  <c r="E1225" i="4"/>
  <c r="D1226" i="4"/>
  <c r="E1226" i="4"/>
  <c r="D1227" i="4"/>
  <c r="E1227" i="4"/>
  <c r="D1228" i="4"/>
  <c r="E1228" i="4"/>
  <c r="D1229" i="4"/>
  <c r="E1229" i="4"/>
  <c r="D1230" i="4"/>
  <c r="E1230" i="4"/>
  <c r="D1231" i="4"/>
  <c r="E1231" i="4"/>
  <c r="D1232" i="4"/>
  <c r="E1232" i="4"/>
  <c r="D1233" i="4"/>
  <c r="E1233" i="4"/>
  <c r="D1234" i="4"/>
  <c r="E1234" i="4"/>
  <c r="D1235" i="4"/>
  <c r="E1235" i="4"/>
  <c r="D1236" i="4"/>
  <c r="E1236" i="4"/>
  <c r="D1237" i="4"/>
  <c r="E1237" i="4"/>
  <c r="D1238" i="4"/>
  <c r="E1238" i="4"/>
  <c r="D1239" i="4"/>
  <c r="E1239" i="4"/>
  <c r="D1240" i="4"/>
  <c r="E1240" i="4"/>
  <c r="D1241" i="4"/>
  <c r="E1241" i="4"/>
  <c r="D1242" i="4"/>
  <c r="E1242" i="4"/>
  <c r="D1243" i="4"/>
  <c r="E1243" i="4"/>
  <c r="D1244" i="4"/>
  <c r="E1244" i="4"/>
  <c r="D1245" i="4"/>
  <c r="E1245" i="4"/>
  <c r="D1246" i="4"/>
  <c r="E1246" i="4"/>
  <c r="D1247" i="4"/>
  <c r="E1247" i="4"/>
  <c r="D1248" i="4"/>
  <c r="E1248" i="4"/>
  <c r="D1249" i="4"/>
  <c r="E1249" i="4"/>
  <c r="D1250" i="4"/>
  <c r="E1250" i="4"/>
  <c r="D1251" i="4"/>
  <c r="E1251" i="4"/>
  <c r="D1252" i="4"/>
  <c r="E1252" i="4"/>
  <c r="D1253" i="4"/>
  <c r="E1253" i="4"/>
  <c r="D1254" i="4"/>
  <c r="E1254" i="4"/>
  <c r="D1255" i="4"/>
  <c r="E1255" i="4"/>
  <c r="D1256" i="4"/>
  <c r="E1256" i="4"/>
  <c r="D1257" i="4"/>
  <c r="E1257" i="4"/>
  <c r="D1258" i="4"/>
  <c r="E1258" i="4"/>
  <c r="D1259" i="4"/>
  <c r="E1259" i="4"/>
  <c r="D1260" i="4"/>
  <c r="E1260" i="4"/>
  <c r="D1261" i="4"/>
  <c r="E1261" i="4"/>
  <c r="D1262" i="4"/>
  <c r="E1262" i="4"/>
  <c r="D1263" i="4"/>
  <c r="E1263" i="4"/>
  <c r="D1264" i="4"/>
  <c r="E1264" i="4"/>
  <c r="D1265" i="4"/>
  <c r="E1265" i="4"/>
  <c r="D1266" i="4"/>
  <c r="E1266" i="4"/>
  <c r="D1267" i="4"/>
  <c r="E1267" i="4"/>
  <c r="D1268" i="4"/>
  <c r="E1268" i="4"/>
  <c r="D1269" i="4"/>
  <c r="E1269" i="4"/>
  <c r="D1270" i="4"/>
  <c r="E1270" i="4"/>
  <c r="D1271" i="4"/>
  <c r="E1271" i="4"/>
  <c r="D1272" i="4"/>
  <c r="E1272" i="4"/>
  <c r="D1273" i="4"/>
  <c r="E1273" i="4"/>
  <c r="D1274" i="4"/>
  <c r="E1274" i="4"/>
  <c r="D1275" i="4"/>
  <c r="E1275" i="4"/>
  <c r="D1276" i="4"/>
  <c r="E1276" i="4"/>
  <c r="D1277" i="4"/>
  <c r="E1277" i="4"/>
  <c r="D1278" i="4"/>
  <c r="E1278" i="4"/>
  <c r="D1279" i="4"/>
  <c r="E1279" i="4"/>
  <c r="D1280" i="4"/>
  <c r="E1280" i="4"/>
  <c r="D1281" i="4"/>
  <c r="E1281" i="4"/>
  <c r="D1282" i="4"/>
  <c r="E1282" i="4"/>
  <c r="D1283" i="4"/>
  <c r="E1283" i="4"/>
  <c r="D1284" i="4"/>
  <c r="E1284" i="4"/>
  <c r="D1285" i="4"/>
  <c r="E1285" i="4"/>
  <c r="D1286" i="4"/>
  <c r="E1286" i="4"/>
  <c r="D1287" i="4"/>
  <c r="E1287" i="4"/>
  <c r="D1288" i="4"/>
  <c r="E1288" i="4"/>
  <c r="D1289" i="4"/>
  <c r="E1289" i="4"/>
  <c r="D1290" i="4"/>
  <c r="E1290" i="4"/>
  <c r="D1291" i="4"/>
  <c r="E1291" i="4"/>
  <c r="D1292" i="4"/>
  <c r="E1292" i="4"/>
  <c r="D1293" i="4"/>
  <c r="E1293" i="4"/>
  <c r="D1294" i="4"/>
  <c r="E1294" i="4"/>
  <c r="D1295" i="4"/>
  <c r="E1295" i="4"/>
  <c r="D1296" i="4"/>
  <c r="E1296" i="4"/>
  <c r="D1297" i="4"/>
  <c r="E1297" i="4"/>
  <c r="D1298" i="4"/>
  <c r="E1298" i="4"/>
  <c r="D1299" i="4"/>
  <c r="E1299" i="4"/>
  <c r="D1300" i="4"/>
  <c r="E1300" i="4"/>
  <c r="D1301" i="4"/>
  <c r="E1301" i="4"/>
  <c r="D1302" i="4"/>
  <c r="E1302" i="4"/>
  <c r="D1303" i="4"/>
  <c r="E1303" i="4"/>
  <c r="D1304" i="4"/>
  <c r="E1304" i="4"/>
  <c r="D1305" i="4"/>
  <c r="E1305" i="4"/>
  <c r="D1306" i="4"/>
  <c r="E1306" i="4"/>
  <c r="D1307" i="4"/>
  <c r="E1307" i="4"/>
  <c r="D1308" i="4"/>
  <c r="E1308" i="4"/>
  <c r="D1309" i="4"/>
  <c r="E1309" i="4"/>
  <c r="D1310" i="4"/>
  <c r="E1310" i="4"/>
  <c r="D1311" i="4"/>
  <c r="E1311" i="4"/>
  <c r="D1312" i="4"/>
  <c r="E1312" i="4"/>
  <c r="D1313" i="4"/>
  <c r="E1313" i="4"/>
  <c r="D1314" i="4"/>
  <c r="E1314" i="4"/>
  <c r="D1315" i="4"/>
  <c r="E1315" i="4"/>
  <c r="D1316" i="4"/>
  <c r="E1316" i="4"/>
  <c r="D1317" i="4"/>
  <c r="E1317" i="4"/>
  <c r="D1318" i="4"/>
  <c r="E1318" i="4"/>
  <c r="D1319" i="4"/>
  <c r="E1319" i="4"/>
  <c r="D1320" i="4"/>
  <c r="E1320" i="4"/>
  <c r="D1321" i="4"/>
  <c r="E1321" i="4"/>
  <c r="D1322" i="4"/>
  <c r="E1322" i="4"/>
  <c r="D1323" i="4"/>
  <c r="E1323" i="4"/>
  <c r="D1324" i="4"/>
  <c r="E1324" i="4"/>
  <c r="D1325" i="4"/>
  <c r="E1325" i="4"/>
  <c r="D1326" i="4"/>
  <c r="E1326" i="4"/>
  <c r="D1327" i="4"/>
  <c r="E1327" i="4"/>
  <c r="D1328" i="4"/>
  <c r="E1328" i="4"/>
  <c r="D1329" i="4"/>
  <c r="E1329" i="4"/>
  <c r="D1330" i="4"/>
  <c r="E1330" i="4"/>
  <c r="D1331" i="4"/>
  <c r="E1331" i="4"/>
  <c r="D1332" i="4"/>
  <c r="E1332" i="4"/>
  <c r="D1333" i="4"/>
  <c r="E1333" i="4"/>
  <c r="D1334" i="4"/>
  <c r="E1334" i="4"/>
  <c r="D1335" i="4"/>
  <c r="E1335" i="4"/>
  <c r="D1336" i="4"/>
  <c r="E1336" i="4"/>
  <c r="D1337" i="4"/>
  <c r="E1337" i="4"/>
  <c r="D1338" i="4"/>
  <c r="E1338" i="4"/>
  <c r="D1339" i="4"/>
  <c r="E1339" i="4"/>
  <c r="D1340" i="4"/>
  <c r="E1340" i="4"/>
  <c r="D1341" i="4"/>
  <c r="E1341" i="4"/>
  <c r="D1342" i="4"/>
  <c r="E1342" i="4"/>
  <c r="D1343" i="4"/>
  <c r="E1343" i="4"/>
  <c r="D1344" i="4"/>
  <c r="E1344" i="4"/>
  <c r="D1345" i="4"/>
  <c r="E1345" i="4"/>
  <c r="D1346" i="4"/>
  <c r="E1346" i="4"/>
  <c r="D1347" i="4"/>
  <c r="E1347" i="4"/>
  <c r="D1348" i="4"/>
  <c r="E1348" i="4"/>
  <c r="D1349" i="4"/>
  <c r="E1349" i="4"/>
  <c r="D1350" i="4"/>
  <c r="E1350" i="4"/>
  <c r="D1351" i="4"/>
  <c r="E1351" i="4"/>
  <c r="D1352" i="4"/>
  <c r="E1352" i="4"/>
  <c r="D1353" i="4"/>
  <c r="E1353" i="4"/>
  <c r="D1354" i="4"/>
  <c r="E1354" i="4"/>
  <c r="D1355" i="4"/>
  <c r="E1355" i="4"/>
  <c r="D1356" i="4"/>
  <c r="E1356" i="4"/>
  <c r="D1357" i="4"/>
  <c r="E1357" i="4"/>
  <c r="D1358" i="4"/>
  <c r="E1358" i="4"/>
  <c r="D1359" i="4"/>
  <c r="E1359" i="4"/>
  <c r="D1360" i="4"/>
  <c r="E1360" i="4"/>
  <c r="D1361" i="4"/>
  <c r="E1361" i="4"/>
  <c r="D1362" i="4"/>
  <c r="E1362" i="4"/>
  <c r="D1363" i="4"/>
  <c r="E1363" i="4"/>
  <c r="D1364" i="4"/>
  <c r="E1364" i="4"/>
  <c r="D1365" i="4"/>
  <c r="E1365" i="4"/>
  <c r="D1366" i="4"/>
  <c r="E1366" i="4"/>
  <c r="D1367" i="4"/>
  <c r="E1367" i="4"/>
  <c r="D1368" i="4"/>
  <c r="E1368" i="4"/>
  <c r="D1369" i="4"/>
  <c r="E1369" i="4"/>
  <c r="D1370" i="4"/>
  <c r="E1370" i="4"/>
  <c r="D1371" i="4"/>
  <c r="E1371" i="4"/>
  <c r="D1372" i="4"/>
  <c r="E1372" i="4"/>
  <c r="D1373" i="4"/>
  <c r="E1373" i="4"/>
  <c r="D1374" i="4"/>
  <c r="E1374" i="4"/>
  <c r="D1375" i="4"/>
  <c r="E1375" i="4"/>
  <c r="D1376" i="4"/>
  <c r="E1376" i="4"/>
  <c r="D1377" i="4"/>
  <c r="E1377" i="4"/>
  <c r="D1378" i="4"/>
  <c r="E1378" i="4"/>
  <c r="D1379" i="4"/>
  <c r="E1379" i="4"/>
  <c r="D1380" i="4"/>
  <c r="E1380" i="4"/>
  <c r="D1381" i="4"/>
  <c r="E1381" i="4"/>
  <c r="D1382" i="4"/>
  <c r="E1382" i="4"/>
  <c r="D1383" i="4"/>
  <c r="E1383" i="4"/>
  <c r="D1384" i="4"/>
  <c r="E1384" i="4"/>
  <c r="D1385" i="4"/>
  <c r="E1385" i="4"/>
  <c r="D1386" i="4"/>
  <c r="E1386" i="4"/>
  <c r="D1387" i="4"/>
  <c r="E1387" i="4"/>
  <c r="D1388" i="4"/>
  <c r="E1388" i="4"/>
  <c r="D1389" i="4"/>
  <c r="E1389" i="4"/>
  <c r="D1390" i="4"/>
  <c r="E1390" i="4"/>
  <c r="D1391" i="4"/>
  <c r="E1391" i="4"/>
  <c r="D1392" i="4"/>
  <c r="E1392" i="4"/>
  <c r="D1393" i="4"/>
  <c r="E1393" i="4"/>
  <c r="D1394" i="4"/>
  <c r="E1394" i="4"/>
  <c r="D1395" i="4"/>
  <c r="E1395" i="4"/>
  <c r="D1396" i="4"/>
  <c r="E1396" i="4"/>
  <c r="D1397" i="4"/>
  <c r="E1397" i="4"/>
  <c r="D1398" i="4"/>
  <c r="E1398" i="4"/>
  <c r="D1399" i="4"/>
  <c r="E1399" i="4"/>
  <c r="D1400" i="4"/>
  <c r="E1400" i="4"/>
  <c r="D1401" i="4"/>
  <c r="E1401" i="4"/>
  <c r="D1402" i="4"/>
  <c r="E1402" i="4"/>
  <c r="D1403" i="4"/>
  <c r="E1403" i="4"/>
  <c r="D1404" i="4"/>
  <c r="E1404" i="4"/>
  <c r="D1405" i="4"/>
  <c r="E1405" i="4"/>
  <c r="D1406" i="4"/>
  <c r="E1406" i="4"/>
  <c r="D1407" i="4"/>
  <c r="E1407" i="4"/>
  <c r="D1408" i="4"/>
  <c r="E1408" i="4"/>
  <c r="D1409" i="4"/>
  <c r="E1409" i="4"/>
  <c r="D1410" i="4"/>
  <c r="E1410" i="4"/>
  <c r="D1411" i="4"/>
  <c r="E1411" i="4"/>
  <c r="D1412" i="4"/>
  <c r="E1412" i="4"/>
  <c r="D1413" i="4"/>
  <c r="E1413" i="4"/>
  <c r="D1414" i="4"/>
  <c r="E1414" i="4"/>
  <c r="D1415" i="4"/>
  <c r="E1415" i="4"/>
  <c r="D1416" i="4"/>
  <c r="E1416" i="4"/>
  <c r="D1417" i="4"/>
  <c r="E1417" i="4"/>
  <c r="D1418" i="4"/>
  <c r="E1418" i="4"/>
  <c r="D1419" i="4"/>
  <c r="E1419" i="4"/>
  <c r="D1420" i="4"/>
  <c r="E1420" i="4"/>
  <c r="D1421" i="4"/>
  <c r="E1421" i="4"/>
  <c r="D1422" i="4"/>
  <c r="E1422" i="4"/>
  <c r="D1423" i="4"/>
  <c r="E1423" i="4"/>
  <c r="D1424" i="4"/>
  <c r="E1424" i="4"/>
  <c r="D1425" i="4"/>
  <c r="E1425" i="4"/>
  <c r="D1426" i="4"/>
  <c r="E1426" i="4"/>
  <c r="D1427" i="4"/>
  <c r="E1427" i="4"/>
  <c r="D1428" i="4"/>
  <c r="E1428" i="4"/>
  <c r="D1429" i="4"/>
  <c r="E1429" i="4"/>
  <c r="D1430" i="4"/>
  <c r="E1430" i="4"/>
  <c r="D1431" i="4"/>
  <c r="E1431" i="4"/>
  <c r="D1432" i="4"/>
  <c r="E1432" i="4"/>
  <c r="D1433" i="4"/>
  <c r="E1433" i="4"/>
  <c r="D1434" i="4"/>
  <c r="E1434" i="4"/>
  <c r="D1435" i="4"/>
  <c r="E1435" i="4"/>
  <c r="D1436" i="4"/>
  <c r="E1436" i="4"/>
  <c r="D1437" i="4"/>
  <c r="E1437" i="4"/>
  <c r="D1438" i="4"/>
  <c r="E1438" i="4"/>
  <c r="D1439" i="4"/>
  <c r="E1439" i="4"/>
  <c r="D1440" i="4"/>
  <c r="E1440" i="4"/>
  <c r="D1441" i="4"/>
  <c r="E1441" i="4"/>
  <c r="D1442" i="4"/>
  <c r="E1442" i="4"/>
  <c r="D1443" i="4"/>
  <c r="E1443" i="4"/>
  <c r="D1444" i="4"/>
  <c r="E1444" i="4"/>
  <c r="D1445" i="4"/>
  <c r="E1445" i="4"/>
  <c r="D1446" i="4"/>
  <c r="E1446" i="4"/>
  <c r="D1447" i="4"/>
  <c r="E1447" i="4"/>
  <c r="D1448" i="4"/>
  <c r="E1448" i="4"/>
  <c r="D1449" i="4"/>
  <c r="E1449" i="4"/>
  <c r="D1450" i="4"/>
  <c r="E1450" i="4"/>
  <c r="D1451" i="4"/>
  <c r="E1451" i="4"/>
  <c r="D1452" i="4"/>
  <c r="E1452" i="4"/>
  <c r="D1453" i="4"/>
  <c r="E1453" i="4"/>
  <c r="D1454" i="4"/>
  <c r="E1454" i="4"/>
  <c r="D1455" i="4"/>
  <c r="E1455" i="4"/>
  <c r="D1456" i="4"/>
  <c r="E1456" i="4"/>
  <c r="D1457" i="4"/>
  <c r="E1457" i="4"/>
  <c r="D1458" i="4"/>
  <c r="E1458" i="4"/>
  <c r="D1459" i="4"/>
  <c r="E1459" i="4"/>
  <c r="D1460" i="4"/>
  <c r="E1460" i="4"/>
  <c r="D1461" i="4"/>
  <c r="E1461" i="4"/>
  <c r="D1462" i="4"/>
  <c r="E1462" i="4"/>
  <c r="D1463" i="4"/>
  <c r="E1463" i="4"/>
  <c r="D1464" i="4"/>
  <c r="E1464" i="4"/>
  <c r="D1465" i="4"/>
  <c r="E1465" i="4"/>
  <c r="D1466" i="4"/>
  <c r="E1466" i="4"/>
  <c r="D1467" i="4"/>
  <c r="E1467" i="4"/>
  <c r="D1468" i="4"/>
  <c r="E1468" i="4"/>
  <c r="D1469" i="4"/>
  <c r="E1469" i="4"/>
  <c r="D1470" i="4"/>
  <c r="E1470" i="4"/>
  <c r="D1471" i="4"/>
  <c r="E1471" i="4"/>
  <c r="D1472" i="4"/>
  <c r="E1472" i="4"/>
  <c r="D1473" i="4"/>
  <c r="E1473" i="4"/>
  <c r="D1474" i="4"/>
  <c r="E1474" i="4"/>
  <c r="D1475" i="4"/>
  <c r="E1475" i="4"/>
  <c r="D1476" i="4"/>
  <c r="E1476" i="4"/>
  <c r="D1477" i="4"/>
  <c r="E1477" i="4"/>
  <c r="D1478" i="4"/>
  <c r="E1478" i="4"/>
  <c r="D1479" i="4"/>
  <c r="E1479" i="4"/>
  <c r="D1480" i="4"/>
  <c r="E1480" i="4"/>
  <c r="D1481" i="4"/>
  <c r="E1481" i="4"/>
  <c r="D1482" i="4"/>
  <c r="E1482" i="4"/>
  <c r="D1483" i="4"/>
  <c r="E1483" i="4"/>
  <c r="D1484" i="4"/>
  <c r="E1484" i="4"/>
  <c r="D1485" i="4"/>
  <c r="E1485" i="4"/>
  <c r="D1486" i="4"/>
  <c r="E1486" i="4"/>
  <c r="D1487" i="4"/>
  <c r="E1487" i="4"/>
  <c r="D1488" i="4"/>
  <c r="E1488" i="4"/>
  <c r="D1489" i="4"/>
  <c r="E1489" i="4"/>
  <c r="D1490" i="4"/>
  <c r="E1490" i="4"/>
  <c r="D1491" i="4"/>
  <c r="E1491" i="4"/>
  <c r="D1492" i="4"/>
  <c r="E1492" i="4"/>
  <c r="D1493" i="4"/>
  <c r="E1493" i="4"/>
  <c r="D1494" i="4"/>
  <c r="E1494" i="4"/>
  <c r="D1495" i="4"/>
  <c r="E1495" i="4"/>
  <c r="D1496" i="4"/>
  <c r="E1496" i="4"/>
  <c r="D1497" i="4"/>
  <c r="E1497" i="4"/>
  <c r="D1498" i="4"/>
  <c r="E1498" i="4"/>
  <c r="D1499" i="4"/>
  <c r="E1499" i="4"/>
  <c r="D1500" i="4"/>
  <c r="E1500" i="4"/>
  <c r="D1501" i="4"/>
  <c r="E1501" i="4"/>
  <c r="D1502" i="4"/>
  <c r="E1502" i="4"/>
  <c r="D1503" i="4"/>
  <c r="E1503" i="4"/>
  <c r="D1504" i="4"/>
  <c r="E1504" i="4"/>
  <c r="D1505" i="4"/>
  <c r="E1505" i="4"/>
  <c r="D1506" i="4"/>
  <c r="E1506" i="4"/>
  <c r="D1507" i="4"/>
  <c r="E1507" i="4"/>
  <c r="D1508" i="4"/>
  <c r="E1508" i="4"/>
  <c r="D1509" i="4"/>
  <c r="E1509" i="4"/>
  <c r="D1510" i="4"/>
  <c r="E1510" i="4"/>
  <c r="D1511" i="4"/>
  <c r="E1511" i="4"/>
  <c r="D1512" i="4"/>
  <c r="E1512" i="4"/>
  <c r="D1513" i="4"/>
  <c r="E1513" i="4"/>
  <c r="D1514" i="4"/>
  <c r="E1514" i="4"/>
  <c r="D1515" i="4"/>
  <c r="E1515" i="4"/>
  <c r="D1516" i="4"/>
  <c r="E1516" i="4"/>
  <c r="D1517" i="4"/>
  <c r="E1517" i="4"/>
  <c r="D1518" i="4"/>
  <c r="E1518" i="4"/>
  <c r="D1519" i="4"/>
  <c r="E1519" i="4"/>
  <c r="D1520" i="4"/>
  <c r="E1520" i="4"/>
  <c r="D1521" i="4"/>
  <c r="E1521" i="4"/>
  <c r="D1522" i="4"/>
  <c r="E1522" i="4"/>
  <c r="D1523" i="4"/>
  <c r="E1523" i="4"/>
  <c r="D1524" i="4"/>
  <c r="E1524" i="4"/>
  <c r="D1525" i="4"/>
  <c r="E1525" i="4"/>
  <c r="D1526" i="4"/>
  <c r="E1526" i="4"/>
  <c r="D1527" i="4"/>
  <c r="E1527" i="4"/>
  <c r="D1528" i="4"/>
  <c r="E1528" i="4"/>
  <c r="D1529" i="4"/>
  <c r="E1529" i="4"/>
  <c r="D1530" i="4"/>
  <c r="E1530" i="4"/>
  <c r="D1531" i="4"/>
  <c r="E1531" i="4"/>
  <c r="D1532" i="4"/>
  <c r="E1532" i="4"/>
  <c r="D1533" i="4"/>
  <c r="E1533" i="4"/>
  <c r="D1534" i="4"/>
  <c r="E1534" i="4"/>
  <c r="D1535" i="4"/>
  <c r="E1535" i="4"/>
  <c r="D1536" i="4"/>
  <c r="E1536" i="4"/>
  <c r="D1537" i="4"/>
  <c r="E1537" i="4"/>
  <c r="D1538" i="4"/>
  <c r="E1538" i="4"/>
  <c r="D1539" i="4"/>
  <c r="E1539" i="4"/>
  <c r="D1540" i="4"/>
  <c r="E1540" i="4"/>
  <c r="D1541" i="4"/>
  <c r="E1541" i="4"/>
  <c r="D1542" i="4"/>
  <c r="E1542" i="4"/>
  <c r="D1543" i="4"/>
  <c r="E1543" i="4"/>
  <c r="D1544" i="4"/>
  <c r="E1544" i="4"/>
  <c r="D1545" i="4"/>
  <c r="E1545" i="4"/>
  <c r="D1546" i="4"/>
  <c r="E1546" i="4"/>
  <c r="D1547" i="4"/>
  <c r="E1547" i="4"/>
  <c r="D1548" i="4"/>
  <c r="E1548" i="4"/>
  <c r="D1549" i="4"/>
  <c r="E1549" i="4"/>
  <c r="D1550" i="4"/>
  <c r="E1550" i="4"/>
  <c r="D1551" i="4"/>
  <c r="E1551" i="4"/>
  <c r="D1552" i="4"/>
  <c r="E1552" i="4"/>
  <c r="D1553" i="4"/>
  <c r="E1553" i="4"/>
  <c r="D1554" i="4"/>
  <c r="E1554" i="4"/>
  <c r="D1555" i="4"/>
  <c r="E1555" i="4"/>
  <c r="D1556" i="4"/>
  <c r="E1556" i="4"/>
  <c r="D1557" i="4"/>
  <c r="E1557" i="4"/>
  <c r="D1558" i="4"/>
  <c r="E1558" i="4"/>
  <c r="D1559" i="4"/>
  <c r="E1559" i="4"/>
  <c r="D1560" i="4"/>
  <c r="E1560" i="4"/>
  <c r="D1561" i="4"/>
  <c r="E1561" i="4"/>
  <c r="D1562" i="4"/>
  <c r="E1562" i="4"/>
  <c r="D1563" i="4"/>
  <c r="E1563" i="4"/>
  <c r="D1564" i="4"/>
  <c r="E1564" i="4"/>
  <c r="D1565" i="4"/>
  <c r="E1565" i="4"/>
  <c r="D1566" i="4"/>
  <c r="E1566" i="4"/>
  <c r="D1567" i="4"/>
  <c r="E1567" i="4"/>
  <c r="D1568" i="4"/>
  <c r="E1568" i="4"/>
  <c r="D1569" i="4"/>
  <c r="E1569" i="4"/>
  <c r="D1570" i="4"/>
  <c r="E1570" i="4"/>
  <c r="D1571" i="4"/>
  <c r="E1571" i="4"/>
  <c r="D1572" i="4"/>
  <c r="E1572" i="4"/>
  <c r="D1573" i="4"/>
  <c r="E1573" i="4"/>
  <c r="D1574" i="4"/>
  <c r="E1574" i="4"/>
  <c r="D1575" i="4"/>
  <c r="E1575" i="4"/>
  <c r="D1576" i="4"/>
  <c r="E1576" i="4"/>
  <c r="D1577" i="4"/>
  <c r="E1577" i="4"/>
  <c r="D1578" i="4"/>
  <c r="E1578" i="4"/>
  <c r="D1579" i="4"/>
  <c r="E1579" i="4"/>
  <c r="D1580" i="4"/>
  <c r="E1580" i="4"/>
  <c r="D1581" i="4"/>
  <c r="E1581" i="4"/>
  <c r="D1582" i="4"/>
  <c r="E1582" i="4"/>
  <c r="D1583" i="4"/>
  <c r="E1583" i="4"/>
  <c r="D1584" i="4"/>
  <c r="E1584" i="4"/>
  <c r="D1585" i="4"/>
  <c r="E1585" i="4"/>
  <c r="D1586" i="4"/>
  <c r="E1586" i="4"/>
  <c r="D1587" i="4"/>
  <c r="E1587" i="4"/>
  <c r="D1588" i="4"/>
  <c r="E1588" i="4"/>
  <c r="D1589" i="4"/>
  <c r="E1589" i="4"/>
  <c r="D1590" i="4"/>
  <c r="E1590" i="4"/>
  <c r="D1591" i="4"/>
  <c r="E1591" i="4"/>
  <c r="D1592" i="4"/>
  <c r="E1592" i="4"/>
  <c r="D1593" i="4"/>
  <c r="E1593" i="4"/>
  <c r="D1594" i="4"/>
  <c r="E1594" i="4"/>
  <c r="D1595" i="4"/>
  <c r="E1595" i="4"/>
  <c r="D1596" i="4"/>
  <c r="E1596" i="4"/>
  <c r="D1597" i="4"/>
  <c r="E1597" i="4"/>
  <c r="D1598" i="4"/>
  <c r="E1598" i="4"/>
  <c r="D1599" i="4"/>
  <c r="E1599" i="4"/>
  <c r="D1600" i="4"/>
  <c r="E1600" i="4"/>
  <c r="D1601" i="4"/>
  <c r="E1601" i="4"/>
  <c r="D1602" i="4"/>
  <c r="E1602" i="4"/>
  <c r="D1603" i="4"/>
  <c r="E1603" i="4"/>
  <c r="D1604" i="4"/>
  <c r="E1604" i="4"/>
  <c r="D1605" i="4"/>
  <c r="E1605" i="4"/>
  <c r="D1606" i="4"/>
  <c r="E1606" i="4"/>
  <c r="D1607" i="4"/>
  <c r="E1607" i="4"/>
  <c r="D1608" i="4"/>
  <c r="E1608" i="4"/>
  <c r="D1609" i="4"/>
  <c r="E1609" i="4"/>
  <c r="D1610" i="4"/>
  <c r="E1610" i="4"/>
  <c r="D1611" i="4"/>
  <c r="E1611" i="4"/>
  <c r="D1612" i="4"/>
  <c r="E1612" i="4"/>
  <c r="D1613" i="4"/>
  <c r="E1613" i="4"/>
  <c r="D1614" i="4"/>
  <c r="E1614" i="4"/>
  <c r="D1615" i="4"/>
  <c r="E1615" i="4"/>
  <c r="D1616" i="4"/>
  <c r="E1616" i="4"/>
  <c r="D1617" i="4"/>
  <c r="E1617" i="4"/>
  <c r="D1618" i="4"/>
  <c r="E1618" i="4"/>
  <c r="D1619" i="4"/>
  <c r="E1619" i="4"/>
  <c r="D1620" i="4"/>
  <c r="E1620" i="4"/>
  <c r="D1621" i="4"/>
  <c r="E1621" i="4"/>
  <c r="D1622" i="4"/>
  <c r="E1622" i="4"/>
  <c r="D1623" i="4"/>
  <c r="E1623" i="4"/>
  <c r="D1624" i="4"/>
  <c r="E1624" i="4"/>
  <c r="D1625" i="4"/>
  <c r="E1625" i="4"/>
  <c r="D1626" i="4"/>
  <c r="E1626" i="4"/>
  <c r="D1627" i="4"/>
  <c r="E1627" i="4"/>
  <c r="D1628" i="4"/>
  <c r="E1628" i="4"/>
  <c r="D1629" i="4"/>
  <c r="E1629" i="4"/>
  <c r="D1630" i="4"/>
  <c r="E1630" i="4"/>
  <c r="D1631" i="4"/>
  <c r="E1631" i="4"/>
  <c r="D1632" i="4"/>
  <c r="E1632" i="4"/>
  <c r="D1633" i="4"/>
  <c r="E1633" i="4"/>
  <c r="D1634" i="4"/>
  <c r="E1634" i="4"/>
  <c r="D1635" i="4"/>
  <c r="E1635" i="4"/>
  <c r="D1636" i="4"/>
  <c r="E1636" i="4"/>
  <c r="D1637" i="4"/>
  <c r="E1637" i="4"/>
  <c r="D1638" i="4"/>
  <c r="E1638" i="4"/>
  <c r="D1639" i="4"/>
  <c r="E1639" i="4"/>
  <c r="D1640" i="4"/>
  <c r="E1640" i="4"/>
  <c r="D1641" i="4"/>
  <c r="E1641" i="4"/>
  <c r="D1642" i="4"/>
  <c r="E1642" i="4"/>
  <c r="D1643" i="4"/>
  <c r="E1643" i="4"/>
  <c r="D1644" i="4"/>
  <c r="E1644" i="4"/>
  <c r="D1645" i="4"/>
  <c r="E1645" i="4"/>
  <c r="D1646" i="4"/>
  <c r="E1646" i="4"/>
  <c r="D1647" i="4"/>
  <c r="E1647" i="4"/>
  <c r="D1648" i="4"/>
  <c r="E1648" i="4"/>
  <c r="D1649" i="4"/>
  <c r="E1649" i="4"/>
  <c r="D1650" i="4"/>
  <c r="E1650" i="4"/>
  <c r="D1651" i="4"/>
  <c r="E1651" i="4"/>
  <c r="D1652" i="4"/>
  <c r="E1652" i="4"/>
  <c r="D1653" i="4"/>
  <c r="E1653" i="4"/>
  <c r="D1654" i="4"/>
  <c r="E1654" i="4"/>
  <c r="D1655" i="4"/>
  <c r="E1655" i="4"/>
  <c r="D1656" i="4"/>
  <c r="E1656" i="4"/>
  <c r="D1657" i="4"/>
  <c r="E1657" i="4"/>
  <c r="D1658" i="4"/>
  <c r="E1658" i="4"/>
  <c r="D1659" i="4"/>
  <c r="E1659" i="4"/>
  <c r="D1660" i="4"/>
  <c r="E1660" i="4"/>
  <c r="D1661" i="4"/>
  <c r="E1661" i="4"/>
  <c r="D1662" i="4"/>
  <c r="E1662" i="4"/>
  <c r="D1663" i="4"/>
  <c r="E1663" i="4"/>
  <c r="D1664" i="4"/>
  <c r="E1664" i="4"/>
  <c r="D1665" i="4"/>
  <c r="E1665" i="4"/>
  <c r="D1666" i="4"/>
  <c r="E1666" i="4"/>
  <c r="D1667" i="4"/>
  <c r="E1667" i="4"/>
  <c r="D1668" i="4"/>
  <c r="E1668" i="4"/>
  <c r="D1669" i="4"/>
  <c r="E1669" i="4"/>
  <c r="D1670" i="4"/>
  <c r="E1670" i="4"/>
  <c r="D1671" i="4"/>
  <c r="E1671" i="4"/>
  <c r="D1672" i="4"/>
  <c r="E1672" i="4"/>
  <c r="D1673" i="4"/>
  <c r="E1673" i="4"/>
  <c r="D1674" i="4"/>
  <c r="E1674" i="4"/>
  <c r="D1675" i="4"/>
  <c r="E1675" i="4"/>
  <c r="D1676" i="4"/>
  <c r="E1676" i="4"/>
  <c r="D1677" i="4"/>
  <c r="E1677" i="4"/>
  <c r="D1678" i="4"/>
  <c r="E1678" i="4"/>
  <c r="D1679" i="4"/>
  <c r="E1679" i="4"/>
  <c r="D1680" i="4"/>
  <c r="E1680" i="4"/>
  <c r="D1681" i="4"/>
  <c r="E1681" i="4"/>
  <c r="D1682" i="4"/>
  <c r="E1682" i="4"/>
  <c r="D1683" i="4"/>
  <c r="E1683" i="4"/>
  <c r="D1684" i="4"/>
  <c r="E1684" i="4"/>
  <c r="D1685" i="4"/>
  <c r="E1685" i="4"/>
  <c r="D1686" i="4"/>
  <c r="E1686" i="4"/>
  <c r="D1687" i="4"/>
  <c r="E1687" i="4"/>
  <c r="D1688" i="4"/>
  <c r="E1688" i="4"/>
  <c r="D1689" i="4"/>
  <c r="E1689" i="4"/>
  <c r="D1690" i="4"/>
  <c r="E1690" i="4"/>
  <c r="D1691" i="4"/>
  <c r="E1691" i="4"/>
  <c r="D1692" i="4"/>
  <c r="E1692" i="4"/>
  <c r="D1693" i="4"/>
  <c r="E1693" i="4"/>
  <c r="D1694" i="4"/>
  <c r="E1694" i="4"/>
  <c r="D1695" i="4"/>
  <c r="E1695" i="4"/>
  <c r="D1696" i="4"/>
  <c r="E1696" i="4"/>
  <c r="D1697" i="4"/>
  <c r="E1697" i="4"/>
  <c r="D1698" i="4"/>
  <c r="E1698" i="4"/>
  <c r="D1699" i="4"/>
  <c r="E1699" i="4"/>
  <c r="D1700" i="4"/>
  <c r="E1700" i="4"/>
  <c r="D1701" i="4"/>
  <c r="E1701" i="4"/>
  <c r="D1702" i="4"/>
  <c r="E1702" i="4"/>
  <c r="D1703" i="4"/>
  <c r="E1703" i="4"/>
  <c r="D1704" i="4"/>
  <c r="E1704" i="4"/>
  <c r="D1705" i="4"/>
  <c r="E1705" i="4"/>
  <c r="D1706" i="4"/>
  <c r="E1706" i="4"/>
  <c r="D1707" i="4"/>
  <c r="E1707" i="4"/>
  <c r="D1708" i="4"/>
  <c r="E1708" i="4"/>
  <c r="D1709" i="4"/>
  <c r="E1709" i="4"/>
  <c r="D1710" i="4"/>
  <c r="E1710" i="4"/>
  <c r="D1711" i="4"/>
  <c r="E1711" i="4"/>
  <c r="D1712" i="4"/>
  <c r="E1712" i="4"/>
  <c r="D1713" i="4"/>
  <c r="E1713" i="4"/>
  <c r="D1714" i="4"/>
  <c r="E1714" i="4"/>
  <c r="D1715" i="4"/>
  <c r="E1715" i="4"/>
  <c r="D1716" i="4"/>
  <c r="E1716" i="4"/>
  <c r="D1717" i="4"/>
  <c r="E1717" i="4"/>
  <c r="D1718" i="4"/>
  <c r="E1718" i="4"/>
  <c r="D1719" i="4"/>
  <c r="E1719" i="4"/>
  <c r="D1720" i="4"/>
  <c r="E1720" i="4"/>
  <c r="D1721" i="4"/>
  <c r="E1721" i="4"/>
  <c r="D1722" i="4"/>
  <c r="E1722" i="4"/>
  <c r="D1723" i="4"/>
  <c r="E1723" i="4"/>
  <c r="D1724" i="4"/>
  <c r="E1724" i="4"/>
  <c r="D1725" i="4"/>
  <c r="E1725" i="4"/>
  <c r="D1726" i="4"/>
  <c r="E1726" i="4"/>
  <c r="D1727" i="4"/>
  <c r="E1727" i="4"/>
  <c r="D1728" i="4"/>
  <c r="E1728" i="4"/>
  <c r="D1729" i="4"/>
  <c r="E1729" i="4"/>
  <c r="D1730" i="4"/>
  <c r="E1730" i="4"/>
  <c r="D1731" i="4"/>
  <c r="E1731" i="4"/>
  <c r="D1732" i="4"/>
  <c r="E1732" i="4"/>
  <c r="D1733" i="4"/>
  <c r="E1733" i="4"/>
  <c r="D1734" i="4"/>
  <c r="E1734" i="4"/>
  <c r="D1735" i="4"/>
  <c r="E1735" i="4"/>
  <c r="D1736" i="4"/>
  <c r="E1736" i="4"/>
  <c r="D1737" i="4"/>
  <c r="E1737" i="4"/>
  <c r="D1738" i="4"/>
  <c r="E1738" i="4"/>
  <c r="D1866" i="4"/>
  <c r="E1866" i="4"/>
  <c r="D1867" i="4"/>
  <c r="E1867" i="4"/>
  <c r="D1868" i="4"/>
  <c r="E1868" i="4"/>
  <c r="D1869" i="4"/>
  <c r="E1869" i="4"/>
  <c r="D1870" i="4"/>
  <c r="E1870" i="4"/>
  <c r="D1871" i="4"/>
  <c r="E1871" i="4"/>
  <c r="D1872" i="4"/>
  <c r="E1872" i="4"/>
  <c r="D1873" i="4"/>
  <c r="E1873" i="4"/>
  <c r="D1874" i="4"/>
  <c r="E1874" i="4"/>
  <c r="D1875" i="4"/>
  <c r="E1875" i="4"/>
  <c r="D1876" i="4"/>
  <c r="E1876" i="4"/>
  <c r="D1877" i="4"/>
  <c r="E1877" i="4"/>
  <c r="D1878" i="4"/>
  <c r="E1878" i="4"/>
  <c r="D1879" i="4"/>
  <c r="E1879" i="4"/>
  <c r="D1880" i="4"/>
  <c r="E1880" i="4"/>
  <c r="D1881" i="4"/>
  <c r="E1881" i="4"/>
  <c r="D1882" i="4"/>
  <c r="E1882" i="4"/>
  <c r="D1883" i="4"/>
  <c r="E1883" i="4"/>
  <c r="D1884" i="4"/>
  <c r="E1884" i="4"/>
  <c r="D1885" i="4"/>
  <c r="E1885" i="4"/>
  <c r="D1886" i="4"/>
  <c r="E1886" i="4"/>
  <c r="D1887" i="4"/>
  <c r="E1887" i="4"/>
  <c r="D1888" i="4"/>
  <c r="E1888" i="4"/>
  <c r="D1889" i="4"/>
  <c r="E1889" i="4"/>
  <c r="D1890" i="4"/>
  <c r="E1890" i="4"/>
  <c r="D1891" i="4"/>
  <c r="E1891" i="4"/>
  <c r="D1892" i="4"/>
  <c r="E1892" i="4"/>
  <c r="D1893" i="4"/>
  <c r="E1893" i="4"/>
  <c r="D1894" i="4"/>
  <c r="E1894" i="4"/>
  <c r="D1895" i="4"/>
  <c r="E1895" i="4"/>
  <c r="D1896" i="4"/>
  <c r="E1896" i="4"/>
  <c r="D1897" i="4"/>
  <c r="E1897" i="4"/>
  <c r="D1898" i="4"/>
  <c r="E1898" i="4"/>
  <c r="D1899" i="4"/>
  <c r="E1899" i="4"/>
  <c r="D1900" i="4"/>
  <c r="E1900" i="4"/>
  <c r="D1901" i="4"/>
  <c r="E1901" i="4"/>
  <c r="D1902" i="4"/>
  <c r="E1902" i="4"/>
  <c r="D1903" i="4"/>
  <c r="E1903" i="4"/>
  <c r="D1904" i="4"/>
  <c r="E1904" i="4"/>
  <c r="D1905" i="4"/>
  <c r="E1905" i="4"/>
  <c r="D1906" i="4"/>
  <c r="E1906" i="4"/>
  <c r="D1907" i="4"/>
  <c r="E1907" i="4"/>
  <c r="D1908" i="4"/>
  <c r="E1908" i="4"/>
  <c r="D1909" i="4"/>
  <c r="E1909" i="4"/>
  <c r="D1910" i="4"/>
  <c r="E1910" i="4"/>
  <c r="D1911" i="4"/>
  <c r="E1911" i="4"/>
  <c r="D1912" i="4"/>
  <c r="E1912" i="4"/>
  <c r="D1913" i="4"/>
  <c r="E1913" i="4"/>
  <c r="D1914" i="4"/>
  <c r="E1914" i="4"/>
  <c r="D1915" i="4"/>
  <c r="E1915" i="4"/>
  <c r="D1916" i="4"/>
  <c r="E1916" i="4"/>
  <c r="D1917" i="4"/>
  <c r="E1917" i="4"/>
  <c r="D1918" i="4"/>
  <c r="E1918" i="4"/>
  <c r="D1919" i="4"/>
  <c r="E1919" i="4"/>
  <c r="D1920" i="4"/>
  <c r="E1920" i="4"/>
  <c r="D1921" i="4"/>
  <c r="E1921" i="4"/>
  <c r="D1922" i="4"/>
  <c r="E1922" i="4"/>
  <c r="D1923" i="4"/>
  <c r="E1923" i="4"/>
  <c r="D1924" i="4"/>
  <c r="E1924" i="4"/>
  <c r="D1925" i="4"/>
  <c r="E1925" i="4"/>
  <c r="D1926" i="4"/>
  <c r="E1926" i="4"/>
  <c r="D1927" i="4"/>
  <c r="E1927" i="4"/>
  <c r="D1928" i="4"/>
  <c r="E1928" i="4"/>
  <c r="D1929" i="4"/>
  <c r="E1929" i="4"/>
  <c r="D1930" i="4"/>
  <c r="E1930" i="4"/>
  <c r="D1931" i="4"/>
  <c r="E1931" i="4"/>
  <c r="D1932" i="4"/>
  <c r="E1932" i="4"/>
  <c r="D1933" i="4"/>
  <c r="E1933" i="4"/>
  <c r="D1934" i="4"/>
  <c r="E1934" i="4"/>
  <c r="D1935" i="4"/>
  <c r="E1935" i="4"/>
  <c r="D1936" i="4"/>
  <c r="E1936" i="4"/>
  <c r="D1937" i="4"/>
  <c r="E1937" i="4"/>
  <c r="D1938" i="4"/>
  <c r="E1938" i="4"/>
  <c r="D1939" i="4"/>
  <c r="E1939" i="4"/>
  <c r="D1940" i="4"/>
  <c r="E1940" i="4"/>
  <c r="D1941" i="4"/>
  <c r="E1941" i="4"/>
  <c r="D1942" i="4"/>
  <c r="E1942" i="4"/>
  <c r="D1943" i="4"/>
  <c r="E1943" i="4"/>
  <c r="D1944" i="4"/>
  <c r="E1944" i="4"/>
  <c r="D1945" i="4"/>
  <c r="E1945" i="4"/>
  <c r="D1946" i="4"/>
  <c r="E1946" i="4"/>
  <c r="D1947" i="4"/>
  <c r="E1947" i="4"/>
  <c r="D1948" i="4"/>
  <c r="E1948" i="4"/>
  <c r="D1949" i="4"/>
  <c r="E1949" i="4"/>
  <c r="D1950" i="4"/>
  <c r="E1950" i="4"/>
  <c r="D1951" i="4"/>
  <c r="E1951" i="4"/>
  <c r="D1952" i="4"/>
  <c r="E1952" i="4"/>
  <c r="D1953" i="4"/>
  <c r="E1953" i="4"/>
  <c r="D1954" i="4"/>
  <c r="E1954" i="4"/>
  <c r="D1955" i="4"/>
  <c r="E1955" i="4"/>
  <c r="D1956" i="4"/>
  <c r="E1956" i="4"/>
  <c r="D1957" i="4"/>
  <c r="E1957" i="4"/>
  <c r="D1958" i="4"/>
  <c r="E1958" i="4"/>
  <c r="D1959" i="4"/>
  <c r="E1959" i="4"/>
  <c r="D1960" i="4"/>
  <c r="E1960" i="4"/>
  <c r="D1961" i="4"/>
  <c r="E1961" i="4"/>
  <c r="D1962" i="4"/>
  <c r="E1962" i="4"/>
  <c r="D1963" i="4"/>
  <c r="E1963" i="4"/>
  <c r="D1964" i="4"/>
  <c r="E1964" i="4"/>
  <c r="D1965" i="4"/>
  <c r="E1965" i="4"/>
  <c r="D1966" i="4"/>
  <c r="E1966" i="4"/>
  <c r="D1967" i="4"/>
  <c r="E1967" i="4"/>
  <c r="D1968" i="4"/>
  <c r="E1968" i="4"/>
  <c r="D1969" i="4"/>
  <c r="E1969" i="4"/>
  <c r="D1970" i="4"/>
  <c r="E1970" i="4"/>
  <c r="D1971" i="4"/>
  <c r="E1971" i="4"/>
  <c r="D1972" i="4"/>
  <c r="E1972" i="4"/>
  <c r="D1973" i="4"/>
  <c r="E1973" i="4"/>
  <c r="D1974" i="4"/>
  <c r="E1974" i="4"/>
  <c r="D1975" i="4"/>
  <c r="E1975" i="4"/>
  <c r="D1976" i="4"/>
  <c r="E1976" i="4"/>
  <c r="D1977" i="4"/>
  <c r="E1977" i="4"/>
  <c r="D1978" i="4"/>
  <c r="E1978" i="4"/>
  <c r="D1979" i="4"/>
  <c r="E1979" i="4"/>
  <c r="D1980" i="4"/>
  <c r="E1980" i="4"/>
  <c r="D1981" i="4"/>
  <c r="E1981" i="4"/>
  <c r="D1982" i="4"/>
  <c r="E1982" i="4"/>
  <c r="D1983" i="4"/>
  <c r="E1983" i="4"/>
  <c r="D1984" i="4"/>
  <c r="E1984" i="4"/>
  <c r="D1985" i="4"/>
  <c r="E1985" i="4"/>
  <c r="D1986" i="4"/>
  <c r="E1986" i="4"/>
  <c r="D1987" i="4"/>
  <c r="E1987" i="4"/>
  <c r="D1988" i="4"/>
  <c r="E1988" i="4"/>
  <c r="D1989" i="4"/>
  <c r="E1989" i="4"/>
  <c r="D1990" i="4"/>
  <c r="E1990" i="4"/>
  <c r="F54" i="8"/>
  <c r="F53" i="8"/>
  <c r="F52" i="8"/>
  <c r="F51" i="8"/>
  <c r="F50" i="8"/>
  <c r="F49" i="8"/>
  <c r="F48" i="8"/>
  <c r="F47" i="8"/>
  <c r="F46" i="8"/>
  <c r="F45" i="8"/>
  <c r="F40" i="8"/>
  <c r="F39" i="8"/>
  <c r="F38" i="8"/>
  <c r="F37" i="8"/>
  <c r="F36" i="8"/>
  <c r="F35" i="8"/>
  <c r="F34" i="8"/>
  <c r="F33" i="8"/>
  <c r="F32" i="8"/>
  <c r="F31" i="8"/>
  <c r="F26" i="8"/>
  <c r="F25" i="8"/>
  <c r="F24" i="8"/>
  <c r="F23" i="8"/>
  <c r="F22" i="8"/>
  <c r="F21" i="8"/>
  <c r="F20" i="8"/>
  <c r="F19" i="8"/>
  <c r="F18" i="8"/>
  <c r="F17" i="8"/>
  <c r="F13" i="8"/>
  <c r="F12" i="8"/>
  <c r="F11" i="8"/>
  <c r="F10" i="8"/>
  <c r="F9" i="8"/>
  <c r="F8" i="8"/>
  <c r="F7" i="8"/>
  <c r="F6" i="8"/>
  <c r="F5" i="8"/>
  <c r="F4" i="8"/>
  <c r="C1" i="1" l="1"/>
  <c r="B139" i="1"/>
  <c r="C139" i="1" s="1"/>
  <c r="B140" i="1"/>
  <c r="C140" i="1" s="1"/>
  <c r="B141" i="1"/>
  <c r="C141" i="1" s="1"/>
  <c r="B142" i="1"/>
  <c r="C142" i="1" s="1"/>
  <c r="B143" i="1"/>
  <c r="C143" i="1" s="1"/>
  <c r="B145" i="1"/>
  <c r="B146" i="1" s="1"/>
  <c r="C146" i="1" s="1"/>
  <c r="B4" i="1"/>
  <c r="C4" i="1" s="1"/>
  <c r="B5" i="1"/>
  <c r="C5" i="1" s="1"/>
  <c r="B6" i="1"/>
  <c r="C6" i="1" s="1"/>
  <c r="B7" i="1"/>
  <c r="C7" i="1" s="1"/>
  <c r="B22" i="1"/>
  <c r="C22" i="1" s="1"/>
  <c r="B23" i="1"/>
  <c r="B24" i="1" s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1" i="1"/>
  <c r="C31" i="1" s="1"/>
  <c r="B32" i="1"/>
  <c r="C32" i="1" s="1"/>
  <c r="B34" i="1"/>
  <c r="B35" i="1" s="1"/>
  <c r="C35" i="1" s="1"/>
  <c r="B55" i="1"/>
  <c r="C55" i="1" s="1"/>
  <c r="B56" i="1"/>
  <c r="C56" i="1" s="1"/>
  <c r="B122" i="1"/>
  <c r="C122" i="1" s="1"/>
  <c r="B124" i="1"/>
  <c r="C124" i="1" s="1"/>
  <c r="B126" i="1"/>
  <c r="B127" i="1" s="1"/>
  <c r="B130" i="1"/>
  <c r="B131" i="1" s="1"/>
  <c r="C131" i="1" s="1"/>
  <c r="B132" i="1"/>
  <c r="B133" i="1" s="1"/>
  <c r="C133" i="1" s="1"/>
  <c r="B134" i="1"/>
  <c r="C134" i="1" s="1"/>
  <c r="B2" i="1"/>
  <c r="C2" i="1" s="1"/>
  <c r="B123" i="1" l="1"/>
  <c r="C123" i="1" s="1"/>
  <c r="B30" i="1"/>
  <c r="C30" i="1" s="1"/>
  <c r="B135" i="1"/>
  <c r="B57" i="1"/>
  <c r="C57" i="1" s="1"/>
  <c r="B125" i="1"/>
  <c r="C125" i="1" s="1"/>
  <c r="B58" i="1"/>
  <c r="B59" i="1" s="1"/>
  <c r="B33" i="1"/>
  <c r="C33" i="1" s="1"/>
  <c r="B8" i="1"/>
  <c r="B9" i="1" s="1"/>
  <c r="B144" i="1"/>
  <c r="C144" i="1" s="1"/>
  <c r="B36" i="1"/>
  <c r="C23" i="1"/>
  <c r="C145" i="1"/>
  <c r="C126" i="1"/>
  <c r="B128" i="1"/>
  <c r="C127" i="1"/>
  <c r="B3" i="1"/>
  <c r="C3" i="1" s="1"/>
  <c r="C132" i="1"/>
  <c r="C130" i="1"/>
  <c r="C34" i="1"/>
  <c r="C8" i="1" l="1"/>
  <c r="C58" i="1"/>
  <c r="C135" i="1"/>
  <c r="B136" i="1"/>
  <c r="C59" i="1"/>
  <c r="B60" i="1"/>
  <c r="C36" i="1"/>
  <c r="B37" i="1"/>
  <c r="C9" i="1"/>
  <c r="B10" i="1"/>
  <c r="B129" i="1"/>
  <c r="C129" i="1" s="1"/>
  <c r="C128" i="1"/>
  <c r="C136" i="1" l="1"/>
  <c r="B137" i="1"/>
  <c r="C10" i="1"/>
  <c r="B11" i="1"/>
  <c r="C60" i="1"/>
  <c r="B61" i="1"/>
  <c r="C37" i="1"/>
  <c r="B38" i="1"/>
  <c r="C137" i="1" l="1"/>
  <c r="B138" i="1"/>
  <c r="C138" i="1" s="1"/>
  <c r="C38" i="1"/>
  <c r="B39" i="1"/>
  <c r="C11" i="1"/>
  <c r="B12" i="1"/>
  <c r="C61" i="1"/>
  <c r="B62" i="1"/>
  <c r="B13" i="1" l="1"/>
  <c r="C12" i="1"/>
  <c r="B63" i="1"/>
  <c r="C62" i="1"/>
  <c r="B40" i="1"/>
  <c r="C39" i="1"/>
  <c r="C40" i="1" l="1"/>
  <c r="B41" i="1"/>
  <c r="C63" i="1"/>
  <c r="B64" i="1"/>
  <c r="B14" i="1"/>
  <c r="C13" i="1"/>
  <c r="B17" i="1"/>
  <c r="B65" i="1" l="1"/>
  <c r="C64" i="1"/>
  <c r="B42" i="1"/>
  <c r="C41" i="1"/>
  <c r="B15" i="1"/>
  <c r="C14" i="1"/>
  <c r="B18" i="1"/>
  <c r="C17" i="1"/>
  <c r="B16" i="1" l="1"/>
  <c r="C16" i="1" s="1"/>
  <c r="C15" i="1"/>
  <c r="B43" i="1"/>
  <c r="C42" i="1"/>
  <c r="C65" i="1"/>
  <c r="B66" i="1"/>
  <c r="B19" i="1"/>
  <c r="C18" i="1"/>
  <c r="B44" i="1" l="1"/>
  <c r="C43" i="1"/>
  <c r="B67" i="1"/>
  <c r="C66" i="1"/>
  <c r="B20" i="1"/>
  <c r="C19" i="1"/>
  <c r="B68" i="1" l="1"/>
  <c r="C67" i="1"/>
  <c r="B45" i="1"/>
  <c r="C44" i="1"/>
  <c r="B21" i="1"/>
  <c r="C21" i="1" s="1"/>
  <c r="C20" i="1"/>
  <c r="B50" i="1"/>
  <c r="B46" i="1" l="1"/>
  <c r="C45" i="1"/>
  <c r="C68" i="1"/>
  <c r="B69" i="1"/>
  <c r="B51" i="1"/>
  <c r="C50" i="1"/>
  <c r="B70" i="1" l="1"/>
  <c r="C69" i="1"/>
  <c r="B47" i="1"/>
  <c r="C46" i="1"/>
  <c r="B52" i="1"/>
  <c r="C51" i="1"/>
  <c r="B48" i="1" l="1"/>
  <c r="C47" i="1"/>
  <c r="B71" i="1"/>
  <c r="C70" i="1"/>
  <c r="B53" i="1"/>
  <c r="C52" i="1"/>
  <c r="B72" i="1" l="1"/>
  <c r="C71" i="1"/>
  <c r="C48" i="1"/>
  <c r="B49" i="1"/>
  <c r="C49" i="1" s="1"/>
  <c r="B54" i="1"/>
  <c r="C54" i="1" s="1"/>
  <c r="C53" i="1"/>
  <c r="C72" i="1" l="1"/>
  <c r="B73" i="1"/>
  <c r="B74" i="1" l="1"/>
  <c r="C73" i="1"/>
  <c r="B75" i="1" l="1"/>
  <c r="C74" i="1"/>
  <c r="C75" i="1" l="1"/>
  <c r="B76" i="1"/>
  <c r="B77" i="1" l="1"/>
  <c r="C76" i="1"/>
  <c r="C77" i="1" l="1"/>
  <c r="B78" i="1"/>
  <c r="B79" i="1" l="1"/>
  <c r="C78" i="1"/>
  <c r="C79" i="1" l="1"/>
  <c r="B80" i="1"/>
  <c r="B81" i="1" l="1"/>
  <c r="C80" i="1"/>
  <c r="B82" i="1" l="1"/>
  <c r="C81" i="1"/>
  <c r="B83" i="1" l="1"/>
  <c r="C82" i="1"/>
  <c r="B84" i="1" l="1"/>
  <c r="C83" i="1"/>
  <c r="B85" i="1" l="1"/>
  <c r="C84" i="1"/>
  <c r="B86" i="1" l="1"/>
  <c r="C85" i="1"/>
  <c r="J8" i="8"/>
  <c r="K8" i="8" s="1"/>
  <c r="B87" i="1" l="1"/>
  <c r="C86" i="1"/>
  <c r="T2" i="1"/>
  <c r="T1" i="1"/>
  <c r="C87" i="1" l="1"/>
  <c r="B88" i="1"/>
  <c r="K2" i="1"/>
  <c r="K3" i="1" s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E2" i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B89" i="1" l="1"/>
  <c r="C88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H1" i="1"/>
  <c r="L1" i="1" s="1"/>
  <c r="B90" i="1" l="1"/>
  <c r="C89" i="1"/>
  <c r="H2" i="1"/>
  <c r="J1" i="1"/>
  <c r="B91" i="1" l="1"/>
  <c r="C90" i="1"/>
  <c r="H3" i="1"/>
  <c r="J2" i="1"/>
  <c r="L2" i="1" s="1"/>
  <c r="B92" i="1" l="1"/>
  <c r="C91" i="1"/>
  <c r="H4" i="1"/>
  <c r="J3" i="1"/>
  <c r="B93" i="1" l="1"/>
  <c r="C92" i="1"/>
  <c r="H5" i="1"/>
  <c r="J4" i="1"/>
  <c r="B94" i="1" l="1"/>
  <c r="C93" i="1"/>
  <c r="H6" i="1"/>
  <c r="J5" i="1"/>
  <c r="B95" i="1" l="1"/>
  <c r="C94" i="1"/>
  <c r="H7" i="1"/>
  <c r="J6" i="1"/>
  <c r="C95" i="1" l="1"/>
  <c r="B96" i="1"/>
  <c r="H8" i="1"/>
  <c r="J7" i="1"/>
  <c r="B97" i="1" l="1"/>
  <c r="C96" i="1"/>
  <c r="H9" i="1"/>
  <c r="J8" i="1"/>
  <c r="B98" i="1" l="1"/>
  <c r="C97" i="1"/>
  <c r="H10" i="1"/>
  <c r="J9" i="1"/>
  <c r="B99" i="1" l="1"/>
  <c r="C98" i="1"/>
  <c r="H11" i="1"/>
  <c r="J10" i="1"/>
  <c r="B100" i="1" l="1"/>
  <c r="C99" i="1"/>
  <c r="H12" i="1"/>
  <c r="J11" i="1"/>
  <c r="C100" i="1" l="1"/>
  <c r="B101" i="1"/>
  <c r="H13" i="1"/>
  <c r="J12" i="1"/>
  <c r="B102" i="1" l="1"/>
  <c r="C101" i="1"/>
  <c r="H14" i="1"/>
  <c r="J13" i="1"/>
  <c r="B103" i="1" l="1"/>
  <c r="C102" i="1"/>
  <c r="H15" i="1"/>
  <c r="J14" i="1"/>
  <c r="B104" i="1" l="1"/>
  <c r="C103" i="1"/>
  <c r="H16" i="1"/>
  <c r="J15" i="1"/>
  <c r="B105" i="1" l="1"/>
  <c r="C104" i="1"/>
  <c r="H17" i="1"/>
  <c r="J16" i="1"/>
  <c r="C105" i="1" l="1"/>
  <c r="B106" i="1"/>
  <c r="H18" i="1"/>
  <c r="J17" i="1"/>
  <c r="B107" i="1" l="1"/>
  <c r="C106" i="1"/>
  <c r="H19" i="1"/>
  <c r="J18" i="1"/>
  <c r="B108" i="1" l="1"/>
  <c r="C107" i="1"/>
  <c r="H20" i="1"/>
  <c r="J19" i="1"/>
  <c r="B109" i="1" l="1"/>
  <c r="C108" i="1"/>
  <c r="H21" i="1"/>
  <c r="J20" i="1"/>
  <c r="B110" i="1" l="1"/>
  <c r="C109" i="1"/>
  <c r="B115" i="1"/>
  <c r="H22" i="1"/>
  <c r="J21" i="1"/>
  <c r="C110" i="1" l="1"/>
  <c r="B111" i="1"/>
  <c r="B116" i="1"/>
  <c r="C115" i="1"/>
  <c r="J22" i="1"/>
  <c r="H23" i="1"/>
  <c r="B112" i="1" l="1"/>
  <c r="C111" i="1"/>
  <c r="B117" i="1"/>
  <c r="C116" i="1"/>
  <c r="H24" i="1"/>
  <c r="J23" i="1"/>
  <c r="B113" i="1" l="1"/>
  <c r="C112" i="1"/>
  <c r="B118" i="1"/>
  <c r="C117" i="1"/>
  <c r="H25" i="1"/>
  <c r="J24" i="1"/>
  <c r="B114" i="1" l="1"/>
  <c r="C114" i="1" s="1"/>
  <c r="C113" i="1"/>
  <c r="B119" i="1"/>
  <c r="C118" i="1"/>
  <c r="J25" i="1"/>
  <c r="H26" i="1"/>
  <c r="C119" i="1" l="1"/>
  <c r="B120" i="1"/>
  <c r="J26" i="1"/>
  <c r="H27" i="1"/>
  <c r="B121" i="1" l="1"/>
  <c r="C121" i="1" s="1"/>
  <c r="C120" i="1"/>
  <c r="L3" i="1"/>
  <c r="H28" i="1"/>
  <c r="J27" i="1"/>
  <c r="J28" i="1" l="1"/>
  <c r="H29" i="1"/>
  <c r="L11" i="1" l="1"/>
  <c r="L7" i="1"/>
  <c r="L10" i="1"/>
  <c r="J29" i="1"/>
  <c r="H30" i="1"/>
  <c r="L27" i="1" l="1"/>
  <c r="L4" i="1"/>
  <c r="N1" i="1" s="1"/>
  <c r="L29" i="1"/>
  <c r="L8" i="1"/>
  <c r="L24" i="1"/>
  <c r="L17" i="1"/>
  <c r="L20" i="1"/>
  <c r="L12" i="1"/>
  <c r="L6" i="1"/>
  <c r="L14" i="1"/>
  <c r="L23" i="1"/>
  <c r="L26" i="1"/>
  <c r="L16" i="1"/>
  <c r="L18" i="1"/>
  <c r="L19" i="1"/>
  <c r="L25" i="1"/>
  <c r="L5" i="1"/>
  <c r="L21" i="1"/>
  <c r="L13" i="1"/>
  <c r="L28" i="1"/>
  <c r="L15" i="1"/>
  <c r="L9" i="1"/>
  <c r="L22" i="1"/>
  <c r="H31" i="1"/>
  <c r="J30" i="1"/>
  <c r="L30" i="1" s="1"/>
  <c r="A18" i="3" l="1"/>
  <c r="X47" i="3" s="1"/>
  <c r="U1" i="1"/>
  <c r="J31" i="1"/>
  <c r="L31" i="1" s="1"/>
  <c r="H32" i="1"/>
  <c r="L47" i="3" l="1"/>
  <c r="R47" i="3"/>
  <c r="V47" i="3"/>
  <c r="O47" i="3"/>
  <c r="U47" i="3"/>
  <c r="E47" i="3"/>
  <c r="M47" i="3"/>
  <c r="D47" i="3"/>
  <c r="N47" i="3"/>
  <c r="F47" i="3"/>
  <c r="K47" i="3"/>
  <c r="T47" i="3"/>
  <c r="S47" i="3"/>
  <c r="H47" i="3"/>
  <c r="G47" i="3"/>
  <c r="X48" i="3"/>
  <c r="X34" i="3"/>
  <c r="D34" i="3" s="1"/>
  <c r="X19" i="3"/>
  <c r="X56" i="3"/>
  <c r="X49" i="3"/>
  <c r="X38" i="3"/>
  <c r="X39" i="3"/>
  <c r="X44" i="3"/>
  <c r="X37" i="3"/>
  <c r="X28" i="3"/>
  <c r="X30" i="3"/>
  <c r="X53" i="3"/>
  <c r="X54" i="3"/>
  <c r="X42" i="3"/>
  <c r="X25" i="3"/>
  <c r="X27" i="3"/>
  <c r="X58" i="3"/>
  <c r="X24" i="3"/>
  <c r="X50" i="3"/>
  <c r="X51" i="3"/>
  <c r="X20" i="3"/>
  <c r="X33" i="3"/>
  <c r="X55" i="3"/>
  <c r="X29" i="3"/>
  <c r="D29" i="3" s="1"/>
  <c r="X43" i="3"/>
  <c r="X22" i="3"/>
  <c r="X41" i="3"/>
  <c r="X36" i="3"/>
  <c r="X23" i="3"/>
  <c r="X26" i="3"/>
  <c r="X40" i="3"/>
  <c r="X52" i="3"/>
  <c r="X21" i="3"/>
  <c r="X35" i="3"/>
  <c r="X57" i="3"/>
  <c r="H33" i="1"/>
  <c r="J32" i="1"/>
  <c r="L32" i="1" s="1"/>
  <c r="V58" i="3" l="1"/>
  <c r="U58" i="3"/>
  <c r="T58" i="3"/>
  <c r="S58" i="3"/>
  <c r="D58" i="3"/>
  <c r="H58" i="3"/>
  <c r="G58" i="3"/>
  <c r="L58" i="3"/>
  <c r="K58" i="3"/>
  <c r="O58" i="3"/>
  <c r="R58" i="3"/>
  <c r="F58" i="3"/>
  <c r="N58" i="3"/>
  <c r="E58" i="3"/>
  <c r="M58" i="3"/>
  <c r="F48" i="3"/>
  <c r="N48" i="3"/>
  <c r="M48" i="3"/>
  <c r="D48" i="3"/>
  <c r="O48" i="3"/>
  <c r="E48" i="3"/>
  <c r="U48" i="3"/>
  <c r="T48" i="3"/>
  <c r="K48" i="3"/>
  <c r="H48" i="3"/>
  <c r="S48" i="3"/>
  <c r="V48" i="3"/>
  <c r="L48" i="3"/>
  <c r="G48" i="3"/>
  <c r="R48" i="3"/>
  <c r="I47" i="3"/>
  <c r="T51" i="3"/>
  <c r="K51" i="3"/>
  <c r="H51" i="3"/>
  <c r="R51" i="3"/>
  <c r="L51" i="3"/>
  <c r="F51" i="3"/>
  <c r="N51" i="3"/>
  <c r="S51" i="3"/>
  <c r="D51" i="3"/>
  <c r="V51" i="3"/>
  <c r="U51" i="3"/>
  <c r="G51" i="3"/>
  <c r="E51" i="3"/>
  <c r="M51" i="3"/>
  <c r="O51" i="3"/>
  <c r="T53" i="3"/>
  <c r="M53" i="3"/>
  <c r="K53" i="3"/>
  <c r="F53" i="3"/>
  <c r="O53" i="3"/>
  <c r="N53" i="3"/>
  <c r="S53" i="3"/>
  <c r="H53" i="3"/>
  <c r="E53" i="3"/>
  <c r="D53" i="3"/>
  <c r="G53" i="3"/>
  <c r="L53" i="3"/>
  <c r="V53" i="3"/>
  <c r="U53" i="3"/>
  <c r="R53" i="3"/>
  <c r="E56" i="3"/>
  <c r="N56" i="3"/>
  <c r="V56" i="3"/>
  <c r="D56" i="3"/>
  <c r="L56" i="3"/>
  <c r="U56" i="3"/>
  <c r="O56" i="3"/>
  <c r="K56" i="3"/>
  <c r="M56" i="3"/>
  <c r="S56" i="3"/>
  <c r="R56" i="3"/>
  <c r="T56" i="3"/>
  <c r="G56" i="3"/>
  <c r="F56" i="3"/>
  <c r="H56" i="3"/>
  <c r="U57" i="3"/>
  <c r="N57" i="3"/>
  <c r="E57" i="3"/>
  <c r="S57" i="3"/>
  <c r="R57" i="3"/>
  <c r="L57" i="3"/>
  <c r="D57" i="3"/>
  <c r="F57" i="3"/>
  <c r="T57" i="3"/>
  <c r="H57" i="3"/>
  <c r="G57" i="3"/>
  <c r="K57" i="3"/>
  <c r="O57" i="3"/>
  <c r="V57" i="3"/>
  <c r="M57" i="3"/>
  <c r="K52" i="3"/>
  <c r="S52" i="3"/>
  <c r="G52" i="3"/>
  <c r="O52" i="3"/>
  <c r="T52" i="3"/>
  <c r="U52" i="3"/>
  <c r="E52" i="3"/>
  <c r="V52" i="3"/>
  <c r="H52" i="3"/>
  <c r="N52" i="3"/>
  <c r="M52" i="3"/>
  <c r="L52" i="3"/>
  <c r="F52" i="3"/>
  <c r="D52" i="3"/>
  <c r="R52" i="3"/>
  <c r="G55" i="3"/>
  <c r="N55" i="3"/>
  <c r="D55" i="3"/>
  <c r="M55" i="3"/>
  <c r="U55" i="3"/>
  <c r="V55" i="3"/>
  <c r="S55" i="3"/>
  <c r="H55" i="3"/>
  <c r="T55" i="3"/>
  <c r="K55" i="3"/>
  <c r="E55" i="3"/>
  <c r="L55" i="3"/>
  <c r="R55" i="3"/>
  <c r="O55" i="3"/>
  <c r="F55" i="3"/>
  <c r="R54" i="3"/>
  <c r="O54" i="3"/>
  <c r="N54" i="3"/>
  <c r="F54" i="3"/>
  <c r="E54" i="3"/>
  <c r="D54" i="3"/>
  <c r="T54" i="3"/>
  <c r="K54" i="3"/>
  <c r="V54" i="3"/>
  <c r="S54" i="3"/>
  <c r="G54" i="3"/>
  <c r="L54" i="3"/>
  <c r="U54" i="3"/>
  <c r="M54" i="3"/>
  <c r="H54" i="3"/>
  <c r="D49" i="3"/>
  <c r="N49" i="3"/>
  <c r="F49" i="3"/>
  <c r="U49" i="3"/>
  <c r="T49" i="3"/>
  <c r="E49" i="3"/>
  <c r="L49" i="3"/>
  <c r="K49" i="3"/>
  <c r="G49" i="3"/>
  <c r="S49" i="3"/>
  <c r="H49" i="3"/>
  <c r="V49" i="3"/>
  <c r="O49" i="3"/>
  <c r="R49" i="3"/>
  <c r="M49" i="3"/>
  <c r="W47" i="3"/>
  <c r="P47" i="3"/>
  <c r="L50" i="3"/>
  <c r="K50" i="3"/>
  <c r="F50" i="3"/>
  <c r="T50" i="3"/>
  <c r="R50" i="3"/>
  <c r="M50" i="3"/>
  <c r="S50" i="3"/>
  <c r="G50" i="3"/>
  <c r="O50" i="3"/>
  <c r="H50" i="3"/>
  <c r="V50" i="3"/>
  <c r="E50" i="3"/>
  <c r="D50" i="3"/>
  <c r="U50" i="3"/>
  <c r="N50" i="3"/>
  <c r="T39" i="3"/>
  <c r="L39" i="3"/>
  <c r="H39" i="3"/>
  <c r="U39" i="3"/>
  <c r="F39" i="3"/>
  <c r="K39" i="3"/>
  <c r="O39" i="3"/>
  <c r="R39" i="3"/>
  <c r="S39" i="3"/>
  <c r="E39" i="3"/>
  <c r="G39" i="3"/>
  <c r="D39" i="3"/>
  <c r="N39" i="3"/>
  <c r="V39" i="3"/>
  <c r="M39" i="3"/>
  <c r="K25" i="3"/>
  <c r="D25" i="3"/>
  <c r="U25" i="3"/>
  <c r="H25" i="3"/>
  <c r="O25" i="3"/>
  <c r="S25" i="3"/>
  <c r="R25" i="3"/>
  <c r="N25" i="3"/>
  <c r="L25" i="3"/>
  <c r="T25" i="3"/>
  <c r="G25" i="3"/>
  <c r="M25" i="3"/>
  <c r="F25" i="3"/>
  <c r="E25" i="3"/>
  <c r="V25" i="3"/>
  <c r="K38" i="3"/>
  <c r="O38" i="3"/>
  <c r="S38" i="3"/>
  <c r="V38" i="3"/>
  <c r="H38" i="3"/>
  <c r="F38" i="3"/>
  <c r="N38" i="3"/>
  <c r="E38" i="3"/>
  <c r="M38" i="3"/>
  <c r="D38" i="3"/>
  <c r="U38" i="3"/>
  <c r="L38" i="3"/>
  <c r="R38" i="3"/>
  <c r="T38" i="3"/>
  <c r="G38" i="3"/>
  <c r="D20" i="3"/>
  <c r="U20" i="3"/>
  <c r="G20" i="3"/>
  <c r="F20" i="3"/>
  <c r="E20" i="3"/>
  <c r="V20" i="3"/>
  <c r="R20" i="3"/>
  <c r="L20" i="3"/>
  <c r="H20" i="3"/>
  <c r="N20" i="3"/>
  <c r="O20" i="3"/>
  <c r="M20" i="3"/>
  <c r="S20" i="3"/>
  <c r="K20" i="3"/>
  <c r="T20" i="3"/>
  <c r="R27" i="3"/>
  <c r="T27" i="3"/>
  <c r="M27" i="3"/>
  <c r="F27" i="3"/>
  <c r="N27" i="3"/>
  <c r="S27" i="3"/>
  <c r="G27" i="3"/>
  <c r="K27" i="3"/>
  <c r="U27" i="3"/>
  <c r="H27" i="3"/>
  <c r="E27" i="3"/>
  <c r="D27" i="3"/>
  <c r="L27" i="3"/>
  <c r="V27" i="3"/>
  <c r="O27" i="3"/>
  <c r="M42" i="3"/>
  <c r="V42" i="3"/>
  <c r="T42" i="3"/>
  <c r="L42" i="3"/>
  <c r="H42" i="3"/>
  <c r="D42" i="3"/>
  <c r="G42" i="3"/>
  <c r="U42" i="3"/>
  <c r="R42" i="3"/>
  <c r="K42" i="3"/>
  <c r="E42" i="3"/>
  <c r="F42" i="3"/>
  <c r="S42" i="3"/>
  <c r="O42" i="3"/>
  <c r="N42" i="3"/>
  <c r="V35" i="3"/>
  <c r="D35" i="3"/>
  <c r="U35" i="3"/>
  <c r="M35" i="3"/>
  <c r="S35" i="3"/>
  <c r="L35" i="3"/>
  <c r="G35" i="3"/>
  <c r="K35" i="3"/>
  <c r="H35" i="3"/>
  <c r="E35" i="3"/>
  <c r="T35" i="3"/>
  <c r="N35" i="3"/>
  <c r="R35" i="3"/>
  <c r="O35" i="3"/>
  <c r="F35" i="3"/>
  <c r="H30" i="3"/>
  <c r="E30" i="3"/>
  <c r="T30" i="3"/>
  <c r="U30" i="3"/>
  <c r="N30" i="3"/>
  <c r="M30" i="3"/>
  <c r="R30" i="3"/>
  <c r="V30" i="3"/>
  <c r="D30" i="3"/>
  <c r="L30" i="3"/>
  <c r="K30" i="3"/>
  <c r="G30" i="3"/>
  <c r="O30" i="3"/>
  <c r="S30" i="3"/>
  <c r="F30" i="3"/>
  <c r="T40" i="3"/>
  <c r="V40" i="3"/>
  <c r="H40" i="3"/>
  <c r="L40" i="3"/>
  <c r="N40" i="3"/>
  <c r="R40" i="3"/>
  <c r="M40" i="3"/>
  <c r="F40" i="3"/>
  <c r="S40" i="3"/>
  <c r="E40" i="3"/>
  <c r="G40" i="3"/>
  <c r="U40" i="3"/>
  <c r="O40" i="3"/>
  <c r="K40" i="3"/>
  <c r="D40" i="3"/>
  <c r="K26" i="3"/>
  <c r="F26" i="3"/>
  <c r="V26" i="3"/>
  <c r="O26" i="3"/>
  <c r="U26" i="3"/>
  <c r="N26" i="3"/>
  <c r="G26" i="3"/>
  <c r="T26" i="3"/>
  <c r="S26" i="3"/>
  <c r="E26" i="3"/>
  <c r="H26" i="3"/>
  <c r="D26" i="3"/>
  <c r="M26" i="3"/>
  <c r="L26" i="3"/>
  <c r="R26" i="3"/>
  <c r="V23" i="3"/>
  <c r="H23" i="3"/>
  <c r="K23" i="3"/>
  <c r="F23" i="3"/>
  <c r="T23" i="3"/>
  <c r="E23" i="3"/>
  <c r="U23" i="3"/>
  <c r="L23" i="3"/>
  <c r="N23" i="3"/>
  <c r="S23" i="3"/>
  <c r="G23" i="3"/>
  <c r="M23" i="3"/>
  <c r="R23" i="3"/>
  <c r="D23" i="3"/>
  <c r="O23" i="3"/>
  <c r="K36" i="3"/>
  <c r="U36" i="3"/>
  <c r="R36" i="3"/>
  <c r="T36" i="3"/>
  <c r="F36" i="3"/>
  <c r="H36" i="3"/>
  <c r="O36" i="3"/>
  <c r="G36" i="3"/>
  <c r="M36" i="3"/>
  <c r="N36" i="3"/>
  <c r="S36" i="3"/>
  <c r="E36" i="3"/>
  <c r="D36" i="3"/>
  <c r="L36" i="3"/>
  <c r="V36" i="3"/>
  <c r="U41" i="3"/>
  <c r="D41" i="3"/>
  <c r="K41" i="3"/>
  <c r="S41" i="3"/>
  <c r="G41" i="3"/>
  <c r="H41" i="3"/>
  <c r="F41" i="3"/>
  <c r="M41" i="3"/>
  <c r="E41" i="3"/>
  <c r="O41" i="3"/>
  <c r="V41" i="3"/>
  <c r="N41" i="3"/>
  <c r="T41" i="3"/>
  <c r="L41" i="3"/>
  <c r="R41" i="3"/>
  <c r="V22" i="3"/>
  <c r="R22" i="3"/>
  <c r="E22" i="3"/>
  <c r="L22" i="3"/>
  <c r="K22" i="3"/>
  <c r="G22" i="3"/>
  <c r="O22" i="3"/>
  <c r="M22" i="3"/>
  <c r="F22" i="3"/>
  <c r="T22" i="3"/>
  <c r="U22" i="3"/>
  <c r="S22" i="3"/>
  <c r="H22" i="3"/>
  <c r="D22" i="3"/>
  <c r="N22" i="3"/>
  <c r="F24" i="3"/>
  <c r="D24" i="3"/>
  <c r="V24" i="3"/>
  <c r="K24" i="3"/>
  <c r="U24" i="3"/>
  <c r="H24" i="3"/>
  <c r="L24" i="3"/>
  <c r="M24" i="3"/>
  <c r="E24" i="3"/>
  <c r="T24" i="3"/>
  <c r="O24" i="3"/>
  <c r="G24" i="3"/>
  <c r="N24" i="3"/>
  <c r="R24" i="3"/>
  <c r="S24" i="3"/>
  <c r="T28" i="3"/>
  <c r="H28" i="3"/>
  <c r="F28" i="3"/>
  <c r="M28" i="3"/>
  <c r="L28" i="3"/>
  <c r="K28" i="3"/>
  <c r="S28" i="3"/>
  <c r="U28" i="3"/>
  <c r="R28" i="3"/>
  <c r="D28" i="3"/>
  <c r="G28" i="3"/>
  <c r="O28" i="3"/>
  <c r="N28" i="3"/>
  <c r="E28" i="3"/>
  <c r="V28" i="3"/>
  <c r="D19" i="3"/>
  <c r="N19" i="3"/>
  <c r="O19" i="3"/>
  <c r="G19" i="3"/>
  <c r="F19" i="3"/>
  <c r="K19" i="3"/>
  <c r="V19" i="3"/>
  <c r="E19" i="3"/>
  <c r="U19" i="3"/>
  <c r="T19" i="3"/>
  <c r="L19" i="3"/>
  <c r="R19" i="3"/>
  <c r="M19" i="3"/>
  <c r="S19" i="3"/>
  <c r="H19" i="3"/>
  <c r="K29" i="3"/>
  <c r="L29" i="3"/>
  <c r="N29" i="3"/>
  <c r="E29" i="3"/>
  <c r="V29" i="3"/>
  <c r="S29" i="3"/>
  <c r="M29" i="3"/>
  <c r="F29" i="3"/>
  <c r="T29" i="3"/>
  <c r="G29" i="3"/>
  <c r="H29" i="3"/>
  <c r="O29" i="3"/>
  <c r="U29" i="3"/>
  <c r="R29" i="3"/>
  <c r="M44" i="3"/>
  <c r="G44" i="3"/>
  <c r="D44" i="3"/>
  <c r="S44" i="3"/>
  <c r="N44" i="3"/>
  <c r="H44" i="3"/>
  <c r="E44" i="3"/>
  <c r="T44" i="3"/>
  <c r="O44" i="3"/>
  <c r="K44" i="3"/>
  <c r="F44" i="3"/>
  <c r="U44" i="3"/>
  <c r="R44" i="3"/>
  <c r="L44" i="3"/>
  <c r="V44" i="3"/>
  <c r="R33" i="3"/>
  <c r="M33" i="3"/>
  <c r="G33" i="3"/>
  <c r="S33" i="3"/>
  <c r="N33" i="3"/>
  <c r="H33" i="3"/>
  <c r="V33" i="3"/>
  <c r="K33" i="3"/>
  <c r="E33" i="3"/>
  <c r="U33" i="3"/>
  <c r="L33" i="3"/>
  <c r="O33" i="3"/>
  <c r="F33" i="3"/>
  <c r="T33" i="3"/>
  <c r="D33" i="3"/>
  <c r="U21" i="3"/>
  <c r="L21" i="3"/>
  <c r="E21" i="3"/>
  <c r="S21" i="3"/>
  <c r="K21" i="3"/>
  <c r="H21" i="3"/>
  <c r="N21" i="3"/>
  <c r="R21" i="3"/>
  <c r="D21" i="3"/>
  <c r="M21" i="3"/>
  <c r="V21" i="3"/>
  <c r="G21" i="3"/>
  <c r="F21" i="3"/>
  <c r="O21" i="3"/>
  <c r="T21" i="3"/>
  <c r="G43" i="3"/>
  <c r="R43" i="3"/>
  <c r="V43" i="3"/>
  <c r="S43" i="3"/>
  <c r="H43" i="3"/>
  <c r="O43" i="3"/>
  <c r="T43" i="3"/>
  <c r="E43" i="3"/>
  <c r="M43" i="3"/>
  <c r="D43" i="3"/>
  <c r="L43" i="3"/>
  <c r="K43" i="3"/>
  <c r="N43" i="3"/>
  <c r="U43" i="3"/>
  <c r="F43" i="3"/>
  <c r="U37" i="3"/>
  <c r="M37" i="3"/>
  <c r="S37" i="3"/>
  <c r="L37" i="3"/>
  <c r="H37" i="3"/>
  <c r="K37" i="3"/>
  <c r="F37" i="3"/>
  <c r="E37" i="3"/>
  <c r="R37" i="3"/>
  <c r="T37" i="3"/>
  <c r="N37" i="3"/>
  <c r="O37" i="3"/>
  <c r="D37" i="3"/>
  <c r="V37" i="3"/>
  <c r="G37" i="3"/>
  <c r="F34" i="3"/>
  <c r="S34" i="3"/>
  <c r="E34" i="3"/>
  <c r="H34" i="3"/>
  <c r="M34" i="3"/>
  <c r="N34" i="3"/>
  <c r="U34" i="3"/>
  <c r="V34" i="3"/>
  <c r="R34" i="3"/>
  <c r="O34" i="3"/>
  <c r="G34" i="3"/>
  <c r="L34" i="3"/>
  <c r="K34" i="3"/>
  <c r="T34" i="3"/>
  <c r="J33" i="1"/>
  <c r="L33" i="1" s="1"/>
  <c r="H34" i="1"/>
  <c r="L59" i="3" l="1"/>
  <c r="V60" i="3"/>
  <c r="N59" i="3"/>
  <c r="W50" i="3"/>
  <c r="V59" i="3"/>
  <c r="K59" i="3"/>
  <c r="P48" i="3"/>
  <c r="F60" i="3"/>
  <c r="M60" i="3"/>
  <c r="E59" i="3"/>
  <c r="M59" i="3"/>
  <c r="I53" i="3"/>
  <c r="H60" i="3"/>
  <c r="P50" i="3"/>
  <c r="O59" i="3"/>
  <c r="T60" i="3"/>
  <c r="S59" i="3"/>
  <c r="W53" i="3"/>
  <c r="L60" i="3"/>
  <c r="U60" i="3"/>
  <c r="S60" i="3"/>
  <c r="N60" i="3"/>
  <c r="G59" i="3"/>
  <c r="P53" i="3"/>
  <c r="P58" i="3"/>
  <c r="O60" i="3"/>
  <c r="W54" i="3"/>
  <c r="I57" i="3"/>
  <c r="W51" i="3"/>
  <c r="W48" i="3"/>
  <c r="T59" i="3"/>
  <c r="I49" i="3"/>
  <c r="P54" i="3"/>
  <c r="U59" i="3"/>
  <c r="W55" i="3"/>
  <c r="W52" i="3"/>
  <c r="G60" i="3"/>
  <c r="I58" i="3"/>
  <c r="I50" i="3"/>
  <c r="R60" i="3"/>
  <c r="P49" i="3"/>
  <c r="I52" i="3"/>
  <c r="W57" i="3"/>
  <c r="I56" i="3"/>
  <c r="P51" i="3"/>
  <c r="I54" i="3"/>
  <c r="E60" i="3"/>
  <c r="I55" i="3"/>
  <c r="P57" i="3"/>
  <c r="W56" i="3"/>
  <c r="I51" i="3"/>
  <c r="I48" i="3"/>
  <c r="W58" i="3"/>
  <c r="R59" i="3"/>
  <c r="W49" i="3"/>
  <c r="P55" i="3"/>
  <c r="H59" i="3"/>
  <c r="D59" i="3"/>
  <c r="P56" i="3"/>
  <c r="D60" i="3"/>
  <c r="F59" i="3"/>
  <c r="K60" i="3"/>
  <c r="P52" i="3"/>
  <c r="S46" i="3"/>
  <c r="L46" i="3"/>
  <c r="U46" i="3"/>
  <c r="G46" i="3"/>
  <c r="E46" i="3"/>
  <c r="K46" i="3"/>
  <c r="D46" i="3"/>
  <c r="V46" i="3"/>
  <c r="T46" i="3"/>
  <c r="H46" i="3"/>
  <c r="O46" i="3"/>
  <c r="M46" i="3"/>
  <c r="R46" i="3"/>
  <c r="F46" i="3"/>
  <c r="N46" i="3"/>
  <c r="I39" i="3"/>
  <c r="W34" i="3"/>
  <c r="P21" i="3"/>
  <c r="P28" i="3"/>
  <c r="P41" i="3"/>
  <c r="I23" i="3"/>
  <c r="W23" i="3"/>
  <c r="W28" i="3"/>
  <c r="P20" i="3"/>
  <c r="W38" i="3"/>
  <c r="L45" i="3"/>
  <c r="G45" i="3"/>
  <c r="P44" i="3"/>
  <c r="E31" i="3"/>
  <c r="E32" i="3"/>
  <c r="W24" i="3"/>
  <c r="P22" i="3"/>
  <c r="I40" i="3"/>
  <c r="P42" i="3"/>
  <c r="P27" i="3"/>
  <c r="I25" i="3"/>
  <c r="W39" i="3"/>
  <c r="W37" i="3"/>
  <c r="U45" i="3"/>
  <c r="M45" i="3"/>
  <c r="H31" i="3"/>
  <c r="H32" i="3"/>
  <c r="V32" i="3"/>
  <c r="V31" i="3"/>
  <c r="P36" i="3"/>
  <c r="P40" i="3"/>
  <c r="W40" i="3"/>
  <c r="W42" i="3"/>
  <c r="I38" i="3"/>
  <c r="P25" i="3"/>
  <c r="I34" i="3"/>
  <c r="E45" i="3"/>
  <c r="W33" i="3"/>
  <c r="R45" i="3"/>
  <c r="W29" i="3"/>
  <c r="S32" i="3"/>
  <c r="S31" i="3"/>
  <c r="K31" i="3"/>
  <c r="K32" i="3"/>
  <c r="P19" i="3"/>
  <c r="P24" i="3"/>
  <c r="I41" i="3"/>
  <c r="P30" i="3"/>
  <c r="I35" i="3"/>
  <c r="P38" i="3"/>
  <c r="P39" i="3"/>
  <c r="K45" i="3"/>
  <c r="P33" i="3"/>
  <c r="M32" i="3"/>
  <c r="M31" i="3"/>
  <c r="F31" i="3"/>
  <c r="F32" i="3"/>
  <c r="W22" i="3"/>
  <c r="I20" i="3"/>
  <c r="W25" i="3"/>
  <c r="P43" i="3"/>
  <c r="D45" i="3"/>
  <c r="I33" i="3"/>
  <c r="V45" i="3"/>
  <c r="I29" i="3"/>
  <c r="W19" i="3"/>
  <c r="R31" i="3"/>
  <c r="R32" i="3"/>
  <c r="G32" i="3"/>
  <c r="G31" i="3"/>
  <c r="I24" i="3"/>
  <c r="I26" i="3"/>
  <c r="I30" i="3"/>
  <c r="P35" i="3"/>
  <c r="I42" i="3"/>
  <c r="I27" i="3"/>
  <c r="P37" i="3"/>
  <c r="P34" i="3"/>
  <c r="I37" i="3"/>
  <c r="I21" i="3"/>
  <c r="T45" i="3"/>
  <c r="H45" i="3"/>
  <c r="W44" i="3"/>
  <c r="P29" i="3"/>
  <c r="L31" i="3"/>
  <c r="L32" i="3"/>
  <c r="O31" i="3"/>
  <c r="O32" i="3"/>
  <c r="I28" i="3"/>
  <c r="W41" i="3"/>
  <c r="I36" i="3"/>
  <c r="W20" i="3"/>
  <c r="I43" i="3"/>
  <c r="W43" i="3"/>
  <c r="W21" i="3"/>
  <c r="F45" i="3"/>
  <c r="N45" i="3"/>
  <c r="T32" i="3"/>
  <c r="T31" i="3"/>
  <c r="N31" i="3"/>
  <c r="N32" i="3"/>
  <c r="P23" i="3"/>
  <c r="W30" i="3"/>
  <c r="O45" i="3"/>
  <c r="S45" i="3"/>
  <c r="I44" i="3"/>
  <c r="U31" i="3"/>
  <c r="U32" i="3"/>
  <c r="D32" i="3"/>
  <c r="D31" i="3"/>
  <c r="I19" i="3"/>
  <c r="I22" i="3"/>
  <c r="W36" i="3"/>
  <c r="W26" i="3"/>
  <c r="P26" i="3"/>
  <c r="W35" i="3"/>
  <c r="W27" i="3"/>
  <c r="J34" i="1"/>
  <c r="L34" i="1" s="1"/>
  <c r="H35" i="1"/>
  <c r="W59" i="3" l="1"/>
  <c r="P60" i="3"/>
  <c r="I60" i="3"/>
  <c r="W60" i="3"/>
  <c r="I59" i="3"/>
  <c r="P59" i="3"/>
  <c r="I46" i="3"/>
  <c r="W46" i="3"/>
  <c r="P46" i="3"/>
  <c r="K68" i="3"/>
  <c r="K72" i="3" s="1"/>
  <c r="E66" i="3"/>
  <c r="E70" i="3" s="1"/>
  <c r="G66" i="3"/>
  <c r="G70" i="3" s="1"/>
  <c r="G67" i="3"/>
  <c r="G71" i="3" s="1"/>
  <c r="N66" i="3"/>
  <c r="N70" i="3" s="1"/>
  <c r="J66" i="3"/>
  <c r="J70" i="3" s="1"/>
  <c r="L68" i="3"/>
  <c r="L72" i="3" s="1"/>
  <c r="N67" i="3"/>
  <c r="N71" i="3" s="1"/>
  <c r="K67" i="3"/>
  <c r="K71" i="3" s="1"/>
  <c r="J67" i="3"/>
  <c r="J71" i="3" s="1"/>
  <c r="F68" i="3"/>
  <c r="F72" i="3" s="1"/>
  <c r="I66" i="3"/>
  <c r="I70" i="3" s="1"/>
  <c r="F66" i="3"/>
  <c r="F70" i="3" s="1"/>
  <c r="E67" i="3"/>
  <c r="E71" i="3" s="1"/>
  <c r="M68" i="3"/>
  <c r="M72" i="3" s="1"/>
  <c r="F67" i="3"/>
  <c r="F71" i="3" s="1"/>
  <c r="H68" i="3"/>
  <c r="H72" i="3" s="1"/>
  <c r="M66" i="3"/>
  <c r="M70" i="3" s="1"/>
  <c r="I68" i="3"/>
  <c r="I72" i="3" s="1"/>
  <c r="J68" i="3"/>
  <c r="J72" i="3" s="1"/>
  <c r="H66" i="3"/>
  <c r="H70" i="3" s="1"/>
  <c r="L67" i="3"/>
  <c r="L71" i="3" s="1"/>
  <c r="G68" i="3"/>
  <c r="G72" i="3" s="1"/>
  <c r="O68" i="3"/>
  <c r="O72" i="3" s="1"/>
  <c r="I67" i="3"/>
  <c r="I71" i="3" s="1"/>
  <c r="O66" i="3"/>
  <c r="O70" i="3" s="1"/>
  <c r="H67" i="3"/>
  <c r="H71" i="3" s="1"/>
  <c r="O67" i="3"/>
  <c r="O71" i="3" s="1"/>
  <c r="E68" i="3"/>
  <c r="E72" i="3" s="1"/>
  <c r="I31" i="3"/>
  <c r="I32" i="3"/>
  <c r="D67" i="3"/>
  <c r="D71" i="3" s="1"/>
  <c r="W45" i="3"/>
  <c r="D68" i="3"/>
  <c r="D72" i="3" s="1"/>
  <c r="P45" i="3"/>
  <c r="D66" i="3"/>
  <c r="D70" i="3" s="1"/>
  <c r="P32" i="3"/>
  <c r="P31" i="3"/>
  <c r="N68" i="3"/>
  <c r="N72" i="3" s="1"/>
  <c r="K66" i="3"/>
  <c r="K70" i="3" s="1"/>
  <c r="W32" i="3"/>
  <c r="W31" i="3"/>
  <c r="L66" i="3"/>
  <c r="L70" i="3" s="1"/>
  <c r="I45" i="3"/>
  <c r="M67" i="3"/>
  <c r="M71" i="3" s="1"/>
  <c r="H36" i="1"/>
  <c r="J35" i="1"/>
  <c r="L35" i="1" s="1"/>
  <c r="J36" i="1" l="1"/>
  <c r="L36" i="1" s="1"/>
  <c r="H37" i="1"/>
  <c r="J37" i="1" l="1"/>
  <c r="L37" i="1" s="1"/>
  <c r="H38" i="1"/>
  <c r="H39" i="1" l="1"/>
  <c r="J38" i="1"/>
  <c r="L38" i="1" s="1"/>
  <c r="J39" i="1" l="1"/>
  <c r="L39" i="1" s="1"/>
  <c r="H40" i="1"/>
  <c r="J40" i="1" l="1"/>
  <c r="L40" i="1" s="1"/>
  <c r="H41" i="1"/>
  <c r="H42" i="1" l="1"/>
  <c r="J41" i="1"/>
  <c r="L41" i="1" s="1"/>
  <c r="H43" i="1" l="1"/>
  <c r="J42" i="1"/>
  <c r="L42" i="1" s="1"/>
  <c r="H44" i="1" l="1"/>
  <c r="J43" i="1"/>
  <c r="L43" i="1" s="1"/>
  <c r="H45" i="1" l="1"/>
  <c r="J44" i="1"/>
  <c r="L44" i="1" s="1"/>
  <c r="J45" i="1" l="1"/>
  <c r="L45" i="1" s="1"/>
  <c r="H46" i="1"/>
  <c r="J46" i="1" l="1"/>
  <c r="L46" i="1" s="1"/>
  <c r="H47" i="1"/>
  <c r="J47" i="1" l="1"/>
  <c r="L47" i="1" s="1"/>
  <c r="H48" i="1"/>
  <c r="H49" i="1" l="1"/>
  <c r="J48" i="1"/>
  <c r="L48" i="1" s="1"/>
  <c r="J49" i="1" l="1"/>
  <c r="L49" i="1" s="1"/>
  <c r="H50" i="1"/>
  <c r="H51" i="1" l="1"/>
  <c r="J50" i="1"/>
  <c r="L50" i="1" s="1"/>
  <c r="J51" i="1" l="1"/>
  <c r="L51" i="1" s="1"/>
  <c r="H52" i="1"/>
  <c r="J52" i="1" l="1"/>
  <c r="L52" i="1" s="1"/>
  <c r="H53" i="1"/>
  <c r="H54" i="1" l="1"/>
  <c r="J53" i="1"/>
  <c r="L53" i="1" s="1"/>
  <c r="J54" i="1" l="1"/>
  <c r="L54" i="1" s="1"/>
  <c r="H55" i="1"/>
  <c r="J55" i="1" l="1"/>
  <c r="L55" i="1" s="1"/>
  <c r="H56" i="1"/>
  <c r="H57" i="1" l="1"/>
  <c r="J56" i="1"/>
  <c r="L56" i="1" s="1"/>
  <c r="J57" i="1" l="1"/>
  <c r="L57" i="1" s="1"/>
  <c r="H58" i="1"/>
  <c r="J58" i="1" l="1"/>
  <c r="L58" i="1" s="1"/>
  <c r="H59" i="1"/>
  <c r="J59" i="1" l="1"/>
  <c r="L59" i="1" s="1"/>
  <c r="H60" i="1"/>
  <c r="H61" i="1" l="1"/>
  <c r="J60" i="1"/>
  <c r="L60" i="1" s="1"/>
  <c r="J61" i="1" l="1"/>
  <c r="L61" i="1" s="1"/>
</calcChain>
</file>

<file path=xl/sharedStrings.xml><?xml version="1.0" encoding="utf-8"?>
<sst xmlns="http://schemas.openxmlformats.org/spreadsheetml/2006/main" count="5276" uniqueCount="282">
  <si>
    <t>Group :</t>
  </si>
  <si>
    <t xml:space="preserve">               Branding :</t>
  </si>
  <si>
    <t>Branding :</t>
  </si>
  <si>
    <t>Parameter :</t>
  </si>
  <si>
    <t>TRANSACTION</t>
  </si>
  <si>
    <t>SALES VOLUME</t>
  </si>
  <si>
    <t>FEE BASED INCOME</t>
  </si>
  <si>
    <t>Bulan</t>
  </si>
  <si>
    <t>DEBIT ON US</t>
  </si>
  <si>
    <t>DEBIT OFF US</t>
  </si>
  <si>
    <t>CREDIT OFF US</t>
  </si>
  <si>
    <t>QRIS ON US</t>
  </si>
  <si>
    <t>QRIS OFF US</t>
  </si>
  <si>
    <t>TOTAL Trx.</t>
  </si>
  <si>
    <t>TOTAL Vol.</t>
  </si>
  <si>
    <t>TOTAL FBI.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</si>
  <si>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</si>
  <si>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</si>
  <si>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</si>
  <si>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</si>
  <si>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</si>
  <si>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</si>
  <si>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</si>
  <si>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</si>
  <si>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</si>
  <si>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</si>
  <si>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</si>
  <si>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</si>
  <si>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YTD 2024</t>
  </si>
  <si>
    <t>Average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</si>
  <si>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</si>
  <si>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</si>
  <si>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</si>
  <si>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</si>
  <si>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</si>
  <si>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</si>
  <si>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</si>
  <si>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</si>
  <si>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</si>
  <si>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</si>
  <si>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</si>
  <si>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</si>
  <si>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YTD 2025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</si>
  <si>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</si>
  <si>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</si>
  <si>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</si>
  <si>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</si>
  <si>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</si>
  <si>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</si>
  <si>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</si>
  <si>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</si>
  <si>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</si>
  <si>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</si>
  <si>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</si>
  <si>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</si>
  <si>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</si>
  <si>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</si>
  <si>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</si>
  <si>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</si>
  <si>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</si>
  <si>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</si>
  <si>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</si>
  <si>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</si>
  <si>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</si>
  <si>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</si>
  <si>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</si>
  <si>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</si>
  <si>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ALFA GROUP</t>
  </si>
  <si>
    <t>ALFAMART</t>
  </si>
  <si>
    <t>ALFAMIDI</t>
  </si>
  <si>
    <t>ANCOL</t>
  </si>
  <si>
    <t>(Idr Ribu)</t>
  </si>
  <si>
    <t>DAN+DAN</t>
  </si>
  <si>
    <t>BANBAN TEA</t>
  </si>
  <si>
    <t>BEARD PAPA</t>
  </si>
  <si>
    <t>CHAMP RESTO</t>
  </si>
  <si>
    <t>DAMRI</t>
  </si>
  <si>
    <t>BAMIKO</t>
  </si>
  <si>
    <t>DELTA WIBAWA BERSAMA</t>
  </si>
  <si>
    <t>CHOPSTIX</t>
  </si>
  <si>
    <t>DWIDAYA</t>
  </si>
  <si>
    <t>CROCO</t>
  </si>
  <si>
    <t>EKA HOSPITAL</t>
  </si>
  <si>
    <t>DEWATA</t>
  </si>
  <si>
    <t>ES TELLER 77</t>
  </si>
  <si>
    <t>GOKANA</t>
  </si>
  <si>
    <t>GRAMEDIA</t>
  </si>
  <si>
    <t>GRILL MAN</t>
  </si>
  <si>
    <t>HAUS</t>
  </si>
  <si>
    <t>KOPILATINUM</t>
  </si>
  <si>
    <t>HEAVENLY WANG</t>
  </si>
  <si>
    <t>MONSIEUR SPOON</t>
  </si>
  <si>
    <t>HERO GROUP</t>
  </si>
  <si>
    <t>PLATINUM</t>
  </si>
  <si>
    <t>HOKBEN</t>
  </si>
  <si>
    <t>RAACHA</t>
  </si>
  <si>
    <t>HOKKAIDO BAKED CHEESE</t>
  </si>
  <si>
    <t>HOP HOP</t>
  </si>
  <si>
    <t>HOSHINO</t>
  </si>
  <si>
    <t>IKEA</t>
  </si>
  <si>
    <t>IRUKA IZAKAYA</t>
  </si>
  <si>
    <t>INDOMARET</t>
  </si>
  <si>
    <t>KAWAN LAMA</t>
  </si>
  <si>
    <t>KCIC</t>
  </si>
  <si>
    <t>KIMIA FARMA</t>
  </si>
  <si>
    <t>LOTTE GROUP</t>
  </si>
  <si>
    <t>MAMA ROZ</t>
  </si>
  <si>
    <t>MAP GROUP</t>
  </si>
  <si>
    <t>HERO</t>
  </si>
  <si>
    <t>MITRA10</t>
  </si>
  <si>
    <t>OPTIK MELAWAI</t>
  </si>
  <si>
    <t>PATRA JASA</t>
  </si>
  <si>
    <t>PERTAMINA RETAIL</t>
  </si>
  <si>
    <t>SIGNATURE HOP HOP</t>
  </si>
  <si>
    <t>PIZZA HUT</t>
  </si>
  <si>
    <t>PLATINUM CINEPLEX</t>
  </si>
  <si>
    <t>POPEYES</t>
  </si>
  <si>
    <t>POINT COFFEE</t>
  </si>
  <si>
    <t>SARINAH</t>
  </si>
  <si>
    <t>88 SEOUL</t>
  </si>
  <si>
    <t>SHIHLIN</t>
  </si>
  <si>
    <t>ATARU</t>
  </si>
  <si>
    <t>SOLARIA</t>
  </si>
  <si>
    <t>AZKO</t>
  </si>
  <si>
    <t>SOUR SALLY</t>
  </si>
  <si>
    <t>CHATIME</t>
  </si>
  <si>
    <t>STEVEN GROUP</t>
  </si>
  <si>
    <t>CUPBOP</t>
  </si>
  <si>
    <t>SUPRA BOGA LESTARI</t>
  </si>
  <si>
    <t>EYESOUL</t>
  </si>
  <si>
    <t>SURYA BUMI RETAILINDO</t>
  </si>
  <si>
    <t>GINDACO</t>
  </si>
  <si>
    <t>SUSHI TEI</t>
  </si>
  <si>
    <t xml:space="preserve">GO! GO! CURRY   </t>
  </si>
  <si>
    <t>TAMANI</t>
  </si>
  <si>
    <t>INFORMA</t>
  </si>
  <si>
    <t>YOGURT REPUBLIC</t>
  </si>
  <si>
    <t>INFORMA ELECTRONIC</t>
  </si>
  <si>
    <t>YOSHINOYA</t>
  </si>
  <si>
    <t>KELS</t>
  </si>
  <si>
    <t>ZENBU</t>
  </si>
  <si>
    <t>PENDOPO</t>
  </si>
  <si>
    <t>SELMA</t>
  </si>
  <si>
    <t>SUSEN</t>
  </si>
  <si>
    <t>THYS</t>
  </si>
  <si>
    <t>TOYS KINGDOM</t>
  </si>
  <si>
    <t>KERETA CEPAT INDONESIA CHINA</t>
  </si>
  <si>
    <t>APOTEK KIMIA FARMA</t>
  </si>
  <si>
    <t>LOTTE GROSIR</t>
  </si>
  <si>
    <t>LOTTE MART</t>
  </si>
  <si>
    <t>2XU</t>
  </si>
  <si>
    <t>ADIDAS</t>
  </si>
  <si>
    <t>ALDO</t>
  </si>
  <si>
    <t>ANTA</t>
  </si>
  <si>
    <t>ASICS</t>
  </si>
  <si>
    <t>ASTEC</t>
  </si>
  <si>
    <t>ATHLETE FOOT</t>
  </si>
  <si>
    <t>BABY STATION</t>
  </si>
  <si>
    <t>BCBG</t>
  </si>
  <si>
    <t>BIRKENSTOCK</t>
  </si>
  <si>
    <t>CALVIN KLEIN</t>
  </si>
  <si>
    <t>CLARKS</t>
  </si>
  <si>
    <t>CONVERSE</t>
  </si>
  <si>
    <t>CROCS</t>
  </si>
  <si>
    <t>DIGIMAP</t>
  </si>
  <si>
    <t>DIGIPLUS</t>
  </si>
  <si>
    <t>DR MARTENS</t>
  </si>
  <si>
    <t>FITFLOP</t>
  </si>
  <si>
    <t>FLAYING TIGER</t>
  </si>
  <si>
    <t>FOODHALL</t>
  </si>
  <si>
    <t>FOOTLOCKER</t>
  </si>
  <si>
    <t>FOOTWEAR</t>
  </si>
  <si>
    <t>GOLF HOUSE</t>
  </si>
  <si>
    <t>HEYDUDE</t>
  </si>
  <si>
    <t>HOKA</t>
  </si>
  <si>
    <t>KENNETH COLE</t>
  </si>
  <si>
    <t>KIDZ STATION</t>
  </si>
  <si>
    <t>LACOSTE</t>
  </si>
  <si>
    <t>LEGO</t>
  </si>
  <si>
    <t>LINEA</t>
  </si>
  <si>
    <t>MAXMARA</t>
  </si>
  <si>
    <t>MERCHANT DUMMY</t>
  </si>
  <si>
    <t>NEW BALANCE</t>
  </si>
  <si>
    <t>NEW ERA</t>
  </si>
  <si>
    <t>NINE WEST</t>
  </si>
  <si>
    <t>ONITSUKA TIGER</t>
  </si>
  <si>
    <t>PAYLESS</t>
  </si>
  <si>
    <t>PAZZION</t>
  </si>
  <si>
    <t>PLANET KIDS</t>
  </si>
  <si>
    <t>PLANET SPORTS</t>
  </si>
  <si>
    <t>PROSHOP</t>
  </si>
  <si>
    <t>PUMA</t>
  </si>
  <si>
    <t>REEBOK</t>
  </si>
  <si>
    <t>REEF</t>
  </si>
  <si>
    <t>ROCKPORT</t>
  </si>
  <si>
    <t>ROOKIE</t>
  </si>
  <si>
    <t>ROYAL SPORTING HOUSE</t>
  </si>
  <si>
    <t>SALOMON</t>
  </si>
  <si>
    <t>SEPHORA</t>
  </si>
  <si>
    <t>SKECHERS</t>
  </si>
  <si>
    <t>SMIGGLE</t>
  </si>
  <si>
    <t>SOGO</t>
  </si>
  <si>
    <t>SPEEDO</t>
  </si>
  <si>
    <t>SPORTS STATION</t>
  </si>
  <si>
    <t>STACCATO</t>
  </si>
  <si>
    <t>STARBUCKS</t>
  </si>
  <si>
    <t>STEVE MADDEN</t>
  </si>
  <si>
    <t>SUBWAY</t>
  </si>
  <si>
    <t>SWAROVSKI</t>
  </si>
  <si>
    <t>TEVA</t>
  </si>
  <si>
    <t>HOTEL PATRA JASA SEMARANG</t>
  </si>
  <si>
    <t>PATRA BALI RESORT &amp; VILLA BADUNG</t>
  </si>
  <si>
    <t xml:space="preserve">PATRA BANDUNG HOTEL BANDUNG </t>
  </si>
  <si>
    <t>PATRA JAKARTA HOTEL</t>
  </si>
  <si>
    <t>PATRA JASA ANYER BEACH CILEGON</t>
  </si>
  <si>
    <t>BRIGHT STORE</t>
  </si>
  <si>
    <t>SPBU PERTAMINA</t>
  </si>
  <si>
    <t>PIZZA HUT DELIVERY</t>
  </si>
  <si>
    <t>PIZZA HUT RESTAURANT</t>
  </si>
  <si>
    <t>BAKERZIN</t>
  </si>
  <si>
    <t>BURGER KING</t>
  </si>
  <si>
    <t>GOCOCO</t>
  </si>
  <si>
    <t>KIMUKATSU</t>
  </si>
  <si>
    <t>MASTERSQUID</t>
  </si>
  <si>
    <t>NUSANTARA TOUR</t>
  </si>
  <si>
    <t>SHABURI KINTAN</t>
  </si>
  <si>
    <t>RANCH MARKET</t>
  </si>
  <si>
    <t>180 SPM</t>
  </si>
  <si>
    <t>REDDOG</t>
  </si>
  <si>
    <t>Top 10 Merchant</t>
  </si>
  <si>
    <t>FY-25</t>
  </si>
  <si>
    <t>Growth</t>
  </si>
  <si>
    <t>%</t>
  </si>
  <si>
    <t>Δ Delta</t>
  </si>
  <si>
    <t>Historical</t>
  </si>
  <si>
    <t>MTD</t>
  </si>
  <si>
    <t>YTD</t>
  </si>
  <si>
    <t>Bottom 10 Merchant</t>
  </si>
  <si>
    <t>MERCHANT_GROUP</t>
  </si>
  <si>
    <t>MERCHANT_ANCHOR</t>
  </si>
  <si>
    <t>(blank)</t>
  </si>
  <si>
    <t>Grand Total</t>
  </si>
  <si>
    <t>TRX_MONTH</t>
  </si>
  <si>
    <t>YEAR</t>
  </si>
  <si>
    <t>KEY</t>
  </si>
  <si>
    <t>TRX_DEBIT_ONUS</t>
  </si>
  <si>
    <t>TRX_DEBIT_OFFUS</t>
  </si>
  <si>
    <t>TRX_CREDIT_OFFUS</t>
  </si>
  <si>
    <t>TRX_QRIS_ONUS</t>
  </si>
  <si>
    <t>TRX_QRIS_OFFUS</t>
  </si>
  <si>
    <t>SV_DEBIT_ONUS</t>
  </si>
  <si>
    <t>SV_DEBIT_OFFUS</t>
  </si>
  <si>
    <t>SV_CREDIT_OFFUS</t>
  </si>
  <si>
    <t>SV_QRIS_ONUS</t>
  </si>
  <si>
    <t>SV_QRIS_OFFUS</t>
  </si>
  <si>
    <t>FBI_DEBIT_ONUS</t>
  </si>
  <si>
    <t>FBI_DEBIT_OFFUS</t>
  </si>
  <si>
    <t>FBI_CREDIT_OFFUS</t>
  </si>
  <si>
    <t>FBI_QRIS_ONUS</t>
  </si>
  <si>
    <t>FBI_QRIS_OFFUS</t>
  </si>
  <si>
    <t>MIXUE</t>
  </si>
  <si>
    <t>YTD 2026</t>
  </si>
  <si>
    <t>202601</t>
  </si>
  <si>
    <t>GO! GO! CURRY</t>
  </si>
  <si>
    <t>202602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</si>
  <si>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</si>
  <si>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</si>
  <si>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</si>
  <si>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</si>
  <si>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</si>
  <si>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</si>
  <si>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</si>
  <si>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</si>
  <si>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</si>
  <si>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</si>
  <si>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Jan-25</t>
  </si>
  <si>
    <t>Jan-26</t>
  </si>
  <si>
    <t>Bottom TRX - Penurunan Terbesar</t>
  </si>
  <si>
    <t>Top TRX - Kenaikan Terbesar</t>
  </si>
  <si>
    <t>OASISPAY</t>
  </si>
  <si>
    <t>MCT</t>
  </si>
  <si>
    <t>YOUTAP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</si>
</sst>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#,##0,,\ &quot;Jt&quot;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 tint="0.249977111117893"/>
      <name val="Aptos Narrow"/>
      <family val="2"/>
      <scheme val="minor"/>
    </font>
    <font>
      <sz val="11"/>
      <color theme="0"/>
      <name val="Century Gothic"/>
      <family val="1"/>
    </font>
    <font>
      <b/>
      <sz val="11"/>
      <color theme="0"/>
      <name val="Century Gothic"/>
      <family val="1"/>
    </font>
    <font>
      <sz val="11"/>
      <color theme="1"/>
      <name val="Century Gothic"/>
      <family val="1"/>
    </font>
    <font>
      <sz val="11"/>
      <color rgb="FF00B050"/>
      <name val="Century Gothic"/>
      <family val="1"/>
    </font>
    <font>
      <sz val="11"/>
      <color rgb="FFFF0000"/>
      <name val="Century Gothic"/>
      <family val="1"/>
    </font>
    <font>
      <b/>
      <sz val="11"/>
      <color rgb="FFFFFFFF"/>
      <name val="Century Gothic"/>
    </font>
    <font>
      <sz val="11"/>
      <color rgb="FF000000"/>
      <name val="Century Gothic"/>
    </font>
    <font>
      <sz val="11"/>
      <color rgb="FF00B050"/>
      <name val="Century Gothic"/>
    </font>
    <font>
      <sz val="11"/>
      <color rgb="FFFF0000"/>
      <name val="Century Gothic"/>
    </font>
  </fonts>
  <fills count="9">
    <fill>
      <patternFill patternType="none"/>
    </fill>
    <fill>
      <patternFill patternType="gray125"/>
    </fill>
    <fill>
      <patternFill patternType="solid">
        <fgColor rgb="FF005B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B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5BFE"/>
      </patternFill>
    </fill>
    <fill>
      <patternFill patternType="solid">
        <fgColor rgb="FFDAE3F3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9" fontId="3" fillId="0" borderId="0" xfId="2" applyFont="1"/>
    <xf numFmtId="0" fontId="4" fillId="0" borderId="0" xfId="0" applyFont="1" applyAlignment="1">
      <alignment horizontal="left" indent="1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17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/>
    <xf numFmtId="0" fontId="3" fillId="0" borderId="1" xfId="0" applyFont="1" applyBorder="1"/>
    <xf numFmtId="17" fontId="7" fillId="3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0" borderId="0" xfId="0" applyFont="1"/>
    <xf numFmtId="41" fontId="3" fillId="3" borderId="2" xfId="1" applyFont="1" applyFill="1" applyBorder="1" applyAlignment="1">
      <alignment horizontal="right" vertical="center"/>
    </xf>
    <xf numFmtId="41" fontId="3" fillId="3" borderId="2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41" fontId="3" fillId="5" borderId="2" xfId="1" applyFont="1" applyFill="1" applyBorder="1" applyAlignment="1">
      <alignment horizontal="right" vertical="center"/>
    </xf>
    <xf numFmtId="41" fontId="5" fillId="4" borderId="2" xfId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17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49" fontId="2" fillId="0" borderId="0" xfId="0" applyNumberFormat="1" applyFont="1"/>
    <xf numFmtId="0" fontId="3" fillId="0" borderId="3" xfId="0" applyFont="1" applyBorder="1"/>
    <xf numFmtId="0" fontId="3" fillId="0" borderId="4" xfId="0" applyFont="1" applyBorder="1"/>
    <xf numFmtId="0" fontId="3" fillId="0" borderId="4" xfId="0" applyFont="1" applyBorder="1" applyAlignment="1">
      <alignment horizontal="right"/>
    </xf>
    <xf numFmtId="41" fontId="0" fillId="0" borderId="0" xfId="1" applyFont="1"/>
    <xf numFmtId="17" fontId="8" fillId="2" borderId="9" xfId="0" applyNumberFormat="1" applyFont="1" applyFill="1" applyBorder="1" applyAlignment="1">
      <alignment horizontal="right" vertical="top" indent="1"/>
    </xf>
    <xf numFmtId="17" fontId="8" fillId="2" borderId="10" xfId="0" applyNumberFormat="1" applyFont="1" applyFill="1" applyBorder="1" applyAlignment="1">
      <alignment horizontal="right" vertical="top" indent="1"/>
    </xf>
    <xf numFmtId="17" fontId="8" fillId="2" borderId="11" xfId="0" applyNumberFormat="1" applyFont="1" applyFill="1" applyBorder="1" applyAlignment="1">
      <alignment horizontal="right" vertical="top" indent="1"/>
    </xf>
    <xf numFmtId="0" fontId="9" fillId="2" borderId="7" xfId="0" applyFont="1" applyFill="1" applyBorder="1" applyAlignment="1">
      <alignment horizontal="right" vertical="center" indent="1"/>
    </xf>
    <xf numFmtId="0" fontId="8" fillId="0" borderId="6" xfId="0" applyFont="1" applyBorder="1" applyAlignment="1">
      <alignment horizontal="right" indent="1"/>
    </xf>
    <xf numFmtId="0" fontId="8" fillId="0" borderId="7" xfId="0" applyFont="1" applyBorder="1" applyAlignment="1">
      <alignment horizontal="right" indent="1"/>
    </xf>
    <xf numFmtId="0" fontId="8" fillId="0" borderId="8" xfId="0" applyFont="1" applyBorder="1" applyAlignment="1">
      <alignment horizontal="right" indent="1"/>
    </xf>
    <xf numFmtId="0" fontId="10" fillId="6" borderId="0" xfId="0" applyFont="1" applyFill="1" applyAlignment="1">
      <alignment horizontal="left" indent="1"/>
    </xf>
    <xf numFmtId="164" fontId="10" fillId="6" borderId="0" xfId="1" applyNumberFormat="1" applyFont="1" applyFill="1" applyAlignment="1">
      <alignment horizontal="right" indent="1"/>
    </xf>
    <xf numFmtId="164" fontId="11" fillId="6" borderId="9" xfId="1" applyNumberFormat="1" applyFont="1" applyFill="1" applyBorder="1" applyAlignment="1">
      <alignment horizontal="right" indent="1"/>
    </xf>
    <xf numFmtId="0" fontId="10" fillId="0" borderId="0" xfId="0" applyFont="1" applyAlignment="1">
      <alignment horizontal="left" indent="1"/>
    </xf>
    <xf numFmtId="0" fontId="10" fillId="0" borderId="0" xfId="0" applyFont="1"/>
    <xf numFmtId="0" fontId="10" fillId="0" borderId="9" xfId="0" applyFont="1" applyBorder="1"/>
    <xf numFmtId="164" fontId="12" fillId="6" borderId="9" xfId="1" applyNumberFormat="1" applyFont="1" applyFill="1" applyBorder="1" applyAlignment="1">
      <alignment horizontal="right" indent="1"/>
    </xf>
    <xf numFmtId="0" fontId="0" fillId="0" borderId="0" xfId="0" quotePrefix="1"/>
    <xf numFmtId="0" fontId="0" fillId="0" borderId="0" xfId="0" pivotButton="1"/>
    <xf numFmtId="10" fontId="3" fillId="0" borderId="0" xfId="2" applyNumberFormat="1" applyFont="1"/>
    <xf numFmtId="0" fontId="3" fillId="0" borderId="0" xfId="0" applyFont="1" applyAlignment="1">
      <alignment horizontal="left"/>
    </xf>
    <xf numFmtId="41" fontId="3" fillId="0" borderId="0" xfId="0" applyNumberFormat="1" applyFont="1"/>
    <xf numFmtId="164" fontId="10" fillId="0" borderId="0" xfId="1" applyNumberFormat="1" applyFont="1" applyAlignment="1">
      <alignment horizontal="right" indent="1"/>
    </xf>
    <xf numFmtId="164" fontId="11" fillId="0" borderId="9" xfId="1" applyNumberFormat="1" applyFont="1" applyBorder="1" applyAlignment="1">
      <alignment horizontal="right" indent="1"/>
    </xf>
    <xf numFmtId="9" fontId="11" fillId="6" borderId="0" xfId="2" applyFont="1" applyFill="1" applyAlignment="1">
      <alignment horizontal="right" indent="1"/>
    </xf>
    <xf numFmtId="9" fontId="11" fillId="0" borderId="0" xfId="2" applyFont="1" applyAlignment="1">
      <alignment horizontal="right" indent="1"/>
    </xf>
    <xf numFmtId="9" fontId="12" fillId="6" borderId="0" xfId="2" applyFont="1" applyFill="1" applyAlignment="1">
      <alignment horizontal="right" indent="1"/>
    </xf>
    <xf numFmtId="9" fontId="12" fillId="0" borderId="0" xfId="2" applyFont="1" applyAlignment="1">
      <alignment horizontal="right" indent="1"/>
    </xf>
    <xf numFmtId="164" fontId="12" fillId="0" borderId="9" xfId="1" applyNumberFormat="1" applyFont="1" applyBorder="1" applyAlignment="1">
      <alignment horizontal="right" indent="1"/>
    </xf>
    <xf numFmtId="0" fontId="13" fillId="7" borderId="14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right" vertical="center"/>
    </xf>
    <xf numFmtId="0" fontId="14" fillId="8" borderId="14" xfId="0" applyFont="1" applyFill="1" applyBorder="1"/>
    <xf numFmtId="9" fontId="15" fillId="8" borderId="14" xfId="0" applyNumberFormat="1" applyFont="1" applyFill="1" applyBorder="1" applyAlignment="1">
      <alignment horizontal="center"/>
    </xf>
    <xf numFmtId="0" fontId="14" fillId="0" borderId="14" xfId="0" applyFont="1" applyBorder="1"/>
    <xf numFmtId="9" fontId="15" fillId="0" borderId="14" xfId="0" applyNumberFormat="1" applyFont="1" applyBorder="1" applyAlignment="1">
      <alignment horizontal="center"/>
    </xf>
    <xf numFmtId="9" fontId="16" fillId="8" borderId="14" xfId="0" applyNumberFormat="1" applyFont="1" applyFill="1" applyBorder="1" applyAlignment="1">
      <alignment horizontal="center"/>
    </xf>
    <xf numFmtId="9" fontId="16" fillId="0" borderId="14" xfId="0" applyNumberFormat="1" applyFont="1" applyBorder="1" applyAlignment="1">
      <alignment horizontal="center"/>
    </xf>
    <xf numFmtId="3" fontId="14" fillId="8" borderId="14" xfId="0" applyNumberFormat="1" applyFont="1" applyFill="1" applyBorder="1" applyAlignment="1">
      <alignment horizontal="right"/>
    </xf>
    <xf numFmtId="3" fontId="15" fillId="8" borderId="14" xfId="0" applyNumberFormat="1" applyFont="1" applyFill="1" applyBorder="1" applyAlignment="1">
      <alignment horizontal="right"/>
    </xf>
    <xf numFmtId="3" fontId="14" fillId="0" borderId="14" xfId="0" applyNumberFormat="1" applyFont="1" applyBorder="1" applyAlignment="1">
      <alignment horizontal="right"/>
    </xf>
    <xf numFmtId="3" fontId="15" fillId="0" borderId="14" xfId="0" applyNumberFormat="1" applyFont="1" applyBorder="1" applyAlignment="1">
      <alignment horizontal="right"/>
    </xf>
    <xf numFmtId="3" fontId="16" fillId="8" borderId="14" xfId="0" applyNumberFormat="1" applyFont="1" applyFill="1" applyBorder="1" applyAlignment="1">
      <alignment horizontal="right"/>
    </xf>
    <xf numFmtId="3" fontId="16" fillId="0" borderId="14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5" fillId="4" borderId="0" xfId="0" applyFont="1" applyFill="1" applyAlignment="1">
      <alignment horizontal="center" vertical="center"/>
    </xf>
    <xf numFmtId="0" fontId="13" fillId="7" borderId="18" xfId="0" applyFont="1" applyFill="1" applyBorder="1" applyAlignment="1">
      <alignment horizontal="left" vertical="center"/>
    </xf>
    <xf numFmtId="0" fontId="13" fillId="7" borderId="16" xfId="0" applyFont="1" applyFill="1" applyBorder="1" applyAlignment="1">
      <alignment horizontal="left" vertical="center"/>
    </xf>
    <xf numFmtId="0" fontId="13" fillId="7" borderId="18" xfId="0" applyFont="1" applyFill="1" applyBorder="1" applyAlignment="1">
      <alignment horizontal="right" vertical="center"/>
    </xf>
    <xf numFmtId="0" fontId="13" fillId="7" borderId="16" xfId="0" applyFont="1" applyFill="1" applyBorder="1" applyAlignment="1">
      <alignment horizontal="right" vertical="center"/>
    </xf>
    <xf numFmtId="0" fontId="13" fillId="7" borderId="17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left" vertical="center" indent="1"/>
    </xf>
    <xf numFmtId="0" fontId="0" fillId="0" borderId="9" xfId="0" applyBorder="1"/>
    <xf numFmtId="17" fontId="9" fillId="2" borderId="7" xfId="0" applyNumberFormat="1" applyFont="1" applyFill="1" applyBorder="1" applyAlignment="1">
      <alignment horizontal="right" vertical="center" indent="1"/>
    </xf>
    <xf numFmtId="0" fontId="0" fillId="0" borderId="10" xfId="0" applyBorder="1"/>
    <xf numFmtId="0" fontId="9" fillId="2" borderId="7" xfId="0" applyFont="1" applyFill="1" applyBorder="1" applyAlignment="1">
      <alignment horizontal="right" vertical="center" indent="1"/>
    </xf>
    <xf numFmtId="0" fontId="9" fillId="2" borderId="13" xfId="0" applyFont="1" applyFill="1" applyBorder="1" applyAlignment="1">
      <alignment horizontal="center" vertical="center"/>
    </xf>
    <xf numFmtId="0" fontId="0" fillId="0" borderId="12" xfId="0" applyBorder="1"/>
    <xf numFmtId="0" fontId="8" fillId="2" borderId="5" xfId="0" applyFont="1" applyFill="1" applyBorder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1">
    <dxf>
      <numFmt numFmtId="165" formatCode="#,##0,\ &quot;Rb&quot;"/>
    </dxf>
  </dxfs>
  <tableStyles count="0" defaultTableStyle="TableStyleMedium2" defaultPivotStyle="PivotStyleLight16"/>
  <colors>
    <mruColors>
      <color rgb="FF005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Portfolio!$U$1</c:f>
          <c:strCache>
            <c:ptCount val="1"/>
            <c:pt idx="0">
              <c:v>TRANSACTION  - ALFA GROUP 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baseline="0">
              <a:solidFill>
                <a:srgbClr val="005B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Highlight!$B$70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Highlight!$D$70:$O$70</c:f>
              <c:numCache>
                <c:formatCode>_(* #,##0_);_(* \(#,##0\);_(* "-"_);_(@_)</c:formatCode>
                <c:ptCount val="12"/>
                <c:pt idx="0">
                  <c:v>88573</c:v>
                </c:pt>
                <c:pt idx="1">
                  <c:v>96214</c:v>
                </c:pt>
                <c:pt idx="2">
                  <c:v>118714</c:v>
                </c:pt>
                <c:pt idx="3">
                  <c:v>117697</c:v>
                </c:pt>
                <c:pt idx="4">
                  <c:v>112613</c:v>
                </c:pt>
                <c:pt idx="5">
                  <c:v>113634</c:v>
                </c:pt>
                <c:pt idx="6">
                  <c:v>117755</c:v>
                </c:pt>
                <c:pt idx="7">
                  <c:v>122222</c:v>
                </c:pt>
                <c:pt idx="8">
                  <c:v>122761</c:v>
                </c:pt>
                <c:pt idx="9">
                  <c:v>121111</c:v>
                </c:pt>
                <c:pt idx="10">
                  <c:v>119291</c:v>
                </c:pt>
                <c:pt idx="11">
                  <c:v>116932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1-DE4D-BEA5-AF638CF243C9}"/>
            </c:ext>
          </c:extLst>
        </c:ser>
        <c:ser>
          <c:idx val="1"/>
          <c:order val="1"/>
          <c:tx>
            <c:strRef>
              <c:f>Highlight!$B$71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005B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Highlight!$D$71:$O$71</c:f>
              <c:numCache>
                <c:formatCode>_(* #,##0_);_(* \(#,##0\);_(* "-"_);_(@_)</c:formatCode>
                <c:ptCount val="12"/>
                <c:pt idx="0">
                  <c:v>114246</c:v>
                </c:pt>
                <c:pt idx="1">
                  <c:v>110657</c:v>
                </c:pt>
                <c:pt idx="2">
                  <c:v>134610</c:v>
                </c:pt>
                <c:pt idx="3">
                  <c:v>114771</c:v>
                </c:pt>
                <c:pt idx="4">
                  <c:v>105083</c:v>
                </c:pt>
                <c:pt idx="5">
                  <c:v>126595</c:v>
                </c:pt>
                <c:pt idx="6">
                  <c:v>129641</c:v>
                </c:pt>
                <c:pt idx="7">
                  <c:v>120421</c:v>
                </c:pt>
                <c:pt idx="8">
                  <c:v>121826</c:v>
                </c:pt>
                <c:pt idx="9">
                  <c:v>125925</c:v>
                </c:pt>
                <c:pt idx="10">
                  <c:v>119192</c:v>
                </c:pt>
                <c:pt idx="11">
                  <c:v>112429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91-DE4D-BEA5-AF638CF243C9}"/>
            </c:ext>
          </c:extLst>
        </c:ser>
        <c:ser>
          <c:idx val="2"/>
          <c:order val="2"/>
          <c:tx>
            <c:strRef>
              <c:f>Highlight!$B$68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Highlight!$D$72:$O$72</c:f>
              <c:numCache>
                <c:formatCode>_(* #,##0_);_(* \(#,##0\);_(* "-"_);_(@_)</c:formatCode>
                <c:ptCount val="12"/>
                <c:pt idx="0">
                  <c:v>307692</c:v>
                </c:pt>
                <c:pt idx="1">
                  <c:v>619532</c:v>
                </c:pt>
                <c:pt idx="2">
                  <c:v>45285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2-4B4B-9C45-B08D55072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71533520"/>
        <c:axId val="1771804160"/>
      </c:barChart>
      <c:catAx>
        <c:axId val="177153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804160"/>
        <c:crosses val="autoZero"/>
        <c:auto val="1"/>
        <c:lblAlgn val="ctr"/>
        <c:lblOffset val="100"/>
        <c:noMultiLvlLbl val="0"/>
      </c:catAx>
      <c:valAx>
        <c:axId val="1771804160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177153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Drop" dropStyle="combo" dx="15" fmlaLink="Portfolio!$G$1" fmlaRange="Portfolio!$F$1:$F$44" sel="1" val="0"/>
</file>

<file path=xl/ctrlProps/ctrlProp2.xml><?xml version="1.0" encoding="utf-8"?>
<formControlPr xmlns="http://schemas.microsoft.com/office/spreadsheetml/2009/9/main" objectType="Drop" dropStyle="combo" dx="15" fmlaLink="Portfolio!$M$1" fmlaRange="Portfolio!$L$1:$L$61" sel="1" val="0"/>
</file>

<file path=xl/ctrlProps/ctrlProp3.xml><?xml version="1.0" encoding="utf-8"?>
<formControlPr xmlns="http://schemas.microsoft.com/office/spreadsheetml/2009/9/main" objectType="Drop" dropStyle="combo" dx="15" fmlaLink="Portfolio!$S$1" fmlaRange="Portfolio!$P$1:$P$3" sel="1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0</xdr:row>
          <xdr:rowOff>114300</xdr:rowOff>
        </xdr:from>
        <xdr:to>
          <xdr:col>5</xdr:col>
          <xdr:colOff>752475</xdr:colOff>
          <xdr:row>2</xdr:row>
          <xdr:rowOff>38100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723900</xdr:colOff>
          <xdr:row>0</xdr:row>
          <xdr:rowOff>114300</xdr:rowOff>
        </xdr:from>
        <xdr:to>
          <xdr:col>12</xdr:col>
          <xdr:colOff>333375</xdr:colOff>
          <xdr:row>2</xdr:row>
          <xdr:rowOff>38100</xdr:rowOff>
        </xdr:to>
        <xdr:sp macro="" textlink="">
          <xdr:nvSpPr>
            <xdr:cNvPr id="3077" name="Drop Down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21</xdr:col>
      <xdr:colOff>712300</xdr:colOff>
      <xdr:row>0</xdr:row>
      <xdr:rowOff>127258</xdr:rowOff>
    </xdr:from>
    <xdr:ext cx="1167183" cy="664930"/>
    <xdr:pic>
      <xdr:nvPicPr>
        <xdr:cNvPr id="5" name="Picture 4" descr="A blue and red logo&#10;&#10;AI-generated content may be incorrect.">
          <a:extLst>
            <a:ext uri="{FF2B5EF4-FFF2-40B4-BE49-F238E27FC236}">
              <a16:creationId xmlns:a16="http://schemas.microsoft.com/office/drawing/2014/main" id="{8E76F10C-5FBA-224B-9D1A-B25438794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532744" y="127258"/>
          <a:ext cx="1167183" cy="66493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</xdr:row>
          <xdr:rowOff>85725</xdr:rowOff>
        </xdr:from>
        <xdr:to>
          <xdr:col>5</xdr:col>
          <xdr:colOff>752475</xdr:colOff>
          <xdr:row>3</xdr:row>
          <xdr:rowOff>0</xdr:rowOff>
        </xdr:to>
        <xdr:sp macro="" textlink="">
          <xdr:nvSpPr>
            <xdr:cNvPr id="3079" name="Drop Down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139700</xdr:colOff>
      <xdr:row>4</xdr:row>
      <xdr:rowOff>63500</xdr:rowOff>
    </xdr:from>
    <xdr:to>
      <xdr:col>23</xdr:col>
      <xdr:colOff>0</xdr:colOff>
      <xdr:row>14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F48F3A-4F9A-2843-A8B0-90E97527C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nkbtn-my.sharepoint.com/Users/fbookair/Library/Containers/net.whatsapp.WhatsApp/Data/tmp/documents/8E2EA628-CBE9-49CC-BC05-4FB7D9D90514/Financial%20Highlight%20Monthly-3.xlsx" TargetMode="External"/><Relationship Id="rId1" Type="http://schemas.openxmlformats.org/officeDocument/2006/relationships/externalLinkPath" Target="https://bankbtn-my.sharepoint.com/Users/fbookair/Library/Containers/net.whatsapp.WhatsApp/Data/tmp/documents/8E2EA628-CBE9-49CC-BC05-4FB7D9D90514/Financial%20Highlight%20Monthly-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Highlight"/>
      <sheetName val="Parameter"/>
      <sheetName val="M2024(R)"/>
      <sheetName val="M2025(R)"/>
      <sheetName val="M2025(T)"/>
      <sheetName val="M2025(T) (2)"/>
      <sheetName val="saldo mobile  (p)"/>
      <sheetName val="M2025(T) CTG"/>
      <sheetName val="MHighlight (RKAP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fnu Triyono" refreshedDate="46001.868391319447" createdVersion="8" refreshedVersion="8" minRefreshableVersion="3" recordCount="1409" xr:uid="{6162D099-6B2E-774D-8833-D92BF0D436DA}">
  <cacheSource type="worksheet">
    <worksheetSource ref="A1:T1048576" sheet="Realisasi"/>
  </cacheSource>
  <cacheFields count="20">
    <cacheField name="MERCHANT_GROUP" numFmtId="0">
      <sharedItems containsBlank="1" count="45">
        <s v="ALFA GROUP"/>
        <s v="CHAMP RESTO"/>
        <s v="ES TELLER 77"/>
        <s v="GRAMEDIA"/>
        <s v="HAUS"/>
        <s v="HOP HOP"/>
        <s v="IKEA"/>
        <s v="INDOMARET"/>
        <s v="KAWAN LAMA"/>
        <s v="KCIC"/>
        <s v="KIMIA FARMA"/>
        <s v="MITRA10"/>
        <s v="OPTIK MELAWAI"/>
        <s v="PATRA JASA"/>
        <s v="PERTAMINA RETAIL"/>
        <s v="PIZZA HUT"/>
        <s v="PLATINUM CINEPLEX"/>
        <s v="SARINAH"/>
        <s v="SHIHLIN"/>
        <s v="SOLARIA"/>
        <s v="SOUR SALLY"/>
        <s v="STEVEN GROUP"/>
        <s v="BANBAN TEA"/>
        <s v="BEARD PAPA"/>
        <s v="HERO GROUP"/>
        <s v="MAP GROUP"/>
        <s v="HEAVENLY WANG"/>
        <s v="HOKKAIDO BAKED CHEESE"/>
        <s v="TAMANI"/>
        <s v="YOSHINOYA"/>
        <s v="YOGURT REPUBLIC"/>
        <s v="DWIDAYA"/>
        <s v="DAMRI"/>
        <s v="SURYA BUMI RETAILINDO"/>
        <s v="POPEYES"/>
        <s v="EKA HOSPITAL"/>
        <s v="SUPRA BOGA LESTARI"/>
        <s v="SUSHI TEI"/>
        <s v="HOKBEN"/>
        <s v="ZENBU"/>
        <s v="LOTTE GROUP"/>
        <s v="MAMA ROZ"/>
        <s v="ANCOL"/>
        <s v="DELTA WIBAWA BERSAMA"/>
        <m/>
      </sharedItems>
    </cacheField>
    <cacheField name="MERCHANT_ANCHOR" numFmtId="0">
      <sharedItems containsBlank="1" count="147">
        <s v="ALFAMART"/>
        <s v="ALFAMIDI"/>
        <s v="DAN+DAN"/>
        <s v="BAMIKO"/>
        <s v="CROCO"/>
        <s v="GOKANA"/>
        <s v="MONSIEUR SPOON"/>
        <s v="PLATINUM"/>
        <s v="RAACHA"/>
        <s v="ES TELLER 77"/>
        <s v="GRAMEDIA"/>
        <s v="HAUS"/>
        <s v="HOP HOP"/>
        <s v="IKEA"/>
        <s v="INDOMARET"/>
        <s v="POINT COFFEE"/>
        <s v="AZKO"/>
        <s v="CHATIME"/>
        <s v="INFORMA"/>
        <s v="INFORMA ELECTRONIC"/>
        <s v="PENDOPO"/>
        <s v="SELMA"/>
        <s v="KERETA CEPAT INDONESIA CHINA"/>
        <s v="APOTEK KIMIA FARMA"/>
        <s v="MITRA10"/>
        <s v="OPTIK MELAWAI"/>
        <s v="PATRA JASA ANYER BEACH CILEGON"/>
        <s v="BRIGHT STORE"/>
        <s v="SPBU PERTAMINA"/>
        <s v="PIZZA HUT DELIVERY"/>
        <s v="PIZZA HUT RESTAURANT"/>
        <s v="PLATINUM CINEPLEX"/>
        <s v="SARINAH"/>
        <s v="SHIHLIN"/>
        <s v="SOLARIA"/>
        <s v="SOUR SALLY"/>
        <s v="NUSANTARA TOUR"/>
        <s v="BANBAN TEA"/>
        <s v="BEARD PAPA"/>
        <s v="CHOPSTIX"/>
        <s v="HERO"/>
        <s v="ATARU"/>
        <s v="SOGO"/>
        <s v="BURGER KING"/>
        <s v="DEWATA"/>
        <s v="GRILL MAN"/>
        <s v="KOPILATINUM"/>
        <s v="HEAVENLY WANG"/>
        <s v="HOKKAIDO BAKED CHEESE"/>
        <s v="GINDACO"/>
        <s v="GO! GO! CURRY   "/>
        <s v="GOCOCO"/>
        <s v="THYS"/>
        <s v="CUPBOP"/>
        <s v="EYESOUL"/>
        <s v="TAMANI"/>
        <s v="YOSHINOYA"/>
        <s v="CONVERSE"/>
        <s v="SIGNATURE HOP HOP"/>
        <s v="REDDOG"/>
        <s v="DWIDAYA"/>
        <s v="MASTERSQUID"/>
        <s v="YOGURT REPUBLIC"/>
        <s v="DAMRI"/>
        <s v="TOYS KINGDOM"/>
        <s v="180 SPM"/>
        <s v="PATRA BANDUNG HOTEL BANDUNG "/>
        <s v="POPEYES"/>
        <s v="KIMUKATSU"/>
        <s v="EKA HOSPITAL"/>
        <s v="BAKERZIN"/>
        <s v="SHABURI KINTAN"/>
        <s v="RANCH MARKET"/>
        <s v="SUSHI TEI"/>
        <s v="HOKBEN"/>
        <s v="ZENBU"/>
        <s v="LOTTE GROSIR"/>
        <s v="LOTTE MART"/>
        <s v="SUSEN"/>
        <s v="MAMA ROZ"/>
        <s v="CALVIN KLEIN"/>
        <s v="FOODHALL"/>
        <s v="LACOSTE"/>
        <s v="LEGO"/>
        <s v="MERCHANT DUMMY"/>
        <s v="PLANET SPORTS"/>
        <s v="SKECHERS"/>
        <s v="SPORTS STATION"/>
        <s v="STARBUCKS"/>
        <s v="KELS"/>
        <s v="2XU"/>
        <s v="ADIDAS"/>
        <s v="ALDO"/>
        <s v="ASICS"/>
        <s v="ASTEC"/>
        <s v="ATHLETE FOOT"/>
        <s v="BABY STATION"/>
        <s v="BCBG"/>
        <s v="BIRKENSTOCK"/>
        <s v="CLARKS"/>
        <s v="CROCS"/>
        <s v="DR MARTENS"/>
        <s v="FITFLOP"/>
        <s v="FOOTLOCKER"/>
        <s v="FOOTWEAR"/>
        <s v="GOLF HOUSE"/>
        <s v="HEYDUDE"/>
        <s v="HOKA"/>
        <s v="KENNETH COLE"/>
        <s v="KIDZ STATION"/>
        <s v="LINEA"/>
        <s v="MAXMARA"/>
        <s v="NEW BALANCE"/>
        <s v="NEW ERA"/>
        <s v="NINE WEST"/>
        <s v="ONITSUKA TIGER"/>
        <s v="PAYLESS"/>
        <s v="PAZZION"/>
        <s v="PLANET KIDS"/>
        <s v="PROSHOP"/>
        <s v="PUMA"/>
        <s v="REEBOK"/>
        <s v="REEF"/>
        <s v="ROCKPORT"/>
        <s v="ROOKIE"/>
        <s v="ROYAL SPORTING HOUSE"/>
        <s v="SALOMON"/>
        <s v="SMIGGLE"/>
        <s v="SPEEDO"/>
        <s v="STACCATO"/>
        <s v="STEVE MADDEN"/>
        <s v="TEVA"/>
        <s v="ANCOL"/>
        <s v="HOSHINO"/>
        <s v="88 SEOUL"/>
        <s v="ANTA"/>
        <s v="DIGIMAP"/>
        <s v="DIGIPLUS"/>
        <s v="FLAYING TIGER"/>
        <s v="SEPHORA"/>
        <s v="HOTEL PATRA JASA SEMARANG"/>
        <s v="IRUKA IZAKAYA"/>
        <s v="SUBWAY"/>
        <s v="SWAROVSKI"/>
        <s v="PATRA BALI RESORT &amp; VILLA BADUNG"/>
        <s v="PATRA JAKARTA HOTEL"/>
        <m/>
      </sharedItems>
    </cacheField>
    <cacheField name="TRX_MONTH" numFmtId="0">
      <sharedItems containsBlank="1"/>
    </cacheField>
    <cacheField name="YEAR" numFmtId="0">
      <sharedItems containsBlank="1"/>
    </cacheField>
    <cacheField name="KEY" numFmtId="0">
      <sharedItems containsBlank="1"/>
    </cacheField>
    <cacheField name="TRX_DEBIT_ONUS" numFmtId="41">
      <sharedItems containsString="0" containsBlank="1" containsNumber="1" containsInteger="1" minValue="0" maxValue="147624"/>
    </cacheField>
    <cacheField name="TRX_DEBIT_OFFUS" numFmtId="41">
      <sharedItems containsString="0" containsBlank="1" containsNumber="1" containsInteger="1" minValue="0" maxValue="190442"/>
    </cacheField>
    <cacheField name="TRX_CREDIT_OFFUS" numFmtId="41">
      <sharedItems containsString="0" containsBlank="1" containsNumber="1" containsInteger="1" minValue="0" maxValue="28939"/>
    </cacheField>
    <cacheField name="TRX_QRIS_ONUS" numFmtId="41">
      <sharedItems containsString="0" containsBlank="1" containsNumber="1" containsInteger="1" minValue="0" maxValue="12367"/>
    </cacheField>
    <cacheField name="TRX_QRIS_OFFUS" numFmtId="41">
      <sharedItems containsString="0" containsBlank="1" containsNumber="1" containsInteger="1" minValue="0" maxValue="7099361"/>
    </cacheField>
    <cacheField name="SV_DEBIT_ONUS" numFmtId="41">
      <sharedItems containsString="0" containsBlank="1" containsNumber="1" containsInteger="1" minValue="0" maxValue="5531735489"/>
    </cacheField>
    <cacheField name="SV_DEBIT_OFFUS" numFmtId="41">
      <sharedItems containsString="0" containsBlank="1" containsNumber="1" containsInteger="1" minValue="0" maxValue="41972896400"/>
    </cacheField>
    <cacheField name="SV_CREDIT_OFFUS" numFmtId="41">
      <sharedItems containsString="0" containsBlank="1" containsNumber="1" containsInteger="1" minValue="0" maxValue="7009429108"/>
    </cacheField>
    <cacheField name="SV_QRIS_ONUS" numFmtId="41">
      <sharedItems containsString="0" containsBlank="1" containsNumber="1" containsInteger="1" minValue="0" maxValue="284244100"/>
    </cacheField>
    <cacheField name="SV_QRIS_OFFUS" numFmtId="41">
      <sharedItems containsString="0" containsBlank="1" containsNumber="1" containsInteger="1" minValue="0" maxValue="20297601832"/>
    </cacheField>
    <cacheField name="FBI_DEBIT_ONUS" numFmtId="41">
      <sharedItems containsString="0" containsBlank="1" containsNumber="1" containsInteger="1" minValue="0" maxValue="9556414"/>
    </cacheField>
    <cacheField name="FBI_DEBIT_OFFUS" numFmtId="41">
      <sharedItems containsString="0" containsBlank="1" containsNumber="1" containsInteger="1" minValue="0" maxValue="202004187"/>
    </cacheField>
    <cacheField name="FBI_CREDIT_OFFUS" numFmtId="41">
      <sharedItems containsString="0" containsBlank="1" containsNumber="1" containsInteger="1" minValue="0" maxValue="91122578"/>
    </cacheField>
    <cacheField name="FBI_QRIS_ONUS" numFmtId="41">
      <sharedItems containsString="0" containsBlank="1" containsNumber="1" containsInteger="1" minValue="-150172" maxValue="1989689"/>
    </cacheField>
    <cacheField name="FBI_QRIS_OFFUS" numFmtId="41">
      <sharedItems containsString="0" containsBlank="1" containsNumber="1" containsInteger="1" minValue="0" maxValue="1420823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9">
  <r>
    <x v="0"/>
    <x v="0"/>
    <s v="202401"/>
    <s v="2024"/>
    <s v="ALFA GROUP202401"/>
    <n v="13525"/>
    <n v="48927"/>
    <n v="9080"/>
    <n v="0"/>
    <n v="0"/>
    <n v="1294330700"/>
    <n v="4888475333"/>
    <n v="1329342330"/>
    <n v="0"/>
    <n v="0"/>
    <n v="1941496"/>
    <n v="43089872"/>
    <n v="23891588"/>
    <n v="0"/>
    <n v="0"/>
  </r>
  <r>
    <x v="0"/>
    <x v="1"/>
    <s v="202401"/>
    <s v="2024"/>
    <s v="ALFA GROUP202401"/>
    <n v="2473"/>
    <n v="10669"/>
    <n v="2621"/>
    <n v="0"/>
    <n v="0"/>
    <n v="372744453"/>
    <n v="1456536844"/>
    <n v="526792542"/>
    <n v="0"/>
    <n v="0"/>
    <n v="559115"/>
    <n v="12378177"/>
    <n v="9478249"/>
    <n v="0"/>
    <n v="0"/>
  </r>
  <r>
    <x v="0"/>
    <x v="2"/>
    <s v="202401"/>
    <s v="2024"/>
    <s v="ALFA GROUP202401"/>
    <n v="260"/>
    <n v="890"/>
    <n v="118"/>
    <n v="0"/>
    <n v="0"/>
    <n v="44369337"/>
    <n v="137731658"/>
    <n v="26234200"/>
    <n v="0"/>
    <n v="0"/>
    <n v="66554"/>
    <n v="1275079"/>
    <n v="470290"/>
    <n v="0"/>
    <n v="0"/>
  </r>
  <r>
    <x v="1"/>
    <x v="3"/>
    <s v="202401"/>
    <s v="2024"/>
    <s v="CHAMP RESTO202401"/>
    <n v="1"/>
    <n v="45"/>
    <n v="0"/>
    <n v="0"/>
    <n v="0"/>
    <n v="450997"/>
    <n v="7181931"/>
    <n v="0"/>
    <n v="0"/>
    <n v="0"/>
    <n v="676"/>
    <n v="71819"/>
    <n v="0"/>
    <n v="0"/>
    <n v="0"/>
  </r>
  <r>
    <x v="1"/>
    <x v="4"/>
    <s v="202401"/>
    <s v="2024"/>
    <s v="CHAMP RESTO202401"/>
    <n v="0"/>
    <n v="1"/>
    <n v="0"/>
    <n v="0"/>
    <n v="0"/>
    <n v="0"/>
    <n v="315727"/>
    <n v="0"/>
    <n v="0"/>
    <n v="0"/>
    <n v="0"/>
    <n v="3157"/>
    <n v="0"/>
    <n v="0"/>
    <n v="0"/>
  </r>
  <r>
    <x v="1"/>
    <x v="5"/>
    <s v="202401"/>
    <s v="2024"/>
    <s v="CHAMP RESTO202401"/>
    <n v="13"/>
    <n v="122"/>
    <n v="0"/>
    <n v="0"/>
    <n v="0"/>
    <n v="2119000"/>
    <n v="22434911"/>
    <n v="0"/>
    <n v="0"/>
    <n v="0"/>
    <n v="3178"/>
    <n v="224349"/>
    <n v="0"/>
    <n v="0"/>
    <n v="0"/>
  </r>
  <r>
    <x v="1"/>
    <x v="6"/>
    <s v="202401"/>
    <s v="2024"/>
    <s v="CHAMP RESTO202401"/>
    <n v="0"/>
    <n v="4"/>
    <n v="0"/>
    <n v="0"/>
    <n v="0"/>
    <n v="0"/>
    <n v="1717677"/>
    <n v="0"/>
    <n v="0"/>
    <n v="0"/>
    <n v="0"/>
    <n v="17177"/>
    <n v="0"/>
    <n v="0"/>
    <n v="0"/>
  </r>
  <r>
    <x v="1"/>
    <x v="7"/>
    <s v="202401"/>
    <s v="2024"/>
    <s v="CHAMP RESTO202401"/>
    <n v="3"/>
    <n v="2"/>
    <n v="0"/>
    <n v="0"/>
    <n v="0"/>
    <n v="570000"/>
    <n v="1501997"/>
    <n v="0"/>
    <n v="0"/>
    <n v="0"/>
    <n v="855"/>
    <n v="15020"/>
    <n v="0"/>
    <n v="0"/>
    <n v="0"/>
  </r>
  <r>
    <x v="1"/>
    <x v="8"/>
    <s v="202401"/>
    <s v="2024"/>
    <s v="CHAMP RESTO202401"/>
    <n v="3"/>
    <n v="4"/>
    <n v="0"/>
    <n v="0"/>
    <n v="0"/>
    <n v="1052000"/>
    <n v="1004008"/>
    <n v="0"/>
    <n v="0"/>
    <n v="0"/>
    <n v="1578"/>
    <n v="10040"/>
    <n v="0"/>
    <n v="0"/>
    <n v="0"/>
  </r>
  <r>
    <x v="2"/>
    <x v="9"/>
    <s v="202401"/>
    <s v="2024"/>
    <s v="ES TELLER 77202401"/>
    <n v="89"/>
    <n v="146"/>
    <n v="1"/>
    <n v="0"/>
    <n v="0"/>
    <n v="10858000"/>
    <n v="19020700"/>
    <n v="152000"/>
    <n v="0"/>
    <n v="0"/>
    <n v="16287"/>
    <n v="190207"/>
    <n v="2736"/>
    <n v="0"/>
    <n v="0"/>
  </r>
  <r>
    <x v="3"/>
    <x v="10"/>
    <s v="202401"/>
    <s v="2024"/>
    <s v="GRAMEDIA202401"/>
    <n v="11"/>
    <n v="0"/>
    <n v="0"/>
    <n v="0"/>
    <n v="0"/>
    <n v="4587400"/>
    <n v="0"/>
    <n v="0"/>
    <n v="0"/>
    <n v="0"/>
    <n v="6881"/>
    <n v="0"/>
    <n v="0"/>
    <n v="0"/>
    <n v="0"/>
  </r>
  <r>
    <x v="4"/>
    <x v="11"/>
    <s v="202401"/>
    <s v="2024"/>
    <s v="HAUS202401"/>
    <n v="0"/>
    <n v="55"/>
    <n v="0"/>
    <n v="0"/>
    <n v="0"/>
    <n v="0"/>
    <n v="2011994"/>
    <n v="0"/>
    <n v="0"/>
    <n v="0"/>
    <n v="0"/>
    <n v="20120"/>
    <n v="0"/>
    <n v="0"/>
    <n v="0"/>
  </r>
  <r>
    <x v="5"/>
    <x v="12"/>
    <s v="202401"/>
    <s v="2024"/>
    <s v="HOP HOP202401"/>
    <n v="0"/>
    <n v="0"/>
    <n v="0"/>
    <n v="17"/>
    <n v="3266"/>
    <n v="0"/>
    <n v="0"/>
    <n v="0"/>
    <n v="797000"/>
    <n v="109212805"/>
    <n v="0"/>
    <n v="0"/>
    <n v="0"/>
    <n v="5579"/>
    <n v="764488"/>
  </r>
  <r>
    <x v="6"/>
    <x v="13"/>
    <s v="202401"/>
    <s v="2024"/>
    <s v="IKEA202401"/>
    <n v="5"/>
    <n v="0"/>
    <n v="0"/>
    <n v="0"/>
    <n v="0"/>
    <n v="3799800"/>
    <n v="0"/>
    <n v="0"/>
    <n v="0"/>
    <n v="0"/>
    <n v="5700"/>
    <n v="0"/>
    <n v="0"/>
    <n v="0"/>
    <n v="0"/>
  </r>
  <r>
    <x v="7"/>
    <x v="14"/>
    <s v="202401"/>
    <s v="2024"/>
    <s v="INDOMARET202401"/>
    <n v="31082"/>
    <n v="78158"/>
    <n v="2159"/>
    <n v="0"/>
    <n v="0"/>
    <n v="3104159600"/>
    <n v="6992530627"/>
    <n v="288277350"/>
    <n v="0"/>
    <n v="0"/>
    <n v="4656237"/>
    <n v="69059997"/>
    <n v="5061590"/>
    <n v="0"/>
    <n v="0"/>
  </r>
  <r>
    <x v="7"/>
    <x v="15"/>
    <s v="202401"/>
    <s v="2024"/>
    <s v="INDOMARET202401"/>
    <n v="525"/>
    <n v="1679"/>
    <n v="42"/>
    <n v="0"/>
    <n v="0"/>
    <n v="35487882"/>
    <n v="109395450"/>
    <n v="3046600"/>
    <n v="0"/>
    <n v="0"/>
    <n v="53232"/>
    <n v="1082962"/>
    <n v="53525"/>
    <n v="0"/>
    <n v="0"/>
  </r>
  <r>
    <x v="8"/>
    <x v="16"/>
    <s v="202401"/>
    <s v="2024"/>
    <s v="KAWAN LAMA202401"/>
    <n v="1658"/>
    <n v="0"/>
    <n v="0"/>
    <n v="0"/>
    <n v="0"/>
    <n v="1656771370"/>
    <n v="0"/>
    <n v="0"/>
    <n v="0"/>
    <n v="0"/>
    <n v="2485154"/>
    <n v="0"/>
    <n v="0"/>
    <n v="0"/>
    <n v="0"/>
  </r>
  <r>
    <x v="8"/>
    <x v="17"/>
    <s v="202401"/>
    <s v="2024"/>
    <s v="KAWAN LAMA202401"/>
    <n v="0"/>
    <n v="0"/>
    <n v="0"/>
    <n v="0"/>
    <n v="2"/>
    <n v="0"/>
    <n v="0"/>
    <n v="0"/>
    <n v="0"/>
    <n v="2"/>
    <n v="0"/>
    <n v="0"/>
    <n v="0"/>
    <n v="0"/>
    <n v="0"/>
  </r>
  <r>
    <x v="8"/>
    <x v="18"/>
    <s v="202401"/>
    <s v="2024"/>
    <s v="KAWAN LAMA202401"/>
    <n v="494"/>
    <n v="0"/>
    <n v="0"/>
    <n v="0"/>
    <n v="0"/>
    <n v="1590067117"/>
    <n v="0"/>
    <n v="0"/>
    <n v="0"/>
    <n v="0"/>
    <n v="2385100"/>
    <n v="0"/>
    <n v="0"/>
    <n v="0"/>
    <n v="0"/>
  </r>
  <r>
    <x v="8"/>
    <x v="19"/>
    <s v="202401"/>
    <s v="2024"/>
    <s v="KAWAN LAMA202401"/>
    <n v="14"/>
    <n v="0"/>
    <n v="0"/>
    <n v="0"/>
    <n v="0"/>
    <n v="38592350"/>
    <n v="0"/>
    <n v="0"/>
    <n v="0"/>
    <n v="0"/>
    <n v="57888"/>
    <n v="0"/>
    <n v="0"/>
    <n v="0"/>
    <n v="0"/>
  </r>
  <r>
    <x v="8"/>
    <x v="20"/>
    <s v="202401"/>
    <s v="2024"/>
    <s v="KAWAN LAMA202401"/>
    <n v="0"/>
    <n v="0"/>
    <n v="0"/>
    <n v="0"/>
    <n v="16"/>
    <n v="0"/>
    <n v="0"/>
    <n v="0"/>
    <n v="0"/>
    <n v="1804000"/>
    <n v="0"/>
    <n v="0"/>
    <n v="0"/>
    <n v="0"/>
    <n v="5412"/>
  </r>
  <r>
    <x v="8"/>
    <x v="21"/>
    <s v="202401"/>
    <s v="2024"/>
    <s v="KAWAN LAMA202401"/>
    <n v="1"/>
    <n v="0"/>
    <n v="0"/>
    <n v="0"/>
    <n v="0"/>
    <n v="245000"/>
    <n v="0"/>
    <n v="0"/>
    <n v="0"/>
    <n v="0"/>
    <n v="368"/>
    <n v="0"/>
    <n v="0"/>
    <n v="0"/>
    <n v="0"/>
  </r>
  <r>
    <x v="9"/>
    <x v="22"/>
    <s v="202401"/>
    <s v="2024"/>
    <s v="KCIC202401"/>
    <n v="41"/>
    <n v="1013"/>
    <n v="256"/>
    <n v="0"/>
    <n v="0"/>
    <n v="20400000"/>
    <n v="582100000"/>
    <n v="287750000"/>
    <n v="0"/>
    <n v="0"/>
    <n v="30600"/>
    <n v="5211500"/>
    <n v="5179500"/>
    <n v="0"/>
    <n v="0"/>
  </r>
  <r>
    <x v="10"/>
    <x v="23"/>
    <s v="202401"/>
    <s v="2024"/>
    <s v="KIMIA FARMA202401"/>
    <n v="91"/>
    <n v="1131"/>
    <n v="129"/>
    <n v="0"/>
    <n v="0"/>
    <n v="22601302"/>
    <n v="307712474"/>
    <n v="40696674"/>
    <n v="0"/>
    <n v="0"/>
    <n v="33902"/>
    <n v="2817475"/>
    <n v="732540"/>
    <n v="0"/>
    <n v="0"/>
  </r>
  <r>
    <x v="11"/>
    <x v="24"/>
    <s v="202401"/>
    <s v="2024"/>
    <s v="MITRA10202401"/>
    <n v="688"/>
    <n v="3"/>
    <n v="1"/>
    <n v="0"/>
    <n v="0"/>
    <n v="1383659021"/>
    <n v="3101723"/>
    <n v="1003550"/>
    <n v="0"/>
    <n v="0"/>
    <n v="2075487"/>
    <n v="31017"/>
    <n v="20071"/>
    <n v="0"/>
    <n v="0"/>
  </r>
  <r>
    <x v="12"/>
    <x v="25"/>
    <s v="202401"/>
    <s v="2024"/>
    <s v="OPTIK MELAWAI202401"/>
    <n v="34"/>
    <n v="167"/>
    <n v="2"/>
    <n v="0"/>
    <n v="0"/>
    <n v="44608500"/>
    <n v="268724500"/>
    <n v="1012000"/>
    <n v="0"/>
    <n v="0"/>
    <n v="66913"/>
    <n v="2687245"/>
    <n v="18216"/>
    <n v="0"/>
    <n v="0"/>
  </r>
  <r>
    <x v="13"/>
    <x v="26"/>
    <s v="202401"/>
    <s v="2024"/>
    <s v="PATRA JASA202401"/>
    <n v="0"/>
    <n v="1"/>
    <n v="0"/>
    <n v="0"/>
    <n v="0"/>
    <n v="0"/>
    <n v="1050000"/>
    <n v="0"/>
    <n v="0"/>
    <n v="0"/>
    <n v="0"/>
    <n v="10500"/>
    <n v="0"/>
    <n v="0"/>
    <n v="0"/>
  </r>
  <r>
    <x v="14"/>
    <x v="27"/>
    <s v="202401"/>
    <s v="2024"/>
    <s v="PERTAMINA RETAIL202401"/>
    <n v="15"/>
    <n v="5584"/>
    <n v="101"/>
    <n v="0"/>
    <n v="0"/>
    <n v="685500"/>
    <n v="711987096"/>
    <n v="28536250"/>
    <n v="0"/>
    <n v="0"/>
    <n v="1028"/>
    <n v="6994621"/>
    <n v="513652"/>
    <n v="0"/>
    <n v="0"/>
  </r>
  <r>
    <x v="14"/>
    <x v="28"/>
    <s v="202401"/>
    <s v="2024"/>
    <s v="PERTAMINA RETAIL202401"/>
    <n v="963"/>
    <n v="190442"/>
    <n v="101"/>
    <n v="0"/>
    <n v="0"/>
    <n v="216207409"/>
    <n v="41972896400"/>
    <n v="26791070"/>
    <n v="0"/>
    <n v="0"/>
    <n v="324311"/>
    <n v="202004187"/>
    <n v="482239"/>
    <n v="0"/>
    <n v="0"/>
  </r>
  <r>
    <x v="15"/>
    <x v="29"/>
    <s v="202401"/>
    <s v="2024"/>
    <s v="PIZZA HUT202401"/>
    <n v="47"/>
    <n v="0"/>
    <n v="0"/>
    <n v="0"/>
    <n v="0"/>
    <n v="9210269"/>
    <n v="0"/>
    <n v="0"/>
    <n v="0"/>
    <n v="0"/>
    <n v="13815"/>
    <n v="0"/>
    <n v="0"/>
    <n v="0"/>
    <n v="0"/>
  </r>
  <r>
    <x v="15"/>
    <x v="30"/>
    <s v="202401"/>
    <s v="2024"/>
    <s v="PIZZA HUT202401"/>
    <n v="530"/>
    <n v="1"/>
    <n v="0"/>
    <n v="2"/>
    <n v="2"/>
    <n v="165076795"/>
    <n v="73000"/>
    <n v="0"/>
    <n v="2"/>
    <n v="2"/>
    <n v="247613"/>
    <n v="730"/>
    <n v="0"/>
    <n v="0"/>
    <n v="0"/>
  </r>
  <r>
    <x v="16"/>
    <x v="31"/>
    <s v="202401"/>
    <s v="2024"/>
    <s v="PLATINUM CINEPLEX202401"/>
    <n v="0"/>
    <n v="1"/>
    <n v="0"/>
    <n v="0"/>
    <n v="0"/>
    <n v="0"/>
    <n v="200000"/>
    <n v="0"/>
    <n v="0"/>
    <n v="0"/>
    <n v="0"/>
    <n v="2000"/>
    <n v="0"/>
    <n v="0"/>
    <n v="0"/>
  </r>
  <r>
    <x v="17"/>
    <x v="32"/>
    <s v="202401"/>
    <s v="2024"/>
    <s v="SARINAH202401"/>
    <n v="15"/>
    <n v="405"/>
    <n v="329"/>
    <n v="0"/>
    <n v="0"/>
    <n v="5612000"/>
    <n v="319501520"/>
    <n v="408956523"/>
    <n v="0"/>
    <n v="0"/>
    <n v="8418"/>
    <n v="2379819"/>
    <n v="7361217"/>
    <n v="0"/>
    <n v="0"/>
  </r>
  <r>
    <x v="18"/>
    <x v="33"/>
    <s v="202401"/>
    <s v="2024"/>
    <s v="SHIHLIN202401"/>
    <n v="494"/>
    <n v="10"/>
    <n v="0"/>
    <n v="2"/>
    <n v="6"/>
    <n v="43513000"/>
    <n v="686000"/>
    <n v="0"/>
    <n v="127000"/>
    <n v="376400"/>
    <n v="65270"/>
    <n v="6860"/>
    <n v="0"/>
    <n v="889"/>
    <n v="2635"/>
  </r>
  <r>
    <x v="19"/>
    <x v="34"/>
    <s v="202401"/>
    <s v="2024"/>
    <s v="SOLARIA202401"/>
    <n v="2284"/>
    <n v="1"/>
    <n v="0"/>
    <n v="0"/>
    <n v="0"/>
    <n v="408426800"/>
    <n v="111000"/>
    <n v="0"/>
    <n v="0"/>
    <n v="0"/>
    <n v="612640"/>
    <n v="1110"/>
    <n v="0"/>
    <n v="0"/>
    <n v="0"/>
  </r>
  <r>
    <x v="20"/>
    <x v="35"/>
    <s v="202401"/>
    <s v="2024"/>
    <s v="SOUR SALLY202401"/>
    <n v="200"/>
    <n v="16"/>
    <n v="0"/>
    <n v="0"/>
    <n v="0"/>
    <n v="12368300"/>
    <n v="1460000"/>
    <n v="0"/>
    <n v="0"/>
    <n v="0"/>
    <n v="18552"/>
    <n v="14600"/>
    <n v="0"/>
    <n v="0"/>
    <n v="0"/>
  </r>
  <r>
    <x v="21"/>
    <x v="36"/>
    <s v="202401"/>
    <s v="2024"/>
    <s v="STEVEN GROUP202401"/>
    <n v="0"/>
    <n v="6"/>
    <n v="0"/>
    <n v="0"/>
    <n v="0"/>
    <n v="0"/>
    <n v="7735000"/>
    <n v="0"/>
    <n v="0"/>
    <n v="0"/>
    <n v="0"/>
    <n v="60350"/>
    <n v="0"/>
    <n v="0"/>
    <n v="0"/>
  </r>
  <r>
    <x v="0"/>
    <x v="0"/>
    <s v="202402"/>
    <s v="2024"/>
    <s v="ALFA GROUP202402"/>
    <n v="15359"/>
    <n v="54335"/>
    <n v="4701"/>
    <n v="0"/>
    <n v="0"/>
    <n v="1353934928"/>
    <n v="5406923506"/>
    <n v="648220549"/>
    <n v="0"/>
    <n v="0"/>
    <n v="2030902"/>
    <n v="53796541"/>
    <n v="11657837"/>
    <n v="0"/>
    <n v="0"/>
  </r>
  <r>
    <x v="0"/>
    <x v="1"/>
    <s v="202402"/>
    <s v="2024"/>
    <s v="ALFA GROUP202402"/>
    <n v="3361"/>
    <n v="15423"/>
    <n v="1775"/>
    <n v="0"/>
    <n v="0"/>
    <n v="483118479"/>
    <n v="2139948923"/>
    <n v="362794811"/>
    <n v="0"/>
    <n v="0"/>
    <n v="724676"/>
    <n v="21361397"/>
    <n v="6524489"/>
    <n v="0"/>
    <n v="0"/>
  </r>
  <r>
    <x v="0"/>
    <x v="2"/>
    <s v="202402"/>
    <s v="2024"/>
    <s v="ALFA GROUP202402"/>
    <n v="269"/>
    <n v="922"/>
    <n v="57"/>
    <n v="0"/>
    <n v="0"/>
    <n v="43390401"/>
    <n v="147615575"/>
    <n v="12998700"/>
    <n v="0"/>
    <n v="0"/>
    <n v="65086"/>
    <n v="1463539"/>
    <n v="233431"/>
    <n v="0"/>
    <n v="0"/>
  </r>
  <r>
    <x v="22"/>
    <x v="37"/>
    <s v="202402"/>
    <s v="2024"/>
    <s v="BANBAN TEA202402"/>
    <n v="307"/>
    <n v="0"/>
    <n v="0"/>
    <n v="0"/>
    <n v="0"/>
    <n v="15172642"/>
    <n v="0"/>
    <n v="0"/>
    <n v="0"/>
    <n v="0"/>
    <n v="22758"/>
    <n v="0"/>
    <n v="0"/>
    <n v="0"/>
    <n v="0"/>
  </r>
  <r>
    <x v="23"/>
    <x v="38"/>
    <s v="202402"/>
    <s v="2024"/>
    <s v="BEARD PAPA202402"/>
    <n v="3"/>
    <n v="0"/>
    <n v="0"/>
    <n v="0"/>
    <n v="0"/>
    <n v="124000"/>
    <n v="0"/>
    <n v="0"/>
    <n v="0"/>
    <n v="0"/>
    <n v="186"/>
    <n v="0"/>
    <n v="0"/>
    <n v="0"/>
    <n v="0"/>
  </r>
  <r>
    <x v="1"/>
    <x v="3"/>
    <s v="202402"/>
    <s v="2024"/>
    <s v="CHAMP RESTO202402"/>
    <n v="167"/>
    <n v="46"/>
    <n v="1"/>
    <n v="0"/>
    <n v="0"/>
    <n v="2167200"/>
    <n v="7475612"/>
    <n v="157680"/>
    <n v="0"/>
    <n v="0"/>
    <n v="3251"/>
    <n v="74756"/>
    <n v="2838"/>
    <n v="0"/>
    <n v="0"/>
  </r>
  <r>
    <x v="1"/>
    <x v="39"/>
    <s v="202402"/>
    <s v="2024"/>
    <s v="CHAMP RESTO202402"/>
    <n v="1"/>
    <n v="0"/>
    <n v="0"/>
    <n v="0"/>
    <n v="0"/>
    <n v="254947"/>
    <n v="0"/>
    <n v="0"/>
    <n v="0"/>
    <n v="0"/>
    <n v="382"/>
    <n v="0"/>
    <n v="0"/>
    <n v="0"/>
    <n v="0"/>
  </r>
  <r>
    <x v="1"/>
    <x v="4"/>
    <s v="202402"/>
    <s v="2024"/>
    <s v="CHAMP RESTO202402"/>
    <n v="9"/>
    <n v="0"/>
    <n v="0"/>
    <n v="0"/>
    <n v="0"/>
    <n v="989097"/>
    <n v="0"/>
    <n v="0"/>
    <n v="0"/>
    <n v="0"/>
    <n v="1484"/>
    <n v="0"/>
    <n v="0"/>
    <n v="0"/>
    <n v="0"/>
  </r>
  <r>
    <x v="1"/>
    <x v="5"/>
    <s v="202402"/>
    <s v="2024"/>
    <s v="CHAMP RESTO202402"/>
    <n v="4540"/>
    <n v="116"/>
    <n v="0"/>
    <n v="0"/>
    <n v="0"/>
    <n v="58697867"/>
    <n v="19696162"/>
    <n v="0"/>
    <n v="0"/>
    <n v="0"/>
    <n v="88047"/>
    <n v="197922"/>
    <n v="0"/>
    <n v="0"/>
    <n v="0"/>
  </r>
  <r>
    <x v="1"/>
    <x v="6"/>
    <s v="202402"/>
    <s v="2024"/>
    <s v="CHAMP RESTO202402"/>
    <n v="6"/>
    <n v="1"/>
    <n v="0"/>
    <n v="0"/>
    <n v="0"/>
    <n v="298142"/>
    <n v="209302"/>
    <n v="0"/>
    <n v="0"/>
    <n v="0"/>
    <n v="447"/>
    <n v="2093"/>
    <n v="0"/>
    <n v="0"/>
    <n v="0"/>
  </r>
  <r>
    <x v="1"/>
    <x v="7"/>
    <s v="202402"/>
    <s v="2024"/>
    <s v="CHAMP RESTO202402"/>
    <n v="493"/>
    <n v="2"/>
    <n v="0"/>
    <n v="0"/>
    <n v="0"/>
    <n v="6504600"/>
    <n v="356800"/>
    <n v="0"/>
    <n v="0"/>
    <n v="0"/>
    <n v="9757"/>
    <n v="3568"/>
    <n v="0"/>
    <n v="0"/>
    <n v="0"/>
  </r>
  <r>
    <x v="1"/>
    <x v="8"/>
    <s v="202402"/>
    <s v="2024"/>
    <s v="CHAMP RESTO202402"/>
    <n v="1624"/>
    <n v="28"/>
    <n v="0"/>
    <n v="0"/>
    <n v="0"/>
    <n v="45965026"/>
    <n v="7678230"/>
    <n v="0"/>
    <n v="0"/>
    <n v="0"/>
    <n v="68947"/>
    <n v="76782"/>
    <n v="0"/>
    <n v="0"/>
    <n v="0"/>
  </r>
  <r>
    <x v="2"/>
    <x v="9"/>
    <s v="202402"/>
    <s v="2024"/>
    <s v="ES TELLER 77202402"/>
    <n v="123"/>
    <n v="122"/>
    <n v="0"/>
    <n v="1692"/>
    <n v="32"/>
    <n v="14506100"/>
    <n v="15987500"/>
    <n v="0"/>
    <n v="13547028"/>
    <n v="3889098"/>
    <n v="21759"/>
    <n v="159875"/>
    <n v="0"/>
    <n v="94818"/>
    <n v="27224"/>
  </r>
  <r>
    <x v="3"/>
    <x v="10"/>
    <s v="202402"/>
    <s v="2024"/>
    <s v="GRAMEDIA202402"/>
    <n v="114"/>
    <n v="1185"/>
    <n v="22"/>
    <n v="91"/>
    <n v="5569"/>
    <n v="27021475"/>
    <n v="342137245"/>
    <n v="10483700"/>
    <n v="17268200"/>
    <n v="977659396"/>
    <n v="40532"/>
    <n v="3557633"/>
    <n v="188707"/>
    <n v="120877"/>
    <n v="6843606"/>
  </r>
  <r>
    <x v="4"/>
    <x v="11"/>
    <s v="202402"/>
    <s v="2024"/>
    <s v="HAUS202402"/>
    <n v="0"/>
    <n v="23"/>
    <n v="0"/>
    <n v="0"/>
    <n v="0"/>
    <n v="0"/>
    <n v="972994"/>
    <n v="0"/>
    <n v="0"/>
    <n v="0"/>
    <n v="0"/>
    <n v="10114"/>
    <n v="0"/>
    <n v="0"/>
    <n v="0"/>
  </r>
  <r>
    <x v="24"/>
    <x v="40"/>
    <s v="202402"/>
    <s v="2024"/>
    <s v="HERO GROUP202402"/>
    <n v="0"/>
    <n v="1"/>
    <n v="0"/>
    <n v="0"/>
    <n v="0"/>
    <n v="0"/>
    <n v="100000"/>
    <n v="0"/>
    <n v="0"/>
    <n v="0"/>
    <n v="0"/>
    <n v="1000"/>
    <n v="0"/>
    <n v="0"/>
    <n v="0"/>
  </r>
  <r>
    <x v="5"/>
    <x v="12"/>
    <s v="202402"/>
    <s v="2024"/>
    <s v="HOP HOP202402"/>
    <n v="0"/>
    <n v="0"/>
    <n v="0"/>
    <n v="22"/>
    <n v="2984"/>
    <n v="0"/>
    <n v="0"/>
    <n v="0"/>
    <n v="716000"/>
    <n v="100204200"/>
    <n v="0"/>
    <n v="0"/>
    <n v="0"/>
    <n v="5012"/>
    <n v="701429"/>
  </r>
  <r>
    <x v="6"/>
    <x v="13"/>
    <s v="202402"/>
    <s v="2024"/>
    <s v="IKEA202402"/>
    <n v="17"/>
    <n v="0"/>
    <n v="0"/>
    <n v="0"/>
    <n v="0"/>
    <n v="4269300"/>
    <n v="0"/>
    <n v="0"/>
    <n v="0"/>
    <n v="0"/>
    <n v="6404"/>
    <n v="0"/>
    <n v="0"/>
    <n v="0"/>
    <n v="0"/>
  </r>
  <r>
    <x v="7"/>
    <x v="14"/>
    <s v="202402"/>
    <s v="2024"/>
    <s v="INDOMARET202402"/>
    <n v="147624"/>
    <n v="74103"/>
    <n v="1554"/>
    <n v="0"/>
    <n v="0"/>
    <n v="5531735489"/>
    <n v="6527252709"/>
    <n v="171880400"/>
    <n v="0"/>
    <n v="0"/>
    <n v="8297601"/>
    <n v="65309562"/>
    <n v="2968330"/>
    <n v="0"/>
    <n v="0"/>
  </r>
  <r>
    <x v="7"/>
    <x v="15"/>
    <s v="202402"/>
    <s v="2024"/>
    <s v="INDOMARET202402"/>
    <n v="1071"/>
    <n v="1756"/>
    <n v="39"/>
    <n v="0"/>
    <n v="0"/>
    <n v="59253461"/>
    <n v="123507950"/>
    <n v="2820800"/>
    <n v="0"/>
    <n v="0"/>
    <n v="88880"/>
    <n v="1238098"/>
    <n v="48697"/>
    <n v="0"/>
    <n v="0"/>
  </r>
  <r>
    <x v="8"/>
    <x v="41"/>
    <s v="202402"/>
    <s v="2024"/>
    <s v="KAWAN LAMA202402"/>
    <n v="4"/>
    <n v="0"/>
    <n v="0"/>
    <n v="0"/>
    <n v="0"/>
    <n v="374000"/>
    <n v="0"/>
    <n v="0"/>
    <n v="0"/>
    <n v="0"/>
    <n v="561"/>
    <n v="0"/>
    <n v="0"/>
    <n v="0"/>
    <n v="0"/>
  </r>
  <r>
    <x v="8"/>
    <x v="16"/>
    <s v="202402"/>
    <s v="2024"/>
    <s v="KAWAN LAMA202402"/>
    <n v="2155"/>
    <n v="0"/>
    <n v="0"/>
    <n v="0"/>
    <n v="0"/>
    <n v="1754679789"/>
    <n v="0"/>
    <n v="0"/>
    <n v="0"/>
    <n v="0"/>
    <n v="2632016"/>
    <n v="0"/>
    <n v="0"/>
    <n v="0"/>
    <n v="0"/>
  </r>
  <r>
    <x v="8"/>
    <x v="17"/>
    <s v="202402"/>
    <s v="2024"/>
    <s v="KAWAN LAMA202402"/>
    <n v="0"/>
    <n v="0"/>
    <n v="0"/>
    <n v="0"/>
    <n v="1"/>
    <n v="0"/>
    <n v="0"/>
    <n v="0"/>
    <n v="0"/>
    <n v="1"/>
    <n v="0"/>
    <n v="0"/>
    <n v="0"/>
    <n v="0"/>
    <n v="0"/>
  </r>
  <r>
    <x v="8"/>
    <x v="18"/>
    <s v="202402"/>
    <s v="2024"/>
    <s v="KAWAN LAMA202402"/>
    <n v="615"/>
    <n v="0"/>
    <n v="0"/>
    <n v="0"/>
    <n v="0"/>
    <n v="1560367135"/>
    <n v="0"/>
    <n v="0"/>
    <n v="0"/>
    <n v="0"/>
    <n v="2340550"/>
    <n v="0"/>
    <n v="0"/>
    <n v="0"/>
    <n v="0"/>
  </r>
  <r>
    <x v="8"/>
    <x v="19"/>
    <s v="202402"/>
    <s v="2024"/>
    <s v="KAWAN LAMA202402"/>
    <n v="22"/>
    <n v="0"/>
    <n v="0"/>
    <n v="0"/>
    <n v="0"/>
    <n v="91729310"/>
    <n v="0"/>
    <n v="0"/>
    <n v="0"/>
    <n v="0"/>
    <n v="137594"/>
    <n v="0"/>
    <n v="0"/>
    <n v="0"/>
    <n v="0"/>
  </r>
  <r>
    <x v="8"/>
    <x v="20"/>
    <s v="202402"/>
    <s v="2024"/>
    <s v="KAWAN LAMA202402"/>
    <n v="0"/>
    <n v="0"/>
    <n v="0"/>
    <n v="0"/>
    <n v="66"/>
    <n v="0"/>
    <n v="0"/>
    <n v="0"/>
    <n v="0"/>
    <n v="5433000"/>
    <n v="0"/>
    <n v="0"/>
    <n v="0"/>
    <n v="0"/>
    <n v="16299"/>
  </r>
  <r>
    <x v="8"/>
    <x v="21"/>
    <s v="202402"/>
    <s v="2024"/>
    <s v="KAWAN LAMA202402"/>
    <n v="2"/>
    <n v="0"/>
    <n v="0"/>
    <n v="0"/>
    <n v="0"/>
    <n v="3704872"/>
    <n v="0"/>
    <n v="0"/>
    <n v="0"/>
    <n v="0"/>
    <n v="5557"/>
    <n v="0"/>
    <n v="0"/>
    <n v="0"/>
    <n v="0"/>
  </r>
  <r>
    <x v="9"/>
    <x v="22"/>
    <s v="202402"/>
    <s v="2024"/>
    <s v="KCIC202402"/>
    <n v="42"/>
    <n v="1431"/>
    <n v="136"/>
    <n v="0"/>
    <n v="0"/>
    <n v="20875000"/>
    <n v="907200000"/>
    <n v="98300000"/>
    <n v="0"/>
    <n v="0"/>
    <n v="31312"/>
    <n v="9916000"/>
    <n v="1769400"/>
    <n v="0"/>
    <n v="0"/>
  </r>
  <r>
    <x v="10"/>
    <x v="23"/>
    <s v="202402"/>
    <s v="2024"/>
    <s v="KIMIA FARMA202402"/>
    <n v="116"/>
    <n v="1176"/>
    <n v="66"/>
    <n v="0"/>
    <n v="0"/>
    <n v="34809159"/>
    <n v="327614900"/>
    <n v="22409911"/>
    <n v="0"/>
    <n v="0"/>
    <n v="52213"/>
    <n v="3275747"/>
    <n v="403378"/>
    <n v="0"/>
    <n v="0"/>
  </r>
  <r>
    <x v="25"/>
    <x v="42"/>
    <s v="202402"/>
    <s v="2024"/>
    <s v="MAP GROUP202402"/>
    <n v="0"/>
    <n v="1"/>
    <n v="0"/>
    <n v="0"/>
    <n v="0"/>
    <n v="0"/>
    <n v="480000"/>
    <n v="0"/>
    <n v="0"/>
    <n v="0"/>
    <n v="0"/>
    <n v="4800"/>
    <n v="0"/>
    <n v="0"/>
    <n v="0"/>
  </r>
  <r>
    <x v="11"/>
    <x v="24"/>
    <s v="202402"/>
    <s v="2024"/>
    <s v="MITRA10202402"/>
    <n v="803"/>
    <n v="3"/>
    <n v="0"/>
    <n v="0"/>
    <n v="0"/>
    <n v="1744214423"/>
    <n v="6013700"/>
    <n v="0"/>
    <n v="0"/>
    <n v="0"/>
    <n v="2616319"/>
    <n v="89293"/>
    <n v="0"/>
    <n v="0"/>
    <n v="0"/>
  </r>
  <r>
    <x v="12"/>
    <x v="25"/>
    <s v="202402"/>
    <s v="2024"/>
    <s v="OPTIK MELAWAI202402"/>
    <n v="64"/>
    <n v="329"/>
    <n v="5"/>
    <n v="0"/>
    <n v="0"/>
    <n v="97922500"/>
    <n v="497241500"/>
    <n v="2056500"/>
    <n v="0"/>
    <n v="0"/>
    <n v="146884"/>
    <n v="5022873"/>
    <n v="37247"/>
    <n v="0"/>
    <n v="0"/>
  </r>
  <r>
    <x v="14"/>
    <x v="27"/>
    <s v="202402"/>
    <s v="2024"/>
    <s v="PERTAMINA RETAIL202402"/>
    <n v="31"/>
    <n v="6307"/>
    <n v="44"/>
    <n v="0"/>
    <n v="0"/>
    <n v="1892175"/>
    <n v="751868886"/>
    <n v="7284300"/>
    <n v="0"/>
    <n v="0"/>
    <n v="2838"/>
    <n v="7378764"/>
    <n v="131117"/>
    <n v="0"/>
    <n v="0"/>
  </r>
  <r>
    <x v="14"/>
    <x v="28"/>
    <s v="202402"/>
    <s v="2024"/>
    <s v="PERTAMINA RETAIL202402"/>
    <n v="708"/>
    <n v="142332"/>
    <n v="0"/>
    <n v="0"/>
    <n v="0"/>
    <n v="161356068"/>
    <n v="33035169438"/>
    <n v="0"/>
    <n v="0"/>
    <n v="0"/>
    <n v="242034"/>
    <n v="158605802"/>
    <n v="0"/>
    <n v="0"/>
    <n v="0"/>
  </r>
  <r>
    <x v="15"/>
    <x v="29"/>
    <s v="202402"/>
    <s v="2024"/>
    <s v="PIZZA HUT202402"/>
    <n v="42"/>
    <n v="0"/>
    <n v="0"/>
    <n v="0"/>
    <n v="0"/>
    <n v="6656512"/>
    <n v="0"/>
    <n v="0"/>
    <n v="0"/>
    <n v="0"/>
    <n v="9985"/>
    <n v="0"/>
    <n v="0"/>
    <n v="0"/>
    <n v="0"/>
  </r>
  <r>
    <x v="15"/>
    <x v="30"/>
    <s v="202402"/>
    <s v="2024"/>
    <s v="PIZZA HUT202402"/>
    <n v="271"/>
    <n v="0"/>
    <n v="0"/>
    <n v="0"/>
    <n v="0"/>
    <n v="71622665"/>
    <n v="0"/>
    <n v="0"/>
    <n v="0"/>
    <n v="0"/>
    <n v="107433"/>
    <n v="0"/>
    <n v="0"/>
    <n v="0"/>
    <n v="0"/>
  </r>
  <r>
    <x v="16"/>
    <x v="31"/>
    <s v="202402"/>
    <s v="2024"/>
    <s v="PLATINUM CINEPLEX202402"/>
    <n v="392"/>
    <n v="45"/>
    <n v="0"/>
    <n v="0"/>
    <n v="0"/>
    <n v="8633800"/>
    <n v="5112000"/>
    <n v="0"/>
    <n v="0"/>
    <n v="0"/>
    <n v="12951"/>
    <n v="51120"/>
    <n v="0"/>
    <n v="0"/>
    <n v="0"/>
  </r>
  <r>
    <x v="17"/>
    <x v="32"/>
    <s v="202402"/>
    <s v="2024"/>
    <s v="SARINAH202402"/>
    <n v="14"/>
    <n v="600"/>
    <n v="131"/>
    <n v="0"/>
    <n v="0"/>
    <n v="6465805"/>
    <n v="682459828"/>
    <n v="116686295"/>
    <n v="0"/>
    <n v="0"/>
    <n v="9699"/>
    <n v="8896364"/>
    <n v="2100353"/>
    <n v="0"/>
    <n v="0"/>
  </r>
  <r>
    <x v="18"/>
    <x v="33"/>
    <s v="202402"/>
    <s v="2024"/>
    <s v="SHIHLIN202402"/>
    <n v="127"/>
    <n v="15"/>
    <n v="0"/>
    <n v="5407"/>
    <n v="94"/>
    <n v="7758889"/>
    <n v="1104000"/>
    <n v="0"/>
    <n v="42592854"/>
    <n v="3844834"/>
    <n v="11638"/>
    <n v="11592"/>
    <n v="0"/>
    <n v="298098"/>
    <n v="26913"/>
  </r>
  <r>
    <x v="19"/>
    <x v="34"/>
    <s v="202402"/>
    <s v="2024"/>
    <s v="SOLARIA202402"/>
    <n v="2704"/>
    <n v="0"/>
    <n v="0"/>
    <n v="0"/>
    <n v="0"/>
    <n v="470332000"/>
    <n v="0"/>
    <n v="0"/>
    <n v="0"/>
    <n v="0"/>
    <n v="705498"/>
    <n v="0"/>
    <n v="0"/>
    <n v="0"/>
    <n v="0"/>
  </r>
  <r>
    <x v="20"/>
    <x v="35"/>
    <s v="202402"/>
    <s v="2024"/>
    <s v="SOUR SALLY202402"/>
    <n v="44"/>
    <n v="2"/>
    <n v="0"/>
    <n v="0"/>
    <n v="0"/>
    <n v="2858700"/>
    <n v="295300"/>
    <n v="0"/>
    <n v="0"/>
    <n v="0"/>
    <n v="4288"/>
    <n v="2953"/>
    <n v="0"/>
    <n v="0"/>
    <n v="0"/>
  </r>
  <r>
    <x v="21"/>
    <x v="43"/>
    <s v="202402"/>
    <s v="2024"/>
    <s v="STEVEN GROUP202402"/>
    <n v="0"/>
    <n v="0"/>
    <n v="0"/>
    <n v="0"/>
    <n v="9"/>
    <n v="0"/>
    <n v="0"/>
    <n v="0"/>
    <n v="0"/>
    <n v="880000"/>
    <n v="0"/>
    <n v="0"/>
    <n v="0"/>
    <n v="0"/>
    <n v="2639"/>
  </r>
  <r>
    <x v="21"/>
    <x v="36"/>
    <s v="202402"/>
    <s v="2024"/>
    <s v="STEVEN GROUP202402"/>
    <n v="3"/>
    <n v="5"/>
    <n v="0"/>
    <n v="0"/>
    <n v="0"/>
    <n v="3110000"/>
    <n v="5985000"/>
    <n v="0"/>
    <n v="0"/>
    <n v="0"/>
    <n v="4665"/>
    <n v="59850"/>
    <n v="0"/>
    <n v="0"/>
    <n v="0"/>
  </r>
  <r>
    <x v="0"/>
    <x v="0"/>
    <s v="202403"/>
    <s v="2024"/>
    <s v="ALFA GROUP202403"/>
    <n v="16926"/>
    <n v="64784"/>
    <n v="5294"/>
    <n v="0"/>
    <n v="0"/>
    <n v="1665846491"/>
    <n v="6788877496"/>
    <n v="762323854"/>
    <n v="0"/>
    <n v="0"/>
    <n v="2498770"/>
    <n v="67454211"/>
    <n v="13710024"/>
    <n v="0"/>
    <n v="0"/>
  </r>
  <r>
    <x v="0"/>
    <x v="1"/>
    <s v="202403"/>
    <s v="2024"/>
    <s v="ALFA GROUP202403"/>
    <n v="5138"/>
    <n v="22709"/>
    <n v="2434"/>
    <n v="0"/>
    <n v="0"/>
    <n v="813903433"/>
    <n v="3471054784"/>
    <n v="557616123"/>
    <n v="0"/>
    <n v="0"/>
    <n v="1220852"/>
    <n v="34146508"/>
    <n v="10034520"/>
    <n v="0"/>
    <n v="0"/>
  </r>
  <r>
    <x v="0"/>
    <x v="2"/>
    <s v="202403"/>
    <s v="2024"/>
    <s v="ALFA GROUP202403"/>
    <n v="299"/>
    <n v="1068"/>
    <n v="55"/>
    <n v="0"/>
    <n v="0"/>
    <n v="51218015"/>
    <n v="191644245"/>
    <n v="10998518"/>
    <n v="0"/>
    <n v="0"/>
    <n v="76827"/>
    <n v="1922245"/>
    <n v="196813"/>
    <n v="0"/>
    <n v="0"/>
  </r>
  <r>
    <x v="22"/>
    <x v="37"/>
    <s v="202403"/>
    <s v="2024"/>
    <s v="BANBAN TEA202403"/>
    <n v="501"/>
    <n v="3"/>
    <n v="0"/>
    <n v="188"/>
    <n v="10"/>
    <n v="26953610"/>
    <n v="314148"/>
    <n v="0"/>
    <n v="1463551"/>
    <n v="744158"/>
    <n v="40429"/>
    <n v="3141"/>
    <n v="0"/>
    <n v="10243"/>
    <n v="5209"/>
  </r>
  <r>
    <x v="23"/>
    <x v="38"/>
    <s v="202403"/>
    <s v="2024"/>
    <s v="BEARD PAPA202403"/>
    <n v="8"/>
    <n v="0"/>
    <n v="0"/>
    <n v="0"/>
    <n v="0"/>
    <n v="782000"/>
    <n v="0"/>
    <n v="0"/>
    <n v="0"/>
    <n v="0"/>
    <n v="1173"/>
    <n v="0"/>
    <n v="0"/>
    <n v="0"/>
    <n v="0"/>
  </r>
  <r>
    <x v="1"/>
    <x v="3"/>
    <s v="202403"/>
    <s v="2024"/>
    <s v="CHAMP RESTO202403"/>
    <n v="5"/>
    <n v="22"/>
    <n v="0"/>
    <n v="0"/>
    <n v="0"/>
    <n v="1261875"/>
    <n v="3619979"/>
    <n v="0"/>
    <n v="0"/>
    <n v="0"/>
    <n v="1893"/>
    <n v="36200"/>
    <n v="0"/>
    <n v="0"/>
    <n v="0"/>
  </r>
  <r>
    <x v="1"/>
    <x v="39"/>
    <s v="202403"/>
    <s v="2024"/>
    <s v="CHAMP RESTO202403"/>
    <n v="9"/>
    <n v="0"/>
    <n v="0"/>
    <n v="0"/>
    <n v="0"/>
    <n v="4294042"/>
    <n v="0"/>
    <n v="0"/>
    <n v="0"/>
    <n v="0"/>
    <n v="6441"/>
    <n v="0"/>
    <n v="0"/>
    <n v="0"/>
    <n v="0"/>
  </r>
  <r>
    <x v="1"/>
    <x v="4"/>
    <s v="202403"/>
    <s v="2024"/>
    <s v="CHAMP RESTO202403"/>
    <n v="5"/>
    <n v="1"/>
    <n v="0"/>
    <n v="0"/>
    <n v="0"/>
    <n v="1611886"/>
    <n v="271040"/>
    <n v="0"/>
    <n v="0"/>
    <n v="0"/>
    <n v="2418"/>
    <n v="2710"/>
    <n v="0"/>
    <n v="0"/>
    <n v="0"/>
  </r>
  <r>
    <x v="1"/>
    <x v="44"/>
    <s v="202403"/>
    <s v="2024"/>
    <s v="CHAMP RESTO202403"/>
    <n v="1"/>
    <n v="0"/>
    <n v="0"/>
    <n v="0"/>
    <n v="0"/>
    <n v="1203135"/>
    <n v="0"/>
    <n v="0"/>
    <n v="0"/>
    <n v="0"/>
    <n v="1805"/>
    <n v="0"/>
    <n v="0"/>
    <n v="0"/>
    <n v="0"/>
  </r>
  <r>
    <x v="1"/>
    <x v="5"/>
    <s v="202403"/>
    <s v="2024"/>
    <s v="CHAMP RESTO202403"/>
    <n v="139"/>
    <n v="100"/>
    <n v="0"/>
    <n v="0"/>
    <n v="0"/>
    <n v="30550871"/>
    <n v="18049915"/>
    <n v="0"/>
    <n v="0"/>
    <n v="0"/>
    <n v="45826"/>
    <n v="180499"/>
    <n v="0"/>
    <n v="0"/>
    <n v="0"/>
  </r>
  <r>
    <x v="1"/>
    <x v="45"/>
    <s v="202403"/>
    <s v="2024"/>
    <s v="CHAMP RESTO202403"/>
    <n v="21"/>
    <n v="12"/>
    <n v="0"/>
    <n v="0"/>
    <n v="0"/>
    <n v="8499598"/>
    <n v="2572280"/>
    <n v="0"/>
    <n v="0"/>
    <n v="0"/>
    <n v="12749"/>
    <n v="25723"/>
    <n v="0"/>
    <n v="0"/>
    <n v="0"/>
  </r>
  <r>
    <x v="1"/>
    <x v="46"/>
    <s v="202403"/>
    <s v="2024"/>
    <s v="CHAMP RESTO202403"/>
    <n v="7"/>
    <n v="0"/>
    <n v="0"/>
    <n v="0"/>
    <n v="0"/>
    <n v="2321747"/>
    <n v="0"/>
    <n v="0"/>
    <n v="0"/>
    <n v="0"/>
    <n v="3483"/>
    <n v="0"/>
    <n v="0"/>
    <n v="0"/>
    <n v="0"/>
  </r>
  <r>
    <x v="1"/>
    <x v="6"/>
    <s v="202403"/>
    <s v="2024"/>
    <s v="CHAMP RESTO202403"/>
    <n v="42"/>
    <n v="4"/>
    <n v="0"/>
    <n v="0"/>
    <n v="0"/>
    <n v="11123727"/>
    <n v="1469930"/>
    <n v="0"/>
    <n v="0"/>
    <n v="0"/>
    <n v="16685"/>
    <n v="14699"/>
    <n v="0"/>
    <n v="0"/>
    <n v="0"/>
  </r>
  <r>
    <x v="1"/>
    <x v="7"/>
    <s v="202403"/>
    <s v="2024"/>
    <s v="CHAMP RESTO202403"/>
    <n v="35"/>
    <n v="5"/>
    <n v="0"/>
    <n v="0"/>
    <n v="0"/>
    <n v="10712173"/>
    <n v="815000"/>
    <n v="0"/>
    <n v="0"/>
    <n v="0"/>
    <n v="16068"/>
    <n v="8150"/>
    <n v="0"/>
    <n v="0"/>
    <n v="0"/>
  </r>
  <r>
    <x v="1"/>
    <x v="8"/>
    <s v="202403"/>
    <s v="2024"/>
    <s v="CHAMP RESTO202403"/>
    <n v="474"/>
    <n v="29"/>
    <n v="0"/>
    <n v="0"/>
    <n v="0"/>
    <n v="131768250"/>
    <n v="10676039"/>
    <n v="0"/>
    <n v="0"/>
    <n v="0"/>
    <n v="197651"/>
    <n v="106760"/>
    <n v="0"/>
    <n v="0"/>
    <n v="0"/>
  </r>
  <r>
    <x v="2"/>
    <x v="9"/>
    <s v="202403"/>
    <s v="2024"/>
    <s v="ES TELLER 77202403"/>
    <n v="94"/>
    <n v="82"/>
    <n v="0"/>
    <n v="79"/>
    <n v="6"/>
    <n v="10700400"/>
    <n v="10615800"/>
    <n v="0"/>
    <n v="813200"/>
    <n v="331000"/>
    <n v="16051"/>
    <n v="106158"/>
    <n v="0"/>
    <n v="5692"/>
    <n v="2317"/>
  </r>
  <r>
    <x v="3"/>
    <x v="10"/>
    <s v="202403"/>
    <s v="2024"/>
    <s v="GRAMEDIA202403"/>
    <n v="159"/>
    <n v="2625"/>
    <n v="66"/>
    <n v="125"/>
    <n v="3619"/>
    <n v="32775445"/>
    <n v="649242960"/>
    <n v="28636814"/>
    <n v="9776750"/>
    <n v="626736947"/>
    <n v="49163"/>
    <n v="6501412"/>
    <n v="524021"/>
    <n v="68437"/>
    <n v="4387152"/>
  </r>
  <r>
    <x v="4"/>
    <x v="11"/>
    <s v="202403"/>
    <s v="2024"/>
    <s v="HAUS202403"/>
    <n v="1"/>
    <n v="10"/>
    <n v="0"/>
    <n v="108"/>
    <n v="0"/>
    <n v="48000"/>
    <n v="552000"/>
    <n v="0"/>
    <n v="799200"/>
    <n v="0"/>
    <n v="72"/>
    <n v="5520"/>
    <n v="0"/>
    <n v="5593"/>
    <n v="0"/>
  </r>
  <r>
    <x v="26"/>
    <x v="47"/>
    <s v="202403"/>
    <s v="2024"/>
    <s v="HEAVENLY WANG202403"/>
    <n v="2"/>
    <n v="0"/>
    <n v="0"/>
    <n v="0"/>
    <n v="0"/>
    <n v="309540"/>
    <n v="0"/>
    <n v="0"/>
    <n v="0"/>
    <n v="0"/>
    <n v="464"/>
    <n v="0"/>
    <n v="0"/>
    <n v="0"/>
    <n v="0"/>
  </r>
  <r>
    <x v="24"/>
    <x v="40"/>
    <s v="202403"/>
    <s v="2024"/>
    <s v="HERO GROUP202403"/>
    <n v="1"/>
    <n v="0"/>
    <n v="0"/>
    <n v="0"/>
    <n v="0"/>
    <n v="245000"/>
    <n v="0"/>
    <n v="0"/>
    <n v="0"/>
    <n v="0"/>
    <n v="368"/>
    <n v="0"/>
    <n v="0"/>
    <n v="0"/>
    <n v="0"/>
  </r>
  <r>
    <x v="27"/>
    <x v="48"/>
    <s v="202403"/>
    <s v="2024"/>
    <s v="HOKKAIDO BAKED CHEESE202403"/>
    <n v="0"/>
    <n v="0"/>
    <n v="0"/>
    <n v="1778"/>
    <n v="3"/>
    <n v="0"/>
    <n v="0"/>
    <n v="0"/>
    <n v="1042997"/>
    <n v="56000"/>
    <n v="0"/>
    <n v="0"/>
    <n v="0"/>
    <n v="7288"/>
    <n v="392"/>
  </r>
  <r>
    <x v="5"/>
    <x v="12"/>
    <s v="202403"/>
    <s v="2024"/>
    <s v="HOP HOP202403"/>
    <n v="12"/>
    <n v="1"/>
    <n v="0"/>
    <n v="301"/>
    <n v="2566"/>
    <n v="572000"/>
    <n v="78000"/>
    <n v="0"/>
    <n v="4880874"/>
    <n v="94573748"/>
    <n v="858"/>
    <n v="780"/>
    <n v="0"/>
    <n v="34164"/>
    <n v="646523"/>
  </r>
  <r>
    <x v="6"/>
    <x v="13"/>
    <s v="202403"/>
    <s v="2024"/>
    <s v="IKEA202403"/>
    <n v="20"/>
    <n v="0"/>
    <n v="0"/>
    <n v="0"/>
    <n v="0"/>
    <n v="14879000"/>
    <n v="0"/>
    <n v="0"/>
    <n v="0"/>
    <n v="0"/>
    <n v="22318"/>
    <n v="0"/>
    <n v="0"/>
    <n v="0"/>
    <n v="0"/>
  </r>
  <r>
    <x v="7"/>
    <x v="14"/>
    <s v="202403"/>
    <s v="2024"/>
    <s v="INDOMARET202403"/>
    <n v="34347"/>
    <n v="76278"/>
    <n v="1676"/>
    <n v="0"/>
    <n v="0"/>
    <n v="3814792804"/>
    <n v="7533697291"/>
    <n v="205084320"/>
    <n v="0"/>
    <n v="0"/>
    <n v="5722186"/>
    <n v="75468776"/>
    <n v="3544267"/>
    <n v="0"/>
    <n v="0"/>
  </r>
  <r>
    <x v="7"/>
    <x v="15"/>
    <s v="202403"/>
    <s v="2024"/>
    <s v="INDOMARET202403"/>
    <n v="542"/>
    <n v="1643"/>
    <n v="28"/>
    <n v="0"/>
    <n v="0"/>
    <n v="48588557"/>
    <n v="119677001"/>
    <n v="2356600"/>
    <n v="0"/>
    <n v="0"/>
    <n v="72883"/>
    <n v="1199919"/>
    <n v="39274"/>
    <n v="0"/>
    <n v="0"/>
  </r>
  <r>
    <x v="8"/>
    <x v="41"/>
    <s v="202403"/>
    <s v="2024"/>
    <s v="KAWAN LAMA202403"/>
    <n v="7"/>
    <n v="0"/>
    <n v="0"/>
    <n v="0"/>
    <n v="0"/>
    <n v="1048500"/>
    <n v="0"/>
    <n v="0"/>
    <n v="0"/>
    <n v="0"/>
    <n v="1573"/>
    <n v="0"/>
    <n v="0"/>
    <n v="0"/>
    <n v="0"/>
  </r>
  <r>
    <x v="8"/>
    <x v="16"/>
    <s v="202403"/>
    <s v="2024"/>
    <s v="KAWAN LAMA202403"/>
    <n v="2210"/>
    <n v="2"/>
    <n v="0"/>
    <n v="0"/>
    <n v="0"/>
    <n v="2332109884"/>
    <n v="893400"/>
    <n v="0"/>
    <n v="0"/>
    <n v="0"/>
    <n v="3498161"/>
    <n v="8934"/>
    <n v="0"/>
    <n v="0"/>
    <n v="0"/>
  </r>
  <r>
    <x v="8"/>
    <x v="17"/>
    <s v="202403"/>
    <s v="2024"/>
    <s v="KAWAN LAMA202403"/>
    <n v="1"/>
    <n v="0"/>
    <n v="0"/>
    <n v="413"/>
    <n v="3"/>
    <n v="33000"/>
    <n v="0"/>
    <n v="0"/>
    <n v="3314792"/>
    <n v="120148"/>
    <n v="50"/>
    <n v="0"/>
    <n v="0"/>
    <n v="23199"/>
    <n v="841"/>
  </r>
  <r>
    <x v="8"/>
    <x v="49"/>
    <s v="202403"/>
    <s v="2024"/>
    <s v="KAWAN LAMA202403"/>
    <n v="1"/>
    <n v="0"/>
    <n v="0"/>
    <n v="91"/>
    <n v="1"/>
    <n v="49000"/>
    <n v="0"/>
    <n v="0"/>
    <n v="671000"/>
    <n v="5000"/>
    <n v="74"/>
    <n v="0"/>
    <n v="0"/>
    <n v="4696"/>
    <n v="35"/>
  </r>
  <r>
    <x v="8"/>
    <x v="50"/>
    <s v="202403"/>
    <s v="2024"/>
    <s v="KAWAN LAMA202403"/>
    <n v="0"/>
    <n v="0"/>
    <n v="0"/>
    <n v="123"/>
    <n v="0"/>
    <n v="0"/>
    <n v="0"/>
    <n v="0"/>
    <n v="1061259"/>
    <n v="0"/>
    <n v="0"/>
    <n v="0"/>
    <n v="0"/>
    <n v="7428"/>
    <n v="0"/>
  </r>
  <r>
    <x v="8"/>
    <x v="18"/>
    <s v="202403"/>
    <s v="2024"/>
    <s v="KAWAN LAMA202403"/>
    <n v="649"/>
    <n v="1"/>
    <n v="0"/>
    <n v="0"/>
    <n v="0"/>
    <n v="2218418541"/>
    <n v="1550000"/>
    <n v="0"/>
    <n v="0"/>
    <n v="0"/>
    <n v="3327627"/>
    <n v="15500"/>
    <n v="0"/>
    <n v="0"/>
    <n v="0"/>
  </r>
  <r>
    <x v="8"/>
    <x v="19"/>
    <s v="202403"/>
    <s v="2024"/>
    <s v="KAWAN LAMA202403"/>
    <n v="26"/>
    <n v="0"/>
    <n v="0"/>
    <n v="0"/>
    <n v="0"/>
    <n v="96098447"/>
    <n v="0"/>
    <n v="0"/>
    <n v="0"/>
    <n v="0"/>
    <n v="144148"/>
    <n v="0"/>
    <n v="0"/>
    <n v="0"/>
    <n v="0"/>
  </r>
  <r>
    <x v="8"/>
    <x v="20"/>
    <s v="202403"/>
    <s v="2024"/>
    <s v="KAWAN LAMA202403"/>
    <n v="1"/>
    <n v="0"/>
    <n v="0"/>
    <n v="1"/>
    <n v="32"/>
    <n v="7750000"/>
    <n v="0"/>
    <n v="0"/>
    <n v="44000"/>
    <n v="4246000"/>
    <n v="11625"/>
    <n v="0"/>
    <n v="0"/>
    <n v="132"/>
    <n v="12738"/>
  </r>
  <r>
    <x v="8"/>
    <x v="21"/>
    <s v="202403"/>
    <s v="2024"/>
    <s v="KAWAN LAMA202403"/>
    <n v="3"/>
    <n v="0"/>
    <n v="0"/>
    <n v="0"/>
    <n v="0"/>
    <n v="908700"/>
    <n v="0"/>
    <n v="0"/>
    <n v="0"/>
    <n v="0"/>
    <n v="1363"/>
    <n v="0"/>
    <n v="0"/>
    <n v="0"/>
    <n v="0"/>
  </r>
  <r>
    <x v="9"/>
    <x v="22"/>
    <s v="202403"/>
    <s v="2024"/>
    <s v="KCIC202403"/>
    <n v="56"/>
    <n v="1603"/>
    <n v="118"/>
    <n v="0"/>
    <n v="0"/>
    <n v="28150000"/>
    <n v="805275000"/>
    <n v="68325000"/>
    <n v="0"/>
    <n v="0"/>
    <n v="42225"/>
    <n v="8663650"/>
    <n v="1229850"/>
    <n v="0"/>
    <n v="0"/>
  </r>
  <r>
    <x v="10"/>
    <x v="23"/>
    <s v="202403"/>
    <s v="2024"/>
    <s v="KIMIA FARMA202403"/>
    <n v="143"/>
    <n v="1301"/>
    <n v="74"/>
    <n v="0"/>
    <n v="0"/>
    <n v="42194919"/>
    <n v="362099864"/>
    <n v="24628485"/>
    <n v="0"/>
    <n v="0"/>
    <n v="63292"/>
    <n v="3675453"/>
    <n v="443313"/>
    <n v="0"/>
    <n v="0"/>
  </r>
  <r>
    <x v="25"/>
    <x v="42"/>
    <s v="202403"/>
    <s v="2024"/>
    <s v="MAP GROUP202403"/>
    <n v="6"/>
    <n v="2"/>
    <n v="0"/>
    <n v="0"/>
    <n v="0"/>
    <n v="1855000"/>
    <n v="1300000"/>
    <n v="0"/>
    <n v="0"/>
    <n v="0"/>
    <n v="2782"/>
    <n v="13000"/>
    <n v="0"/>
    <n v="0"/>
    <n v="0"/>
  </r>
  <r>
    <x v="11"/>
    <x v="24"/>
    <s v="202403"/>
    <s v="2024"/>
    <s v="MITRA10202403"/>
    <n v="893"/>
    <n v="8"/>
    <n v="1"/>
    <n v="0"/>
    <n v="0"/>
    <n v="1928750514"/>
    <n v="7572673"/>
    <n v="270610"/>
    <n v="0"/>
    <n v="0"/>
    <n v="2893123"/>
    <n v="118346"/>
    <n v="5412"/>
    <n v="0"/>
    <n v="0"/>
  </r>
  <r>
    <x v="12"/>
    <x v="25"/>
    <s v="202403"/>
    <s v="2024"/>
    <s v="OPTIK MELAWAI202403"/>
    <n v="110"/>
    <n v="613"/>
    <n v="6"/>
    <n v="0"/>
    <n v="0"/>
    <n v="168619500"/>
    <n v="795001500"/>
    <n v="3298500"/>
    <n v="0"/>
    <n v="0"/>
    <n v="252929"/>
    <n v="7950627"/>
    <n v="64590"/>
    <n v="0"/>
    <n v="0"/>
  </r>
  <r>
    <x v="13"/>
    <x v="26"/>
    <s v="202403"/>
    <s v="2024"/>
    <s v="PATRA JASA202403"/>
    <n v="0"/>
    <n v="1"/>
    <n v="0"/>
    <n v="0"/>
    <n v="0"/>
    <n v="0"/>
    <n v="650000"/>
    <n v="0"/>
    <n v="0"/>
    <n v="0"/>
    <n v="0"/>
    <n v="6500"/>
    <n v="0"/>
    <n v="0"/>
    <n v="0"/>
  </r>
  <r>
    <x v="14"/>
    <x v="27"/>
    <s v="202403"/>
    <s v="2024"/>
    <s v="PERTAMINA RETAIL202403"/>
    <n v="26"/>
    <n v="5835"/>
    <n v="56"/>
    <n v="0"/>
    <n v="0"/>
    <n v="1423100"/>
    <n v="700044448"/>
    <n v="9053800"/>
    <n v="0"/>
    <n v="0"/>
    <n v="2135"/>
    <n v="6875495"/>
    <n v="162968"/>
    <n v="0"/>
    <n v="0"/>
  </r>
  <r>
    <x v="14"/>
    <x v="28"/>
    <s v="202403"/>
    <s v="2024"/>
    <s v="PERTAMINA RETAIL202403"/>
    <n v="684"/>
    <n v="129112"/>
    <n v="0"/>
    <n v="0"/>
    <n v="0"/>
    <n v="151750196"/>
    <n v="29758216533"/>
    <n v="0"/>
    <n v="0"/>
    <n v="0"/>
    <n v="227625"/>
    <n v="143275902"/>
    <n v="0"/>
    <n v="0"/>
    <n v="0"/>
  </r>
  <r>
    <x v="15"/>
    <x v="29"/>
    <s v="202403"/>
    <s v="2024"/>
    <s v="PIZZA HUT202403"/>
    <n v="26"/>
    <n v="0"/>
    <n v="0"/>
    <n v="0"/>
    <n v="0"/>
    <n v="3983413"/>
    <n v="0"/>
    <n v="0"/>
    <n v="0"/>
    <n v="0"/>
    <n v="5975"/>
    <n v="0"/>
    <n v="0"/>
    <n v="0"/>
    <n v="0"/>
  </r>
  <r>
    <x v="15"/>
    <x v="30"/>
    <s v="202403"/>
    <s v="2024"/>
    <s v="PIZZA HUT202403"/>
    <n v="282"/>
    <n v="0"/>
    <n v="0"/>
    <n v="339"/>
    <n v="0"/>
    <n v="77563801"/>
    <n v="0"/>
    <n v="0"/>
    <n v="2522400"/>
    <n v="0"/>
    <n v="116345"/>
    <n v="0"/>
    <n v="0"/>
    <n v="17653"/>
    <n v="0"/>
  </r>
  <r>
    <x v="16"/>
    <x v="31"/>
    <s v="202403"/>
    <s v="2024"/>
    <s v="PLATINUM CINEPLEX202403"/>
    <n v="119"/>
    <n v="14"/>
    <n v="0"/>
    <n v="0"/>
    <n v="0"/>
    <n v="6738000"/>
    <n v="2207000"/>
    <n v="0"/>
    <n v="0"/>
    <n v="0"/>
    <n v="10107"/>
    <n v="22070"/>
    <n v="0"/>
    <n v="0"/>
    <n v="0"/>
  </r>
  <r>
    <x v="17"/>
    <x v="32"/>
    <s v="202403"/>
    <s v="2024"/>
    <s v="SARINAH202403"/>
    <n v="22"/>
    <n v="768"/>
    <n v="136"/>
    <n v="1"/>
    <n v="80"/>
    <n v="27600989"/>
    <n v="812580313"/>
    <n v="126196001"/>
    <n v="1"/>
    <n v="56582762"/>
    <n v="41401"/>
    <n v="9810574"/>
    <n v="2271528"/>
    <n v="0"/>
    <n v="396079"/>
  </r>
  <r>
    <x v="18"/>
    <x v="33"/>
    <s v="202403"/>
    <s v="2024"/>
    <s v="SHIHLIN202403"/>
    <n v="53"/>
    <n v="8"/>
    <n v="0"/>
    <n v="1674"/>
    <n v="77"/>
    <n v="3542000"/>
    <n v="446000"/>
    <n v="0"/>
    <n v="3516762"/>
    <n v="1896001"/>
    <n v="5313"/>
    <n v="4460"/>
    <n v="0"/>
    <n v="24605"/>
    <n v="13271"/>
  </r>
  <r>
    <x v="19"/>
    <x v="34"/>
    <s v="202403"/>
    <s v="2024"/>
    <s v="SOLARIA202403"/>
    <n v="3158"/>
    <n v="1"/>
    <n v="0"/>
    <n v="0"/>
    <n v="0"/>
    <n v="571604700"/>
    <n v="179000"/>
    <n v="0"/>
    <n v="0"/>
    <n v="0"/>
    <n v="857407"/>
    <n v="1790"/>
    <n v="0"/>
    <n v="0"/>
    <n v="0"/>
  </r>
  <r>
    <x v="20"/>
    <x v="35"/>
    <s v="202403"/>
    <s v="2024"/>
    <s v="SOUR SALLY202403"/>
    <n v="63"/>
    <n v="0"/>
    <n v="0"/>
    <n v="0"/>
    <n v="0"/>
    <n v="3971700"/>
    <n v="0"/>
    <n v="0"/>
    <n v="0"/>
    <n v="0"/>
    <n v="5958"/>
    <n v="0"/>
    <n v="0"/>
    <n v="0"/>
    <n v="0"/>
  </r>
  <r>
    <x v="21"/>
    <x v="43"/>
    <s v="202403"/>
    <s v="2024"/>
    <s v="STEVEN GROUP202403"/>
    <n v="0"/>
    <n v="0"/>
    <n v="0"/>
    <n v="0"/>
    <n v="3"/>
    <n v="0"/>
    <n v="0"/>
    <n v="0"/>
    <n v="0"/>
    <n v="467000"/>
    <n v="0"/>
    <n v="0"/>
    <n v="0"/>
    <n v="0"/>
    <n v="1400"/>
  </r>
  <r>
    <x v="21"/>
    <x v="51"/>
    <s v="202403"/>
    <s v="2024"/>
    <s v="STEVEN GROUP202403"/>
    <n v="14"/>
    <n v="0"/>
    <n v="0"/>
    <n v="190"/>
    <n v="1"/>
    <n v="682000"/>
    <n v="0"/>
    <n v="0"/>
    <n v="1401104"/>
    <n v="37000"/>
    <n v="1023"/>
    <n v="0"/>
    <n v="0"/>
    <n v="4203"/>
    <n v="111"/>
  </r>
  <r>
    <x v="21"/>
    <x v="36"/>
    <s v="202403"/>
    <s v="2024"/>
    <s v="STEVEN GROUP202403"/>
    <n v="1"/>
    <n v="2"/>
    <n v="0"/>
    <n v="0"/>
    <n v="0"/>
    <n v="800000"/>
    <n v="800000"/>
    <n v="0"/>
    <n v="0"/>
    <n v="0"/>
    <n v="1200"/>
    <n v="8000"/>
    <n v="0"/>
    <n v="0"/>
    <n v="0"/>
  </r>
  <r>
    <x v="0"/>
    <x v="0"/>
    <s v="202404"/>
    <s v="2024"/>
    <s v="ALFA GROUP202404"/>
    <n v="16437"/>
    <n v="58600"/>
    <n v="9694"/>
    <n v="0"/>
    <n v="0"/>
    <n v="1650076065"/>
    <n v="6096735914"/>
    <n v="1420453015"/>
    <n v="0"/>
    <n v="0"/>
    <n v="2475112"/>
    <n v="54877727"/>
    <n v="25539943"/>
    <n v="0"/>
    <n v="0"/>
  </r>
  <r>
    <x v="0"/>
    <x v="1"/>
    <s v="202404"/>
    <s v="2024"/>
    <s v="ALFA GROUP202404"/>
    <n v="5267"/>
    <n v="21092"/>
    <n v="4528"/>
    <n v="0"/>
    <n v="0"/>
    <n v="816193461"/>
    <n v="2907210801"/>
    <n v="933327878"/>
    <n v="0"/>
    <n v="0"/>
    <n v="1224287"/>
    <n v="25255033"/>
    <n v="16794182"/>
    <n v="0"/>
    <n v="0"/>
  </r>
  <r>
    <x v="0"/>
    <x v="2"/>
    <s v="202404"/>
    <s v="2024"/>
    <s v="ALFA GROUP202404"/>
    <n v="391"/>
    <n v="1548"/>
    <n v="136"/>
    <n v="0"/>
    <n v="0"/>
    <n v="68438614"/>
    <n v="280250685"/>
    <n v="27886203"/>
    <n v="0"/>
    <n v="0"/>
    <n v="102658"/>
    <n v="2703509"/>
    <n v="498585"/>
    <n v="0"/>
    <n v="0"/>
  </r>
  <r>
    <x v="22"/>
    <x v="37"/>
    <s v="202404"/>
    <s v="2024"/>
    <s v="BANBAN TEA202404"/>
    <n v="475"/>
    <n v="0"/>
    <n v="0"/>
    <n v="0"/>
    <n v="0"/>
    <n v="26330454"/>
    <n v="0"/>
    <n v="0"/>
    <n v="0"/>
    <n v="0"/>
    <n v="39495"/>
    <n v="0"/>
    <n v="0"/>
    <n v="0"/>
    <n v="0"/>
  </r>
  <r>
    <x v="23"/>
    <x v="38"/>
    <s v="202404"/>
    <s v="2024"/>
    <s v="BEARD PAPA202404"/>
    <n v="1"/>
    <n v="0"/>
    <n v="0"/>
    <n v="0"/>
    <n v="0"/>
    <n v="159000"/>
    <n v="0"/>
    <n v="0"/>
    <n v="0"/>
    <n v="0"/>
    <n v="238"/>
    <n v="0"/>
    <n v="0"/>
    <n v="0"/>
    <n v="0"/>
  </r>
  <r>
    <x v="1"/>
    <x v="3"/>
    <s v="202404"/>
    <s v="2024"/>
    <s v="CHAMP RESTO202404"/>
    <n v="40"/>
    <n v="1"/>
    <n v="0"/>
    <n v="0"/>
    <n v="0"/>
    <n v="7041979"/>
    <n v="59000"/>
    <n v="0"/>
    <n v="0"/>
    <n v="0"/>
    <n v="10563"/>
    <n v="590"/>
    <n v="0"/>
    <n v="0"/>
    <n v="0"/>
  </r>
  <r>
    <x v="1"/>
    <x v="39"/>
    <s v="202404"/>
    <s v="2024"/>
    <s v="CHAMP RESTO202404"/>
    <n v="10"/>
    <n v="0"/>
    <n v="0"/>
    <n v="0"/>
    <n v="0"/>
    <n v="2983931"/>
    <n v="0"/>
    <n v="0"/>
    <n v="0"/>
    <n v="0"/>
    <n v="4476"/>
    <n v="0"/>
    <n v="0"/>
    <n v="0"/>
    <n v="0"/>
  </r>
  <r>
    <x v="1"/>
    <x v="4"/>
    <s v="202404"/>
    <s v="2024"/>
    <s v="CHAMP RESTO202404"/>
    <n v="28"/>
    <n v="3"/>
    <n v="0"/>
    <n v="0"/>
    <n v="0"/>
    <n v="7581775"/>
    <n v="927079"/>
    <n v="0"/>
    <n v="0"/>
    <n v="0"/>
    <n v="11373"/>
    <n v="9271"/>
    <n v="0"/>
    <n v="0"/>
    <n v="0"/>
  </r>
  <r>
    <x v="1"/>
    <x v="44"/>
    <s v="202404"/>
    <s v="2024"/>
    <s v="CHAMP RESTO202404"/>
    <n v="9"/>
    <n v="0"/>
    <n v="0"/>
    <n v="0"/>
    <n v="0"/>
    <n v="3085182"/>
    <n v="0"/>
    <n v="0"/>
    <n v="0"/>
    <n v="0"/>
    <n v="4628"/>
    <n v="0"/>
    <n v="0"/>
    <n v="0"/>
    <n v="0"/>
  </r>
  <r>
    <x v="1"/>
    <x v="5"/>
    <s v="202404"/>
    <s v="2024"/>
    <s v="CHAMP RESTO202404"/>
    <n v="417"/>
    <n v="74"/>
    <n v="0"/>
    <n v="0"/>
    <n v="0"/>
    <n v="87151914"/>
    <n v="13875890"/>
    <n v="0"/>
    <n v="0"/>
    <n v="0"/>
    <n v="130727"/>
    <n v="138759"/>
    <n v="0"/>
    <n v="0"/>
    <n v="0"/>
  </r>
  <r>
    <x v="1"/>
    <x v="45"/>
    <s v="202404"/>
    <s v="2024"/>
    <s v="CHAMP RESTO202404"/>
    <n v="38"/>
    <n v="2"/>
    <n v="0"/>
    <n v="0"/>
    <n v="0"/>
    <n v="11363130"/>
    <n v="568200"/>
    <n v="0"/>
    <n v="0"/>
    <n v="0"/>
    <n v="17045"/>
    <n v="5682"/>
    <n v="0"/>
    <n v="0"/>
    <n v="0"/>
  </r>
  <r>
    <x v="1"/>
    <x v="46"/>
    <s v="202404"/>
    <s v="2024"/>
    <s v="CHAMP RESTO202404"/>
    <n v="2"/>
    <n v="0"/>
    <n v="0"/>
    <n v="0"/>
    <n v="0"/>
    <n v="542000"/>
    <n v="0"/>
    <n v="0"/>
    <n v="0"/>
    <n v="0"/>
    <n v="813"/>
    <n v="0"/>
    <n v="0"/>
    <n v="0"/>
    <n v="0"/>
  </r>
  <r>
    <x v="1"/>
    <x v="6"/>
    <s v="202404"/>
    <s v="2024"/>
    <s v="CHAMP RESTO202404"/>
    <n v="100"/>
    <n v="27"/>
    <n v="0"/>
    <n v="0"/>
    <n v="0"/>
    <n v="31884669"/>
    <n v="7470425"/>
    <n v="0"/>
    <n v="0"/>
    <n v="0"/>
    <n v="47827"/>
    <n v="74704"/>
    <n v="0"/>
    <n v="0"/>
    <n v="0"/>
  </r>
  <r>
    <x v="1"/>
    <x v="7"/>
    <s v="202404"/>
    <s v="2024"/>
    <s v="CHAMP RESTO202404"/>
    <n v="61"/>
    <n v="1"/>
    <n v="0"/>
    <n v="0"/>
    <n v="0"/>
    <n v="14910241"/>
    <n v="185000"/>
    <n v="0"/>
    <n v="0"/>
    <n v="0"/>
    <n v="22365"/>
    <n v="1850"/>
    <n v="0"/>
    <n v="0"/>
    <n v="0"/>
  </r>
  <r>
    <x v="1"/>
    <x v="8"/>
    <s v="202404"/>
    <s v="2024"/>
    <s v="CHAMP RESTO202404"/>
    <n v="1068"/>
    <n v="2"/>
    <n v="0"/>
    <n v="0"/>
    <n v="0"/>
    <n v="284188288"/>
    <n v="557500"/>
    <n v="0"/>
    <n v="0"/>
    <n v="0"/>
    <n v="426281"/>
    <n v="5575"/>
    <n v="0"/>
    <n v="0"/>
    <n v="0"/>
  </r>
  <r>
    <x v="2"/>
    <x v="9"/>
    <s v="202404"/>
    <s v="2024"/>
    <s v="ES TELLER 77202404"/>
    <n v="54"/>
    <n v="107"/>
    <n v="0"/>
    <n v="0"/>
    <n v="0"/>
    <n v="7756000"/>
    <n v="14998600"/>
    <n v="0"/>
    <n v="0"/>
    <n v="0"/>
    <n v="11634"/>
    <n v="149986"/>
    <n v="0"/>
    <n v="0"/>
    <n v="0"/>
  </r>
  <r>
    <x v="3"/>
    <x v="10"/>
    <s v="202404"/>
    <s v="2024"/>
    <s v="GRAMEDIA202404"/>
    <n v="15"/>
    <n v="535"/>
    <n v="131"/>
    <n v="0"/>
    <n v="0"/>
    <n v="3912900"/>
    <n v="202502768"/>
    <n v="60466350"/>
    <n v="0"/>
    <n v="0"/>
    <n v="5869"/>
    <n v="1890277"/>
    <n v="1115612"/>
    <n v="0"/>
    <n v="0"/>
  </r>
  <r>
    <x v="4"/>
    <x v="11"/>
    <s v="202404"/>
    <s v="2024"/>
    <s v="HAUS202404"/>
    <n v="0"/>
    <n v="12"/>
    <n v="1"/>
    <n v="0"/>
    <n v="0"/>
    <n v="0"/>
    <n v="483997"/>
    <n v="48000"/>
    <n v="0"/>
    <n v="0"/>
    <n v="0"/>
    <n v="4840"/>
    <n v="864"/>
    <n v="0"/>
    <n v="0"/>
  </r>
  <r>
    <x v="26"/>
    <x v="47"/>
    <s v="202404"/>
    <s v="2024"/>
    <s v="HEAVENLY WANG202404"/>
    <n v="6"/>
    <n v="0"/>
    <n v="0"/>
    <n v="0"/>
    <n v="0"/>
    <n v="1151535"/>
    <n v="0"/>
    <n v="0"/>
    <n v="0"/>
    <n v="0"/>
    <n v="1727"/>
    <n v="0"/>
    <n v="0"/>
    <n v="0"/>
    <n v="0"/>
  </r>
  <r>
    <x v="24"/>
    <x v="40"/>
    <s v="202404"/>
    <s v="2024"/>
    <s v="HERO GROUP202404"/>
    <n v="0"/>
    <n v="1"/>
    <n v="0"/>
    <n v="0"/>
    <n v="0"/>
    <n v="0"/>
    <n v="130000"/>
    <n v="0"/>
    <n v="0"/>
    <n v="0"/>
    <n v="0"/>
    <n v="1300"/>
    <n v="0"/>
    <n v="0"/>
    <n v="0"/>
  </r>
  <r>
    <x v="5"/>
    <x v="12"/>
    <s v="202404"/>
    <s v="2024"/>
    <s v="HOP HOP202404"/>
    <n v="0"/>
    <n v="0"/>
    <n v="0"/>
    <n v="12"/>
    <n v="2307"/>
    <n v="0"/>
    <n v="0"/>
    <n v="0"/>
    <n v="555000"/>
    <n v="85561001"/>
    <n v="0"/>
    <n v="0"/>
    <n v="0"/>
    <n v="3693"/>
    <n v="560411"/>
  </r>
  <r>
    <x v="6"/>
    <x v="13"/>
    <s v="202404"/>
    <s v="2024"/>
    <s v="IKEA202404"/>
    <n v="6"/>
    <n v="0"/>
    <n v="0"/>
    <n v="0"/>
    <n v="0"/>
    <n v="2953400"/>
    <n v="0"/>
    <n v="0"/>
    <n v="0"/>
    <n v="0"/>
    <n v="4430"/>
    <n v="0"/>
    <n v="0"/>
    <n v="0"/>
    <n v="0"/>
  </r>
  <r>
    <x v="7"/>
    <x v="14"/>
    <s v="202404"/>
    <s v="2024"/>
    <s v="INDOMARET202404"/>
    <n v="33965"/>
    <n v="73863"/>
    <n v="2748"/>
    <n v="0"/>
    <n v="0"/>
    <n v="3760530138"/>
    <n v="7456799329"/>
    <n v="381981140"/>
    <n v="0"/>
    <n v="0"/>
    <n v="5640793"/>
    <n v="73511149"/>
    <n v="6689879"/>
    <n v="0"/>
    <n v="0"/>
  </r>
  <r>
    <x v="7"/>
    <x v="15"/>
    <s v="202404"/>
    <s v="2024"/>
    <s v="INDOMARET202404"/>
    <n v="601"/>
    <n v="1797"/>
    <n v="69"/>
    <n v="0"/>
    <n v="0"/>
    <n v="46402018"/>
    <n v="133632468"/>
    <n v="5247400"/>
    <n v="0"/>
    <n v="0"/>
    <n v="69603"/>
    <n v="1327205"/>
    <n v="90121"/>
    <n v="0"/>
    <n v="0"/>
  </r>
  <r>
    <x v="8"/>
    <x v="41"/>
    <s v="202404"/>
    <s v="2024"/>
    <s v="KAWAN LAMA202404"/>
    <n v="12"/>
    <n v="0"/>
    <n v="0"/>
    <n v="0"/>
    <n v="0"/>
    <n v="1701120"/>
    <n v="0"/>
    <n v="0"/>
    <n v="0"/>
    <n v="0"/>
    <n v="2552"/>
    <n v="0"/>
    <n v="0"/>
    <n v="0"/>
    <n v="0"/>
  </r>
  <r>
    <x v="8"/>
    <x v="16"/>
    <s v="202404"/>
    <s v="2024"/>
    <s v="KAWAN LAMA202404"/>
    <n v="2055"/>
    <n v="1"/>
    <n v="0"/>
    <n v="0"/>
    <n v="0"/>
    <n v="1923996396"/>
    <n v="519200"/>
    <n v="0"/>
    <n v="0"/>
    <n v="0"/>
    <n v="2885991"/>
    <n v="5192"/>
    <n v="0"/>
    <n v="0"/>
    <n v="0"/>
  </r>
  <r>
    <x v="8"/>
    <x v="18"/>
    <s v="202404"/>
    <s v="2024"/>
    <s v="KAWAN LAMA202404"/>
    <n v="580"/>
    <n v="1"/>
    <n v="0"/>
    <n v="0"/>
    <n v="0"/>
    <n v="1762531943"/>
    <n v="722200"/>
    <n v="0"/>
    <n v="0"/>
    <n v="0"/>
    <n v="2643797"/>
    <n v="7222"/>
    <n v="0"/>
    <n v="0"/>
    <n v="0"/>
  </r>
  <r>
    <x v="8"/>
    <x v="19"/>
    <s v="202404"/>
    <s v="2024"/>
    <s v="KAWAN LAMA202404"/>
    <n v="18"/>
    <n v="0"/>
    <n v="0"/>
    <n v="0"/>
    <n v="0"/>
    <n v="40978950"/>
    <n v="0"/>
    <n v="0"/>
    <n v="0"/>
    <n v="0"/>
    <n v="61468"/>
    <n v="0"/>
    <n v="0"/>
    <n v="0"/>
    <n v="0"/>
  </r>
  <r>
    <x v="8"/>
    <x v="20"/>
    <s v="202404"/>
    <s v="2024"/>
    <s v="KAWAN LAMA202404"/>
    <n v="0"/>
    <n v="0"/>
    <n v="0"/>
    <n v="0"/>
    <n v="2"/>
    <n v="0"/>
    <n v="0"/>
    <n v="0"/>
    <n v="0"/>
    <n v="183000"/>
    <n v="0"/>
    <n v="0"/>
    <n v="0"/>
    <n v="0"/>
    <n v="549"/>
  </r>
  <r>
    <x v="8"/>
    <x v="21"/>
    <s v="202404"/>
    <s v="2024"/>
    <s v="KAWAN LAMA202404"/>
    <n v="7"/>
    <n v="0"/>
    <n v="0"/>
    <n v="0"/>
    <n v="0"/>
    <n v="8855649"/>
    <n v="0"/>
    <n v="0"/>
    <n v="0"/>
    <n v="0"/>
    <n v="13283"/>
    <n v="0"/>
    <n v="0"/>
    <n v="0"/>
    <n v="0"/>
  </r>
  <r>
    <x v="9"/>
    <x v="22"/>
    <s v="202404"/>
    <s v="2024"/>
    <s v="KCIC202404"/>
    <n v="48"/>
    <n v="1361"/>
    <n v="340"/>
    <n v="0"/>
    <n v="0"/>
    <n v="28675000"/>
    <n v="827725000"/>
    <n v="285475000"/>
    <n v="0"/>
    <n v="0"/>
    <n v="43012"/>
    <n v="7596500"/>
    <n v="5138550"/>
    <n v="0"/>
    <n v="0"/>
  </r>
  <r>
    <x v="10"/>
    <x v="23"/>
    <s v="202404"/>
    <s v="2024"/>
    <s v="KIMIA FARMA202404"/>
    <n v="81"/>
    <n v="886"/>
    <n v="105"/>
    <n v="0"/>
    <n v="0"/>
    <n v="17915693"/>
    <n v="244085793"/>
    <n v="40430993"/>
    <n v="0"/>
    <n v="0"/>
    <n v="26873"/>
    <n v="2272464"/>
    <n v="727758"/>
    <n v="0"/>
    <n v="0"/>
  </r>
  <r>
    <x v="25"/>
    <x v="42"/>
    <s v="202404"/>
    <s v="2024"/>
    <s v="MAP GROUP202404"/>
    <n v="2"/>
    <n v="1"/>
    <n v="0"/>
    <n v="0"/>
    <n v="0"/>
    <n v="920000"/>
    <n v="130000"/>
    <n v="0"/>
    <n v="0"/>
    <n v="0"/>
    <n v="1380"/>
    <n v="1300"/>
    <n v="0"/>
    <n v="0"/>
    <n v="0"/>
  </r>
  <r>
    <x v="11"/>
    <x v="24"/>
    <s v="202404"/>
    <s v="2024"/>
    <s v="MITRA10202404"/>
    <n v="562"/>
    <n v="2"/>
    <n v="0"/>
    <n v="0"/>
    <n v="0"/>
    <n v="1115985029"/>
    <n v="12946275"/>
    <n v="0"/>
    <n v="0"/>
    <n v="0"/>
    <n v="1673976"/>
    <n v="129463"/>
    <n v="0"/>
    <n v="0"/>
    <n v="0"/>
  </r>
  <r>
    <x v="12"/>
    <x v="25"/>
    <s v="202404"/>
    <s v="2024"/>
    <s v="OPTIK MELAWAI202404"/>
    <n v="76"/>
    <n v="610"/>
    <n v="9"/>
    <n v="0"/>
    <n v="0"/>
    <n v="92940500"/>
    <n v="725685700"/>
    <n v="6746000"/>
    <n v="0"/>
    <n v="0"/>
    <n v="139411"/>
    <n v="7256857"/>
    <n v="129561"/>
    <n v="0"/>
    <n v="0"/>
  </r>
  <r>
    <x v="13"/>
    <x v="26"/>
    <s v="202404"/>
    <s v="2024"/>
    <s v="PATRA JASA202404"/>
    <n v="1"/>
    <n v="0"/>
    <n v="0"/>
    <n v="0"/>
    <n v="0"/>
    <n v="1050000"/>
    <n v="0"/>
    <n v="0"/>
    <n v="0"/>
    <n v="0"/>
    <n v="1575"/>
    <n v="0"/>
    <n v="0"/>
    <n v="0"/>
    <n v="0"/>
  </r>
  <r>
    <x v="14"/>
    <x v="27"/>
    <s v="202404"/>
    <s v="2024"/>
    <s v="PERTAMINA RETAIL202404"/>
    <n v="27"/>
    <n v="6054"/>
    <n v="121"/>
    <n v="0"/>
    <n v="0"/>
    <n v="1874300"/>
    <n v="735407775"/>
    <n v="24858150"/>
    <n v="0"/>
    <n v="0"/>
    <n v="2811"/>
    <n v="6554629"/>
    <n v="447447"/>
    <n v="0"/>
    <n v="0"/>
  </r>
  <r>
    <x v="14"/>
    <x v="28"/>
    <s v="202404"/>
    <s v="2024"/>
    <s v="PERTAMINA RETAIL202404"/>
    <n v="708"/>
    <n v="116224"/>
    <n v="0"/>
    <n v="0"/>
    <n v="0"/>
    <n v="167542912"/>
    <n v="29432791779"/>
    <n v="0"/>
    <n v="0"/>
    <n v="0"/>
    <n v="251314"/>
    <n v="141420489"/>
    <n v="0"/>
    <n v="0"/>
    <n v="0"/>
  </r>
  <r>
    <x v="15"/>
    <x v="29"/>
    <s v="202404"/>
    <s v="2024"/>
    <s v="PIZZA HUT202404"/>
    <n v="25"/>
    <n v="0"/>
    <n v="0"/>
    <n v="0"/>
    <n v="0"/>
    <n v="5789518"/>
    <n v="0"/>
    <n v="0"/>
    <n v="0"/>
    <n v="0"/>
    <n v="8684"/>
    <n v="0"/>
    <n v="0"/>
    <n v="0"/>
    <n v="0"/>
  </r>
  <r>
    <x v="15"/>
    <x v="30"/>
    <s v="202404"/>
    <s v="2024"/>
    <s v="PIZZA HUT202404"/>
    <n v="306"/>
    <n v="0"/>
    <n v="0"/>
    <n v="0"/>
    <n v="0"/>
    <n v="93077307"/>
    <n v="0"/>
    <n v="0"/>
    <n v="0"/>
    <n v="0"/>
    <n v="139615"/>
    <n v="0"/>
    <n v="0"/>
    <n v="0"/>
    <n v="0"/>
  </r>
  <r>
    <x v="16"/>
    <x v="31"/>
    <s v="202404"/>
    <s v="2024"/>
    <s v="PLATINUM CINEPLEX202404"/>
    <n v="154"/>
    <n v="14"/>
    <n v="0"/>
    <n v="0"/>
    <n v="0"/>
    <n v="9146000"/>
    <n v="2040000"/>
    <n v="0"/>
    <n v="0"/>
    <n v="0"/>
    <n v="13719"/>
    <n v="20400"/>
    <n v="0"/>
    <n v="0"/>
    <n v="0"/>
  </r>
  <r>
    <x v="17"/>
    <x v="32"/>
    <s v="202404"/>
    <s v="2024"/>
    <s v="SARINAH202404"/>
    <n v="23"/>
    <n v="562"/>
    <n v="276"/>
    <n v="0"/>
    <n v="0"/>
    <n v="10544146"/>
    <n v="522572844"/>
    <n v="344413989"/>
    <n v="0"/>
    <n v="0"/>
    <n v="15816"/>
    <n v="3748270"/>
    <n v="6199452"/>
    <n v="0"/>
    <n v="0"/>
  </r>
  <r>
    <x v="18"/>
    <x v="33"/>
    <s v="202404"/>
    <s v="2024"/>
    <s v="SHIHLIN202404"/>
    <n v="775"/>
    <n v="34"/>
    <n v="0"/>
    <n v="2"/>
    <n v="2"/>
    <n v="61373000"/>
    <n v="3175000"/>
    <n v="0"/>
    <n v="178000"/>
    <n v="91001"/>
    <n v="92060"/>
    <n v="31750"/>
    <n v="0"/>
    <n v="1246"/>
    <n v="637"/>
  </r>
  <r>
    <x v="19"/>
    <x v="34"/>
    <s v="202404"/>
    <s v="2024"/>
    <s v="SOLARIA202404"/>
    <n v="1574"/>
    <n v="1"/>
    <n v="0"/>
    <n v="0"/>
    <n v="0"/>
    <n v="294204900"/>
    <n v="225000"/>
    <n v="0"/>
    <n v="0"/>
    <n v="0"/>
    <n v="441307"/>
    <n v="2250"/>
    <n v="0"/>
    <n v="0"/>
    <n v="0"/>
  </r>
  <r>
    <x v="20"/>
    <x v="35"/>
    <s v="202404"/>
    <s v="2024"/>
    <s v="SOUR SALLY202404"/>
    <n v="62"/>
    <n v="2"/>
    <n v="0"/>
    <n v="0"/>
    <n v="0"/>
    <n v="4379200"/>
    <n v="146000"/>
    <n v="0"/>
    <n v="0"/>
    <n v="0"/>
    <n v="6569"/>
    <n v="1460"/>
    <n v="0"/>
    <n v="0"/>
    <n v="0"/>
  </r>
  <r>
    <x v="21"/>
    <x v="51"/>
    <s v="202404"/>
    <s v="2024"/>
    <s v="STEVEN GROUP202404"/>
    <n v="0"/>
    <n v="0"/>
    <n v="0"/>
    <n v="2"/>
    <n v="801"/>
    <n v="0"/>
    <n v="0"/>
    <n v="0"/>
    <n v="94000"/>
    <n v="27396002"/>
    <n v="0"/>
    <n v="0"/>
    <n v="0"/>
    <n v="282"/>
    <n v="82188"/>
  </r>
  <r>
    <x v="21"/>
    <x v="36"/>
    <s v="202404"/>
    <s v="2024"/>
    <s v="STEVEN GROUP202404"/>
    <n v="1"/>
    <n v="1"/>
    <n v="0"/>
    <n v="0"/>
    <n v="0"/>
    <n v="400000"/>
    <n v="90000"/>
    <n v="0"/>
    <n v="0"/>
    <n v="0"/>
    <n v="600"/>
    <n v="900"/>
    <n v="0"/>
    <n v="0"/>
    <n v="0"/>
  </r>
  <r>
    <x v="0"/>
    <x v="0"/>
    <s v="202405"/>
    <s v="2024"/>
    <s v="ALFA GROUP202405"/>
    <n v="15865"/>
    <n v="55188"/>
    <n v="10300"/>
    <n v="0"/>
    <n v="0"/>
    <n v="1452848466"/>
    <n v="5369879209"/>
    <n v="1426339023"/>
    <n v="0"/>
    <n v="0"/>
    <n v="2179272"/>
    <n v="47769728"/>
    <n v="25643661"/>
    <n v="0"/>
    <n v="0"/>
  </r>
  <r>
    <x v="0"/>
    <x v="1"/>
    <s v="202405"/>
    <s v="2024"/>
    <s v="ALFA GROUP202405"/>
    <n v="5019"/>
    <n v="19613"/>
    <n v="4646"/>
    <n v="0"/>
    <n v="0"/>
    <n v="715191388"/>
    <n v="2508542712"/>
    <n v="897479986"/>
    <n v="0"/>
    <n v="0"/>
    <n v="1072784"/>
    <n v="20897200"/>
    <n v="16148558"/>
    <n v="0"/>
    <n v="0"/>
  </r>
  <r>
    <x v="0"/>
    <x v="2"/>
    <s v="202405"/>
    <s v="2024"/>
    <s v="ALFA GROUP202405"/>
    <n v="422"/>
    <n v="1356"/>
    <n v="173"/>
    <n v="0"/>
    <n v="0"/>
    <n v="67348708"/>
    <n v="243013692"/>
    <n v="30562610"/>
    <n v="0"/>
    <n v="0"/>
    <n v="101023"/>
    <n v="2152282"/>
    <n v="546522"/>
    <n v="0"/>
    <n v="0"/>
  </r>
  <r>
    <x v="22"/>
    <x v="37"/>
    <s v="202405"/>
    <s v="2024"/>
    <s v="BANBAN TEA202405"/>
    <n v="457"/>
    <n v="0"/>
    <n v="1"/>
    <n v="0"/>
    <n v="0"/>
    <n v="23955512"/>
    <n v="0"/>
    <n v="26000"/>
    <n v="0"/>
    <n v="0"/>
    <n v="35932"/>
    <n v="0"/>
    <n v="468"/>
    <n v="0"/>
    <n v="0"/>
  </r>
  <r>
    <x v="1"/>
    <x v="3"/>
    <s v="202405"/>
    <s v="2024"/>
    <s v="CHAMP RESTO202405"/>
    <n v="23"/>
    <n v="5"/>
    <n v="0"/>
    <n v="0"/>
    <n v="0"/>
    <n v="3569225"/>
    <n v="988990"/>
    <n v="0"/>
    <n v="0"/>
    <n v="0"/>
    <n v="5354"/>
    <n v="9890"/>
    <n v="0"/>
    <n v="0"/>
    <n v="0"/>
  </r>
  <r>
    <x v="1"/>
    <x v="39"/>
    <s v="202405"/>
    <s v="2024"/>
    <s v="CHAMP RESTO202405"/>
    <n v="12"/>
    <n v="0"/>
    <n v="0"/>
    <n v="0"/>
    <n v="0"/>
    <n v="3286533"/>
    <n v="0"/>
    <n v="0"/>
    <n v="0"/>
    <n v="0"/>
    <n v="4930"/>
    <n v="0"/>
    <n v="0"/>
    <n v="0"/>
    <n v="0"/>
  </r>
  <r>
    <x v="1"/>
    <x v="4"/>
    <s v="202405"/>
    <s v="2024"/>
    <s v="CHAMP RESTO202405"/>
    <n v="45"/>
    <n v="1"/>
    <n v="0"/>
    <n v="0"/>
    <n v="0"/>
    <n v="9976140"/>
    <n v="292077"/>
    <n v="0"/>
    <n v="0"/>
    <n v="0"/>
    <n v="14964"/>
    <n v="2921"/>
    <n v="0"/>
    <n v="0"/>
    <n v="0"/>
  </r>
  <r>
    <x v="1"/>
    <x v="44"/>
    <s v="202405"/>
    <s v="2024"/>
    <s v="CHAMP RESTO202405"/>
    <n v="27"/>
    <n v="0"/>
    <n v="0"/>
    <n v="0"/>
    <n v="0"/>
    <n v="7559349"/>
    <n v="0"/>
    <n v="0"/>
    <n v="0"/>
    <n v="0"/>
    <n v="11339"/>
    <n v="0"/>
    <n v="0"/>
    <n v="0"/>
    <n v="0"/>
  </r>
  <r>
    <x v="1"/>
    <x v="5"/>
    <s v="202405"/>
    <s v="2024"/>
    <s v="CHAMP RESTO202405"/>
    <n v="400"/>
    <n v="38"/>
    <n v="0"/>
    <n v="0"/>
    <n v="0"/>
    <n v="68878042"/>
    <n v="5949488"/>
    <n v="0"/>
    <n v="0"/>
    <n v="0"/>
    <n v="103316"/>
    <n v="59495"/>
    <n v="0"/>
    <n v="0"/>
    <n v="0"/>
  </r>
  <r>
    <x v="1"/>
    <x v="45"/>
    <s v="202405"/>
    <s v="2024"/>
    <s v="CHAMP RESTO202405"/>
    <n v="55"/>
    <n v="5"/>
    <n v="0"/>
    <n v="0"/>
    <n v="0"/>
    <n v="13722696"/>
    <n v="1411999"/>
    <n v="0"/>
    <n v="0"/>
    <n v="0"/>
    <n v="20584"/>
    <n v="14120"/>
    <n v="0"/>
    <n v="0"/>
    <n v="0"/>
  </r>
  <r>
    <x v="1"/>
    <x v="46"/>
    <s v="202405"/>
    <s v="2024"/>
    <s v="CHAMP RESTO202405"/>
    <n v="4"/>
    <n v="0"/>
    <n v="0"/>
    <n v="0"/>
    <n v="0"/>
    <n v="536250"/>
    <n v="0"/>
    <n v="0"/>
    <n v="0"/>
    <n v="0"/>
    <n v="804"/>
    <n v="0"/>
    <n v="0"/>
    <n v="0"/>
    <n v="0"/>
  </r>
  <r>
    <x v="1"/>
    <x v="6"/>
    <s v="202405"/>
    <s v="2024"/>
    <s v="CHAMP RESTO202405"/>
    <n v="193"/>
    <n v="35"/>
    <n v="0"/>
    <n v="0"/>
    <n v="0"/>
    <n v="71479824"/>
    <n v="11693922"/>
    <n v="0"/>
    <n v="0"/>
    <n v="0"/>
    <n v="107219"/>
    <n v="116939"/>
    <n v="0"/>
    <n v="0"/>
    <n v="0"/>
  </r>
  <r>
    <x v="1"/>
    <x v="7"/>
    <s v="202405"/>
    <s v="2024"/>
    <s v="CHAMP RESTO202405"/>
    <n v="62"/>
    <n v="25"/>
    <n v="0"/>
    <n v="0"/>
    <n v="0"/>
    <n v="11430200"/>
    <n v="4003467"/>
    <n v="0"/>
    <n v="0"/>
    <n v="0"/>
    <n v="17145"/>
    <n v="40035"/>
    <n v="0"/>
    <n v="0"/>
    <n v="0"/>
  </r>
  <r>
    <x v="1"/>
    <x v="8"/>
    <s v="202405"/>
    <s v="2024"/>
    <s v="CHAMP RESTO202405"/>
    <n v="1199"/>
    <n v="13"/>
    <n v="0"/>
    <n v="0"/>
    <n v="0"/>
    <n v="274935106"/>
    <n v="4146007"/>
    <n v="0"/>
    <n v="0"/>
    <n v="0"/>
    <n v="412400"/>
    <n v="41460"/>
    <n v="0"/>
    <n v="0"/>
    <n v="0"/>
  </r>
  <r>
    <x v="2"/>
    <x v="9"/>
    <s v="202405"/>
    <s v="2024"/>
    <s v="ES TELLER 77202405"/>
    <n v="60"/>
    <n v="169"/>
    <n v="0"/>
    <n v="0"/>
    <n v="0"/>
    <n v="7878000"/>
    <n v="21543400"/>
    <n v="0"/>
    <n v="0"/>
    <n v="0"/>
    <n v="11817"/>
    <n v="215434"/>
    <n v="0"/>
    <n v="0"/>
    <n v="0"/>
  </r>
  <r>
    <x v="3"/>
    <x v="10"/>
    <s v="202405"/>
    <s v="2024"/>
    <s v="GRAMEDIA202405"/>
    <n v="19"/>
    <n v="151"/>
    <n v="24"/>
    <n v="0"/>
    <n v="0"/>
    <n v="4293300"/>
    <n v="40998860"/>
    <n v="9399750"/>
    <n v="0"/>
    <n v="0"/>
    <n v="6440"/>
    <n v="402594"/>
    <n v="169462"/>
    <n v="0"/>
    <n v="0"/>
  </r>
  <r>
    <x v="4"/>
    <x v="11"/>
    <s v="202405"/>
    <s v="2024"/>
    <s v="HAUS202405"/>
    <n v="0"/>
    <n v="17"/>
    <n v="4"/>
    <n v="0"/>
    <n v="0"/>
    <n v="0"/>
    <n v="778995"/>
    <n v="126000"/>
    <n v="0"/>
    <n v="0"/>
    <n v="0"/>
    <n v="7790"/>
    <n v="2268"/>
    <n v="0"/>
    <n v="0"/>
  </r>
  <r>
    <x v="27"/>
    <x v="48"/>
    <s v="202405"/>
    <s v="2024"/>
    <s v="HOKKAIDO BAKED CHEESE202405"/>
    <n v="0"/>
    <n v="0"/>
    <n v="0"/>
    <n v="51"/>
    <n v="0"/>
    <n v="0"/>
    <n v="0"/>
    <n v="0"/>
    <n v="377500"/>
    <n v="0"/>
    <n v="0"/>
    <n v="0"/>
    <n v="0"/>
    <n v="2642"/>
    <n v="0"/>
  </r>
  <r>
    <x v="5"/>
    <x v="12"/>
    <s v="202405"/>
    <s v="2024"/>
    <s v="HOP HOP202405"/>
    <n v="0"/>
    <n v="0"/>
    <n v="0"/>
    <n v="15"/>
    <n v="2450"/>
    <n v="0"/>
    <n v="0"/>
    <n v="0"/>
    <n v="623000"/>
    <n v="90374500"/>
    <n v="0"/>
    <n v="0"/>
    <n v="0"/>
    <n v="4361"/>
    <n v="607317"/>
  </r>
  <r>
    <x v="6"/>
    <x v="13"/>
    <s v="202405"/>
    <s v="2024"/>
    <s v="IKEA202405"/>
    <n v="9"/>
    <n v="0"/>
    <n v="0"/>
    <n v="0"/>
    <n v="0"/>
    <n v="1448000"/>
    <n v="0"/>
    <n v="0"/>
    <n v="0"/>
    <n v="0"/>
    <n v="2172"/>
    <n v="0"/>
    <n v="0"/>
    <n v="0"/>
    <n v="0"/>
  </r>
  <r>
    <x v="7"/>
    <x v="14"/>
    <s v="202405"/>
    <s v="2024"/>
    <s v="INDOMARET202405"/>
    <n v="34096"/>
    <n v="75239"/>
    <n v="3089"/>
    <n v="0"/>
    <n v="0"/>
    <n v="3432861990"/>
    <n v="6825698530"/>
    <n v="385295180"/>
    <n v="0"/>
    <n v="0"/>
    <n v="5149290"/>
    <n v="67170666"/>
    <n v="6754377"/>
    <n v="0"/>
    <n v="0"/>
  </r>
  <r>
    <x v="7"/>
    <x v="15"/>
    <s v="202405"/>
    <s v="2024"/>
    <s v="INDOMARET202405"/>
    <n v="609"/>
    <n v="1940"/>
    <n v="82"/>
    <n v="0"/>
    <n v="0"/>
    <n v="42346938"/>
    <n v="131935143"/>
    <n v="5990180"/>
    <n v="0"/>
    <n v="0"/>
    <n v="63520"/>
    <n v="1297783"/>
    <n v="105270"/>
    <n v="0"/>
    <n v="0"/>
  </r>
  <r>
    <x v="8"/>
    <x v="41"/>
    <s v="202405"/>
    <s v="2024"/>
    <s v="KAWAN LAMA202405"/>
    <n v="5"/>
    <n v="0"/>
    <n v="0"/>
    <n v="0"/>
    <n v="0"/>
    <n v="1024380"/>
    <n v="0"/>
    <n v="0"/>
    <n v="0"/>
    <n v="0"/>
    <n v="1537"/>
    <n v="0"/>
    <n v="0"/>
    <n v="0"/>
    <n v="0"/>
  </r>
  <r>
    <x v="8"/>
    <x v="16"/>
    <s v="202405"/>
    <s v="2024"/>
    <s v="KAWAN LAMA202405"/>
    <n v="1708"/>
    <n v="1"/>
    <n v="0"/>
    <n v="0"/>
    <n v="0"/>
    <n v="1687475104"/>
    <n v="89900"/>
    <n v="0"/>
    <n v="0"/>
    <n v="0"/>
    <n v="2531210"/>
    <n v="899"/>
    <n v="0"/>
    <n v="0"/>
    <n v="0"/>
  </r>
  <r>
    <x v="8"/>
    <x v="17"/>
    <s v="202405"/>
    <s v="2024"/>
    <s v="KAWAN LAMA202405"/>
    <n v="8"/>
    <n v="0"/>
    <n v="0"/>
    <n v="652"/>
    <n v="56"/>
    <n v="693000"/>
    <n v="0"/>
    <n v="0"/>
    <n v="12533863"/>
    <n v="1631609"/>
    <n v="1040"/>
    <n v="0"/>
    <n v="0"/>
    <n v="87732"/>
    <n v="11421"/>
  </r>
  <r>
    <x v="8"/>
    <x v="18"/>
    <s v="202405"/>
    <s v="2024"/>
    <s v="KAWAN LAMA202405"/>
    <n v="599"/>
    <n v="0"/>
    <n v="1"/>
    <n v="241"/>
    <n v="75"/>
    <n v="1592115364"/>
    <n v="0"/>
    <n v="139000"/>
    <n v="44581324"/>
    <n v="14566059"/>
    <n v="2388173"/>
    <n v="0"/>
    <n v="1738"/>
    <n v="312069"/>
    <n v="101962"/>
  </r>
  <r>
    <x v="8"/>
    <x v="19"/>
    <s v="202405"/>
    <s v="2024"/>
    <s v="KAWAN LAMA202405"/>
    <n v="24"/>
    <n v="0"/>
    <n v="0"/>
    <n v="0"/>
    <n v="0"/>
    <n v="65051672"/>
    <n v="0"/>
    <n v="0"/>
    <n v="0"/>
    <n v="0"/>
    <n v="97577"/>
    <n v="0"/>
    <n v="0"/>
    <n v="0"/>
    <n v="0"/>
  </r>
  <r>
    <x v="8"/>
    <x v="20"/>
    <s v="202405"/>
    <s v="2024"/>
    <s v="KAWAN LAMA202405"/>
    <n v="2"/>
    <n v="0"/>
    <n v="0"/>
    <n v="0"/>
    <n v="44"/>
    <n v="288550"/>
    <n v="0"/>
    <n v="0"/>
    <n v="0"/>
    <n v="3842000"/>
    <n v="433"/>
    <n v="0"/>
    <n v="0"/>
    <n v="0"/>
    <n v="11526"/>
  </r>
  <r>
    <x v="8"/>
    <x v="21"/>
    <s v="202405"/>
    <s v="2024"/>
    <s v="KAWAN LAMA202405"/>
    <n v="23"/>
    <n v="2"/>
    <n v="1"/>
    <n v="53"/>
    <n v="51"/>
    <n v="15861800"/>
    <n v="218700"/>
    <n v="59000"/>
    <n v="4910320"/>
    <n v="1020747"/>
    <n v="23793"/>
    <n v="2187"/>
    <n v="738"/>
    <n v="34373"/>
    <n v="7145"/>
  </r>
  <r>
    <x v="8"/>
    <x v="52"/>
    <s v="202405"/>
    <s v="2024"/>
    <s v="KAWAN LAMA202405"/>
    <n v="2"/>
    <n v="0"/>
    <n v="0"/>
    <n v="44"/>
    <n v="37"/>
    <n v="517600"/>
    <n v="0"/>
    <n v="0"/>
    <n v="1878427"/>
    <n v="625532"/>
    <n v="776"/>
    <n v="0"/>
    <n v="0"/>
    <n v="13149"/>
    <n v="4379"/>
  </r>
  <r>
    <x v="9"/>
    <x v="22"/>
    <s v="202405"/>
    <s v="2024"/>
    <s v="KCIC202405"/>
    <n v="73"/>
    <n v="1845"/>
    <n v="518"/>
    <n v="0"/>
    <n v="0"/>
    <n v="44425000"/>
    <n v="968050800"/>
    <n v="382700000"/>
    <n v="0"/>
    <n v="0"/>
    <n v="66638"/>
    <n v="8735750"/>
    <n v="6888600"/>
    <n v="0"/>
    <n v="0"/>
  </r>
  <r>
    <x v="10"/>
    <x v="23"/>
    <s v="202405"/>
    <s v="2024"/>
    <s v="KIMIA FARMA202405"/>
    <n v="12"/>
    <n v="203"/>
    <n v="25"/>
    <n v="0"/>
    <n v="0"/>
    <n v="2886355"/>
    <n v="89038494"/>
    <n v="11018403"/>
    <n v="0"/>
    <n v="0"/>
    <n v="4329"/>
    <n v="852543"/>
    <n v="198331"/>
    <n v="0"/>
    <n v="0"/>
  </r>
  <r>
    <x v="11"/>
    <x v="24"/>
    <s v="202405"/>
    <s v="2024"/>
    <s v="MITRA10202405"/>
    <n v="915"/>
    <n v="3"/>
    <n v="1"/>
    <n v="0"/>
    <n v="0"/>
    <n v="2296813321"/>
    <n v="1873390"/>
    <n v="270750"/>
    <n v="0"/>
    <n v="0"/>
    <n v="3445217"/>
    <n v="18734"/>
    <n v="5415"/>
    <n v="0"/>
    <n v="0"/>
  </r>
  <r>
    <x v="12"/>
    <x v="25"/>
    <s v="202405"/>
    <s v="2024"/>
    <s v="OPTIK MELAWAI202405"/>
    <n v="108"/>
    <n v="790"/>
    <n v="17"/>
    <n v="0"/>
    <n v="0"/>
    <n v="140621500"/>
    <n v="1153924100"/>
    <n v="24932000"/>
    <n v="0"/>
    <n v="0"/>
    <n v="210932"/>
    <n v="11539241"/>
    <n v="454544"/>
    <n v="0"/>
    <n v="0"/>
  </r>
  <r>
    <x v="14"/>
    <x v="27"/>
    <s v="202405"/>
    <s v="2024"/>
    <s v="PERTAMINA RETAIL202405"/>
    <n v="29"/>
    <n v="5519"/>
    <n v="125"/>
    <n v="0"/>
    <n v="0"/>
    <n v="1626425"/>
    <n v="672709540"/>
    <n v="22423450"/>
    <n v="0"/>
    <n v="0"/>
    <n v="2440"/>
    <n v="6489206"/>
    <n v="403622"/>
    <n v="0"/>
    <n v="0"/>
  </r>
  <r>
    <x v="14"/>
    <x v="28"/>
    <s v="202405"/>
    <s v="2024"/>
    <s v="PERTAMINA RETAIL202405"/>
    <n v="601"/>
    <n v="103945"/>
    <n v="1"/>
    <n v="0"/>
    <n v="0"/>
    <n v="132139264"/>
    <n v="24420296848"/>
    <n v="158000"/>
    <n v="0"/>
    <n v="0"/>
    <n v="198209"/>
    <n v="117131030"/>
    <n v="2844"/>
    <n v="0"/>
    <n v="0"/>
  </r>
  <r>
    <x v="15"/>
    <x v="29"/>
    <s v="202405"/>
    <s v="2024"/>
    <s v="PIZZA HUT202405"/>
    <n v="21"/>
    <n v="0"/>
    <n v="0"/>
    <n v="0"/>
    <n v="0"/>
    <n v="3162511"/>
    <n v="0"/>
    <n v="0"/>
    <n v="0"/>
    <n v="0"/>
    <n v="4744"/>
    <n v="0"/>
    <n v="0"/>
    <n v="0"/>
    <n v="0"/>
  </r>
  <r>
    <x v="15"/>
    <x v="30"/>
    <s v="202405"/>
    <s v="2024"/>
    <s v="PIZZA HUT202405"/>
    <n v="251"/>
    <n v="0"/>
    <n v="0"/>
    <n v="0"/>
    <n v="0"/>
    <n v="67536184"/>
    <n v="0"/>
    <n v="0"/>
    <n v="0"/>
    <n v="0"/>
    <n v="101304"/>
    <n v="0"/>
    <n v="0"/>
    <n v="0"/>
    <n v="0"/>
  </r>
  <r>
    <x v="16"/>
    <x v="31"/>
    <s v="202405"/>
    <s v="2024"/>
    <s v="PLATINUM CINEPLEX202405"/>
    <n v="137"/>
    <n v="66"/>
    <n v="1"/>
    <n v="0"/>
    <n v="0"/>
    <n v="7451000"/>
    <n v="8527000"/>
    <n v="105000"/>
    <n v="0"/>
    <n v="0"/>
    <n v="11176"/>
    <n v="82770"/>
    <n v="1890"/>
    <n v="0"/>
    <n v="0"/>
  </r>
  <r>
    <x v="17"/>
    <x v="32"/>
    <s v="202405"/>
    <s v="2024"/>
    <s v="SARINAH202405"/>
    <n v="16"/>
    <n v="473"/>
    <n v="410"/>
    <n v="0"/>
    <n v="0"/>
    <n v="7350300"/>
    <n v="433010395"/>
    <n v="462811443"/>
    <n v="0"/>
    <n v="0"/>
    <n v="11025"/>
    <n v="3352915"/>
    <n v="8330606"/>
    <n v="0"/>
    <n v="0"/>
  </r>
  <r>
    <x v="18"/>
    <x v="33"/>
    <s v="202405"/>
    <s v="2024"/>
    <s v="SHIHLIN202405"/>
    <n v="843"/>
    <n v="37"/>
    <n v="4"/>
    <n v="54"/>
    <n v="24"/>
    <n v="67360800"/>
    <n v="2997000"/>
    <n v="557000"/>
    <n v="476801"/>
    <n v="974002"/>
    <n v="101041"/>
    <n v="29970"/>
    <n v="10026"/>
    <n v="3337"/>
    <n v="6818"/>
  </r>
  <r>
    <x v="19"/>
    <x v="34"/>
    <s v="202405"/>
    <s v="2024"/>
    <s v="SOLARIA202405"/>
    <n v="1405"/>
    <n v="1"/>
    <n v="0"/>
    <n v="0"/>
    <n v="0"/>
    <n v="232662000"/>
    <n v="71000"/>
    <n v="0"/>
    <n v="0"/>
    <n v="0"/>
    <n v="348993"/>
    <n v="710"/>
    <n v="0"/>
    <n v="0"/>
    <n v="0"/>
  </r>
  <r>
    <x v="20"/>
    <x v="35"/>
    <s v="202405"/>
    <s v="2024"/>
    <s v="SOUR SALLY202405"/>
    <n v="40"/>
    <n v="1"/>
    <n v="0"/>
    <n v="0"/>
    <n v="0"/>
    <n v="3104240"/>
    <n v="69000"/>
    <n v="0"/>
    <n v="0"/>
    <n v="0"/>
    <n v="4656"/>
    <n v="690"/>
    <n v="0"/>
    <n v="0"/>
    <n v="0"/>
  </r>
  <r>
    <x v="21"/>
    <x v="51"/>
    <s v="202405"/>
    <s v="2024"/>
    <s v="STEVEN GROUP202405"/>
    <n v="0"/>
    <n v="0"/>
    <n v="0"/>
    <n v="0"/>
    <n v="45"/>
    <n v="0"/>
    <n v="0"/>
    <n v="0"/>
    <n v="0"/>
    <n v="1579005"/>
    <n v="0"/>
    <n v="0"/>
    <n v="0"/>
    <n v="0"/>
    <n v="4737"/>
  </r>
  <r>
    <x v="21"/>
    <x v="36"/>
    <s v="202405"/>
    <s v="2024"/>
    <s v="STEVEN GROUP202405"/>
    <n v="2"/>
    <n v="3"/>
    <n v="1"/>
    <n v="0"/>
    <n v="0"/>
    <n v="5050000"/>
    <n v="1490000"/>
    <n v="385000"/>
    <n v="0"/>
    <n v="0"/>
    <n v="7575"/>
    <n v="14900"/>
    <n v="7700"/>
    <n v="0"/>
    <n v="0"/>
  </r>
  <r>
    <x v="0"/>
    <x v="0"/>
    <s v="202406"/>
    <s v="2024"/>
    <s v="ALFA GROUP202406"/>
    <n v="15404"/>
    <n v="56175"/>
    <n v="10427"/>
    <n v="0"/>
    <n v="0"/>
    <n v="1498096539"/>
    <n v="5596199025"/>
    <n v="1438688924"/>
    <n v="0"/>
    <n v="0"/>
    <n v="2247145"/>
    <n v="50010421"/>
    <n v="25872530"/>
    <n v="0"/>
    <n v="0"/>
  </r>
  <r>
    <x v="0"/>
    <x v="1"/>
    <s v="202406"/>
    <s v="2024"/>
    <s v="ALFA GROUP202406"/>
    <n v="5016"/>
    <n v="19858"/>
    <n v="4608"/>
    <n v="0"/>
    <n v="0"/>
    <n v="705040199"/>
    <n v="2624119178"/>
    <n v="921603035"/>
    <n v="0"/>
    <n v="0"/>
    <n v="1057557"/>
    <n v="22335684"/>
    <n v="16582884"/>
    <n v="0"/>
    <n v="0"/>
  </r>
  <r>
    <x v="0"/>
    <x v="2"/>
    <s v="202406"/>
    <s v="2024"/>
    <s v="ALFA GROUP202406"/>
    <n v="393"/>
    <n v="1527"/>
    <n v="197"/>
    <n v="0"/>
    <n v="0"/>
    <n v="66483501"/>
    <n v="239314569"/>
    <n v="34699192"/>
    <n v="0"/>
    <n v="0"/>
    <n v="99725"/>
    <n v="2271493"/>
    <n v="622408"/>
    <n v="0"/>
    <n v="0"/>
  </r>
  <r>
    <x v="22"/>
    <x v="37"/>
    <s v="202406"/>
    <s v="2024"/>
    <s v="BANBAN TEA202406"/>
    <n v="596"/>
    <n v="1"/>
    <n v="1"/>
    <n v="0"/>
    <n v="0"/>
    <n v="29413588"/>
    <n v="19800"/>
    <n v="47850"/>
    <n v="0"/>
    <n v="0"/>
    <n v="44119"/>
    <n v="198"/>
    <n v="861"/>
    <n v="0"/>
    <n v="0"/>
  </r>
  <r>
    <x v="1"/>
    <x v="3"/>
    <s v="202406"/>
    <s v="2024"/>
    <s v="CHAMP RESTO202406"/>
    <n v="49"/>
    <n v="6"/>
    <n v="0"/>
    <n v="0"/>
    <n v="0"/>
    <n v="7456087"/>
    <n v="1012000"/>
    <n v="0"/>
    <n v="0"/>
    <n v="0"/>
    <n v="11184"/>
    <n v="10120"/>
    <n v="0"/>
    <n v="0"/>
    <n v="0"/>
  </r>
  <r>
    <x v="1"/>
    <x v="39"/>
    <s v="202406"/>
    <s v="2024"/>
    <s v="CHAMP RESTO202406"/>
    <n v="21"/>
    <n v="1"/>
    <n v="0"/>
    <n v="0"/>
    <n v="0"/>
    <n v="3481819"/>
    <n v="56200"/>
    <n v="0"/>
    <n v="0"/>
    <n v="0"/>
    <n v="5223"/>
    <n v="562"/>
    <n v="0"/>
    <n v="0"/>
    <n v="0"/>
  </r>
  <r>
    <x v="1"/>
    <x v="4"/>
    <s v="202406"/>
    <s v="2024"/>
    <s v="CHAMP RESTO202406"/>
    <n v="83"/>
    <n v="0"/>
    <n v="0"/>
    <n v="0"/>
    <n v="0"/>
    <n v="20558845"/>
    <n v="0"/>
    <n v="0"/>
    <n v="0"/>
    <n v="0"/>
    <n v="30838"/>
    <n v="0"/>
    <n v="0"/>
    <n v="0"/>
    <n v="0"/>
  </r>
  <r>
    <x v="1"/>
    <x v="44"/>
    <s v="202406"/>
    <s v="2024"/>
    <s v="CHAMP RESTO202406"/>
    <n v="16"/>
    <n v="0"/>
    <n v="0"/>
    <n v="0"/>
    <n v="0"/>
    <n v="5853740"/>
    <n v="0"/>
    <n v="0"/>
    <n v="0"/>
    <n v="0"/>
    <n v="8781"/>
    <n v="0"/>
    <n v="0"/>
    <n v="0"/>
    <n v="0"/>
  </r>
  <r>
    <x v="1"/>
    <x v="5"/>
    <s v="202406"/>
    <s v="2024"/>
    <s v="CHAMP RESTO202406"/>
    <n v="477"/>
    <n v="45"/>
    <n v="0"/>
    <n v="0"/>
    <n v="0"/>
    <n v="84710531"/>
    <n v="7290933"/>
    <n v="0"/>
    <n v="0"/>
    <n v="0"/>
    <n v="127065"/>
    <n v="72909"/>
    <n v="0"/>
    <n v="0"/>
    <n v="0"/>
  </r>
  <r>
    <x v="1"/>
    <x v="45"/>
    <s v="202406"/>
    <s v="2024"/>
    <s v="CHAMP RESTO202406"/>
    <n v="57"/>
    <n v="3"/>
    <n v="0"/>
    <n v="0"/>
    <n v="0"/>
    <n v="12214497"/>
    <n v="780699"/>
    <n v="0"/>
    <n v="0"/>
    <n v="0"/>
    <n v="18322"/>
    <n v="7807"/>
    <n v="0"/>
    <n v="0"/>
    <n v="0"/>
  </r>
  <r>
    <x v="1"/>
    <x v="46"/>
    <s v="202406"/>
    <s v="2024"/>
    <s v="CHAMP RESTO202406"/>
    <n v="6"/>
    <n v="0"/>
    <n v="0"/>
    <n v="0"/>
    <n v="0"/>
    <n v="951900"/>
    <n v="0"/>
    <n v="0"/>
    <n v="0"/>
    <n v="0"/>
    <n v="1428"/>
    <n v="0"/>
    <n v="0"/>
    <n v="0"/>
    <n v="0"/>
  </r>
  <r>
    <x v="1"/>
    <x v="6"/>
    <s v="202406"/>
    <s v="2024"/>
    <s v="CHAMP RESTO202406"/>
    <n v="407"/>
    <n v="40"/>
    <n v="0"/>
    <n v="0"/>
    <n v="0"/>
    <n v="118310802"/>
    <n v="16464054"/>
    <n v="0"/>
    <n v="0"/>
    <n v="0"/>
    <n v="177465"/>
    <n v="164641"/>
    <n v="0"/>
    <n v="0"/>
    <n v="0"/>
  </r>
  <r>
    <x v="1"/>
    <x v="7"/>
    <s v="202406"/>
    <s v="2024"/>
    <s v="CHAMP RESTO202406"/>
    <n v="127"/>
    <n v="3"/>
    <n v="0"/>
    <n v="0"/>
    <n v="0"/>
    <n v="25083012"/>
    <n v="524000"/>
    <n v="0"/>
    <n v="0"/>
    <n v="0"/>
    <n v="37624"/>
    <n v="5240"/>
    <n v="0"/>
    <n v="0"/>
    <n v="0"/>
  </r>
  <r>
    <x v="1"/>
    <x v="8"/>
    <s v="202406"/>
    <s v="2024"/>
    <s v="CHAMP RESTO202406"/>
    <n v="1509"/>
    <n v="3"/>
    <n v="0"/>
    <n v="0"/>
    <n v="0"/>
    <n v="342694984"/>
    <n v="1349006"/>
    <n v="0"/>
    <n v="0"/>
    <n v="0"/>
    <n v="514039"/>
    <n v="13490"/>
    <n v="0"/>
    <n v="0"/>
    <n v="0"/>
  </r>
  <r>
    <x v="2"/>
    <x v="9"/>
    <s v="202406"/>
    <s v="2024"/>
    <s v="ES TELLER 77202406"/>
    <n v="37"/>
    <n v="137"/>
    <n v="2"/>
    <n v="67"/>
    <n v="70"/>
    <n v="4978800"/>
    <n v="20851237"/>
    <n v="381440"/>
    <n v="1105844"/>
    <n v="4565003"/>
    <n v="7468"/>
    <n v="208512"/>
    <n v="6866"/>
    <n v="7740"/>
    <n v="31955"/>
  </r>
  <r>
    <x v="3"/>
    <x v="10"/>
    <s v="202406"/>
    <s v="2024"/>
    <s v="GRAMEDIA202406"/>
    <n v="5"/>
    <n v="54"/>
    <n v="5"/>
    <n v="0"/>
    <n v="0"/>
    <n v="1551300"/>
    <n v="14327460"/>
    <n v="1378900"/>
    <n v="0"/>
    <n v="0"/>
    <n v="2327"/>
    <n v="139390"/>
    <n v="24820"/>
    <n v="0"/>
    <n v="0"/>
  </r>
  <r>
    <x v="4"/>
    <x v="11"/>
    <s v="202406"/>
    <s v="2024"/>
    <s v="HAUS202406"/>
    <n v="1"/>
    <n v="0"/>
    <n v="0"/>
    <n v="0"/>
    <n v="0"/>
    <n v="35000"/>
    <n v="0"/>
    <n v="0"/>
    <n v="0"/>
    <n v="0"/>
    <n v="52"/>
    <n v="0"/>
    <n v="0"/>
    <n v="0"/>
    <n v="0"/>
  </r>
  <r>
    <x v="26"/>
    <x v="47"/>
    <s v="202406"/>
    <s v="2024"/>
    <s v="HEAVENLY WANG202406"/>
    <n v="3"/>
    <n v="0"/>
    <n v="0"/>
    <n v="0"/>
    <n v="0"/>
    <n v="368445"/>
    <n v="0"/>
    <n v="0"/>
    <n v="0"/>
    <n v="0"/>
    <n v="553"/>
    <n v="0"/>
    <n v="0"/>
    <n v="0"/>
    <n v="0"/>
  </r>
  <r>
    <x v="5"/>
    <x v="12"/>
    <s v="202406"/>
    <s v="2024"/>
    <s v="HOP HOP202406"/>
    <n v="0"/>
    <n v="0"/>
    <n v="0"/>
    <n v="13"/>
    <n v="1820"/>
    <n v="0"/>
    <n v="0"/>
    <n v="0"/>
    <n v="486000"/>
    <n v="65699002"/>
    <n v="0"/>
    <n v="0"/>
    <n v="0"/>
    <n v="3302"/>
    <n v="431545"/>
  </r>
  <r>
    <x v="6"/>
    <x v="13"/>
    <s v="202406"/>
    <s v="2024"/>
    <s v="IKEA202406"/>
    <n v="13"/>
    <n v="0"/>
    <n v="0"/>
    <n v="0"/>
    <n v="0"/>
    <n v="9754640"/>
    <n v="0"/>
    <n v="0"/>
    <n v="0"/>
    <n v="0"/>
    <n v="14632"/>
    <n v="0"/>
    <n v="0"/>
    <n v="0"/>
    <n v="0"/>
  </r>
  <r>
    <x v="7"/>
    <x v="14"/>
    <s v="202406"/>
    <s v="2024"/>
    <s v="INDOMARET202406"/>
    <n v="32018"/>
    <n v="76772"/>
    <n v="3069"/>
    <n v="0"/>
    <n v="0"/>
    <n v="3310685635"/>
    <n v="7244697767"/>
    <n v="394520659"/>
    <n v="0"/>
    <n v="0"/>
    <n v="4966026"/>
    <n v="71482372"/>
    <n v="6903836"/>
    <n v="0"/>
    <n v="0"/>
  </r>
  <r>
    <x v="7"/>
    <x v="15"/>
    <s v="202406"/>
    <s v="2024"/>
    <s v="INDOMARET202406"/>
    <n v="534"/>
    <n v="1894"/>
    <n v="70"/>
    <n v="0"/>
    <n v="0"/>
    <n v="41899860"/>
    <n v="130566800"/>
    <n v="6364300"/>
    <n v="0"/>
    <n v="0"/>
    <n v="62850"/>
    <n v="1294169"/>
    <n v="110230"/>
    <n v="0"/>
    <n v="0"/>
  </r>
  <r>
    <x v="8"/>
    <x v="41"/>
    <s v="202406"/>
    <s v="2024"/>
    <s v="KAWAN LAMA202406"/>
    <n v="4"/>
    <n v="0"/>
    <n v="0"/>
    <n v="0"/>
    <n v="0"/>
    <n v="754700"/>
    <n v="0"/>
    <n v="0"/>
    <n v="0"/>
    <n v="0"/>
    <n v="1132"/>
    <n v="0"/>
    <n v="0"/>
    <n v="0"/>
    <n v="0"/>
  </r>
  <r>
    <x v="8"/>
    <x v="16"/>
    <s v="202406"/>
    <s v="2024"/>
    <s v="KAWAN LAMA202406"/>
    <n v="1790"/>
    <n v="1"/>
    <n v="0"/>
    <n v="0"/>
    <n v="0"/>
    <n v="1829691039"/>
    <n v="1334640"/>
    <n v="0"/>
    <n v="0"/>
    <n v="0"/>
    <n v="2744534"/>
    <n v="13346"/>
    <n v="0"/>
    <n v="0"/>
    <n v="0"/>
  </r>
  <r>
    <x v="8"/>
    <x v="17"/>
    <s v="202406"/>
    <s v="2024"/>
    <s v="KAWAN LAMA202406"/>
    <n v="0"/>
    <n v="0"/>
    <n v="0"/>
    <n v="57"/>
    <n v="27"/>
    <n v="0"/>
    <n v="0"/>
    <n v="0"/>
    <n v="353347"/>
    <n v="1208002"/>
    <n v="0"/>
    <n v="0"/>
    <n v="0"/>
    <n v="2472"/>
    <n v="8456"/>
  </r>
  <r>
    <x v="8"/>
    <x v="53"/>
    <s v="202406"/>
    <s v="2024"/>
    <s v="KAWAN LAMA202406"/>
    <n v="0"/>
    <n v="1"/>
    <n v="0"/>
    <n v="54"/>
    <n v="13"/>
    <n v="0"/>
    <n v="37000"/>
    <n v="0"/>
    <n v="63341"/>
    <n v="1361005"/>
    <n v="0"/>
    <n v="370"/>
    <n v="0"/>
    <n v="442"/>
    <n v="9527"/>
  </r>
  <r>
    <x v="8"/>
    <x v="54"/>
    <s v="202406"/>
    <s v="2024"/>
    <s v="KAWAN LAMA202406"/>
    <n v="0"/>
    <n v="14"/>
    <n v="8"/>
    <n v="0"/>
    <n v="0"/>
    <n v="0"/>
    <n v="9350014"/>
    <n v="5333008"/>
    <n v="0"/>
    <n v="0"/>
    <n v="0"/>
    <n v="80114"/>
    <n v="95994"/>
    <n v="0"/>
    <n v="0"/>
  </r>
  <r>
    <x v="8"/>
    <x v="49"/>
    <s v="202406"/>
    <s v="2024"/>
    <s v="KAWAN LAMA202406"/>
    <n v="0"/>
    <n v="0"/>
    <n v="0"/>
    <n v="71"/>
    <n v="29"/>
    <n v="0"/>
    <n v="0"/>
    <n v="0"/>
    <n v="1113341"/>
    <n v="1415499"/>
    <n v="0"/>
    <n v="0"/>
    <n v="0"/>
    <n v="7792"/>
    <n v="9908"/>
  </r>
  <r>
    <x v="8"/>
    <x v="50"/>
    <s v="202406"/>
    <s v="2024"/>
    <s v="KAWAN LAMA202406"/>
    <n v="0"/>
    <n v="0"/>
    <n v="0"/>
    <n v="57"/>
    <n v="11"/>
    <n v="0"/>
    <n v="0"/>
    <n v="0"/>
    <n v="180341"/>
    <n v="411004"/>
    <n v="0"/>
    <n v="0"/>
    <n v="0"/>
    <n v="1261"/>
    <n v="2877"/>
  </r>
  <r>
    <x v="8"/>
    <x v="18"/>
    <s v="202406"/>
    <s v="2024"/>
    <s v="KAWAN LAMA202406"/>
    <n v="500"/>
    <n v="0"/>
    <n v="0"/>
    <n v="0"/>
    <n v="0"/>
    <n v="1418411578"/>
    <n v="0"/>
    <n v="0"/>
    <n v="0"/>
    <n v="0"/>
    <n v="2127617"/>
    <n v="0"/>
    <n v="0"/>
    <n v="0"/>
    <n v="0"/>
  </r>
  <r>
    <x v="8"/>
    <x v="19"/>
    <s v="202406"/>
    <s v="2024"/>
    <s v="KAWAN LAMA202406"/>
    <n v="27"/>
    <n v="0"/>
    <n v="0"/>
    <n v="0"/>
    <n v="0"/>
    <n v="91211620"/>
    <n v="0"/>
    <n v="0"/>
    <n v="0"/>
    <n v="0"/>
    <n v="136817"/>
    <n v="0"/>
    <n v="0"/>
    <n v="0"/>
    <n v="0"/>
  </r>
  <r>
    <x v="8"/>
    <x v="20"/>
    <s v="202406"/>
    <s v="2024"/>
    <s v="KAWAN LAMA202406"/>
    <n v="0"/>
    <n v="0"/>
    <n v="0"/>
    <n v="0"/>
    <n v="7"/>
    <n v="0"/>
    <n v="0"/>
    <n v="0"/>
    <n v="0"/>
    <n v="669000"/>
    <n v="0"/>
    <n v="0"/>
    <n v="0"/>
    <n v="0"/>
    <n v="2007"/>
  </r>
  <r>
    <x v="8"/>
    <x v="21"/>
    <s v="202406"/>
    <s v="2024"/>
    <s v="KAWAN LAMA202406"/>
    <n v="2"/>
    <n v="0"/>
    <n v="0"/>
    <n v="0"/>
    <n v="0"/>
    <n v="1097000"/>
    <n v="0"/>
    <n v="0"/>
    <n v="0"/>
    <n v="0"/>
    <n v="1646"/>
    <n v="0"/>
    <n v="0"/>
    <n v="0"/>
    <n v="0"/>
  </r>
  <r>
    <x v="9"/>
    <x v="22"/>
    <s v="202406"/>
    <s v="2024"/>
    <s v="KCIC202406"/>
    <n v="63"/>
    <n v="2003"/>
    <n v="579"/>
    <n v="0"/>
    <n v="0"/>
    <n v="31825000"/>
    <n v="1112490000"/>
    <n v="439130000"/>
    <n v="0"/>
    <n v="0"/>
    <n v="47738"/>
    <n v="10116150"/>
    <n v="7904340"/>
    <n v="0"/>
    <n v="0"/>
  </r>
  <r>
    <x v="10"/>
    <x v="23"/>
    <s v="202406"/>
    <s v="2024"/>
    <s v="KIMIA FARMA202406"/>
    <n v="6"/>
    <n v="75"/>
    <n v="16"/>
    <n v="0"/>
    <n v="0"/>
    <n v="1336055"/>
    <n v="22001138"/>
    <n v="5053920"/>
    <n v="0"/>
    <n v="0"/>
    <n v="2004"/>
    <n v="214694"/>
    <n v="90971"/>
    <n v="0"/>
    <n v="0"/>
  </r>
  <r>
    <x v="11"/>
    <x v="24"/>
    <s v="202406"/>
    <s v="2024"/>
    <s v="MITRA10202406"/>
    <n v="879"/>
    <n v="6"/>
    <n v="3"/>
    <n v="0"/>
    <n v="0"/>
    <n v="2110505424"/>
    <n v="5605302"/>
    <n v="2451968"/>
    <n v="0"/>
    <n v="0"/>
    <n v="3165756"/>
    <n v="56053"/>
    <n v="49039"/>
    <n v="0"/>
    <n v="0"/>
  </r>
  <r>
    <x v="12"/>
    <x v="25"/>
    <s v="202406"/>
    <s v="2024"/>
    <s v="OPTIK MELAWAI202406"/>
    <n v="101"/>
    <n v="798"/>
    <n v="14"/>
    <n v="0"/>
    <n v="0"/>
    <n v="133020000"/>
    <n v="1255925500"/>
    <n v="13742500"/>
    <n v="0"/>
    <n v="0"/>
    <n v="199530"/>
    <n v="12559255"/>
    <n v="262033"/>
    <n v="0"/>
    <n v="0"/>
  </r>
  <r>
    <x v="13"/>
    <x v="26"/>
    <s v="202406"/>
    <s v="2024"/>
    <s v="PATRA JASA202406"/>
    <n v="0"/>
    <n v="1"/>
    <n v="0"/>
    <n v="0"/>
    <n v="0"/>
    <n v="0"/>
    <n v="1050000"/>
    <n v="0"/>
    <n v="0"/>
    <n v="0"/>
    <n v="0"/>
    <n v="10500"/>
    <n v="0"/>
    <n v="0"/>
    <n v="0"/>
  </r>
  <r>
    <x v="14"/>
    <x v="27"/>
    <s v="202406"/>
    <s v="2024"/>
    <s v="PERTAMINA RETAIL202406"/>
    <n v="26"/>
    <n v="5274"/>
    <n v="155"/>
    <n v="0"/>
    <n v="0"/>
    <n v="1760300"/>
    <n v="866835520"/>
    <n v="20420950"/>
    <n v="0"/>
    <n v="0"/>
    <n v="2640"/>
    <n v="8392275"/>
    <n v="367577"/>
    <n v="0"/>
    <n v="0"/>
  </r>
  <r>
    <x v="14"/>
    <x v="28"/>
    <s v="202406"/>
    <s v="2024"/>
    <s v="PERTAMINA RETAIL202406"/>
    <n v="540"/>
    <n v="97672"/>
    <n v="1"/>
    <n v="0"/>
    <n v="0"/>
    <n v="115427395"/>
    <n v="23358408478"/>
    <n v="400000"/>
    <n v="0"/>
    <n v="0"/>
    <n v="173141"/>
    <n v="111935421"/>
    <n v="7200"/>
    <n v="0"/>
    <n v="0"/>
  </r>
  <r>
    <x v="15"/>
    <x v="29"/>
    <s v="202406"/>
    <s v="2024"/>
    <s v="PIZZA HUT202406"/>
    <n v="30"/>
    <n v="0"/>
    <n v="0"/>
    <n v="0"/>
    <n v="0"/>
    <n v="5478515"/>
    <n v="0"/>
    <n v="0"/>
    <n v="0"/>
    <n v="0"/>
    <n v="8218"/>
    <n v="0"/>
    <n v="0"/>
    <n v="0"/>
    <n v="0"/>
  </r>
  <r>
    <x v="15"/>
    <x v="30"/>
    <s v="202406"/>
    <s v="2024"/>
    <s v="PIZZA HUT202406"/>
    <n v="236"/>
    <n v="0"/>
    <n v="0"/>
    <n v="0"/>
    <n v="0"/>
    <n v="64809166"/>
    <n v="0"/>
    <n v="0"/>
    <n v="0"/>
    <n v="0"/>
    <n v="97213"/>
    <n v="0"/>
    <n v="0"/>
    <n v="0"/>
    <n v="0"/>
  </r>
  <r>
    <x v="16"/>
    <x v="31"/>
    <s v="202406"/>
    <s v="2024"/>
    <s v="PLATINUM CINEPLEX202406"/>
    <n v="109"/>
    <n v="34"/>
    <n v="1"/>
    <n v="0"/>
    <n v="0"/>
    <n v="5173000"/>
    <n v="4391000"/>
    <n v="130000"/>
    <n v="0"/>
    <n v="0"/>
    <n v="7760"/>
    <n v="43910"/>
    <n v="2340"/>
    <n v="0"/>
    <n v="0"/>
  </r>
  <r>
    <x v="17"/>
    <x v="32"/>
    <s v="202406"/>
    <s v="2024"/>
    <s v="SARINAH202406"/>
    <n v="15"/>
    <n v="488"/>
    <n v="417"/>
    <n v="0"/>
    <n v="0"/>
    <n v="9041470"/>
    <n v="402938191"/>
    <n v="471303715"/>
    <n v="0"/>
    <n v="0"/>
    <n v="13562"/>
    <n v="3176083"/>
    <n v="8483467"/>
    <n v="0"/>
    <n v="0"/>
  </r>
  <r>
    <x v="18"/>
    <x v="33"/>
    <s v="202406"/>
    <s v="2024"/>
    <s v="SHIHLIN202406"/>
    <n v="1128"/>
    <n v="17"/>
    <n v="2"/>
    <n v="84"/>
    <n v="86"/>
    <n v="86903200"/>
    <n v="1480900"/>
    <n v="313000"/>
    <n v="2137850"/>
    <n v="5371002"/>
    <n v="130355"/>
    <n v="14809"/>
    <n v="5634"/>
    <n v="14964"/>
    <n v="37597"/>
  </r>
  <r>
    <x v="19"/>
    <x v="34"/>
    <s v="202406"/>
    <s v="2024"/>
    <s v="SOLARIA202406"/>
    <n v="1343"/>
    <n v="1"/>
    <n v="0"/>
    <n v="0"/>
    <n v="0"/>
    <n v="239570100"/>
    <n v="214000"/>
    <n v="0"/>
    <n v="0"/>
    <n v="0"/>
    <n v="359355"/>
    <n v="2140"/>
    <n v="0"/>
    <n v="0"/>
    <n v="0"/>
  </r>
  <r>
    <x v="20"/>
    <x v="35"/>
    <s v="202406"/>
    <s v="2024"/>
    <s v="SOUR SALLY202406"/>
    <n v="58"/>
    <n v="6"/>
    <n v="0"/>
    <n v="0"/>
    <n v="0"/>
    <n v="4124300"/>
    <n v="561000"/>
    <n v="0"/>
    <n v="0"/>
    <n v="0"/>
    <n v="6186"/>
    <n v="5610"/>
    <n v="0"/>
    <n v="0"/>
    <n v="0"/>
  </r>
  <r>
    <x v="21"/>
    <x v="43"/>
    <s v="202406"/>
    <s v="2024"/>
    <s v="STEVEN GROUP202406"/>
    <n v="0"/>
    <n v="0"/>
    <n v="0"/>
    <n v="0"/>
    <n v="4"/>
    <n v="0"/>
    <n v="0"/>
    <n v="0"/>
    <n v="0"/>
    <n v="335500"/>
    <n v="0"/>
    <n v="0"/>
    <n v="0"/>
    <n v="0"/>
    <n v="1007"/>
  </r>
  <r>
    <x v="21"/>
    <x v="51"/>
    <s v="202406"/>
    <s v="2024"/>
    <s v="STEVEN GROUP202406"/>
    <n v="0"/>
    <n v="0"/>
    <n v="0"/>
    <n v="5"/>
    <n v="1566"/>
    <n v="0"/>
    <n v="0"/>
    <n v="0"/>
    <n v="243000"/>
    <n v="61887024"/>
    <n v="0"/>
    <n v="0"/>
    <n v="0"/>
    <n v="729"/>
    <n v="185661"/>
  </r>
  <r>
    <x v="21"/>
    <x v="36"/>
    <s v="202406"/>
    <s v="2024"/>
    <s v="STEVEN GROUP202406"/>
    <n v="0"/>
    <n v="1"/>
    <n v="0"/>
    <n v="0"/>
    <n v="0"/>
    <n v="0"/>
    <n v="250000"/>
    <n v="0"/>
    <n v="0"/>
    <n v="0"/>
    <n v="0"/>
    <n v="2500"/>
    <n v="0"/>
    <n v="0"/>
    <n v="0"/>
  </r>
  <r>
    <x v="28"/>
    <x v="55"/>
    <s v="202406"/>
    <s v="2024"/>
    <s v="TAMANI202406"/>
    <n v="0"/>
    <n v="0"/>
    <n v="0"/>
    <n v="1"/>
    <n v="3"/>
    <n v="0"/>
    <n v="0"/>
    <n v="0"/>
    <n v="30000"/>
    <n v="90000"/>
    <n v="0"/>
    <n v="0"/>
    <n v="0"/>
    <n v="90"/>
    <n v="270"/>
  </r>
  <r>
    <x v="0"/>
    <x v="0"/>
    <s v="202407"/>
    <s v="2024"/>
    <s v="ALFA GROUP202407"/>
    <n v="17044"/>
    <n v="56392"/>
    <n v="11508"/>
    <n v="0"/>
    <n v="0"/>
    <n v="1591853493"/>
    <n v="5648965073"/>
    <n v="1581472915"/>
    <n v="0"/>
    <n v="0"/>
    <n v="2387780"/>
    <n v="50300522"/>
    <n v="28436128"/>
    <n v="0"/>
    <n v="0"/>
  </r>
  <r>
    <x v="0"/>
    <x v="1"/>
    <s v="202407"/>
    <s v="2024"/>
    <s v="ALFA GROUP202407"/>
    <n v="4744"/>
    <n v="21136"/>
    <n v="4874"/>
    <n v="0"/>
    <n v="0"/>
    <n v="612397325"/>
    <n v="2767860116"/>
    <n v="972099713"/>
    <n v="0"/>
    <n v="0"/>
    <n v="918593"/>
    <n v="23912274"/>
    <n v="17491476"/>
    <n v="0"/>
    <n v="0"/>
  </r>
  <r>
    <x v="0"/>
    <x v="2"/>
    <s v="202407"/>
    <s v="2024"/>
    <s v="ALFA GROUP202407"/>
    <n v="393"/>
    <n v="1449"/>
    <n v="168"/>
    <n v="0"/>
    <n v="0"/>
    <n v="59961539"/>
    <n v="225597253"/>
    <n v="34795306"/>
    <n v="0"/>
    <n v="0"/>
    <n v="89942"/>
    <n v="2161644"/>
    <n v="622115"/>
    <n v="0"/>
    <n v="0"/>
  </r>
  <r>
    <x v="22"/>
    <x v="37"/>
    <s v="202407"/>
    <s v="2024"/>
    <s v="BANBAN TEA202407"/>
    <n v="86"/>
    <n v="0"/>
    <n v="0"/>
    <n v="56"/>
    <n v="9"/>
    <n v="5720213"/>
    <n v="0"/>
    <n v="0"/>
    <n v="3351997"/>
    <n v="50680"/>
    <n v="8580"/>
    <n v="0"/>
    <n v="0"/>
    <n v="23463"/>
    <n v="354"/>
  </r>
  <r>
    <x v="1"/>
    <x v="3"/>
    <s v="202407"/>
    <s v="2024"/>
    <s v="CHAMP RESTO202407"/>
    <n v="0"/>
    <n v="3"/>
    <n v="0"/>
    <n v="0"/>
    <n v="0"/>
    <n v="0"/>
    <n v="439000"/>
    <n v="0"/>
    <n v="0"/>
    <n v="0"/>
    <n v="0"/>
    <n v="4390"/>
    <n v="0"/>
    <n v="0"/>
    <n v="0"/>
  </r>
  <r>
    <x v="1"/>
    <x v="39"/>
    <s v="202407"/>
    <s v="2024"/>
    <s v="CHAMP RESTO202407"/>
    <n v="1"/>
    <n v="1"/>
    <n v="0"/>
    <n v="0"/>
    <n v="0"/>
    <n v="64460"/>
    <n v="150414"/>
    <n v="0"/>
    <n v="0"/>
    <n v="0"/>
    <n v="97"/>
    <n v="1504"/>
    <n v="0"/>
    <n v="0"/>
    <n v="0"/>
  </r>
  <r>
    <x v="1"/>
    <x v="5"/>
    <s v="202407"/>
    <s v="2024"/>
    <s v="CHAMP RESTO202407"/>
    <n v="47"/>
    <n v="49"/>
    <n v="0"/>
    <n v="0"/>
    <n v="0"/>
    <n v="9380896"/>
    <n v="8525080"/>
    <n v="0"/>
    <n v="0"/>
    <n v="0"/>
    <n v="14071"/>
    <n v="85251"/>
    <n v="0"/>
    <n v="0"/>
    <n v="0"/>
  </r>
  <r>
    <x v="1"/>
    <x v="45"/>
    <s v="202407"/>
    <s v="2024"/>
    <s v="CHAMP RESTO202407"/>
    <n v="0"/>
    <n v="2"/>
    <n v="0"/>
    <n v="0"/>
    <n v="0"/>
    <n v="0"/>
    <n v="877800"/>
    <n v="0"/>
    <n v="0"/>
    <n v="0"/>
    <n v="0"/>
    <n v="8778"/>
    <n v="0"/>
    <n v="0"/>
    <n v="0"/>
  </r>
  <r>
    <x v="1"/>
    <x v="6"/>
    <s v="202407"/>
    <s v="2024"/>
    <s v="CHAMP RESTO202407"/>
    <n v="12"/>
    <n v="20"/>
    <n v="0"/>
    <n v="0"/>
    <n v="0"/>
    <n v="2469251"/>
    <n v="4796959"/>
    <n v="0"/>
    <n v="0"/>
    <n v="0"/>
    <n v="3704"/>
    <n v="47970"/>
    <n v="0"/>
    <n v="0"/>
    <n v="0"/>
  </r>
  <r>
    <x v="1"/>
    <x v="7"/>
    <s v="202407"/>
    <s v="2024"/>
    <s v="CHAMP RESTO202407"/>
    <n v="2"/>
    <n v="2"/>
    <n v="0"/>
    <n v="0"/>
    <n v="0"/>
    <n v="576000"/>
    <n v="656000"/>
    <n v="0"/>
    <n v="0"/>
    <n v="0"/>
    <n v="864"/>
    <n v="6560"/>
    <n v="0"/>
    <n v="0"/>
    <n v="0"/>
  </r>
  <r>
    <x v="1"/>
    <x v="8"/>
    <s v="202407"/>
    <s v="2024"/>
    <s v="CHAMP RESTO202407"/>
    <n v="17"/>
    <n v="8"/>
    <n v="0"/>
    <n v="0"/>
    <n v="0"/>
    <n v="4991429"/>
    <n v="2928017"/>
    <n v="0"/>
    <n v="0"/>
    <n v="0"/>
    <n v="7487"/>
    <n v="29280"/>
    <n v="0"/>
    <n v="0"/>
    <n v="0"/>
  </r>
  <r>
    <x v="2"/>
    <x v="9"/>
    <s v="202407"/>
    <s v="2024"/>
    <s v="ES TELLER 77202407"/>
    <n v="2"/>
    <n v="8"/>
    <n v="0"/>
    <n v="0"/>
    <n v="0"/>
    <n v="243000"/>
    <n v="981000"/>
    <n v="0"/>
    <n v="0"/>
    <n v="0"/>
    <n v="364"/>
    <n v="9810"/>
    <n v="0"/>
    <n v="0"/>
    <n v="0"/>
  </r>
  <r>
    <x v="3"/>
    <x v="10"/>
    <s v="202407"/>
    <s v="2024"/>
    <s v="GRAMEDIA202407"/>
    <n v="87"/>
    <n v="2200"/>
    <n v="388"/>
    <n v="76"/>
    <n v="5061"/>
    <n v="19227280"/>
    <n v="562588375"/>
    <n v="150278399"/>
    <n v="11930360"/>
    <n v="886053101"/>
    <n v="28841"/>
    <n v="4952938"/>
    <n v="2705011"/>
    <n v="83513"/>
    <n v="6202363"/>
  </r>
  <r>
    <x v="4"/>
    <x v="11"/>
    <s v="202407"/>
    <s v="2024"/>
    <s v="HAUS202407"/>
    <n v="0"/>
    <n v="3"/>
    <n v="0"/>
    <n v="0"/>
    <n v="0"/>
    <n v="0"/>
    <n v="126999"/>
    <n v="0"/>
    <n v="0"/>
    <n v="0"/>
    <n v="0"/>
    <n v="1270"/>
    <n v="0"/>
    <n v="0"/>
    <n v="0"/>
  </r>
  <r>
    <x v="26"/>
    <x v="47"/>
    <s v="202407"/>
    <s v="2024"/>
    <s v="HEAVENLY WANG202407"/>
    <n v="0"/>
    <n v="1"/>
    <n v="0"/>
    <n v="0"/>
    <n v="0"/>
    <n v="0"/>
    <n v="164010"/>
    <n v="0"/>
    <n v="0"/>
    <n v="0"/>
    <n v="0"/>
    <n v="1640"/>
    <n v="0"/>
    <n v="0"/>
    <n v="0"/>
  </r>
  <r>
    <x v="27"/>
    <x v="48"/>
    <s v="202407"/>
    <s v="2024"/>
    <s v="HOKKAIDO BAKED CHEESE202407"/>
    <n v="23"/>
    <n v="288"/>
    <n v="74"/>
    <n v="34"/>
    <n v="645"/>
    <n v="2684000"/>
    <n v="29182624"/>
    <n v="7971322"/>
    <n v="3480000"/>
    <n v="50826561"/>
    <n v="4026"/>
    <n v="276030"/>
    <n v="143484"/>
    <n v="24360"/>
    <n v="349738"/>
  </r>
  <r>
    <x v="5"/>
    <x v="12"/>
    <s v="202407"/>
    <s v="2024"/>
    <s v="HOP HOP202407"/>
    <n v="0"/>
    <n v="0"/>
    <n v="0"/>
    <n v="5"/>
    <n v="768"/>
    <n v="0"/>
    <n v="0"/>
    <n v="0"/>
    <n v="161000"/>
    <n v="26576001"/>
    <n v="0"/>
    <n v="0"/>
    <n v="0"/>
    <n v="1127"/>
    <n v="159736"/>
  </r>
  <r>
    <x v="6"/>
    <x v="13"/>
    <s v="202407"/>
    <s v="2024"/>
    <s v="IKEA202407"/>
    <n v="14"/>
    <n v="0"/>
    <n v="0"/>
    <n v="0"/>
    <n v="0"/>
    <n v="4104200"/>
    <n v="0"/>
    <n v="0"/>
    <n v="0"/>
    <n v="0"/>
    <n v="6156"/>
    <n v="0"/>
    <n v="0"/>
    <n v="0"/>
    <n v="0"/>
  </r>
  <r>
    <x v="7"/>
    <x v="14"/>
    <s v="202407"/>
    <s v="2024"/>
    <s v="INDOMARET202407"/>
    <n v="32326"/>
    <n v="81056"/>
    <n v="8340"/>
    <n v="0"/>
    <n v="0"/>
    <n v="3434547753"/>
    <n v="7707582930"/>
    <n v="1241019695"/>
    <n v="0"/>
    <n v="0"/>
    <n v="5151819"/>
    <n v="70949413"/>
    <n v="20903813"/>
    <n v="0"/>
    <n v="0"/>
  </r>
  <r>
    <x v="7"/>
    <x v="15"/>
    <s v="202407"/>
    <s v="2024"/>
    <s v="INDOMARET202407"/>
    <n v="667"/>
    <n v="2112"/>
    <n v="234"/>
    <n v="0"/>
    <n v="0"/>
    <n v="46683480"/>
    <n v="158596312"/>
    <n v="27022800"/>
    <n v="0"/>
    <n v="0"/>
    <n v="70025"/>
    <n v="1445928"/>
    <n v="453803"/>
    <n v="0"/>
    <n v="0"/>
  </r>
  <r>
    <x v="8"/>
    <x v="41"/>
    <s v="202407"/>
    <s v="2024"/>
    <s v="KAWAN LAMA202407"/>
    <n v="5"/>
    <n v="0"/>
    <n v="0"/>
    <n v="0"/>
    <n v="0"/>
    <n v="636400"/>
    <n v="0"/>
    <n v="0"/>
    <n v="0"/>
    <n v="0"/>
    <n v="955"/>
    <n v="0"/>
    <n v="0"/>
    <n v="0"/>
    <n v="0"/>
  </r>
  <r>
    <x v="8"/>
    <x v="16"/>
    <s v="202407"/>
    <s v="2024"/>
    <s v="KAWAN LAMA202407"/>
    <n v="1735"/>
    <n v="27"/>
    <n v="24"/>
    <n v="4"/>
    <n v="2"/>
    <n v="1680463894"/>
    <n v="21906514"/>
    <n v="13944500"/>
    <n v="969500"/>
    <n v="200000"/>
    <n v="2520693"/>
    <n v="162235"/>
    <n v="278890"/>
    <n v="6786"/>
    <n v="1400"/>
  </r>
  <r>
    <x v="8"/>
    <x v="17"/>
    <s v="202407"/>
    <s v="2024"/>
    <s v="KAWAN LAMA202407"/>
    <n v="315"/>
    <n v="10"/>
    <n v="1"/>
    <n v="137"/>
    <n v="0"/>
    <n v="17162000"/>
    <n v="854000"/>
    <n v="24000"/>
    <n v="1167603"/>
    <n v="0"/>
    <n v="25743"/>
    <n v="6410"/>
    <n v="480"/>
    <n v="8173"/>
    <n v="0"/>
  </r>
  <r>
    <x v="8"/>
    <x v="49"/>
    <s v="202407"/>
    <s v="2024"/>
    <s v="KAWAN LAMA202407"/>
    <n v="12"/>
    <n v="0"/>
    <n v="0"/>
    <n v="0"/>
    <n v="0"/>
    <n v="715000"/>
    <n v="0"/>
    <n v="0"/>
    <n v="0"/>
    <n v="0"/>
    <n v="1072"/>
    <n v="0"/>
    <n v="0"/>
    <n v="0"/>
    <n v="0"/>
  </r>
  <r>
    <x v="8"/>
    <x v="50"/>
    <s v="202407"/>
    <s v="2024"/>
    <s v="KAWAN LAMA202407"/>
    <n v="1"/>
    <n v="0"/>
    <n v="1"/>
    <n v="0"/>
    <n v="0"/>
    <n v="235000"/>
    <n v="0"/>
    <n v="100000"/>
    <n v="0"/>
    <n v="0"/>
    <n v="352"/>
    <n v="0"/>
    <n v="2000"/>
    <n v="0"/>
    <n v="0"/>
  </r>
  <r>
    <x v="8"/>
    <x v="18"/>
    <s v="202407"/>
    <s v="2024"/>
    <s v="KAWAN LAMA202407"/>
    <n v="541"/>
    <n v="0"/>
    <n v="0"/>
    <n v="2"/>
    <n v="1"/>
    <n v="1551599951"/>
    <n v="0"/>
    <n v="0"/>
    <n v="224101"/>
    <n v="349000"/>
    <n v="2327400"/>
    <n v="0"/>
    <n v="0"/>
    <n v="1569"/>
    <n v="2443"/>
  </r>
  <r>
    <x v="8"/>
    <x v="19"/>
    <s v="202407"/>
    <s v="2024"/>
    <s v="KAWAN LAMA202407"/>
    <n v="17"/>
    <n v="0"/>
    <n v="0"/>
    <n v="0"/>
    <n v="0"/>
    <n v="52917472"/>
    <n v="0"/>
    <n v="0"/>
    <n v="0"/>
    <n v="0"/>
    <n v="79376"/>
    <n v="0"/>
    <n v="0"/>
    <n v="0"/>
    <n v="0"/>
  </r>
  <r>
    <x v="8"/>
    <x v="20"/>
    <s v="202407"/>
    <s v="2024"/>
    <s v="KAWAN LAMA202407"/>
    <n v="0"/>
    <n v="0"/>
    <n v="0"/>
    <n v="1"/>
    <n v="5"/>
    <n v="0"/>
    <n v="0"/>
    <n v="0"/>
    <n v="75000"/>
    <n v="496000"/>
    <n v="0"/>
    <n v="0"/>
    <n v="0"/>
    <n v="225"/>
    <n v="1488"/>
  </r>
  <r>
    <x v="8"/>
    <x v="21"/>
    <s v="202407"/>
    <s v="2024"/>
    <s v="KAWAN LAMA202407"/>
    <n v="2"/>
    <n v="1"/>
    <n v="0"/>
    <n v="1"/>
    <n v="0"/>
    <n v="5546000"/>
    <n v="29000"/>
    <n v="0"/>
    <n v="1"/>
    <n v="0"/>
    <n v="8319"/>
    <n v="290"/>
    <n v="0"/>
    <n v="0"/>
    <n v="0"/>
  </r>
  <r>
    <x v="9"/>
    <x v="22"/>
    <s v="202407"/>
    <s v="2024"/>
    <s v="KCIC202407"/>
    <n v="81"/>
    <n v="2405"/>
    <n v="1116"/>
    <n v="0"/>
    <n v="0"/>
    <n v="54800000"/>
    <n v="1308875000"/>
    <n v="895800000"/>
    <n v="0"/>
    <n v="0"/>
    <n v="82200"/>
    <n v="11299250"/>
    <n v="16124400"/>
    <n v="0"/>
    <n v="0"/>
  </r>
  <r>
    <x v="10"/>
    <x v="23"/>
    <s v="202407"/>
    <s v="2024"/>
    <s v="KIMIA FARMA202407"/>
    <n v="4"/>
    <n v="63"/>
    <n v="12"/>
    <n v="0"/>
    <n v="0"/>
    <n v="1236244"/>
    <n v="17057237"/>
    <n v="8662372"/>
    <n v="0"/>
    <n v="0"/>
    <n v="1854"/>
    <n v="163144"/>
    <n v="155923"/>
    <n v="0"/>
    <n v="0"/>
  </r>
  <r>
    <x v="11"/>
    <x v="24"/>
    <s v="202407"/>
    <s v="2024"/>
    <s v="MITRA10202407"/>
    <n v="866"/>
    <n v="1"/>
    <n v="0"/>
    <n v="0"/>
    <n v="0"/>
    <n v="1990677146"/>
    <n v="200000"/>
    <n v="0"/>
    <n v="0"/>
    <n v="0"/>
    <n v="2986013"/>
    <n v="2000"/>
    <n v="0"/>
    <n v="0"/>
    <n v="0"/>
  </r>
  <r>
    <x v="12"/>
    <x v="25"/>
    <s v="202407"/>
    <s v="2024"/>
    <s v="OPTIK MELAWAI202407"/>
    <n v="123"/>
    <n v="759"/>
    <n v="11"/>
    <n v="0"/>
    <n v="0"/>
    <n v="185446500"/>
    <n v="1152530050"/>
    <n v="10844000"/>
    <n v="0"/>
    <n v="0"/>
    <n v="278170"/>
    <n v="11525300"/>
    <n v="200739"/>
    <n v="0"/>
    <n v="0"/>
  </r>
  <r>
    <x v="13"/>
    <x v="26"/>
    <s v="202407"/>
    <s v="2024"/>
    <s v="PATRA JASA202407"/>
    <n v="1"/>
    <n v="1"/>
    <n v="0"/>
    <n v="0"/>
    <n v="0"/>
    <n v="850000"/>
    <n v="900000"/>
    <n v="0"/>
    <n v="0"/>
    <n v="0"/>
    <n v="1275"/>
    <n v="9000"/>
    <n v="0"/>
    <n v="0"/>
    <n v="0"/>
  </r>
  <r>
    <x v="14"/>
    <x v="27"/>
    <s v="202407"/>
    <s v="2024"/>
    <s v="PERTAMINA RETAIL202407"/>
    <n v="31"/>
    <n v="5301"/>
    <n v="129"/>
    <n v="0"/>
    <n v="0"/>
    <n v="2361685"/>
    <n v="594067620"/>
    <n v="18178850"/>
    <n v="0"/>
    <n v="0"/>
    <n v="3543"/>
    <n v="5701070"/>
    <n v="327219"/>
    <n v="0"/>
    <n v="0"/>
  </r>
  <r>
    <x v="14"/>
    <x v="28"/>
    <s v="202407"/>
    <s v="2024"/>
    <s v="PERTAMINA RETAIL202407"/>
    <n v="573"/>
    <n v="98388"/>
    <n v="0"/>
    <n v="0"/>
    <n v="0"/>
    <n v="124421175"/>
    <n v="23405431878"/>
    <n v="0"/>
    <n v="0"/>
    <n v="0"/>
    <n v="186631"/>
    <n v="112407029"/>
    <n v="0"/>
    <n v="0"/>
    <n v="0"/>
  </r>
  <r>
    <x v="15"/>
    <x v="29"/>
    <s v="202407"/>
    <s v="2024"/>
    <s v="PIZZA HUT202407"/>
    <n v="28"/>
    <n v="0"/>
    <n v="0"/>
    <n v="0"/>
    <n v="0"/>
    <n v="4061912"/>
    <n v="0"/>
    <n v="0"/>
    <n v="0"/>
    <n v="0"/>
    <n v="6093"/>
    <n v="0"/>
    <n v="0"/>
    <n v="0"/>
    <n v="0"/>
  </r>
  <r>
    <x v="15"/>
    <x v="30"/>
    <s v="202407"/>
    <s v="2024"/>
    <s v="PIZZA HUT202407"/>
    <n v="199"/>
    <n v="0"/>
    <n v="0"/>
    <n v="0"/>
    <n v="0"/>
    <n v="51258030"/>
    <n v="0"/>
    <n v="0"/>
    <n v="0"/>
    <n v="0"/>
    <n v="76887"/>
    <n v="0"/>
    <n v="0"/>
    <n v="0"/>
    <n v="0"/>
  </r>
  <r>
    <x v="16"/>
    <x v="31"/>
    <s v="202407"/>
    <s v="2024"/>
    <s v="PLATINUM CINEPLEX202407"/>
    <n v="14"/>
    <n v="81"/>
    <n v="6"/>
    <n v="8"/>
    <n v="141"/>
    <n v="1100000"/>
    <n v="9283000"/>
    <n v="2463000"/>
    <n v="485000"/>
    <n v="9432000"/>
    <n v="1650"/>
    <n v="89330"/>
    <n v="44334"/>
    <n v="3395"/>
    <n v="66024"/>
  </r>
  <r>
    <x v="17"/>
    <x v="32"/>
    <s v="202407"/>
    <s v="2024"/>
    <s v="SARINAH202407"/>
    <n v="13"/>
    <n v="469"/>
    <n v="367"/>
    <n v="0"/>
    <n v="0"/>
    <n v="13052050"/>
    <n v="403483993"/>
    <n v="433200727"/>
    <n v="0"/>
    <n v="0"/>
    <n v="19578"/>
    <n v="2869720"/>
    <n v="7797613"/>
    <n v="0"/>
    <n v="0"/>
  </r>
  <r>
    <x v="18"/>
    <x v="33"/>
    <s v="202407"/>
    <s v="2024"/>
    <s v="SHIHLIN202407"/>
    <n v="1141"/>
    <n v="8"/>
    <n v="1"/>
    <n v="0"/>
    <n v="2"/>
    <n v="89596700"/>
    <n v="427000"/>
    <n v="46000"/>
    <n v="0"/>
    <n v="117800"/>
    <n v="134395"/>
    <n v="4270"/>
    <n v="828"/>
    <n v="0"/>
    <n v="825"/>
  </r>
  <r>
    <x v="19"/>
    <x v="34"/>
    <s v="202407"/>
    <s v="2024"/>
    <s v="SOLARIA202407"/>
    <n v="1237"/>
    <n v="1"/>
    <n v="0"/>
    <n v="0"/>
    <n v="0"/>
    <n v="198124500"/>
    <n v="85000"/>
    <n v="0"/>
    <n v="0"/>
    <n v="0"/>
    <n v="297187"/>
    <n v="850"/>
    <n v="0"/>
    <n v="0"/>
    <n v="0"/>
  </r>
  <r>
    <x v="20"/>
    <x v="35"/>
    <s v="202407"/>
    <s v="2024"/>
    <s v="SOUR SALLY202407"/>
    <n v="71"/>
    <n v="6"/>
    <n v="0"/>
    <n v="0"/>
    <n v="0"/>
    <n v="5127500"/>
    <n v="804000"/>
    <n v="0"/>
    <n v="0"/>
    <n v="0"/>
    <n v="7691"/>
    <n v="8040"/>
    <n v="0"/>
    <n v="0"/>
    <n v="0"/>
  </r>
  <r>
    <x v="21"/>
    <x v="43"/>
    <s v="202407"/>
    <s v="2024"/>
    <s v="STEVEN GROUP202407"/>
    <n v="0"/>
    <n v="0"/>
    <n v="0"/>
    <n v="0"/>
    <n v="3"/>
    <n v="0"/>
    <n v="0"/>
    <n v="0"/>
    <n v="0"/>
    <n v="152000"/>
    <n v="0"/>
    <n v="0"/>
    <n v="0"/>
    <n v="0"/>
    <n v="456"/>
  </r>
  <r>
    <x v="21"/>
    <x v="51"/>
    <s v="202407"/>
    <s v="2024"/>
    <s v="STEVEN GROUP202407"/>
    <n v="0"/>
    <n v="3"/>
    <n v="0"/>
    <n v="3"/>
    <n v="887"/>
    <n v="0"/>
    <n v="59000"/>
    <n v="0"/>
    <n v="80000"/>
    <n v="34529000"/>
    <n v="0"/>
    <n v="590"/>
    <n v="0"/>
    <n v="240"/>
    <n v="103587"/>
  </r>
  <r>
    <x v="0"/>
    <x v="0"/>
    <s v="202408"/>
    <s v="2024"/>
    <s v="ALFA GROUP202408"/>
    <n v="17611"/>
    <n v="58990"/>
    <n v="12560"/>
    <n v="0"/>
    <n v="0"/>
    <n v="1600592506"/>
    <n v="5806238307"/>
    <n v="1702470291"/>
    <n v="0"/>
    <n v="0"/>
    <n v="2400888"/>
    <n v="51466837"/>
    <n v="30595151"/>
    <n v="0"/>
    <n v="0"/>
  </r>
  <r>
    <x v="0"/>
    <x v="1"/>
    <s v="202408"/>
    <s v="2024"/>
    <s v="ALFA GROUP202408"/>
    <n v="4827"/>
    <n v="21093"/>
    <n v="4967"/>
    <n v="0"/>
    <n v="0"/>
    <n v="624806575"/>
    <n v="2726119872"/>
    <n v="987162240"/>
    <n v="0"/>
    <n v="0"/>
    <n v="937207"/>
    <n v="23244827"/>
    <n v="17752654"/>
    <n v="0"/>
    <n v="0"/>
  </r>
  <r>
    <x v="0"/>
    <x v="2"/>
    <s v="202408"/>
    <s v="2024"/>
    <s v="ALFA GROUP202408"/>
    <n v="421"/>
    <n v="1518"/>
    <n v="169"/>
    <n v="0"/>
    <n v="0"/>
    <n v="67828782"/>
    <n v="256152824"/>
    <n v="31501500"/>
    <n v="0"/>
    <n v="0"/>
    <n v="101743"/>
    <n v="2374251"/>
    <n v="564466"/>
    <n v="0"/>
    <n v="0"/>
  </r>
  <r>
    <x v="22"/>
    <x v="37"/>
    <s v="202408"/>
    <s v="2024"/>
    <s v="BANBAN TEA202408"/>
    <n v="129"/>
    <n v="0"/>
    <n v="0"/>
    <n v="65"/>
    <n v="5"/>
    <n v="9359878"/>
    <n v="0"/>
    <n v="0"/>
    <n v="4591931"/>
    <n v="203815"/>
    <n v="14040"/>
    <n v="0"/>
    <n v="0"/>
    <n v="32145"/>
    <n v="1427"/>
  </r>
  <r>
    <x v="1"/>
    <x v="3"/>
    <s v="202408"/>
    <s v="2024"/>
    <s v="CHAMP RESTO202408"/>
    <n v="1"/>
    <n v="0"/>
    <n v="0"/>
    <n v="0"/>
    <n v="0"/>
    <n v="50000"/>
    <n v="0"/>
    <n v="0"/>
    <n v="0"/>
    <n v="0"/>
    <n v="75"/>
    <n v="0"/>
    <n v="0"/>
    <n v="0"/>
    <n v="0"/>
  </r>
  <r>
    <x v="1"/>
    <x v="39"/>
    <s v="202408"/>
    <s v="2024"/>
    <s v="CHAMP RESTO202408"/>
    <n v="2"/>
    <n v="1"/>
    <n v="0"/>
    <n v="0"/>
    <n v="0"/>
    <n v="386829"/>
    <n v="311944"/>
    <n v="0"/>
    <n v="0"/>
    <n v="0"/>
    <n v="580"/>
    <n v="3119"/>
    <n v="0"/>
    <n v="0"/>
    <n v="0"/>
  </r>
  <r>
    <x v="1"/>
    <x v="5"/>
    <s v="202408"/>
    <s v="2024"/>
    <s v="CHAMP RESTO202408"/>
    <n v="19"/>
    <n v="32"/>
    <n v="0"/>
    <n v="0"/>
    <n v="0"/>
    <n v="3745194"/>
    <n v="5693497"/>
    <n v="0"/>
    <n v="0"/>
    <n v="0"/>
    <n v="5618"/>
    <n v="56935"/>
    <n v="0"/>
    <n v="0"/>
    <n v="0"/>
  </r>
  <r>
    <x v="1"/>
    <x v="45"/>
    <s v="202408"/>
    <s v="2024"/>
    <s v="CHAMP RESTO202408"/>
    <n v="0"/>
    <n v="1"/>
    <n v="0"/>
    <n v="0"/>
    <n v="0"/>
    <n v="0"/>
    <n v="346500"/>
    <n v="0"/>
    <n v="0"/>
    <n v="0"/>
    <n v="0"/>
    <n v="3465"/>
    <n v="0"/>
    <n v="0"/>
    <n v="0"/>
  </r>
  <r>
    <x v="1"/>
    <x v="6"/>
    <s v="202408"/>
    <s v="2024"/>
    <s v="CHAMP RESTO202408"/>
    <n v="6"/>
    <n v="75"/>
    <n v="2"/>
    <n v="0"/>
    <n v="0"/>
    <n v="994812"/>
    <n v="24031561"/>
    <n v="379582"/>
    <n v="0"/>
    <n v="0"/>
    <n v="1492"/>
    <n v="240316"/>
    <n v="6832"/>
    <n v="0"/>
    <n v="0"/>
  </r>
  <r>
    <x v="1"/>
    <x v="8"/>
    <s v="202408"/>
    <s v="2024"/>
    <s v="CHAMP RESTO202408"/>
    <n v="3"/>
    <n v="3"/>
    <n v="0"/>
    <n v="0"/>
    <n v="0"/>
    <n v="584500"/>
    <n v="776500"/>
    <n v="0"/>
    <n v="0"/>
    <n v="0"/>
    <n v="877"/>
    <n v="7765"/>
    <n v="0"/>
    <n v="0"/>
    <n v="0"/>
  </r>
  <r>
    <x v="2"/>
    <x v="9"/>
    <s v="202408"/>
    <s v="2024"/>
    <s v="ES TELLER 77202408"/>
    <n v="9"/>
    <n v="5"/>
    <n v="1"/>
    <n v="0"/>
    <n v="2"/>
    <n v="551000"/>
    <n v="572000"/>
    <n v="35000"/>
    <n v="0"/>
    <n v="36015"/>
    <n v="826"/>
    <n v="5720"/>
    <n v="630"/>
    <n v="0"/>
    <n v="252"/>
  </r>
  <r>
    <x v="3"/>
    <x v="10"/>
    <s v="202408"/>
    <s v="2024"/>
    <s v="GRAMEDIA202408"/>
    <n v="29"/>
    <n v="1382"/>
    <n v="126"/>
    <n v="37"/>
    <n v="5277"/>
    <n v="5456200"/>
    <n v="359305168"/>
    <n v="51055264"/>
    <n v="6469350"/>
    <n v="959560923"/>
    <n v="8184"/>
    <n v="3228693"/>
    <n v="918995"/>
    <n v="45285"/>
    <n v="6716918"/>
  </r>
  <r>
    <x v="4"/>
    <x v="11"/>
    <s v="202408"/>
    <s v="2024"/>
    <s v="HAUS202408"/>
    <n v="1"/>
    <n v="2"/>
    <n v="0"/>
    <n v="0"/>
    <n v="0"/>
    <n v="46999"/>
    <n v="63000"/>
    <n v="0"/>
    <n v="0"/>
    <n v="0"/>
    <n v="70"/>
    <n v="630"/>
    <n v="0"/>
    <n v="0"/>
    <n v="0"/>
  </r>
  <r>
    <x v="26"/>
    <x v="47"/>
    <s v="202408"/>
    <s v="2024"/>
    <s v="HEAVENLY WANG202408"/>
    <n v="2"/>
    <n v="0"/>
    <n v="0"/>
    <n v="0"/>
    <n v="0"/>
    <n v="345345"/>
    <n v="0"/>
    <n v="0"/>
    <n v="0"/>
    <n v="0"/>
    <n v="518"/>
    <n v="0"/>
    <n v="0"/>
    <n v="0"/>
    <n v="0"/>
  </r>
  <r>
    <x v="27"/>
    <x v="48"/>
    <s v="202408"/>
    <s v="2024"/>
    <s v="HOKKAIDO BAKED CHEESE202408"/>
    <n v="64"/>
    <n v="807"/>
    <n v="80"/>
    <n v="123"/>
    <n v="2412"/>
    <n v="6354400"/>
    <n v="82072024"/>
    <n v="8812406"/>
    <n v="12480413"/>
    <n v="201187488"/>
    <n v="9532"/>
    <n v="769818"/>
    <n v="158623"/>
    <n v="85718"/>
    <n v="1390528"/>
  </r>
  <r>
    <x v="5"/>
    <x v="12"/>
    <s v="202408"/>
    <s v="2024"/>
    <s v="HOP HOP202408"/>
    <n v="0"/>
    <n v="0"/>
    <n v="0"/>
    <n v="10"/>
    <n v="1015"/>
    <n v="0"/>
    <n v="0"/>
    <n v="0"/>
    <n v="576000"/>
    <n v="50516000"/>
    <n v="0"/>
    <n v="0"/>
    <n v="0"/>
    <n v="4032"/>
    <n v="304448"/>
  </r>
  <r>
    <x v="6"/>
    <x v="13"/>
    <s v="202408"/>
    <s v="2024"/>
    <s v="IKEA202408"/>
    <n v="13"/>
    <n v="0"/>
    <n v="0"/>
    <n v="0"/>
    <n v="0"/>
    <n v="7268560"/>
    <n v="0"/>
    <n v="0"/>
    <n v="0"/>
    <n v="0"/>
    <n v="10903"/>
    <n v="0"/>
    <n v="0"/>
    <n v="0"/>
    <n v="0"/>
  </r>
  <r>
    <x v="7"/>
    <x v="14"/>
    <s v="202408"/>
    <s v="2024"/>
    <s v="INDOMARET202408"/>
    <n v="32225"/>
    <n v="82192"/>
    <n v="11166"/>
    <n v="0"/>
    <n v="0"/>
    <n v="3561577604"/>
    <n v="7822274043"/>
    <n v="1723249777"/>
    <n v="0"/>
    <n v="0"/>
    <n v="5342364"/>
    <n v="68997557"/>
    <n v="28812577"/>
    <n v="0"/>
    <n v="0"/>
  </r>
  <r>
    <x v="7"/>
    <x v="15"/>
    <s v="202408"/>
    <s v="2024"/>
    <s v="INDOMARET202408"/>
    <n v="676"/>
    <n v="1945"/>
    <n v="313"/>
    <n v="0"/>
    <n v="0"/>
    <n v="46406494"/>
    <n v="140370900"/>
    <n v="40931800"/>
    <n v="0"/>
    <n v="0"/>
    <n v="69610"/>
    <n v="1246416"/>
    <n v="683275"/>
    <n v="0"/>
    <n v="0"/>
  </r>
  <r>
    <x v="8"/>
    <x v="41"/>
    <s v="202408"/>
    <s v="2024"/>
    <s v="KAWAN LAMA202408"/>
    <n v="4"/>
    <n v="0"/>
    <n v="0"/>
    <n v="0"/>
    <n v="0"/>
    <n v="828050"/>
    <n v="0"/>
    <n v="0"/>
    <n v="0"/>
    <n v="0"/>
    <n v="1242"/>
    <n v="0"/>
    <n v="0"/>
    <n v="0"/>
    <n v="0"/>
  </r>
  <r>
    <x v="8"/>
    <x v="16"/>
    <s v="202408"/>
    <s v="2024"/>
    <s v="KAWAN LAMA202408"/>
    <n v="1776"/>
    <n v="129"/>
    <n v="116"/>
    <n v="0"/>
    <n v="0"/>
    <n v="1787082948"/>
    <n v="94676462"/>
    <n v="85230763"/>
    <n v="0"/>
    <n v="0"/>
    <n v="2680622"/>
    <n v="477213"/>
    <n v="1704615"/>
    <n v="0"/>
    <n v="0"/>
  </r>
  <r>
    <x v="8"/>
    <x v="17"/>
    <s v="202408"/>
    <s v="2024"/>
    <s v="KAWAN LAMA202408"/>
    <n v="776"/>
    <n v="0"/>
    <n v="1"/>
    <n v="77"/>
    <n v="2"/>
    <n v="44065100"/>
    <n v="0"/>
    <n v="80000"/>
    <n v="2132700"/>
    <n v="3"/>
    <n v="66098"/>
    <n v="0"/>
    <n v="1600"/>
    <n v="6398"/>
    <n v="0"/>
  </r>
  <r>
    <x v="8"/>
    <x v="53"/>
    <s v="202408"/>
    <s v="2024"/>
    <s v="KAWAN LAMA202408"/>
    <n v="1"/>
    <n v="0"/>
    <n v="0"/>
    <n v="0"/>
    <n v="0"/>
    <n v="43000"/>
    <n v="0"/>
    <n v="0"/>
    <n v="0"/>
    <n v="0"/>
    <n v="64"/>
    <n v="0"/>
    <n v="0"/>
    <n v="0"/>
    <n v="0"/>
  </r>
  <r>
    <x v="8"/>
    <x v="54"/>
    <s v="202408"/>
    <s v="2024"/>
    <s v="KAWAN LAMA202408"/>
    <n v="1"/>
    <n v="0"/>
    <n v="0"/>
    <n v="0"/>
    <n v="0"/>
    <n v="829171"/>
    <n v="0"/>
    <n v="0"/>
    <n v="0"/>
    <n v="0"/>
    <n v="1244"/>
    <n v="0"/>
    <n v="0"/>
    <n v="0"/>
    <n v="0"/>
  </r>
  <r>
    <x v="8"/>
    <x v="49"/>
    <s v="202408"/>
    <s v="2024"/>
    <s v="KAWAN LAMA202408"/>
    <n v="13"/>
    <n v="1"/>
    <n v="0"/>
    <n v="0"/>
    <n v="0"/>
    <n v="1014000"/>
    <n v="135000"/>
    <n v="0"/>
    <n v="0"/>
    <n v="0"/>
    <n v="1521"/>
    <n v="1350"/>
    <n v="0"/>
    <n v="0"/>
    <n v="0"/>
  </r>
  <r>
    <x v="8"/>
    <x v="50"/>
    <s v="202408"/>
    <s v="2024"/>
    <s v="KAWAN LAMA202408"/>
    <n v="10"/>
    <n v="0"/>
    <n v="0"/>
    <n v="0"/>
    <n v="0"/>
    <n v="1497000"/>
    <n v="0"/>
    <n v="0"/>
    <n v="0"/>
    <n v="0"/>
    <n v="2246"/>
    <n v="0"/>
    <n v="0"/>
    <n v="0"/>
    <n v="0"/>
  </r>
  <r>
    <x v="8"/>
    <x v="18"/>
    <s v="202408"/>
    <s v="2024"/>
    <s v="KAWAN LAMA202408"/>
    <n v="475"/>
    <n v="0"/>
    <n v="0"/>
    <n v="0"/>
    <n v="0"/>
    <n v="1649863190"/>
    <n v="0"/>
    <n v="0"/>
    <n v="0"/>
    <n v="0"/>
    <n v="2474795"/>
    <n v="0"/>
    <n v="0"/>
    <n v="0"/>
    <n v="0"/>
  </r>
  <r>
    <x v="8"/>
    <x v="19"/>
    <s v="202408"/>
    <s v="2024"/>
    <s v="KAWAN LAMA202408"/>
    <n v="25"/>
    <n v="0"/>
    <n v="0"/>
    <n v="0"/>
    <n v="0"/>
    <n v="119180320"/>
    <n v="0"/>
    <n v="0"/>
    <n v="0"/>
    <n v="0"/>
    <n v="178770"/>
    <n v="0"/>
    <n v="0"/>
    <n v="0"/>
    <n v="0"/>
  </r>
  <r>
    <x v="8"/>
    <x v="20"/>
    <s v="202408"/>
    <s v="2024"/>
    <s v="KAWAN LAMA202408"/>
    <n v="0"/>
    <n v="0"/>
    <n v="0"/>
    <n v="0"/>
    <n v="2"/>
    <n v="0"/>
    <n v="0"/>
    <n v="0"/>
    <n v="0"/>
    <n v="322000"/>
    <n v="0"/>
    <n v="0"/>
    <n v="0"/>
    <n v="0"/>
    <n v="966"/>
  </r>
  <r>
    <x v="8"/>
    <x v="21"/>
    <s v="202408"/>
    <s v="2024"/>
    <s v="KAWAN LAMA202408"/>
    <n v="4"/>
    <n v="0"/>
    <n v="0"/>
    <n v="0"/>
    <n v="0"/>
    <n v="5421100"/>
    <n v="0"/>
    <n v="0"/>
    <n v="0"/>
    <n v="0"/>
    <n v="8132"/>
    <n v="0"/>
    <n v="0"/>
    <n v="0"/>
    <n v="0"/>
  </r>
  <r>
    <x v="9"/>
    <x v="22"/>
    <s v="202408"/>
    <s v="2024"/>
    <s v="KCIC202408"/>
    <n v="75"/>
    <n v="2722"/>
    <n v="1194"/>
    <n v="0"/>
    <n v="0"/>
    <n v="37649000"/>
    <n v="1290198000"/>
    <n v="778510000"/>
    <n v="0"/>
    <n v="0"/>
    <n v="56474"/>
    <n v="11069960"/>
    <n v="14013180"/>
    <n v="0"/>
    <n v="0"/>
  </r>
  <r>
    <x v="10"/>
    <x v="23"/>
    <s v="202408"/>
    <s v="2024"/>
    <s v="KIMIA FARMA202408"/>
    <n v="5"/>
    <n v="62"/>
    <n v="15"/>
    <n v="0"/>
    <n v="0"/>
    <n v="1842646"/>
    <n v="15998417"/>
    <n v="15186169"/>
    <n v="0"/>
    <n v="0"/>
    <n v="2764"/>
    <n v="143829"/>
    <n v="273351"/>
    <n v="0"/>
    <n v="0"/>
  </r>
  <r>
    <x v="11"/>
    <x v="24"/>
    <s v="202408"/>
    <s v="2024"/>
    <s v="MITRA10202408"/>
    <n v="916"/>
    <n v="6"/>
    <n v="2"/>
    <n v="0"/>
    <n v="0"/>
    <n v="2263336754"/>
    <n v="4951377"/>
    <n v="3081068"/>
    <n v="0"/>
    <n v="0"/>
    <n v="3395002"/>
    <n v="42655"/>
    <n v="55766"/>
    <n v="0"/>
    <n v="0"/>
  </r>
  <r>
    <x v="12"/>
    <x v="25"/>
    <s v="202408"/>
    <s v="2024"/>
    <s v="OPTIK MELAWAI202408"/>
    <n v="75"/>
    <n v="284"/>
    <n v="6"/>
    <n v="0"/>
    <n v="0"/>
    <n v="73881000"/>
    <n v="397456500"/>
    <n v="5414000"/>
    <n v="0"/>
    <n v="0"/>
    <n v="110822"/>
    <n v="3974565"/>
    <n v="97452"/>
    <n v="0"/>
    <n v="0"/>
  </r>
  <r>
    <x v="14"/>
    <x v="27"/>
    <s v="202408"/>
    <s v="2024"/>
    <s v="PERTAMINA RETAIL202408"/>
    <n v="17"/>
    <n v="4913"/>
    <n v="205"/>
    <n v="0"/>
    <n v="0"/>
    <n v="1173800"/>
    <n v="691404692"/>
    <n v="34258738"/>
    <n v="0"/>
    <n v="0"/>
    <n v="1761"/>
    <n v="6591327"/>
    <n v="618336"/>
    <n v="0"/>
    <n v="0"/>
  </r>
  <r>
    <x v="14"/>
    <x v="28"/>
    <s v="202408"/>
    <s v="2024"/>
    <s v="PERTAMINA RETAIL202408"/>
    <n v="476"/>
    <n v="80347"/>
    <n v="0"/>
    <n v="0"/>
    <n v="0"/>
    <n v="102005503"/>
    <n v="18400717722"/>
    <n v="0"/>
    <n v="0"/>
    <n v="0"/>
    <n v="153008"/>
    <n v="88337381"/>
    <n v="0"/>
    <n v="0"/>
    <n v="0"/>
  </r>
  <r>
    <x v="15"/>
    <x v="29"/>
    <s v="202408"/>
    <s v="2024"/>
    <s v="PIZZA HUT202408"/>
    <n v="31"/>
    <n v="0"/>
    <n v="0"/>
    <n v="0"/>
    <n v="0"/>
    <n v="4961018"/>
    <n v="0"/>
    <n v="0"/>
    <n v="0"/>
    <n v="0"/>
    <n v="7441"/>
    <n v="0"/>
    <n v="0"/>
    <n v="0"/>
    <n v="0"/>
  </r>
  <r>
    <x v="15"/>
    <x v="30"/>
    <s v="202408"/>
    <s v="2024"/>
    <s v="PIZZA HUT202408"/>
    <n v="280"/>
    <n v="0"/>
    <n v="0"/>
    <n v="0"/>
    <n v="0"/>
    <n v="72793177"/>
    <n v="0"/>
    <n v="0"/>
    <n v="0"/>
    <n v="0"/>
    <n v="109189"/>
    <n v="0"/>
    <n v="0"/>
    <n v="0"/>
    <n v="0"/>
  </r>
  <r>
    <x v="16"/>
    <x v="31"/>
    <s v="202408"/>
    <s v="2024"/>
    <s v="PLATINUM CINEPLEX202408"/>
    <n v="19"/>
    <n v="84"/>
    <n v="5"/>
    <n v="18"/>
    <n v="346"/>
    <n v="1634000"/>
    <n v="9508000"/>
    <n v="3560000"/>
    <n v="1617000"/>
    <n v="26893000"/>
    <n v="2451"/>
    <n v="84000"/>
    <n v="64080"/>
    <n v="11319"/>
    <n v="188251"/>
  </r>
  <r>
    <x v="17"/>
    <x v="32"/>
    <s v="202408"/>
    <s v="2024"/>
    <s v="SARINAH202408"/>
    <n v="16"/>
    <n v="509"/>
    <n v="489"/>
    <n v="0"/>
    <n v="0"/>
    <n v="6757610"/>
    <n v="452841299"/>
    <n v="537654526"/>
    <n v="0"/>
    <n v="0"/>
    <n v="10136"/>
    <n v="3241114"/>
    <n v="9677781"/>
    <n v="0"/>
    <n v="0"/>
  </r>
  <r>
    <x v="18"/>
    <x v="33"/>
    <s v="202408"/>
    <s v="2024"/>
    <s v="SHIHLIN202408"/>
    <n v="1102"/>
    <n v="6"/>
    <n v="1"/>
    <n v="86"/>
    <n v="7"/>
    <n v="85107000"/>
    <n v="411000"/>
    <n v="54000"/>
    <n v="6189000"/>
    <n v="210047"/>
    <n v="127660"/>
    <n v="3570"/>
    <n v="972"/>
    <n v="43323"/>
    <n v="1470"/>
  </r>
  <r>
    <x v="19"/>
    <x v="34"/>
    <s v="202408"/>
    <s v="2024"/>
    <s v="SOLARIA202408"/>
    <n v="1802"/>
    <n v="0"/>
    <n v="0"/>
    <n v="0"/>
    <n v="0"/>
    <n v="288448200"/>
    <n v="0"/>
    <n v="0"/>
    <n v="0"/>
    <n v="0"/>
    <n v="432672"/>
    <n v="0"/>
    <n v="0"/>
    <n v="0"/>
    <n v="0"/>
  </r>
  <r>
    <x v="20"/>
    <x v="35"/>
    <s v="202408"/>
    <s v="2024"/>
    <s v="SOUR SALLY202408"/>
    <n v="7"/>
    <n v="0"/>
    <n v="0"/>
    <n v="0"/>
    <n v="1"/>
    <n v="982000"/>
    <n v="0"/>
    <n v="0"/>
    <n v="0"/>
    <n v="15"/>
    <n v="1473"/>
    <n v="0"/>
    <n v="0"/>
    <n v="0"/>
    <n v="0"/>
  </r>
  <r>
    <x v="21"/>
    <x v="43"/>
    <s v="202408"/>
    <s v="2024"/>
    <s v="STEVEN GROUP202408"/>
    <n v="0"/>
    <n v="0"/>
    <n v="0"/>
    <n v="1"/>
    <n v="0"/>
    <n v="0"/>
    <n v="0"/>
    <n v="0"/>
    <n v="22500"/>
    <n v="0"/>
    <n v="0"/>
    <n v="0"/>
    <n v="0"/>
    <n v="68"/>
    <n v="0"/>
  </r>
  <r>
    <x v="21"/>
    <x v="51"/>
    <s v="202408"/>
    <s v="2024"/>
    <s v="STEVEN GROUP202408"/>
    <n v="0"/>
    <n v="0"/>
    <n v="0"/>
    <n v="0"/>
    <n v="25"/>
    <n v="0"/>
    <n v="0"/>
    <n v="0"/>
    <n v="0"/>
    <n v="851002"/>
    <n v="0"/>
    <n v="0"/>
    <n v="0"/>
    <n v="0"/>
    <n v="2553"/>
  </r>
  <r>
    <x v="21"/>
    <x v="36"/>
    <s v="202408"/>
    <s v="2024"/>
    <s v="STEVEN GROUP202408"/>
    <n v="0"/>
    <n v="0"/>
    <n v="0"/>
    <n v="1"/>
    <n v="2"/>
    <n v="0"/>
    <n v="0"/>
    <n v="0"/>
    <n v="330000"/>
    <n v="22500"/>
    <n v="0"/>
    <n v="0"/>
    <n v="0"/>
    <n v="990"/>
    <n v="67"/>
  </r>
  <r>
    <x v="28"/>
    <x v="55"/>
    <s v="202408"/>
    <s v="2024"/>
    <s v="TAMANI202408"/>
    <n v="2"/>
    <n v="2"/>
    <n v="0"/>
    <n v="0"/>
    <n v="0"/>
    <n v="377300"/>
    <n v="939950"/>
    <n v="0"/>
    <n v="0"/>
    <n v="0"/>
    <n v="566"/>
    <n v="9400"/>
    <n v="0"/>
    <n v="0"/>
    <n v="0"/>
  </r>
  <r>
    <x v="29"/>
    <x v="56"/>
    <s v="202408"/>
    <s v="2024"/>
    <s v="YOSHINOYA202408"/>
    <n v="14"/>
    <n v="0"/>
    <n v="0"/>
    <n v="0"/>
    <n v="0"/>
    <n v="718000"/>
    <n v="0"/>
    <n v="0"/>
    <n v="0"/>
    <n v="0"/>
    <n v="1077"/>
    <n v="0"/>
    <n v="0"/>
    <n v="0"/>
    <n v="0"/>
  </r>
  <r>
    <x v="0"/>
    <x v="0"/>
    <s v="202409"/>
    <s v="2024"/>
    <s v="ALFA GROUP202409"/>
    <n v="17312"/>
    <n v="57300"/>
    <n v="14093"/>
    <n v="0"/>
    <n v="0"/>
    <n v="1577929125"/>
    <n v="5492305624"/>
    <n v="1849985556"/>
    <n v="0"/>
    <n v="0"/>
    <n v="5065848"/>
    <n v="50686674"/>
    <n v="33274181"/>
    <n v="0"/>
    <n v="0"/>
  </r>
  <r>
    <x v="0"/>
    <x v="1"/>
    <s v="202409"/>
    <s v="2024"/>
    <s v="ALFA GROUP202409"/>
    <n v="5486"/>
    <n v="20683"/>
    <n v="5772"/>
    <n v="0"/>
    <n v="0"/>
    <n v="675403686"/>
    <n v="2662751495"/>
    <n v="1147611350"/>
    <n v="0"/>
    <n v="0"/>
    <n v="2104731"/>
    <n v="23638679"/>
    <n v="20652337"/>
    <n v="0"/>
    <n v="0"/>
  </r>
  <r>
    <x v="0"/>
    <x v="2"/>
    <s v="202409"/>
    <s v="2024"/>
    <s v="ALFA GROUP202409"/>
    <n v="474"/>
    <n v="1394"/>
    <n v="192"/>
    <n v="0"/>
    <n v="0"/>
    <n v="73174755"/>
    <n v="219556464"/>
    <n v="34862398"/>
    <n v="0"/>
    <n v="0"/>
    <n v="256246"/>
    <n v="2110843"/>
    <n v="622208"/>
    <n v="0"/>
    <n v="0"/>
  </r>
  <r>
    <x v="22"/>
    <x v="37"/>
    <s v="202409"/>
    <s v="2024"/>
    <s v="BANBAN TEA202409"/>
    <n v="94"/>
    <n v="0"/>
    <n v="0"/>
    <n v="89"/>
    <n v="3"/>
    <n v="6429590"/>
    <n v="0"/>
    <n v="0"/>
    <n v="6499092"/>
    <n v="317300"/>
    <n v="18556"/>
    <n v="0"/>
    <n v="0"/>
    <n v="45489"/>
    <n v="2221"/>
  </r>
  <r>
    <x v="1"/>
    <x v="3"/>
    <s v="202409"/>
    <s v="2024"/>
    <s v="CHAMP RESTO202409"/>
    <n v="1"/>
    <n v="1"/>
    <n v="0"/>
    <n v="0"/>
    <n v="0"/>
    <n v="126000"/>
    <n v="69000"/>
    <n v="0"/>
    <n v="0"/>
    <n v="0"/>
    <n v="189"/>
    <n v="690"/>
    <n v="0"/>
    <n v="0"/>
    <n v="0"/>
  </r>
  <r>
    <x v="1"/>
    <x v="39"/>
    <s v="202409"/>
    <s v="2024"/>
    <s v="CHAMP RESTO202409"/>
    <n v="0"/>
    <n v="1"/>
    <n v="0"/>
    <n v="0"/>
    <n v="0"/>
    <n v="0"/>
    <n v="523762"/>
    <n v="0"/>
    <n v="0"/>
    <n v="0"/>
    <n v="0"/>
    <n v="5238"/>
    <n v="0"/>
    <n v="0"/>
    <n v="0"/>
  </r>
  <r>
    <x v="1"/>
    <x v="5"/>
    <s v="202409"/>
    <s v="2024"/>
    <s v="CHAMP RESTO202409"/>
    <n v="7"/>
    <n v="41"/>
    <n v="0"/>
    <n v="0"/>
    <n v="0"/>
    <n v="1297978"/>
    <n v="6858909"/>
    <n v="0"/>
    <n v="0"/>
    <n v="0"/>
    <n v="10561"/>
    <n v="68589"/>
    <n v="0"/>
    <n v="0"/>
    <n v="0"/>
  </r>
  <r>
    <x v="1"/>
    <x v="6"/>
    <s v="202409"/>
    <s v="2024"/>
    <s v="CHAMP RESTO202409"/>
    <n v="5"/>
    <n v="20"/>
    <n v="1"/>
    <n v="0"/>
    <n v="0"/>
    <n v="1082170"/>
    <n v="4568324"/>
    <n v="82775"/>
    <n v="0"/>
    <n v="0"/>
    <n v="8480"/>
    <n v="45683"/>
    <n v="1490"/>
    <n v="0"/>
    <n v="0"/>
  </r>
  <r>
    <x v="1"/>
    <x v="7"/>
    <s v="202409"/>
    <s v="2024"/>
    <s v="CHAMP RESTO202409"/>
    <n v="0"/>
    <n v="1"/>
    <n v="0"/>
    <n v="0"/>
    <n v="0"/>
    <n v="0"/>
    <n v="764000"/>
    <n v="0"/>
    <n v="0"/>
    <n v="0"/>
    <n v="0"/>
    <n v="7640"/>
    <n v="0"/>
    <n v="0"/>
    <n v="0"/>
  </r>
  <r>
    <x v="1"/>
    <x v="8"/>
    <s v="202409"/>
    <s v="2024"/>
    <s v="CHAMP RESTO202409"/>
    <n v="7"/>
    <n v="4"/>
    <n v="0"/>
    <n v="0"/>
    <n v="0"/>
    <n v="1849500"/>
    <n v="1297507"/>
    <n v="0"/>
    <n v="0"/>
    <n v="0"/>
    <n v="2774"/>
    <n v="12975"/>
    <n v="0"/>
    <n v="0"/>
    <n v="0"/>
  </r>
  <r>
    <x v="2"/>
    <x v="9"/>
    <s v="202409"/>
    <s v="2024"/>
    <s v="ES TELLER 77202409"/>
    <n v="1"/>
    <n v="6"/>
    <n v="0"/>
    <n v="0"/>
    <n v="2"/>
    <n v="143000"/>
    <n v="679000"/>
    <n v="0"/>
    <n v="0"/>
    <n v="120014"/>
    <n v="214"/>
    <n v="6790"/>
    <n v="0"/>
    <n v="0"/>
    <n v="840"/>
  </r>
  <r>
    <x v="3"/>
    <x v="10"/>
    <s v="202409"/>
    <s v="2024"/>
    <s v="GRAMEDIA202409"/>
    <n v="46"/>
    <n v="1611"/>
    <n v="181"/>
    <n v="39"/>
    <n v="4077"/>
    <n v="15427987"/>
    <n v="407480202"/>
    <n v="65222235"/>
    <n v="10523441"/>
    <n v="663878543"/>
    <n v="54673"/>
    <n v="3980798"/>
    <n v="1174000"/>
    <n v="73665"/>
    <n v="4647143"/>
  </r>
  <r>
    <x v="4"/>
    <x v="11"/>
    <s v="202409"/>
    <s v="2024"/>
    <s v="HAUS202409"/>
    <n v="1"/>
    <n v="27"/>
    <n v="0"/>
    <n v="0"/>
    <n v="0"/>
    <n v="41000"/>
    <n v="1327997"/>
    <n v="0"/>
    <n v="0"/>
    <n v="0"/>
    <n v="62"/>
    <n v="13280"/>
    <n v="0"/>
    <n v="0"/>
    <n v="0"/>
  </r>
  <r>
    <x v="26"/>
    <x v="47"/>
    <s v="202409"/>
    <s v="2024"/>
    <s v="HEAVENLY WANG202409"/>
    <n v="1"/>
    <n v="1"/>
    <n v="0"/>
    <n v="0"/>
    <n v="0"/>
    <n v="104100"/>
    <n v="221760"/>
    <n v="0"/>
    <n v="0"/>
    <n v="0"/>
    <n v="156"/>
    <n v="2218"/>
    <n v="0"/>
    <n v="0"/>
    <n v="0"/>
  </r>
  <r>
    <x v="24"/>
    <x v="40"/>
    <s v="202409"/>
    <s v="2024"/>
    <s v="HERO GROUP202409"/>
    <n v="0"/>
    <n v="0"/>
    <n v="0"/>
    <n v="1"/>
    <n v="1"/>
    <n v="0"/>
    <n v="0"/>
    <n v="0"/>
    <n v="31000"/>
    <n v="100000"/>
    <n v="0"/>
    <n v="0"/>
    <n v="0"/>
    <n v="93"/>
    <n v="300"/>
  </r>
  <r>
    <x v="27"/>
    <x v="48"/>
    <s v="202409"/>
    <s v="2024"/>
    <s v="HOKKAIDO BAKED CHEESE202409"/>
    <n v="44"/>
    <n v="488"/>
    <n v="10"/>
    <n v="104"/>
    <n v="2154"/>
    <n v="4622208"/>
    <n v="49748871"/>
    <n v="886000"/>
    <n v="11875411"/>
    <n v="174741145"/>
    <n v="11801"/>
    <n v="497489"/>
    <n v="15948"/>
    <n v="81412"/>
    <n v="1184324"/>
  </r>
  <r>
    <x v="5"/>
    <x v="12"/>
    <s v="202409"/>
    <s v="2024"/>
    <s v="HOP HOP202409"/>
    <n v="0"/>
    <n v="0"/>
    <n v="0"/>
    <n v="2"/>
    <n v="1024"/>
    <n v="0"/>
    <n v="0"/>
    <n v="0"/>
    <n v="55000"/>
    <n v="38201002"/>
    <n v="0"/>
    <n v="0"/>
    <n v="0"/>
    <n v="385"/>
    <n v="247675"/>
  </r>
  <r>
    <x v="6"/>
    <x v="13"/>
    <s v="202409"/>
    <s v="2024"/>
    <s v="IKEA202409"/>
    <n v="32"/>
    <n v="0"/>
    <n v="0"/>
    <n v="0"/>
    <n v="0"/>
    <n v="30217993"/>
    <n v="0"/>
    <n v="0"/>
    <n v="0"/>
    <n v="0"/>
    <n v="128459"/>
    <n v="0"/>
    <n v="0"/>
    <n v="0"/>
    <n v="0"/>
  </r>
  <r>
    <x v="7"/>
    <x v="14"/>
    <s v="202409"/>
    <s v="2024"/>
    <s v="INDOMARET202409"/>
    <n v="31371"/>
    <n v="76999"/>
    <n v="14302"/>
    <n v="0"/>
    <n v="0"/>
    <n v="3312992815"/>
    <n v="7133369137"/>
    <n v="2065707176"/>
    <n v="0"/>
    <n v="0"/>
    <n v="9556414"/>
    <n v="65497970"/>
    <n v="34562578"/>
    <n v="0"/>
    <n v="0"/>
  </r>
  <r>
    <x v="7"/>
    <x v="15"/>
    <s v="202409"/>
    <s v="2024"/>
    <s v="INDOMARET202409"/>
    <n v="661"/>
    <n v="1681"/>
    <n v="379"/>
    <n v="0"/>
    <n v="0"/>
    <n v="45839240"/>
    <n v="110716045"/>
    <n v="45975800"/>
    <n v="0"/>
    <n v="0"/>
    <n v="118466"/>
    <n v="991353"/>
    <n v="767570"/>
    <n v="0"/>
    <n v="0"/>
  </r>
  <r>
    <x v="8"/>
    <x v="41"/>
    <s v="202409"/>
    <s v="2024"/>
    <s v="KAWAN LAMA202409"/>
    <n v="8"/>
    <n v="0"/>
    <n v="0"/>
    <n v="0"/>
    <n v="0"/>
    <n v="1434900"/>
    <n v="0"/>
    <n v="0"/>
    <n v="0"/>
    <n v="0"/>
    <n v="9610"/>
    <n v="0"/>
    <n v="0"/>
    <n v="0"/>
    <n v="0"/>
  </r>
  <r>
    <x v="8"/>
    <x v="16"/>
    <s v="202409"/>
    <s v="2024"/>
    <s v="KAWAN LAMA202409"/>
    <n v="1553"/>
    <n v="196"/>
    <n v="330"/>
    <n v="0"/>
    <n v="0"/>
    <n v="1662429950"/>
    <n v="146517784"/>
    <n v="250699941"/>
    <n v="0"/>
    <n v="0"/>
    <n v="7297008"/>
    <n v="738755"/>
    <n v="5013999"/>
    <n v="0"/>
    <n v="0"/>
  </r>
  <r>
    <x v="8"/>
    <x v="17"/>
    <s v="202409"/>
    <s v="2024"/>
    <s v="KAWAN LAMA202409"/>
    <n v="562"/>
    <n v="0"/>
    <n v="0"/>
    <n v="0"/>
    <n v="0"/>
    <n v="33585000"/>
    <n v="0"/>
    <n v="0"/>
    <n v="0"/>
    <n v="0"/>
    <n v="101808"/>
    <n v="0"/>
    <n v="0"/>
    <n v="0"/>
    <n v="0"/>
  </r>
  <r>
    <x v="8"/>
    <x v="53"/>
    <s v="202409"/>
    <s v="2024"/>
    <s v="KAWAN LAMA202409"/>
    <n v="5"/>
    <n v="0"/>
    <n v="0"/>
    <n v="0"/>
    <n v="0"/>
    <n v="301000"/>
    <n v="0"/>
    <n v="0"/>
    <n v="0"/>
    <n v="0"/>
    <n v="3689"/>
    <n v="0"/>
    <n v="0"/>
    <n v="0"/>
    <n v="0"/>
  </r>
  <r>
    <x v="8"/>
    <x v="49"/>
    <s v="202409"/>
    <s v="2024"/>
    <s v="KAWAN LAMA202409"/>
    <n v="14"/>
    <n v="0"/>
    <n v="0"/>
    <n v="0"/>
    <n v="0"/>
    <n v="1584000"/>
    <n v="0"/>
    <n v="0"/>
    <n v="0"/>
    <n v="0"/>
    <n v="3282"/>
    <n v="0"/>
    <n v="0"/>
    <n v="0"/>
    <n v="0"/>
  </r>
  <r>
    <x v="8"/>
    <x v="50"/>
    <s v="202409"/>
    <s v="2024"/>
    <s v="KAWAN LAMA202409"/>
    <n v="11"/>
    <n v="0"/>
    <n v="0"/>
    <n v="0"/>
    <n v="0"/>
    <n v="2018000"/>
    <n v="0"/>
    <n v="0"/>
    <n v="0"/>
    <n v="0"/>
    <n v="7892"/>
    <n v="0"/>
    <n v="0"/>
    <n v="0"/>
    <n v="0"/>
  </r>
  <r>
    <x v="8"/>
    <x v="18"/>
    <s v="202409"/>
    <s v="2024"/>
    <s v="KAWAN LAMA202409"/>
    <n v="414"/>
    <n v="0"/>
    <n v="0"/>
    <n v="0"/>
    <n v="0"/>
    <n v="1184867527"/>
    <n v="0"/>
    <n v="0"/>
    <n v="0"/>
    <n v="0"/>
    <n v="3841009"/>
    <n v="0"/>
    <n v="0"/>
    <n v="0"/>
    <n v="0"/>
  </r>
  <r>
    <x v="8"/>
    <x v="19"/>
    <s v="202409"/>
    <s v="2024"/>
    <s v="KAWAN LAMA202409"/>
    <n v="16"/>
    <n v="0"/>
    <n v="0"/>
    <n v="0"/>
    <n v="0"/>
    <n v="42483645"/>
    <n v="0"/>
    <n v="0"/>
    <n v="0"/>
    <n v="0"/>
    <n v="68824"/>
    <n v="0"/>
    <n v="0"/>
    <n v="0"/>
    <n v="0"/>
  </r>
  <r>
    <x v="8"/>
    <x v="21"/>
    <s v="202409"/>
    <s v="2024"/>
    <s v="KAWAN LAMA202409"/>
    <n v="5"/>
    <n v="0"/>
    <n v="0"/>
    <n v="0"/>
    <n v="0"/>
    <n v="9052700"/>
    <n v="0"/>
    <n v="0"/>
    <n v="0"/>
    <n v="0"/>
    <n v="14564"/>
    <n v="0"/>
    <n v="0"/>
    <n v="0"/>
    <n v="0"/>
  </r>
  <r>
    <x v="9"/>
    <x v="22"/>
    <s v="202409"/>
    <s v="2024"/>
    <s v="KCIC202409"/>
    <n v="61"/>
    <n v="2087"/>
    <n v="947"/>
    <n v="0"/>
    <n v="0"/>
    <n v="25925000"/>
    <n v="1103050000"/>
    <n v="774300000"/>
    <n v="0"/>
    <n v="0"/>
    <n v="116025"/>
    <n v="10076750"/>
    <n v="13937400"/>
    <n v="0"/>
    <n v="0"/>
  </r>
  <r>
    <x v="25"/>
    <x v="57"/>
    <s v="202409"/>
    <s v="2024"/>
    <s v="MAP GROUP202409"/>
    <n v="0"/>
    <n v="1"/>
    <n v="0"/>
    <n v="0"/>
    <n v="0"/>
    <n v="0"/>
    <n v="104900"/>
    <n v="0"/>
    <n v="0"/>
    <n v="0"/>
    <n v="0"/>
    <n v="1049"/>
    <n v="0"/>
    <n v="0"/>
    <n v="0"/>
  </r>
  <r>
    <x v="11"/>
    <x v="24"/>
    <s v="202409"/>
    <s v="2024"/>
    <s v="MITRA10202409"/>
    <n v="878"/>
    <n v="6"/>
    <n v="1"/>
    <n v="0"/>
    <n v="0"/>
    <n v="2169579380"/>
    <n v="7185136"/>
    <n v="169760"/>
    <n v="0"/>
    <n v="0"/>
    <n v="8749163"/>
    <n v="71851"/>
    <n v="3395"/>
    <n v="0"/>
    <n v="0"/>
  </r>
  <r>
    <x v="12"/>
    <x v="25"/>
    <s v="202409"/>
    <s v="2024"/>
    <s v="OPTIK MELAWAI202409"/>
    <n v="100"/>
    <n v="704"/>
    <n v="18"/>
    <n v="0"/>
    <n v="0"/>
    <n v="159632000"/>
    <n v="1247286500"/>
    <n v="24875500"/>
    <n v="0"/>
    <n v="0"/>
    <n v="442345"/>
    <n v="12472865"/>
    <n v="459542"/>
    <n v="0"/>
    <n v="0"/>
  </r>
  <r>
    <x v="13"/>
    <x v="26"/>
    <s v="202409"/>
    <s v="2024"/>
    <s v="PATRA JASA202409"/>
    <n v="1"/>
    <n v="0"/>
    <n v="0"/>
    <n v="0"/>
    <n v="0"/>
    <n v="300000"/>
    <n v="0"/>
    <n v="0"/>
    <n v="0"/>
    <n v="0"/>
    <n v="450"/>
    <n v="0"/>
    <n v="0"/>
    <n v="0"/>
    <n v="0"/>
  </r>
  <r>
    <x v="14"/>
    <x v="27"/>
    <s v="202409"/>
    <s v="2024"/>
    <s v="PERTAMINA RETAIL202409"/>
    <n v="24"/>
    <n v="5042"/>
    <n v="283"/>
    <n v="0"/>
    <n v="3"/>
    <n v="1118600"/>
    <n v="771512917"/>
    <n v="65624642"/>
    <n v="0"/>
    <n v="330000"/>
    <n v="4445"/>
    <n v="7443208"/>
    <n v="1182125"/>
    <n v="0"/>
    <n v="1980"/>
  </r>
  <r>
    <x v="14"/>
    <x v="28"/>
    <s v="202409"/>
    <s v="2024"/>
    <s v="PERTAMINA RETAIL202409"/>
    <n v="400"/>
    <n v="66335"/>
    <n v="1"/>
    <n v="0"/>
    <n v="0"/>
    <n v="82719377"/>
    <n v="14500747422"/>
    <n v="250000"/>
    <n v="0"/>
    <n v="0"/>
    <n v="153188"/>
    <n v="70578565"/>
    <n v="4500"/>
    <n v="0"/>
    <n v="0"/>
  </r>
  <r>
    <x v="15"/>
    <x v="29"/>
    <s v="202409"/>
    <s v="2024"/>
    <s v="PIZZA HUT202409"/>
    <n v="24"/>
    <n v="0"/>
    <n v="0"/>
    <n v="0"/>
    <n v="0"/>
    <n v="4692517"/>
    <n v="0"/>
    <n v="0"/>
    <n v="0"/>
    <n v="0"/>
    <n v="22689"/>
    <n v="0"/>
    <n v="0"/>
    <n v="0"/>
    <n v="0"/>
  </r>
  <r>
    <x v="15"/>
    <x v="30"/>
    <s v="202409"/>
    <s v="2024"/>
    <s v="PIZZA HUT202409"/>
    <n v="292"/>
    <n v="1"/>
    <n v="0"/>
    <n v="0"/>
    <n v="0"/>
    <n v="79540014"/>
    <n v="126999"/>
    <n v="0"/>
    <n v="0"/>
    <n v="0"/>
    <n v="262098"/>
    <n v="1270"/>
    <n v="0"/>
    <n v="0"/>
    <n v="0"/>
  </r>
  <r>
    <x v="16"/>
    <x v="31"/>
    <s v="202409"/>
    <s v="2024"/>
    <s v="PLATINUM CINEPLEX202409"/>
    <n v="14"/>
    <n v="70"/>
    <n v="2"/>
    <n v="21"/>
    <n v="333"/>
    <n v="1451000"/>
    <n v="9134000"/>
    <n v="900000"/>
    <n v="1639000"/>
    <n v="28715000"/>
    <n v="3332"/>
    <n v="90290"/>
    <n v="16200"/>
    <n v="11473"/>
    <n v="201005"/>
  </r>
  <r>
    <x v="17"/>
    <x v="32"/>
    <s v="202409"/>
    <s v="2024"/>
    <s v="SARINAH202409"/>
    <n v="11"/>
    <n v="413"/>
    <n v="470"/>
    <n v="0"/>
    <n v="0"/>
    <n v="11669680"/>
    <n v="370295801"/>
    <n v="571114173"/>
    <n v="0"/>
    <n v="0"/>
    <n v="155922"/>
    <n v="2918355"/>
    <n v="10280055"/>
    <n v="0"/>
    <n v="0"/>
  </r>
  <r>
    <x v="18"/>
    <x v="33"/>
    <s v="202409"/>
    <s v="2024"/>
    <s v="SHIHLIN202409"/>
    <n v="518"/>
    <n v="8"/>
    <n v="1"/>
    <n v="372"/>
    <n v="7"/>
    <n v="41174500"/>
    <n v="489000"/>
    <n v="48000"/>
    <n v="25997515"/>
    <n v="141060"/>
    <n v="147001"/>
    <n v="4890"/>
    <n v="864"/>
    <n v="181981"/>
    <n v="987"/>
  </r>
  <r>
    <x v="19"/>
    <x v="34"/>
    <s v="202409"/>
    <s v="2024"/>
    <s v="SOLARIA202409"/>
    <n v="1786"/>
    <n v="1"/>
    <n v="0"/>
    <n v="0"/>
    <n v="0"/>
    <n v="292266488"/>
    <n v="53000"/>
    <n v="0"/>
    <n v="0"/>
    <n v="0"/>
    <n v="1010189"/>
    <n v="530"/>
    <n v="0"/>
    <n v="0"/>
    <n v="0"/>
  </r>
  <r>
    <x v="20"/>
    <x v="35"/>
    <s v="202409"/>
    <s v="2024"/>
    <s v="SOUR SALLY202409"/>
    <n v="0"/>
    <n v="0"/>
    <n v="0"/>
    <n v="0"/>
    <n v="2"/>
    <n v="0"/>
    <n v="0"/>
    <n v="0"/>
    <n v="0"/>
    <n v="30"/>
    <n v="0"/>
    <n v="0"/>
    <n v="0"/>
    <n v="0"/>
    <n v="0"/>
  </r>
  <r>
    <x v="21"/>
    <x v="43"/>
    <s v="202409"/>
    <s v="2024"/>
    <s v="STEVEN GROUP202409"/>
    <n v="0"/>
    <n v="0"/>
    <n v="0"/>
    <n v="0"/>
    <n v="2"/>
    <n v="0"/>
    <n v="0"/>
    <n v="0"/>
    <n v="0"/>
    <n v="54000"/>
    <n v="0"/>
    <n v="0"/>
    <n v="0"/>
    <n v="0"/>
    <n v="162"/>
  </r>
  <r>
    <x v="21"/>
    <x v="51"/>
    <s v="202409"/>
    <s v="2024"/>
    <s v="STEVEN GROUP202409"/>
    <n v="0"/>
    <n v="0"/>
    <n v="0"/>
    <n v="0"/>
    <n v="65"/>
    <n v="0"/>
    <n v="0"/>
    <n v="0"/>
    <n v="0"/>
    <n v="3557001"/>
    <n v="0"/>
    <n v="0"/>
    <n v="0"/>
    <n v="0"/>
    <n v="10671"/>
  </r>
  <r>
    <x v="21"/>
    <x v="36"/>
    <s v="202409"/>
    <s v="2024"/>
    <s v="STEVEN GROUP202409"/>
    <n v="0"/>
    <n v="0"/>
    <n v="0"/>
    <n v="0"/>
    <n v="1"/>
    <n v="0"/>
    <n v="0"/>
    <n v="0"/>
    <n v="0"/>
    <n v="67200"/>
    <n v="0"/>
    <n v="0"/>
    <n v="0"/>
    <n v="0"/>
    <n v="202"/>
  </r>
  <r>
    <x v="28"/>
    <x v="55"/>
    <s v="202409"/>
    <s v="2024"/>
    <s v="TAMANI202409"/>
    <n v="20"/>
    <n v="4"/>
    <n v="2"/>
    <n v="0"/>
    <n v="0"/>
    <n v="7159900"/>
    <n v="2646600"/>
    <n v="741950"/>
    <n v="0"/>
    <n v="0"/>
    <n v="13789"/>
    <n v="26466"/>
    <n v="13355"/>
    <n v="0"/>
    <n v="0"/>
  </r>
  <r>
    <x v="29"/>
    <x v="56"/>
    <s v="202409"/>
    <s v="2024"/>
    <s v="YOSHINOYA202409"/>
    <n v="22"/>
    <n v="3"/>
    <n v="3"/>
    <n v="0"/>
    <n v="0"/>
    <n v="2576500"/>
    <n v="178000"/>
    <n v="233000"/>
    <n v="0"/>
    <n v="0"/>
    <n v="6606"/>
    <n v="1780"/>
    <n v="2563"/>
    <n v="0"/>
    <n v="0"/>
  </r>
  <r>
    <x v="0"/>
    <x v="0"/>
    <s v="202410"/>
    <s v="2024"/>
    <s v="ALFA GROUP202410"/>
    <n v="18148"/>
    <n v="53507"/>
    <n v="15884"/>
    <n v="0"/>
    <n v="0"/>
    <n v="1591138661"/>
    <n v="4940670570"/>
    <n v="2052862036"/>
    <n v="0"/>
    <n v="0"/>
    <n v="2386708"/>
    <n v="49405907"/>
    <n v="36916890"/>
    <n v="0"/>
    <n v="0"/>
  </r>
  <r>
    <x v="0"/>
    <x v="1"/>
    <s v="202410"/>
    <s v="2024"/>
    <s v="ALFA GROUP202410"/>
    <n v="5636"/>
    <n v="19144"/>
    <n v="6451"/>
    <n v="0"/>
    <n v="0"/>
    <n v="685847133"/>
    <n v="2326486635"/>
    <n v="1235195496"/>
    <n v="0"/>
    <n v="0"/>
    <n v="1028768"/>
    <n v="23264866"/>
    <n v="22223514"/>
    <n v="0"/>
    <n v="0"/>
  </r>
  <r>
    <x v="0"/>
    <x v="2"/>
    <s v="202410"/>
    <s v="2024"/>
    <s v="ALFA GROUP202410"/>
    <n v="472"/>
    <n v="1487"/>
    <n v="280"/>
    <n v="0"/>
    <n v="0"/>
    <n v="68753325"/>
    <n v="223558405"/>
    <n v="47313087"/>
    <n v="0"/>
    <n v="0"/>
    <n v="103130"/>
    <n v="2235584"/>
    <n v="846490"/>
    <n v="0"/>
    <n v="0"/>
  </r>
  <r>
    <x v="22"/>
    <x v="37"/>
    <s v="202410"/>
    <s v="2024"/>
    <s v="BANBAN TEA202410"/>
    <n v="72"/>
    <n v="2"/>
    <n v="0"/>
    <n v="94"/>
    <n v="6"/>
    <n v="4928392"/>
    <n v="276999"/>
    <n v="0"/>
    <n v="5922192"/>
    <n v="424380"/>
    <n v="7393"/>
    <n v="2770"/>
    <n v="0"/>
    <n v="41449"/>
    <n v="2971"/>
  </r>
  <r>
    <x v="1"/>
    <x v="3"/>
    <s v="202410"/>
    <s v="2024"/>
    <s v="CHAMP RESTO202410"/>
    <n v="1"/>
    <n v="0"/>
    <n v="0"/>
    <n v="0"/>
    <n v="0"/>
    <n v="100000"/>
    <n v="0"/>
    <n v="0"/>
    <n v="0"/>
    <n v="0"/>
    <n v="150"/>
    <n v="0"/>
    <n v="0"/>
    <n v="0"/>
    <n v="0"/>
  </r>
  <r>
    <x v="1"/>
    <x v="39"/>
    <s v="202410"/>
    <s v="2024"/>
    <s v="CHAMP RESTO202410"/>
    <n v="1"/>
    <n v="0"/>
    <n v="0"/>
    <n v="0"/>
    <n v="0"/>
    <n v="112810"/>
    <n v="0"/>
    <n v="0"/>
    <n v="0"/>
    <n v="0"/>
    <n v="169"/>
    <n v="0"/>
    <n v="0"/>
    <n v="0"/>
    <n v="0"/>
  </r>
  <r>
    <x v="1"/>
    <x v="5"/>
    <s v="202410"/>
    <s v="2024"/>
    <s v="CHAMP RESTO202410"/>
    <n v="9"/>
    <n v="17"/>
    <n v="0"/>
    <n v="0"/>
    <n v="0"/>
    <n v="1582000"/>
    <n v="2767486"/>
    <n v="0"/>
    <n v="0"/>
    <n v="0"/>
    <n v="2373"/>
    <n v="27675"/>
    <n v="0"/>
    <n v="0"/>
    <n v="0"/>
  </r>
  <r>
    <x v="1"/>
    <x v="6"/>
    <s v="202410"/>
    <s v="2024"/>
    <s v="CHAMP RESTO202410"/>
    <n v="3"/>
    <n v="15"/>
    <n v="0"/>
    <n v="0"/>
    <n v="0"/>
    <n v="884583"/>
    <n v="4879789"/>
    <n v="0"/>
    <n v="0"/>
    <n v="0"/>
    <n v="1327"/>
    <n v="48798"/>
    <n v="0"/>
    <n v="0"/>
    <n v="0"/>
  </r>
  <r>
    <x v="1"/>
    <x v="7"/>
    <s v="202410"/>
    <s v="2024"/>
    <s v="CHAMP RESTO202410"/>
    <n v="1"/>
    <n v="0"/>
    <n v="0"/>
    <n v="0"/>
    <n v="0"/>
    <n v="165000"/>
    <n v="0"/>
    <n v="0"/>
    <n v="0"/>
    <n v="0"/>
    <n v="248"/>
    <n v="0"/>
    <n v="0"/>
    <n v="0"/>
    <n v="0"/>
  </r>
  <r>
    <x v="1"/>
    <x v="8"/>
    <s v="202410"/>
    <s v="2024"/>
    <s v="CHAMP RESTO202410"/>
    <n v="3"/>
    <n v="1"/>
    <n v="0"/>
    <n v="0"/>
    <n v="0"/>
    <n v="642003"/>
    <n v="151000"/>
    <n v="0"/>
    <n v="0"/>
    <n v="0"/>
    <n v="963"/>
    <n v="1510"/>
    <n v="0"/>
    <n v="0"/>
    <n v="0"/>
  </r>
  <r>
    <x v="2"/>
    <x v="9"/>
    <s v="202410"/>
    <s v="2024"/>
    <s v="ES TELLER 77202410"/>
    <n v="5"/>
    <n v="11"/>
    <n v="0"/>
    <n v="0"/>
    <n v="1"/>
    <n v="510000"/>
    <n v="814001"/>
    <n v="0"/>
    <n v="0"/>
    <n v="10000"/>
    <n v="765"/>
    <n v="8140"/>
    <n v="0"/>
    <n v="0"/>
    <n v="0"/>
  </r>
  <r>
    <x v="3"/>
    <x v="10"/>
    <s v="202410"/>
    <s v="2024"/>
    <s v="GRAMEDIA202410"/>
    <n v="33"/>
    <n v="753"/>
    <n v="133"/>
    <n v="13"/>
    <n v="1490"/>
    <n v="10882270"/>
    <n v="201631925"/>
    <n v="68475590"/>
    <n v="1138750"/>
    <n v="217994651"/>
    <n v="16323"/>
    <n v="2016319"/>
    <n v="1240259"/>
    <n v="7972"/>
    <n v="1525963"/>
  </r>
  <r>
    <x v="4"/>
    <x v="11"/>
    <s v="202410"/>
    <s v="2024"/>
    <s v="HAUS202410"/>
    <n v="1"/>
    <n v="39"/>
    <n v="1"/>
    <n v="0"/>
    <n v="0"/>
    <n v="32000"/>
    <n v="1904000"/>
    <n v="40000"/>
    <n v="0"/>
    <n v="0"/>
    <n v="48"/>
    <n v="19040"/>
    <n v="720"/>
    <n v="0"/>
    <n v="0"/>
  </r>
  <r>
    <x v="26"/>
    <x v="47"/>
    <s v="202410"/>
    <s v="2024"/>
    <s v="HEAVENLY WANG202410"/>
    <n v="7"/>
    <n v="0"/>
    <n v="1"/>
    <n v="0"/>
    <n v="0"/>
    <n v="726495"/>
    <n v="0"/>
    <n v="146685"/>
    <n v="0"/>
    <n v="0"/>
    <n v="1090"/>
    <n v="0"/>
    <n v="2640"/>
    <n v="0"/>
    <n v="0"/>
  </r>
  <r>
    <x v="24"/>
    <x v="40"/>
    <s v="202410"/>
    <s v="2024"/>
    <s v="HERO GROUP202410"/>
    <n v="0"/>
    <n v="0"/>
    <n v="0"/>
    <n v="0"/>
    <n v="3"/>
    <n v="0"/>
    <n v="0"/>
    <n v="0"/>
    <n v="0"/>
    <n v="105000"/>
    <n v="0"/>
    <n v="0"/>
    <n v="0"/>
    <n v="0"/>
    <n v="0"/>
  </r>
  <r>
    <x v="27"/>
    <x v="48"/>
    <s v="202410"/>
    <s v="2024"/>
    <s v="HOKKAIDO BAKED CHEESE202410"/>
    <n v="39"/>
    <n v="600"/>
    <n v="3"/>
    <n v="74"/>
    <n v="3042"/>
    <n v="4425000"/>
    <n v="59280226"/>
    <n v="526000"/>
    <n v="7402400"/>
    <n v="240739860"/>
    <n v="6638"/>
    <n v="592802"/>
    <n v="9468"/>
    <n v="51337"/>
    <n v="1559382"/>
  </r>
  <r>
    <x v="5"/>
    <x v="12"/>
    <s v="202410"/>
    <s v="2024"/>
    <s v="HOP HOP202410"/>
    <n v="0"/>
    <n v="0"/>
    <n v="0"/>
    <n v="158"/>
    <n v="623"/>
    <n v="0"/>
    <n v="0"/>
    <n v="0"/>
    <n v="6366001"/>
    <n v="21997002"/>
    <n v="0"/>
    <n v="0"/>
    <n v="0"/>
    <n v="2385"/>
    <n v="144474"/>
  </r>
  <r>
    <x v="5"/>
    <x v="58"/>
    <s v="202410"/>
    <s v="2024"/>
    <s v="HOP HOP202410"/>
    <n v="0"/>
    <n v="0"/>
    <n v="0"/>
    <n v="23"/>
    <n v="75"/>
    <n v="0"/>
    <n v="0"/>
    <n v="0"/>
    <n v="1223000"/>
    <n v="2077001"/>
    <n v="0"/>
    <n v="0"/>
    <n v="0"/>
    <n v="0"/>
    <n v="0"/>
  </r>
  <r>
    <x v="6"/>
    <x v="13"/>
    <s v="202410"/>
    <s v="2024"/>
    <s v="IKEA202410"/>
    <n v="23"/>
    <n v="0"/>
    <n v="0"/>
    <n v="0"/>
    <n v="0"/>
    <n v="23365800"/>
    <n v="0"/>
    <n v="0"/>
    <n v="0"/>
    <n v="0"/>
    <n v="35049"/>
    <n v="0"/>
    <n v="0"/>
    <n v="0"/>
    <n v="0"/>
  </r>
  <r>
    <x v="7"/>
    <x v="14"/>
    <s v="202410"/>
    <s v="2024"/>
    <s v="INDOMARET202410"/>
    <n v="33253"/>
    <n v="70804"/>
    <n v="16675"/>
    <n v="0"/>
    <n v="0"/>
    <n v="3259259060"/>
    <n v="6324564927"/>
    <n v="2206506756"/>
    <n v="0"/>
    <n v="0"/>
    <n v="4888886"/>
    <n v="63245649"/>
    <n v="36956581"/>
    <n v="0"/>
    <n v="0"/>
  </r>
  <r>
    <x v="7"/>
    <x v="15"/>
    <s v="202410"/>
    <s v="2024"/>
    <s v="INDOMARET202410"/>
    <n v="656"/>
    <n v="1551"/>
    <n v="537"/>
    <n v="0"/>
    <n v="0"/>
    <n v="41651290"/>
    <n v="100884500"/>
    <n v="52193200"/>
    <n v="0"/>
    <n v="0"/>
    <n v="62477"/>
    <n v="1008845"/>
    <n v="871874"/>
    <n v="0"/>
    <n v="0"/>
  </r>
  <r>
    <x v="8"/>
    <x v="41"/>
    <s v="202410"/>
    <s v="2024"/>
    <s v="KAWAN LAMA202410"/>
    <n v="3"/>
    <n v="0"/>
    <n v="0"/>
    <n v="0"/>
    <n v="0"/>
    <n v="302300"/>
    <n v="0"/>
    <n v="0"/>
    <n v="0"/>
    <n v="0"/>
    <n v="453"/>
    <n v="0"/>
    <n v="0"/>
    <n v="0"/>
    <n v="0"/>
  </r>
  <r>
    <x v="8"/>
    <x v="16"/>
    <s v="202410"/>
    <s v="2024"/>
    <s v="KAWAN LAMA202410"/>
    <n v="1545"/>
    <n v="0"/>
    <n v="213"/>
    <n v="0"/>
    <n v="0"/>
    <n v="1680000393"/>
    <n v="0"/>
    <n v="175399149"/>
    <n v="0"/>
    <n v="0"/>
    <n v="2519998"/>
    <n v="0"/>
    <n v="3507983"/>
    <n v="0"/>
    <n v="0"/>
  </r>
  <r>
    <x v="8"/>
    <x v="17"/>
    <s v="202410"/>
    <s v="2024"/>
    <s v="KAWAN LAMA202410"/>
    <n v="577"/>
    <n v="0"/>
    <n v="0"/>
    <n v="0"/>
    <n v="0"/>
    <n v="34192000"/>
    <n v="0"/>
    <n v="0"/>
    <n v="0"/>
    <n v="0"/>
    <n v="51288"/>
    <n v="0"/>
    <n v="0"/>
    <n v="0"/>
    <n v="0"/>
  </r>
  <r>
    <x v="8"/>
    <x v="53"/>
    <s v="202410"/>
    <s v="2024"/>
    <s v="KAWAN LAMA202410"/>
    <n v="2"/>
    <n v="0"/>
    <n v="0"/>
    <n v="0"/>
    <n v="0"/>
    <n v="49000"/>
    <n v="0"/>
    <n v="0"/>
    <n v="0"/>
    <n v="0"/>
    <n v="74"/>
    <n v="0"/>
    <n v="0"/>
    <n v="0"/>
    <n v="0"/>
  </r>
  <r>
    <x v="8"/>
    <x v="49"/>
    <s v="202410"/>
    <s v="2024"/>
    <s v="KAWAN LAMA202410"/>
    <n v="7"/>
    <n v="0"/>
    <n v="0"/>
    <n v="0"/>
    <n v="0"/>
    <n v="879000"/>
    <n v="0"/>
    <n v="0"/>
    <n v="0"/>
    <n v="0"/>
    <n v="1318"/>
    <n v="0"/>
    <n v="0"/>
    <n v="0"/>
    <n v="0"/>
  </r>
  <r>
    <x v="8"/>
    <x v="50"/>
    <s v="202410"/>
    <s v="2024"/>
    <s v="KAWAN LAMA202410"/>
    <n v="12"/>
    <n v="0"/>
    <n v="0"/>
    <n v="0"/>
    <n v="0"/>
    <n v="1965000"/>
    <n v="0"/>
    <n v="0"/>
    <n v="0"/>
    <n v="0"/>
    <n v="2948"/>
    <n v="0"/>
    <n v="0"/>
    <n v="0"/>
    <n v="0"/>
  </r>
  <r>
    <x v="8"/>
    <x v="18"/>
    <s v="202410"/>
    <s v="2024"/>
    <s v="KAWAN LAMA202410"/>
    <n v="432"/>
    <n v="0"/>
    <n v="0"/>
    <n v="0"/>
    <n v="0"/>
    <n v="1399832541"/>
    <n v="0"/>
    <n v="0"/>
    <n v="0"/>
    <n v="0"/>
    <n v="2099749"/>
    <n v="0"/>
    <n v="0"/>
    <n v="0"/>
    <n v="0"/>
  </r>
  <r>
    <x v="8"/>
    <x v="19"/>
    <s v="202410"/>
    <s v="2024"/>
    <s v="KAWAN LAMA202410"/>
    <n v="17"/>
    <n v="0"/>
    <n v="0"/>
    <n v="0"/>
    <n v="0"/>
    <n v="42042240"/>
    <n v="0"/>
    <n v="0"/>
    <n v="0"/>
    <n v="0"/>
    <n v="63063"/>
    <n v="0"/>
    <n v="0"/>
    <n v="0"/>
    <n v="0"/>
  </r>
  <r>
    <x v="8"/>
    <x v="21"/>
    <s v="202410"/>
    <s v="2024"/>
    <s v="KAWAN LAMA202410"/>
    <n v="1"/>
    <n v="0"/>
    <n v="0"/>
    <n v="0"/>
    <n v="0"/>
    <n v="78000"/>
    <n v="0"/>
    <n v="0"/>
    <n v="0"/>
    <n v="0"/>
    <n v="117"/>
    <n v="0"/>
    <n v="0"/>
    <n v="0"/>
    <n v="0"/>
  </r>
  <r>
    <x v="9"/>
    <x v="22"/>
    <s v="202410"/>
    <s v="2024"/>
    <s v="KCIC202410"/>
    <n v="77"/>
    <n v="1783"/>
    <n v="885"/>
    <n v="0"/>
    <n v="0"/>
    <n v="34425000"/>
    <n v="928890000"/>
    <n v="605000000"/>
    <n v="0"/>
    <n v="0"/>
    <n v="51638"/>
    <n v="9288900"/>
    <n v="10890000"/>
    <n v="0"/>
    <n v="0"/>
  </r>
  <r>
    <x v="25"/>
    <x v="57"/>
    <s v="202410"/>
    <s v="2024"/>
    <s v="MAP GROUP202410"/>
    <n v="0"/>
    <n v="3"/>
    <n v="0"/>
    <n v="0"/>
    <n v="0"/>
    <n v="0"/>
    <n v="210200"/>
    <n v="0"/>
    <n v="0"/>
    <n v="0"/>
    <n v="0"/>
    <n v="2102"/>
    <n v="0"/>
    <n v="0"/>
    <n v="0"/>
  </r>
  <r>
    <x v="11"/>
    <x v="24"/>
    <s v="202410"/>
    <s v="2024"/>
    <s v="MITRA10202410"/>
    <n v="572"/>
    <n v="3"/>
    <n v="1"/>
    <n v="0"/>
    <n v="0"/>
    <n v="1359626639"/>
    <n v="2015935"/>
    <n v="253606"/>
    <n v="0"/>
    <n v="0"/>
    <n v="2039438"/>
    <n v="20159"/>
    <n v="5072"/>
    <n v="0"/>
    <n v="0"/>
  </r>
  <r>
    <x v="12"/>
    <x v="25"/>
    <s v="202410"/>
    <s v="2024"/>
    <s v="OPTIK MELAWAI202410"/>
    <n v="111"/>
    <n v="653"/>
    <n v="54"/>
    <n v="0"/>
    <n v="0"/>
    <n v="156629000"/>
    <n v="990244000"/>
    <n v="45175000"/>
    <n v="0"/>
    <n v="0"/>
    <n v="234944"/>
    <n v="9902440"/>
    <n v="829754"/>
    <n v="0"/>
    <n v="0"/>
  </r>
  <r>
    <x v="13"/>
    <x v="26"/>
    <s v="202410"/>
    <s v="2024"/>
    <s v="PATRA JASA202410"/>
    <n v="0"/>
    <n v="1"/>
    <n v="0"/>
    <n v="0"/>
    <n v="0"/>
    <n v="0"/>
    <n v="2500000"/>
    <n v="0"/>
    <n v="0"/>
    <n v="0"/>
    <n v="0"/>
    <n v="25000"/>
    <n v="0"/>
    <n v="0"/>
    <n v="0"/>
  </r>
  <r>
    <x v="14"/>
    <x v="27"/>
    <s v="202410"/>
    <s v="2024"/>
    <s v="PERTAMINA RETAIL202410"/>
    <n v="28"/>
    <n v="4678"/>
    <n v="320"/>
    <n v="0"/>
    <n v="0"/>
    <n v="1437100"/>
    <n v="560201566"/>
    <n v="101063042"/>
    <n v="0"/>
    <n v="0"/>
    <n v="2156"/>
    <n v="5602016"/>
    <n v="1820788"/>
    <n v="0"/>
    <n v="0"/>
  </r>
  <r>
    <x v="14"/>
    <x v="28"/>
    <s v="202410"/>
    <s v="2024"/>
    <s v="PERTAMINA RETAIL202410"/>
    <n v="375"/>
    <n v="66106"/>
    <n v="0"/>
    <n v="0"/>
    <n v="0"/>
    <n v="81896917"/>
    <n v="14831353226"/>
    <n v="0"/>
    <n v="0"/>
    <n v="0"/>
    <n v="122845"/>
    <n v="74156754"/>
    <n v="0"/>
    <n v="0"/>
    <n v="0"/>
  </r>
  <r>
    <x v="15"/>
    <x v="29"/>
    <s v="202410"/>
    <s v="2024"/>
    <s v="PIZZA HUT202410"/>
    <n v="28"/>
    <n v="0"/>
    <n v="0"/>
    <n v="0"/>
    <n v="0"/>
    <n v="4799916"/>
    <n v="0"/>
    <n v="0"/>
    <n v="0"/>
    <n v="0"/>
    <n v="7200"/>
    <n v="0"/>
    <n v="0"/>
    <n v="0"/>
    <n v="0"/>
  </r>
  <r>
    <x v="15"/>
    <x v="30"/>
    <s v="202410"/>
    <s v="2024"/>
    <s v="PIZZA HUT202410"/>
    <n v="315"/>
    <n v="1"/>
    <n v="0"/>
    <n v="0"/>
    <n v="0"/>
    <n v="82115549"/>
    <n v="204001"/>
    <n v="0"/>
    <n v="0"/>
    <n v="0"/>
    <n v="123173"/>
    <n v="2040"/>
    <n v="0"/>
    <n v="0"/>
    <n v="0"/>
  </r>
  <r>
    <x v="16"/>
    <x v="31"/>
    <s v="202410"/>
    <s v="2024"/>
    <s v="PLATINUM CINEPLEX202410"/>
    <n v="17"/>
    <n v="40"/>
    <n v="3"/>
    <n v="20"/>
    <n v="204"/>
    <n v="1218000"/>
    <n v="3665000"/>
    <n v="785000"/>
    <n v="1582000"/>
    <n v="13098000"/>
    <n v="1827"/>
    <n v="36650"/>
    <n v="14130"/>
    <n v="11074"/>
    <n v="91686"/>
  </r>
  <r>
    <x v="17"/>
    <x v="32"/>
    <s v="202410"/>
    <s v="2024"/>
    <s v="SARINAH202410"/>
    <n v="11"/>
    <n v="289"/>
    <n v="378"/>
    <n v="0"/>
    <n v="0"/>
    <n v="13567700"/>
    <n v="289673979"/>
    <n v="391970126"/>
    <n v="0"/>
    <n v="0"/>
    <n v="20352"/>
    <n v="2896740"/>
    <n v="7055462"/>
    <n v="0"/>
    <n v="0"/>
  </r>
  <r>
    <x v="18"/>
    <x v="33"/>
    <s v="202410"/>
    <s v="2024"/>
    <s v="SHIHLIN202410"/>
    <n v="366"/>
    <n v="12"/>
    <n v="1"/>
    <n v="527"/>
    <n v="15"/>
    <n v="27604100"/>
    <n v="673000"/>
    <n v="94000"/>
    <n v="34203500"/>
    <n v="463031"/>
    <n v="41406"/>
    <n v="6730"/>
    <n v="1692"/>
    <n v="239424"/>
    <n v="3241"/>
  </r>
  <r>
    <x v="19"/>
    <x v="34"/>
    <s v="202410"/>
    <s v="2024"/>
    <s v="SOLARIA202410"/>
    <n v="1767"/>
    <n v="2"/>
    <n v="0"/>
    <n v="0"/>
    <n v="0"/>
    <n v="281032300"/>
    <n v="126000"/>
    <n v="0"/>
    <n v="0"/>
    <n v="0"/>
    <n v="421548"/>
    <n v="1260"/>
    <n v="0"/>
    <n v="0"/>
    <n v="0"/>
  </r>
  <r>
    <x v="20"/>
    <x v="35"/>
    <s v="202410"/>
    <s v="2024"/>
    <s v="SOUR SALLY202410"/>
    <n v="1"/>
    <n v="0"/>
    <n v="0"/>
    <n v="1"/>
    <n v="0"/>
    <n v="62000"/>
    <n v="0"/>
    <n v="0"/>
    <n v="143000"/>
    <n v="0"/>
    <n v="93"/>
    <n v="0"/>
    <n v="0"/>
    <n v="1001"/>
    <n v="0"/>
  </r>
  <r>
    <x v="21"/>
    <x v="43"/>
    <s v="202410"/>
    <s v="2024"/>
    <s v="STEVEN GROUP202410"/>
    <n v="0"/>
    <n v="0"/>
    <n v="0"/>
    <n v="0"/>
    <n v="1"/>
    <n v="0"/>
    <n v="0"/>
    <n v="0"/>
    <n v="0"/>
    <n v="1200"/>
    <n v="0"/>
    <n v="0"/>
    <n v="0"/>
    <n v="0"/>
    <n v="0"/>
  </r>
  <r>
    <x v="21"/>
    <x v="51"/>
    <s v="202410"/>
    <s v="2024"/>
    <s v="STEVEN GROUP202410"/>
    <n v="0"/>
    <n v="2"/>
    <n v="1"/>
    <n v="0"/>
    <n v="0"/>
    <n v="0"/>
    <n v="103000"/>
    <n v="39000"/>
    <n v="0"/>
    <n v="0"/>
    <n v="0"/>
    <n v="1030"/>
    <n v="780"/>
    <n v="0"/>
    <n v="0"/>
  </r>
  <r>
    <x v="28"/>
    <x v="55"/>
    <s v="202410"/>
    <s v="2024"/>
    <s v="TAMANI202410"/>
    <n v="18"/>
    <n v="8"/>
    <n v="1"/>
    <n v="0"/>
    <n v="0"/>
    <n v="5923700"/>
    <n v="3194400"/>
    <n v="272800"/>
    <n v="0"/>
    <n v="0"/>
    <n v="8886"/>
    <n v="31944"/>
    <n v="4910"/>
    <n v="0"/>
    <n v="0"/>
  </r>
  <r>
    <x v="30"/>
    <x v="59"/>
    <s v="202410"/>
    <s v="2024"/>
    <s v="YOGURT REPUBLIC202410"/>
    <n v="0"/>
    <n v="0"/>
    <n v="0"/>
    <n v="0"/>
    <n v="41"/>
    <n v="0"/>
    <n v="0"/>
    <n v="0"/>
    <n v="0"/>
    <n v="2985701"/>
    <n v="0"/>
    <n v="0"/>
    <n v="0"/>
    <n v="0"/>
    <n v="3879"/>
  </r>
  <r>
    <x v="29"/>
    <x v="56"/>
    <s v="202410"/>
    <s v="2024"/>
    <s v="YOSHINOYA202410"/>
    <n v="2569"/>
    <n v="9078"/>
    <n v="7026"/>
    <n v="0"/>
    <n v="0"/>
    <n v="254471700"/>
    <n v="1335252900"/>
    <n v="1236962000"/>
    <n v="0"/>
    <n v="0"/>
    <n v="381708"/>
    <n v="13352529"/>
    <n v="13606582"/>
    <n v="0"/>
    <n v="0"/>
  </r>
  <r>
    <x v="0"/>
    <x v="0"/>
    <s v="202411"/>
    <s v="2024"/>
    <s v="ALFA GROUP202411"/>
    <n v="17471"/>
    <n v="50739"/>
    <n v="17443"/>
    <n v="0"/>
    <n v="0"/>
    <n v="1576948531"/>
    <n v="4855366376"/>
    <n v="2265695675"/>
    <n v="0"/>
    <n v="0"/>
    <n v="2365423"/>
    <n v="48553664"/>
    <n v="40747326"/>
    <n v="0"/>
    <n v="0"/>
  </r>
  <r>
    <x v="0"/>
    <x v="1"/>
    <s v="202411"/>
    <s v="2024"/>
    <s v="ALFA GROUP202411"/>
    <n v="5166"/>
    <n v="18535"/>
    <n v="7554"/>
    <n v="0"/>
    <n v="0"/>
    <n v="623444902"/>
    <n v="2263625832"/>
    <n v="1463302884"/>
    <n v="0"/>
    <n v="0"/>
    <n v="935164"/>
    <n v="22636258"/>
    <n v="26324815"/>
    <n v="0"/>
    <n v="0"/>
  </r>
  <r>
    <x v="0"/>
    <x v="2"/>
    <s v="202411"/>
    <s v="2024"/>
    <s v="ALFA GROUP202411"/>
    <n v="411"/>
    <n v="1313"/>
    <n v="254"/>
    <n v="0"/>
    <n v="0"/>
    <n v="63753805"/>
    <n v="219018655"/>
    <n v="47679000"/>
    <n v="0"/>
    <n v="0"/>
    <n v="95631"/>
    <n v="2190187"/>
    <n v="854109"/>
    <n v="0"/>
    <n v="0"/>
  </r>
  <r>
    <x v="22"/>
    <x v="37"/>
    <s v="202411"/>
    <s v="2024"/>
    <s v="BANBAN TEA202411"/>
    <n v="71"/>
    <n v="0"/>
    <n v="0"/>
    <n v="96"/>
    <n v="1"/>
    <n v="4363042"/>
    <n v="0"/>
    <n v="0"/>
    <n v="5909791"/>
    <n v="27500"/>
    <n v="6544"/>
    <n v="0"/>
    <n v="0"/>
    <n v="41363"/>
    <n v="192"/>
  </r>
  <r>
    <x v="1"/>
    <x v="4"/>
    <s v="202411"/>
    <s v="2024"/>
    <s v="CHAMP RESTO202411"/>
    <n v="1"/>
    <n v="0"/>
    <n v="0"/>
    <n v="0"/>
    <n v="0"/>
    <n v="368500"/>
    <n v="0"/>
    <n v="0"/>
    <n v="0"/>
    <n v="0"/>
    <n v="553"/>
    <n v="0"/>
    <n v="0"/>
    <n v="0"/>
    <n v="0"/>
  </r>
  <r>
    <x v="1"/>
    <x v="5"/>
    <s v="202411"/>
    <s v="2024"/>
    <s v="CHAMP RESTO202411"/>
    <n v="10"/>
    <n v="15"/>
    <n v="0"/>
    <n v="0"/>
    <n v="0"/>
    <n v="1619488"/>
    <n v="2496989"/>
    <n v="0"/>
    <n v="0"/>
    <n v="0"/>
    <n v="2429"/>
    <n v="24970"/>
    <n v="0"/>
    <n v="0"/>
    <n v="0"/>
  </r>
  <r>
    <x v="1"/>
    <x v="6"/>
    <s v="202411"/>
    <s v="2024"/>
    <s v="CHAMP RESTO202411"/>
    <n v="2"/>
    <n v="8"/>
    <n v="0"/>
    <n v="0"/>
    <n v="0"/>
    <n v="293700"/>
    <n v="1935659"/>
    <n v="0"/>
    <n v="0"/>
    <n v="0"/>
    <n v="441"/>
    <n v="19357"/>
    <n v="0"/>
    <n v="0"/>
    <n v="0"/>
  </r>
  <r>
    <x v="1"/>
    <x v="8"/>
    <s v="202411"/>
    <s v="2024"/>
    <s v="CHAMP RESTO202411"/>
    <n v="2"/>
    <n v="1"/>
    <n v="0"/>
    <n v="0"/>
    <n v="0"/>
    <n v="328003"/>
    <n v="253000"/>
    <n v="0"/>
    <n v="0"/>
    <n v="0"/>
    <n v="492"/>
    <n v="2530"/>
    <n v="0"/>
    <n v="0"/>
    <n v="0"/>
  </r>
  <r>
    <x v="31"/>
    <x v="60"/>
    <s v="202411"/>
    <s v="2024"/>
    <s v="DWIDAYA202411"/>
    <n v="3"/>
    <n v="1"/>
    <n v="0"/>
    <n v="1"/>
    <n v="8"/>
    <n v="41216000"/>
    <n v="10000"/>
    <n v="0"/>
    <n v="5000000"/>
    <n v="3220007"/>
    <n v="61824"/>
    <n v="100"/>
    <n v="0"/>
    <n v="35000"/>
    <n v="22540"/>
  </r>
  <r>
    <x v="2"/>
    <x v="9"/>
    <s v="202411"/>
    <s v="2024"/>
    <s v="ES TELLER 77202411"/>
    <n v="6"/>
    <n v="6"/>
    <n v="0"/>
    <n v="0"/>
    <n v="3"/>
    <n v="721800"/>
    <n v="758000"/>
    <n v="0"/>
    <n v="0"/>
    <n v="90000"/>
    <n v="1083"/>
    <n v="7580"/>
    <n v="0"/>
    <n v="0"/>
    <n v="0"/>
  </r>
  <r>
    <x v="3"/>
    <x v="10"/>
    <s v="202411"/>
    <s v="2024"/>
    <s v="GRAMEDIA202411"/>
    <n v="31"/>
    <n v="11"/>
    <n v="6"/>
    <n v="5"/>
    <n v="9"/>
    <n v="11895370"/>
    <n v="3784150"/>
    <n v="1896800"/>
    <n v="665700"/>
    <n v="416905"/>
    <n v="17843"/>
    <n v="37842"/>
    <n v="34142"/>
    <n v="4659"/>
    <n v="2919"/>
  </r>
  <r>
    <x v="4"/>
    <x v="11"/>
    <s v="202411"/>
    <s v="2024"/>
    <s v="HAUS202411"/>
    <n v="1"/>
    <n v="39"/>
    <n v="1"/>
    <n v="98"/>
    <n v="28713"/>
    <n v="100000"/>
    <n v="2443998"/>
    <n v="42000"/>
    <n v="4053998"/>
    <n v="1132831207"/>
    <n v="150"/>
    <n v="24440"/>
    <n v="756"/>
    <n v="28378"/>
    <n v="7929821"/>
  </r>
  <r>
    <x v="26"/>
    <x v="47"/>
    <s v="202411"/>
    <s v="2024"/>
    <s v="HEAVENLY WANG202411"/>
    <n v="4"/>
    <n v="0"/>
    <n v="0"/>
    <n v="0"/>
    <n v="0"/>
    <n v="446985"/>
    <n v="0"/>
    <n v="0"/>
    <n v="0"/>
    <n v="0"/>
    <n v="670"/>
    <n v="0"/>
    <n v="0"/>
    <n v="0"/>
    <n v="0"/>
  </r>
  <r>
    <x v="24"/>
    <x v="40"/>
    <s v="202411"/>
    <s v="2024"/>
    <s v="HERO GROUP202411"/>
    <n v="0"/>
    <n v="0"/>
    <n v="0"/>
    <n v="0"/>
    <n v="2"/>
    <n v="0"/>
    <n v="0"/>
    <n v="0"/>
    <n v="0"/>
    <n v="35100"/>
    <n v="0"/>
    <n v="0"/>
    <n v="0"/>
    <n v="0"/>
    <n v="0"/>
  </r>
  <r>
    <x v="27"/>
    <x v="48"/>
    <s v="202411"/>
    <s v="2024"/>
    <s v="HOKKAIDO BAKED CHEESE202411"/>
    <n v="71"/>
    <n v="764"/>
    <n v="20"/>
    <n v="102"/>
    <n v="4266"/>
    <n v="7750034"/>
    <n v="77219455"/>
    <n v="2075400"/>
    <n v="9902800"/>
    <n v="358281300"/>
    <n v="11625"/>
    <n v="772195"/>
    <n v="39740"/>
    <n v="68340"/>
    <n v="2385180"/>
  </r>
  <r>
    <x v="5"/>
    <x v="12"/>
    <s v="202411"/>
    <s v="2024"/>
    <s v="HOP HOP202411"/>
    <n v="0"/>
    <n v="0"/>
    <n v="0"/>
    <n v="152"/>
    <n v="247"/>
    <n v="0"/>
    <n v="0"/>
    <n v="0"/>
    <n v="6253200"/>
    <n v="9266001"/>
    <n v="0"/>
    <n v="0"/>
    <n v="0"/>
    <n v="1023"/>
    <n v="42131"/>
  </r>
  <r>
    <x v="5"/>
    <x v="58"/>
    <s v="202411"/>
    <s v="2024"/>
    <s v="HOP HOP202411"/>
    <n v="0"/>
    <n v="0"/>
    <n v="0"/>
    <n v="45"/>
    <n v="103"/>
    <n v="0"/>
    <n v="0"/>
    <n v="0"/>
    <n v="2553000"/>
    <n v="3642000"/>
    <n v="0"/>
    <n v="0"/>
    <n v="0"/>
    <n v="1539"/>
    <n v="0"/>
  </r>
  <r>
    <x v="6"/>
    <x v="13"/>
    <s v="202411"/>
    <s v="2024"/>
    <s v="IKEA202411"/>
    <n v="20"/>
    <n v="0"/>
    <n v="0"/>
    <n v="0"/>
    <n v="0"/>
    <n v="11559800"/>
    <n v="0"/>
    <n v="0"/>
    <n v="0"/>
    <n v="0"/>
    <n v="17340"/>
    <n v="0"/>
    <n v="0"/>
    <n v="0"/>
    <n v="0"/>
  </r>
  <r>
    <x v="7"/>
    <x v="14"/>
    <s v="202411"/>
    <s v="2024"/>
    <s v="INDOMARET202411"/>
    <n v="30769"/>
    <n v="66373"/>
    <n v="20006"/>
    <n v="0"/>
    <n v="0"/>
    <n v="3105620372"/>
    <n v="6115040257"/>
    <n v="2682058161"/>
    <n v="0"/>
    <n v="0"/>
    <n v="4658428"/>
    <n v="61150403"/>
    <n v="44860235"/>
    <n v="0"/>
    <n v="0"/>
  </r>
  <r>
    <x v="7"/>
    <x v="15"/>
    <s v="202411"/>
    <s v="2024"/>
    <s v="INDOMARET202411"/>
    <n v="687"/>
    <n v="1448"/>
    <n v="589"/>
    <n v="0"/>
    <n v="0"/>
    <n v="43501250"/>
    <n v="106356394"/>
    <n v="60806600"/>
    <n v="0"/>
    <n v="0"/>
    <n v="65252"/>
    <n v="1063564"/>
    <n v="1020577"/>
    <n v="0"/>
    <n v="0"/>
  </r>
  <r>
    <x v="8"/>
    <x v="16"/>
    <s v="202411"/>
    <s v="2024"/>
    <s v="KAWAN LAMA202411"/>
    <n v="1657"/>
    <n v="1"/>
    <n v="50"/>
    <n v="0"/>
    <n v="0"/>
    <n v="1885109091"/>
    <n v="535800"/>
    <n v="43465995"/>
    <n v="0"/>
    <n v="0"/>
    <n v="2827661"/>
    <n v="5358"/>
    <n v="869320"/>
    <n v="0"/>
    <n v="0"/>
  </r>
  <r>
    <x v="8"/>
    <x v="17"/>
    <s v="202411"/>
    <s v="2024"/>
    <s v="KAWAN LAMA202411"/>
    <n v="487"/>
    <n v="0"/>
    <n v="0"/>
    <n v="0"/>
    <n v="0"/>
    <n v="27648000"/>
    <n v="0"/>
    <n v="0"/>
    <n v="0"/>
    <n v="0"/>
    <n v="41472"/>
    <n v="0"/>
    <n v="0"/>
    <n v="0"/>
    <n v="0"/>
  </r>
  <r>
    <x v="8"/>
    <x v="53"/>
    <s v="202411"/>
    <s v="2024"/>
    <s v="KAWAN LAMA202411"/>
    <n v="1"/>
    <n v="0"/>
    <n v="0"/>
    <n v="0"/>
    <n v="0"/>
    <n v="30000"/>
    <n v="0"/>
    <n v="0"/>
    <n v="0"/>
    <n v="0"/>
    <n v="45"/>
    <n v="0"/>
    <n v="0"/>
    <n v="0"/>
    <n v="0"/>
  </r>
  <r>
    <x v="8"/>
    <x v="49"/>
    <s v="202411"/>
    <s v="2024"/>
    <s v="KAWAN LAMA202411"/>
    <n v="12"/>
    <n v="0"/>
    <n v="0"/>
    <n v="0"/>
    <n v="0"/>
    <n v="997000"/>
    <n v="0"/>
    <n v="0"/>
    <n v="0"/>
    <n v="0"/>
    <n v="1496"/>
    <n v="0"/>
    <n v="0"/>
    <n v="0"/>
    <n v="0"/>
  </r>
  <r>
    <x v="8"/>
    <x v="50"/>
    <s v="202411"/>
    <s v="2024"/>
    <s v="KAWAN LAMA202411"/>
    <n v="10"/>
    <n v="0"/>
    <n v="0"/>
    <n v="0"/>
    <n v="0"/>
    <n v="1914000"/>
    <n v="0"/>
    <n v="0"/>
    <n v="0"/>
    <n v="0"/>
    <n v="2871"/>
    <n v="0"/>
    <n v="0"/>
    <n v="0"/>
    <n v="0"/>
  </r>
  <r>
    <x v="8"/>
    <x v="18"/>
    <s v="202411"/>
    <s v="2024"/>
    <s v="KAWAN LAMA202411"/>
    <n v="352"/>
    <n v="1"/>
    <n v="0"/>
    <n v="0"/>
    <n v="0"/>
    <n v="1277411330"/>
    <n v="1308290"/>
    <n v="0"/>
    <n v="0"/>
    <n v="0"/>
    <n v="1916117"/>
    <n v="13083"/>
    <n v="0"/>
    <n v="0"/>
    <n v="0"/>
  </r>
  <r>
    <x v="8"/>
    <x v="19"/>
    <s v="202411"/>
    <s v="2024"/>
    <s v="KAWAN LAMA202411"/>
    <n v="13"/>
    <n v="1"/>
    <n v="0"/>
    <n v="0"/>
    <n v="0"/>
    <n v="59884750"/>
    <n v="5760550"/>
    <n v="0"/>
    <n v="0"/>
    <n v="0"/>
    <n v="89827"/>
    <n v="57606"/>
    <n v="0"/>
    <n v="0"/>
    <n v="0"/>
  </r>
  <r>
    <x v="8"/>
    <x v="21"/>
    <s v="202411"/>
    <s v="2024"/>
    <s v="KAWAN LAMA202411"/>
    <n v="1"/>
    <n v="0"/>
    <n v="0"/>
    <n v="0"/>
    <n v="0"/>
    <n v="507000"/>
    <n v="0"/>
    <n v="0"/>
    <n v="0"/>
    <n v="0"/>
    <n v="760"/>
    <n v="0"/>
    <n v="0"/>
    <n v="0"/>
    <n v="0"/>
  </r>
  <r>
    <x v="9"/>
    <x v="22"/>
    <s v="202411"/>
    <s v="2024"/>
    <s v="KCIC202411"/>
    <n v="92"/>
    <n v="1630"/>
    <n v="1023"/>
    <n v="0"/>
    <n v="0"/>
    <n v="48225000"/>
    <n v="867777500"/>
    <n v="786550000"/>
    <n v="0"/>
    <n v="0"/>
    <n v="72338"/>
    <n v="8677775"/>
    <n v="14157900"/>
    <n v="0"/>
    <n v="0"/>
  </r>
  <r>
    <x v="25"/>
    <x v="57"/>
    <s v="202411"/>
    <s v="2024"/>
    <s v="MAP GROUP202411"/>
    <n v="0"/>
    <n v="1"/>
    <n v="0"/>
    <n v="0"/>
    <n v="0"/>
    <n v="0"/>
    <n v="61600"/>
    <n v="0"/>
    <n v="0"/>
    <n v="0"/>
    <n v="0"/>
    <n v="616"/>
    <n v="0"/>
    <n v="0"/>
    <n v="0"/>
  </r>
  <r>
    <x v="11"/>
    <x v="24"/>
    <s v="202411"/>
    <s v="2024"/>
    <s v="MITRA10202411"/>
    <n v="521"/>
    <n v="1"/>
    <n v="1"/>
    <n v="0"/>
    <n v="0"/>
    <n v="1055253904"/>
    <n v="462598"/>
    <n v="1587576"/>
    <n v="0"/>
    <n v="0"/>
    <n v="1582879"/>
    <n v="4626"/>
    <n v="31752"/>
    <n v="0"/>
    <n v="0"/>
  </r>
  <r>
    <x v="12"/>
    <x v="25"/>
    <s v="202411"/>
    <s v="2024"/>
    <s v="OPTIK MELAWAI202411"/>
    <n v="77"/>
    <n v="695"/>
    <n v="25"/>
    <n v="0"/>
    <n v="0"/>
    <n v="89067000"/>
    <n v="1160604700"/>
    <n v="39652500"/>
    <n v="0"/>
    <n v="0"/>
    <n v="133600"/>
    <n v="11606047"/>
    <n v="744012"/>
    <n v="0"/>
    <n v="0"/>
  </r>
  <r>
    <x v="13"/>
    <x v="26"/>
    <s v="202411"/>
    <s v="2024"/>
    <s v="PATRA JASA202411"/>
    <n v="0"/>
    <n v="1"/>
    <n v="0"/>
    <n v="0"/>
    <n v="0"/>
    <n v="0"/>
    <n v="850000"/>
    <n v="0"/>
    <n v="0"/>
    <n v="0"/>
    <n v="0"/>
    <n v="8500"/>
    <n v="0"/>
    <n v="0"/>
    <n v="0"/>
  </r>
  <r>
    <x v="14"/>
    <x v="27"/>
    <s v="202411"/>
    <s v="2024"/>
    <s v="PERTAMINA RETAIL202411"/>
    <n v="14"/>
    <n v="4271"/>
    <n v="328"/>
    <n v="0"/>
    <n v="1"/>
    <n v="938200"/>
    <n v="620060252"/>
    <n v="58939984"/>
    <n v="0"/>
    <n v="250000"/>
    <n v="1407"/>
    <n v="6200603"/>
    <n v="1062305"/>
    <n v="0"/>
    <n v="1500"/>
  </r>
  <r>
    <x v="14"/>
    <x v="28"/>
    <s v="202411"/>
    <s v="2024"/>
    <s v="PERTAMINA RETAIL202411"/>
    <n v="316"/>
    <n v="53172"/>
    <n v="1"/>
    <n v="0"/>
    <n v="0"/>
    <n v="64606410"/>
    <n v="11948242869"/>
    <n v="250000"/>
    <n v="0"/>
    <n v="0"/>
    <n v="96909"/>
    <n v="59739205"/>
    <n v="4500"/>
    <n v="0"/>
    <n v="0"/>
  </r>
  <r>
    <x v="15"/>
    <x v="29"/>
    <s v="202411"/>
    <s v="2024"/>
    <s v="PIZZA HUT202411"/>
    <n v="27"/>
    <n v="0"/>
    <n v="0"/>
    <n v="0"/>
    <n v="0"/>
    <n v="3700503"/>
    <n v="0"/>
    <n v="0"/>
    <n v="0"/>
    <n v="0"/>
    <n v="5551"/>
    <n v="0"/>
    <n v="0"/>
    <n v="0"/>
    <n v="0"/>
  </r>
  <r>
    <x v="15"/>
    <x v="30"/>
    <s v="202411"/>
    <s v="2024"/>
    <s v="PIZZA HUT202411"/>
    <n v="302"/>
    <n v="1"/>
    <n v="0"/>
    <n v="0"/>
    <n v="0"/>
    <n v="83284527"/>
    <n v="302000"/>
    <n v="0"/>
    <n v="0"/>
    <n v="0"/>
    <n v="124926"/>
    <n v="3020"/>
    <n v="0"/>
    <n v="0"/>
    <n v="0"/>
  </r>
  <r>
    <x v="16"/>
    <x v="31"/>
    <s v="202411"/>
    <s v="2024"/>
    <s v="PLATINUM CINEPLEX202411"/>
    <n v="28"/>
    <n v="720"/>
    <n v="35"/>
    <n v="51"/>
    <n v="2542"/>
    <n v="2794000"/>
    <n v="82990000"/>
    <n v="5030000"/>
    <n v="4075000"/>
    <n v="271767013"/>
    <n v="4191"/>
    <n v="829900"/>
    <n v="90540"/>
    <n v="28525"/>
    <n v="1902369"/>
  </r>
  <r>
    <x v="17"/>
    <x v="32"/>
    <s v="202411"/>
    <s v="2024"/>
    <s v="SARINAH202411"/>
    <n v="19"/>
    <n v="237"/>
    <n v="479"/>
    <n v="0"/>
    <n v="0"/>
    <n v="13950620"/>
    <n v="199896351"/>
    <n v="586098459"/>
    <n v="0"/>
    <n v="0"/>
    <n v="20926"/>
    <n v="1998964"/>
    <n v="10549772"/>
    <n v="0"/>
    <n v="0"/>
  </r>
  <r>
    <x v="18"/>
    <x v="33"/>
    <s v="202411"/>
    <s v="2024"/>
    <s v="SHIHLIN202411"/>
    <n v="520"/>
    <n v="21"/>
    <n v="2"/>
    <n v="891"/>
    <n v="10"/>
    <n v="37310300"/>
    <n v="1409200"/>
    <n v="127000"/>
    <n v="57160000"/>
    <n v="506000"/>
    <n v="55965"/>
    <n v="14092"/>
    <n v="2286"/>
    <n v="400120"/>
    <n v="3542"/>
  </r>
  <r>
    <x v="19"/>
    <x v="34"/>
    <s v="202411"/>
    <s v="2024"/>
    <s v="SOLARIA202411"/>
    <n v="1791"/>
    <n v="1"/>
    <n v="0"/>
    <n v="0"/>
    <n v="0"/>
    <n v="283152500"/>
    <n v="384000"/>
    <n v="0"/>
    <n v="0"/>
    <n v="0"/>
    <n v="424729"/>
    <n v="3840"/>
    <n v="0"/>
    <n v="0"/>
    <n v="0"/>
  </r>
  <r>
    <x v="20"/>
    <x v="35"/>
    <s v="202411"/>
    <s v="2024"/>
    <s v="SOUR SALLY202411"/>
    <n v="5"/>
    <n v="0"/>
    <n v="0"/>
    <n v="0"/>
    <n v="1"/>
    <n v="578000"/>
    <n v="0"/>
    <n v="0"/>
    <n v="0"/>
    <n v="1"/>
    <n v="867"/>
    <n v="0"/>
    <n v="0"/>
    <n v="0"/>
    <n v="0"/>
  </r>
  <r>
    <x v="21"/>
    <x v="61"/>
    <s v="202411"/>
    <s v="2024"/>
    <s v="STEVEN GROUP202411"/>
    <n v="0"/>
    <n v="21"/>
    <n v="4"/>
    <n v="0"/>
    <n v="0"/>
    <n v="0"/>
    <n v="1275800"/>
    <n v="258000"/>
    <n v="0"/>
    <n v="0"/>
    <n v="0"/>
    <n v="12758"/>
    <n v="5160"/>
    <n v="0"/>
    <n v="0"/>
  </r>
  <r>
    <x v="21"/>
    <x v="36"/>
    <s v="202411"/>
    <s v="2024"/>
    <s v="STEVEN GROUP202411"/>
    <n v="1"/>
    <n v="2"/>
    <n v="0"/>
    <n v="2"/>
    <n v="3"/>
    <n v="330000"/>
    <n v="1948000"/>
    <n v="0"/>
    <n v="560000"/>
    <n v="3"/>
    <n v="495"/>
    <n v="19480"/>
    <n v="0"/>
    <n v="1680"/>
    <n v="0"/>
  </r>
  <r>
    <x v="28"/>
    <x v="55"/>
    <s v="202411"/>
    <s v="2024"/>
    <s v="TAMANI202411"/>
    <n v="31"/>
    <n v="4"/>
    <n v="17"/>
    <n v="0"/>
    <n v="0"/>
    <n v="8745550"/>
    <n v="1318900"/>
    <n v="7315550"/>
    <n v="0"/>
    <n v="0"/>
    <n v="13118"/>
    <n v="13189"/>
    <n v="131680"/>
    <n v="0"/>
    <n v="0"/>
  </r>
  <r>
    <x v="30"/>
    <x v="59"/>
    <s v="202411"/>
    <s v="2024"/>
    <s v="YOGURT REPUBLIC202411"/>
    <n v="0"/>
    <n v="0"/>
    <n v="0"/>
    <n v="6"/>
    <n v="2164"/>
    <n v="0"/>
    <n v="0"/>
    <n v="0"/>
    <n v="627200"/>
    <n v="160063800"/>
    <n v="0"/>
    <n v="0"/>
    <n v="0"/>
    <n v="1182"/>
    <n v="179666"/>
  </r>
  <r>
    <x v="30"/>
    <x v="62"/>
    <s v="202411"/>
    <s v="2024"/>
    <s v="YOGURT REPUBLIC202411"/>
    <n v="0"/>
    <n v="0"/>
    <n v="1"/>
    <n v="0"/>
    <n v="0"/>
    <n v="0"/>
    <n v="0"/>
    <n v="10000"/>
    <n v="0"/>
    <n v="0"/>
    <n v="0"/>
    <n v="0"/>
    <n v="200"/>
    <n v="0"/>
    <n v="0"/>
  </r>
  <r>
    <x v="29"/>
    <x v="56"/>
    <s v="202411"/>
    <s v="2024"/>
    <s v="YOSHINOYA202411"/>
    <n v="978"/>
    <n v="5808"/>
    <n v="3008"/>
    <n v="0"/>
    <n v="0"/>
    <n v="107775700"/>
    <n v="867301100"/>
    <n v="413598800"/>
    <n v="0"/>
    <n v="0"/>
    <n v="161664"/>
    <n v="8673011"/>
    <n v="4549587"/>
    <n v="0"/>
    <n v="0"/>
  </r>
  <r>
    <x v="0"/>
    <x v="0"/>
    <s v="202412"/>
    <s v="2024"/>
    <s v="ALFA GROUP202412"/>
    <n v="17475"/>
    <n v="51145"/>
    <n v="15367"/>
    <n v="0"/>
    <n v="0"/>
    <n v="1621082543"/>
    <n v="5026439767"/>
    <n v="2020390763"/>
    <n v="0"/>
    <n v="0"/>
    <n v="2431624"/>
    <n v="50264398"/>
    <n v="36328150"/>
    <n v="0"/>
    <n v="0"/>
  </r>
  <r>
    <x v="0"/>
    <x v="1"/>
    <s v="202412"/>
    <s v="2024"/>
    <s v="ALFA GROUP202412"/>
    <n v="5496"/>
    <n v="18500"/>
    <n v="6609"/>
    <n v="0"/>
    <n v="0"/>
    <n v="706718487"/>
    <n v="2356056797"/>
    <n v="1284849085"/>
    <n v="0"/>
    <n v="0"/>
    <n v="1060074"/>
    <n v="23560568"/>
    <n v="23115922"/>
    <n v="0"/>
    <n v="0"/>
  </r>
  <r>
    <x v="0"/>
    <x v="2"/>
    <s v="202412"/>
    <s v="2024"/>
    <s v="ALFA GROUP202412"/>
    <n v="447"/>
    <n v="1370"/>
    <n v="251"/>
    <n v="0"/>
    <n v="0"/>
    <n v="76826934"/>
    <n v="224135254"/>
    <n v="47743303"/>
    <n v="0"/>
    <n v="0"/>
    <n v="115240"/>
    <n v="2241353"/>
    <n v="853870"/>
    <n v="0"/>
    <n v="0"/>
  </r>
  <r>
    <x v="22"/>
    <x v="37"/>
    <s v="202412"/>
    <s v="2024"/>
    <s v="BANBAN TEA202412"/>
    <n v="58"/>
    <n v="11"/>
    <n v="2"/>
    <n v="97"/>
    <n v="0"/>
    <n v="3820797"/>
    <n v="647199"/>
    <n v="232698"/>
    <n v="6888893"/>
    <n v="0"/>
    <n v="5731"/>
    <n v="6472"/>
    <n v="4189"/>
    <n v="48220"/>
    <n v="0"/>
  </r>
  <r>
    <x v="1"/>
    <x v="4"/>
    <s v="202412"/>
    <s v="2024"/>
    <s v="CHAMP RESTO202412"/>
    <n v="0"/>
    <n v="1"/>
    <n v="0"/>
    <n v="0"/>
    <n v="0"/>
    <n v="0"/>
    <n v="275000"/>
    <n v="0"/>
    <n v="0"/>
    <n v="0"/>
    <n v="0"/>
    <n v="2750"/>
    <n v="0"/>
    <n v="0"/>
    <n v="0"/>
  </r>
  <r>
    <x v="1"/>
    <x v="5"/>
    <s v="202412"/>
    <s v="2024"/>
    <s v="CHAMP RESTO202412"/>
    <n v="10"/>
    <n v="13"/>
    <n v="1"/>
    <n v="0"/>
    <n v="0"/>
    <n v="1532978"/>
    <n v="2344490"/>
    <n v="132500"/>
    <n v="0"/>
    <n v="0"/>
    <n v="2299"/>
    <n v="23445"/>
    <n v="2385"/>
    <n v="0"/>
    <n v="0"/>
  </r>
  <r>
    <x v="1"/>
    <x v="46"/>
    <s v="202412"/>
    <s v="2024"/>
    <s v="CHAMP RESTO202412"/>
    <n v="1"/>
    <n v="0"/>
    <n v="0"/>
    <n v="0"/>
    <n v="0"/>
    <n v="423997"/>
    <n v="0"/>
    <n v="0"/>
    <n v="0"/>
    <n v="0"/>
    <n v="636"/>
    <n v="0"/>
    <n v="0"/>
    <n v="0"/>
    <n v="0"/>
  </r>
  <r>
    <x v="1"/>
    <x v="6"/>
    <s v="202412"/>
    <s v="2024"/>
    <s v="CHAMP RESTO202412"/>
    <n v="5"/>
    <n v="12"/>
    <n v="0"/>
    <n v="0"/>
    <n v="0"/>
    <n v="1606568"/>
    <n v="4570025"/>
    <n v="0"/>
    <n v="0"/>
    <n v="0"/>
    <n v="2410"/>
    <n v="45700"/>
    <n v="0"/>
    <n v="0"/>
    <n v="0"/>
  </r>
  <r>
    <x v="1"/>
    <x v="7"/>
    <s v="202412"/>
    <s v="2024"/>
    <s v="CHAMP RESTO202412"/>
    <n v="1"/>
    <n v="0"/>
    <n v="0"/>
    <n v="0"/>
    <n v="0"/>
    <n v="158000"/>
    <n v="0"/>
    <n v="0"/>
    <n v="0"/>
    <n v="0"/>
    <n v="237"/>
    <n v="0"/>
    <n v="0"/>
    <n v="0"/>
    <n v="0"/>
  </r>
  <r>
    <x v="1"/>
    <x v="8"/>
    <s v="202412"/>
    <s v="2024"/>
    <s v="CHAMP RESTO202412"/>
    <n v="5"/>
    <n v="1"/>
    <n v="0"/>
    <n v="0"/>
    <n v="0"/>
    <n v="1140004"/>
    <n v="306500"/>
    <n v="0"/>
    <n v="0"/>
    <n v="0"/>
    <n v="1710"/>
    <n v="3065"/>
    <n v="0"/>
    <n v="0"/>
    <n v="0"/>
  </r>
  <r>
    <x v="32"/>
    <x v="63"/>
    <s v="202412"/>
    <s v="2024"/>
    <s v="DAMRI202412"/>
    <n v="0"/>
    <n v="2"/>
    <n v="11"/>
    <n v="0"/>
    <n v="4"/>
    <n v="0"/>
    <n v="2280000"/>
    <n v="110000"/>
    <n v="0"/>
    <n v="360003"/>
    <n v="0"/>
    <n v="22800"/>
    <n v="2200"/>
    <n v="0"/>
    <n v="2520"/>
  </r>
  <r>
    <x v="31"/>
    <x v="60"/>
    <s v="202412"/>
    <s v="2024"/>
    <s v="DWIDAYA202412"/>
    <n v="0"/>
    <n v="0"/>
    <n v="0"/>
    <n v="1"/>
    <n v="21"/>
    <n v="0"/>
    <n v="0"/>
    <n v="0"/>
    <n v="1"/>
    <n v="70542240"/>
    <n v="0"/>
    <n v="0"/>
    <n v="0"/>
    <n v="0"/>
    <n v="493795"/>
  </r>
  <r>
    <x v="2"/>
    <x v="9"/>
    <s v="202412"/>
    <s v="2024"/>
    <s v="ES TELLER 77202412"/>
    <n v="2"/>
    <n v="0"/>
    <n v="0"/>
    <n v="0"/>
    <n v="0"/>
    <n v="409000"/>
    <n v="0"/>
    <n v="0"/>
    <n v="0"/>
    <n v="0"/>
    <n v="614"/>
    <n v="0"/>
    <n v="0"/>
    <n v="0"/>
    <n v="0"/>
  </r>
  <r>
    <x v="3"/>
    <x v="10"/>
    <s v="202412"/>
    <s v="2024"/>
    <s v="GRAMEDIA202412"/>
    <n v="19"/>
    <n v="4"/>
    <n v="2"/>
    <n v="8"/>
    <n v="108"/>
    <n v="8198630"/>
    <n v="1304500"/>
    <n v="1091500"/>
    <n v="1939930"/>
    <n v="16495014"/>
    <n v="12298"/>
    <n v="13045"/>
    <n v="19647"/>
    <n v="13579"/>
    <n v="115465"/>
  </r>
  <r>
    <x v="4"/>
    <x v="11"/>
    <s v="202412"/>
    <s v="2024"/>
    <s v="HAUS202412"/>
    <n v="1"/>
    <n v="39"/>
    <n v="1"/>
    <n v="270"/>
    <n v="61295"/>
    <n v="42000"/>
    <n v="1789998"/>
    <n v="55000"/>
    <n v="12010222"/>
    <n v="2520755675"/>
    <n v="63"/>
    <n v="17900"/>
    <n v="990"/>
    <n v="84072"/>
    <n v="17645293"/>
  </r>
  <r>
    <x v="26"/>
    <x v="47"/>
    <s v="202412"/>
    <s v="2024"/>
    <s v="HEAVENLY WANG202412"/>
    <n v="8"/>
    <n v="0"/>
    <n v="0"/>
    <n v="0"/>
    <n v="0"/>
    <n v="1320858"/>
    <n v="0"/>
    <n v="0"/>
    <n v="0"/>
    <n v="0"/>
    <n v="1981"/>
    <n v="0"/>
    <n v="0"/>
    <n v="0"/>
    <n v="0"/>
  </r>
  <r>
    <x v="24"/>
    <x v="40"/>
    <s v="202412"/>
    <s v="2024"/>
    <s v="HERO GROUP202412"/>
    <n v="0"/>
    <n v="1"/>
    <n v="0"/>
    <n v="0"/>
    <n v="9"/>
    <n v="0"/>
    <n v="530000"/>
    <n v="0"/>
    <n v="0"/>
    <n v="2260000"/>
    <n v="0"/>
    <n v="5300"/>
    <n v="0"/>
    <n v="0"/>
    <n v="1800"/>
  </r>
  <r>
    <x v="27"/>
    <x v="48"/>
    <s v="202412"/>
    <s v="2024"/>
    <s v="HOKKAIDO BAKED CHEESE202412"/>
    <n v="49"/>
    <n v="465"/>
    <n v="20"/>
    <n v="76"/>
    <n v="2404"/>
    <n v="4741422"/>
    <n v="46673411"/>
    <n v="1730000"/>
    <n v="7158006"/>
    <n v="203660297"/>
    <n v="7112"/>
    <n v="466734"/>
    <n v="32398"/>
    <n v="47642"/>
    <n v="1259023"/>
  </r>
  <r>
    <x v="5"/>
    <x v="12"/>
    <s v="202412"/>
    <s v="2024"/>
    <s v="HOP HOP202412"/>
    <n v="0"/>
    <n v="0"/>
    <n v="0"/>
    <n v="294"/>
    <n v="334"/>
    <n v="0"/>
    <n v="0"/>
    <n v="0"/>
    <n v="11550000"/>
    <n v="14579000"/>
    <n v="0"/>
    <n v="0"/>
    <n v="0"/>
    <n v="0"/>
    <n v="4065"/>
  </r>
  <r>
    <x v="5"/>
    <x v="58"/>
    <s v="202412"/>
    <s v="2024"/>
    <s v="HOP HOP202412"/>
    <n v="0"/>
    <n v="0"/>
    <n v="0"/>
    <n v="67"/>
    <n v="13"/>
    <n v="0"/>
    <n v="0"/>
    <n v="0"/>
    <n v="3380000"/>
    <n v="441000"/>
    <n v="0"/>
    <n v="0"/>
    <n v="0"/>
    <n v="0"/>
    <n v="0"/>
  </r>
  <r>
    <x v="6"/>
    <x v="13"/>
    <s v="202412"/>
    <s v="2024"/>
    <s v="IKEA202412"/>
    <n v="26"/>
    <n v="0"/>
    <n v="0"/>
    <n v="0"/>
    <n v="0"/>
    <n v="25358900"/>
    <n v="0"/>
    <n v="0"/>
    <n v="0"/>
    <n v="0"/>
    <n v="38038"/>
    <n v="0"/>
    <n v="0"/>
    <n v="0"/>
    <n v="0"/>
  </r>
  <r>
    <x v="7"/>
    <x v="14"/>
    <s v="202412"/>
    <s v="2024"/>
    <s v="INDOMARET202412"/>
    <n v="32603"/>
    <n v="73428"/>
    <n v="20178"/>
    <n v="0"/>
    <n v="0"/>
    <n v="3327472137"/>
    <n v="6919375397"/>
    <n v="2786699932"/>
    <n v="0"/>
    <n v="0"/>
    <n v="4991206"/>
    <n v="69191924"/>
    <n v="46585759"/>
    <n v="0"/>
    <n v="0"/>
  </r>
  <r>
    <x v="7"/>
    <x v="15"/>
    <s v="202412"/>
    <s v="2024"/>
    <s v="INDOMARET202412"/>
    <n v="699"/>
    <n v="1581"/>
    <n v="555"/>
    <n v="4"/>
    <n v="17"/>
    <n v="45710876"/>
    <n v="110299901"/>
    <n v="60775800"/>
    <n v="311000"/>
    <n v="1725000"/>
    <n v="68566"/>
    <n v="1102999"/>
    <n v="1021156"/>
    <n v="0"/>
    <n v="0"/>
  </r>
  <r>
    <x v="8"/>
    <x v="16"/>
    <s v="202412"/>
    <s v="2024"/>
    <s v="KAWAN LAMA202412"/>
    <n v="2412"/>
    <n v="0"/>
    <n v="11"/>
    <n v="0"/>
    <n v="0"/>
    <n v="2474773432"/>
    <n v="0"/>
    <n v="11349050"/>
    <n v="0"/>
    <n v="0"/>
    <n v="3712156"/>
    <n v="0"/>
    <n v="226981"/>
    <n v="0"/>
    <n v="0"/>
  </r>
  <r>
    <x v="8"/>
    <x v="17"/>
    <s v="202412"/>
    <s v="2024"/>
    <s v="KAWAN LAMA202412"/>
    <n v="681"/>
    <n v="0"/>
    <n v="0"/>
    <n v="0"/>
    <n v="0"/>
    <n v="52774530"/>
    <n v="0"/>
    <n v="0"/>
    <n v="0"/>
    <n v="0"/>
    <n v="79162"/>
    <n v="0"/>
    <n v="0"/>
    <n v="0"/>
    <n v="0"/>
  </r>
  <r>
    <x v="8"/>
    <x v="49"/>
    <s v="202412"/>
    <s v="2024"/>
    <s v="KAWAN LAMA202412"/>
    <n v="12"/>
    <n v="0"/>
    <n v="0"/>
    <n v="0"/>
    <n v="0"/>
    <n v="1032000"/>
    <n v="0"/>
    <n v="0"/>
    <n v="0"/>
    <n v="0"/>
    <n v="1548"/>
    <n v="0"/>
    <n v="0"/>
    <n v="0"/>
    <n v="0"/>
  </r>
  <r>
    <x v="8"/>
    <x v="50"/>
    <s v="202412"/>
    <s v="2024"/>
    <s v="KAWAN LAMA202412"/>
    <n v="33"/>
    <n v="0"/>
    <n v="0"/>
    <n v="0"/>
    <n v="0"/>
    <n v="5845000"/>
    <n v="0"/>
    <n v="0"/>
    <n v="0"/>
    <n v="0"/>
    <n v="8768"/>
    <n v="0"/>
    <n v="0"/>
    <n v="0"/>
    <n v="0"/>
  </r>
  <r>
    <x v="8"/>
    <x v="18"/>
    <s v="202412"/>
    <s v="2024"/>
    <s v="KAWAN LAMA202412"/>
    <n v="664"/>
    <n v="1"/>
    <n v="0"/>
    <n v="0"/>
    <n v="0"/>
    <n v="2018141722"/>
    <n v="11875897"/>
    <n v="0"/>
    <n v="0"/>
    <n v="0"/>
    <n v="3027212"/>
    <n v="118759"/>
    <n v="0"/>
    <n v="0"/>
    <n v="0"/>
  </r>
  <r>
    <x v="8"/>
    <x v="19"/>
    <s v="202412"/>
    <s v="2024"/>
    <s v="KAWAN LAMA202412"/>
    <n v="26"/>
    <n v="0"/>
    <n v="0"/>
    <n v="0"/>
    <n v="0"/>
    <n v="111515376"/>
    <n v="0"/>
    <n v="0"/>
    <n v="0"/>
    <n v="0"/>
    <n v="167273"/>
    <n v="0"/>
    <n v="0"/>
    <n v="0"/>
    <n v="0"/>
  </r>
  <r>
    <x v="8"/>
    <x v="21"/>
    <s v="202412"/>
    <s v="2024"/>
    <s v="KAWAN LAMA202412"/>
    <n v="2"/>
    <n v="0"/>
    <n v="0"/>
    <n v="0"/>
    <n v="0"/>
    <n v="1619000"/>
    <n v="0"/>
    <n v="0"/>
    <n v="0"/>
    <n v="0"/>
    <n v="2428"/>
    <n v="0"/>
    <n v="0"/>
    <n v="0"/>
    <n v="0"/>
  </r>
  <r>
    <x v="8"/>
    <x v="64"/>
    <s v="202412"/>
    <s v="2024"/>
    <s v="KAWAN LAMA202412"/>
    <n v="0"/>
    <n v="0"/>
    <n v="0"/>
    <n v="0"/>
    <n v="11"/>
    <n v="0"/>
    <n v="0"/>
    <n v="0"/>
    <n v="0"/>
    <n v="11"/>
    <n v="0"/>
    <n v="0"/>
    <n v="0"/>
    <n v="0"/>
    <n v="0"/>
  </r>
  <r>
    <x v="9"/>
    <x v="22"/>
    <s v="202412"/>
    <s v="2024"/>
    <s v="KCIC202412"/>
    <n v="86"/>
    <n v="1612"/>
    <n v="974"/>
    <n v="0"/>
    <n v="0"/>
    <n v="62875000"/>
    <n v="967850000"/>
    <n v="777750000"/>
    <n v="0"/>
    <n v="0"/>
    <n v="94312"/>
    <n v="9678500"/>
    <n v="13999500"/>
    <n v="0"/>
    <n v="0"/>
  </r>
  <r>
    <x v="10"/>
    <x v="23"/>
    <s v="202412"/>
    <s v="2024"/>
    <s v="KIMIA FARMA202412"/>
    <n v="0"/>
    <n v="0"/>
    <n v="0"/>
    <n v="2"/>
    <n v="2"/>
    <n v="0"/>
    <n v="0"/>
    <n v="0"/>
    <n v="63600"/>
    <n v="563991"/>
    <n v="0"/>
    <n v="0"/>
    <n v="0"/>
    <n v="0"/>
    <n v="0"/>
  </r>
  <r>
    <x v="25"/>
    <x v="57"/>
    <s v="202412"/>
    <s v="2024"/>
    <s v="MAP GROUP202412"/>
    <n v="0"/>
    <n v="2"/>
    <n v="0"/>
    <n v="0"/>
    <n v="0"/>
    <n v="0"/>
    <n v="101600"/>
    <n v="0"/>
    <n v="0"/>
    <n v="0"/>
    <n v="0"/>
    <n v="1016"/>
    <n v="0"/>
    <n v="0"/>
    <n v="0"/>
  </r>
  <r>
    <x v="11"/>
    <x v="24"/>
    <s v="202412"/>
    <s v="2024"/>
    <s v="MITRA10202412"/>
    <n v="645"/>
    <n v="4"/>
    <n v="0"/>
    <n v="0"/>
    <n v="0"/>
    <n v="1338293343"/>
    <n v="5473465"/>
    <n v="0"/>
    <n v="0"/>
    <n v="0"/>
    <n v="2007438"/>
    <n v="54735"/>
    <n v="0"/>
    <n v="0"/>
    <n v="0"/>
  </r>
  <r>
    <x v="12"/>
    <x v="25"/>
    <s v="202412"/>
    <s v="2024"/>
    <s v="OPTIK MELAWAI202412"/>
    <n v="99"/>
    <n v="673"/>
    <n v="35"/>
    <n v="12"/>
    <n v="2292"/>
    <n v="185709850"/>
    <n v="980605000"/>
    <n v="29203000"/>
    <n v="11280500"/>
    <n v="1663192956"/>
    <n v="278565"/>
    <n v="9806050"/>
    <n v="544876"/>
    <n v="78964"/>
    <n v="11642337"/>
  </r>
  <r>
    <x v="14"/>
    <x v="27"/>
    <s v="202412"/>
    <s v="2024"/>
    <s v="PERTAMINA RETAIL202412"/>
    <n v="16"/>
    <n v="4222"/>
    <n v="310"/>
    <n v="0"/>
    <n v="6"/>
    <n v="1476300"/>
    <n v="554762796"/>
    <n v="64272291"/>
    <n v="0"/>
    <n v="960000"/>
    <n v="2214"/>
    <n v="5547628"/>
    <n v="1157770"/>
    <n v="0"/>
    <n v="5760"/>
  </r>
  <r>
    <x v="14"/>
    <x v="28"/>
    <s v="202412"/>
    <s v="2024"/>
    <s v="PERTAMINA RETAIL202412"/>
    <n v="280"/>
    <n v="48386"/>
    <n v="0"/>
    <n v="0"/>
    <n v="0"/>
    <n v="57707825"/>
    <n v="10875335164"/>
    <n v="0"/>
    <n v="0"/>
    <n v="0"/>
    <n v="86562"/>
    <n v="54376666"/>
    <n v="0"/>
    <n v="0"/>
    <n v="0"/>
  </r>
  <r>
    <x v="15"/>
    <x v="29"/>
    <s v="202412"/>
    <s v="2024"/>
    <s v="PIZZA HUT202412"/>
    <n v="60"/>
    <n v="0"/>
    <n v="0"/>
    <n v="0"/>
    <n v="0"/>
    <n v="10546241"/>
    <n v="0"/>
    <n v="0"/>
    <n v="0"/>
    <n v="0"/>
    <n v="15819"/>
    <n v="0"/>
    <n v="0"/>
    <n v="0"/>
    <n v="0"/>
  </r>
  <r>
    <x v="15"/>
    <x v="30"/>
    <s v="202412"/>
    <s v="2024"/>
    <s v="PIZZA HUT202412"/>
    <n v="385"/>
    <n v="0"/>
    <n v="1"/>
    <n v="0"/>
    <n v="0"/>
    <n v="109540461"/>
    <n v="0"/>
    <n v="136000"/>
    <n v="0"/>
    <n v="0"/>
    <n v="164310"/>
    <n v="0"/>
    <n v="2448"/>
    <n v="0"/>
    <n v="0"/>
  </r>
  <r>
    <x v="16"/>
    <x v="31"/>
    <s v="202412"/>
    <s v="2024"/>
    <s v="PLATINUM CINEPLEX202412"/>
    <n v="24"/>
    <n v="845"/>
    <n v="78"/>
    <n v="47"/>
    <n v="3156"/>
    <n v="2634000"/>
    <n v="107664000"/>
    <n v="11330000"/>
    <n v="4547000"/>
    <n v="343966000"/>
    <n v="3951"/>
    <n v="1076640"/>
    <n v="203940"/>
    <n v="31829"/>
    <n v="2407762"/>
  </r>
  <r>
    <x v="17"/>
    <x v="32"/>
    <s v="202412"/>
    <s v="2024"/>
    <s v="SARINAH202412"/>
    <n v="29"/>
    <n v="291"/>
    <n v="453"/>
    <n v="0"/>
    <n v="0"/>
    <n v="19346560"/>
    <n v="288349755"/>
    <n v="521131941"/>
    <n v="0"/>
    <n v="0"/>
    <n v="29020"/>
    <n v="2883498"/>
    <n v="9380375"/>
    <n v="0"/>
    <n v="0"/>
  </r>
  <r>
    <x v="18"/>
    <x v="33"/>
    <s v="202412"/>
    <s v="2024"/>
    <s v="SHIHLIN202412"/>
    <n v="651"/>
    <n v="26"/>
    <n v="3"/>
    <n v="1205"/>
    <n v="65"/>
    <n v="44751000"/>
    <n v="1726000"/>
    <n v="258000"/>
    <n v="75507000"/>
    <n v="1575000"/>
    <n v="67126"/>
    <n v="17260"/>
    <n v="4644"/>
    <n v="528549"/>
    <n v="3710"/>
  </r>
  <r>
    <x v="19"/>
    <x v="34"/>
    <s v="202412"/>
    <s v="2024"/>
    <s v="SOLARIA202412"/>
    <n v="2282"/>
    <n v="3"/>
    <n v="0"/>
    <n v="0"/>
    <n v="0"/>
    <n v="392465000"/>
    <n v="682000"/>
    <n v="0"/>
    <n v="0"/>
    <n v="0"/>
    <n v="588697"/>
    <n v="6820"/>
    <n v="0"/>
    <n v="0"/>
    <n v="0"/>
  </r>
  <r>
    <x v="20"/>
    <x v="35"/>
    <s v="202412"/>
    <s v="2024"/>
    <s v="SOUR SALLY202412"/>
    <n v="11"/>
    <n v="0"/>
    <n v="0"/>
    <n v="27"/>
    <n v="1118"/>
    <n v="1004000"/>
    <n v="0"/>
    <n v="0"/>
    <n v="2212000"/>
    <n v="88457055"/>
    <n v="1506"/>
    <n v="0"/>
    <n v="0"/>
    <n v="15484"/>
    <n v="619199"/>
  </r>
  <r>
    <x v="21"/>
    <x v="51"/>
    <s v="202412"/>
    <s v="2024"/>
    <s v="STEVEN GROUP202412"/>
    <n v="0"/>
    <n v="1"/>
    <n v="0"/>
    <n v="0"/>
    <n v="0"/>
    <n v="0"/>
    <n v="59000"/>
    <n v="0"/>
    <n v="0"/>
    <n v="0"/>
    <n v="0"/>
    <n v="590"/>
    <n v="0"/>
    <n v="0"/>
    <n v="0"/>
  </r>
  <r>
    <x v="21"/>
    <x v="36"/>
    <s v="202412"/>
    <s v="2024"/>
    <s v="STEVEN GROUP202412"/>
    <n v="3"/>
    <n v="0"/>
    <n v="0"/>
    <n v="3"/>
    <n v="1"/>
    <n v="1760000"/>
    <n v="0"/>
    <n v="0"/>
    <n v="2314000"/>
    <n v="1"/>
    <n v="2640"/>
    <n v="0"/>
    <n v="0"/>
    <n v="6942"/>
    <n v="0"/>
  </r>
  <r>
    <x v="33"/>
    <x v="65"/>
    <s v="202412"/>
    <s v="2024"/>
    <s v="SURYA BUMI RETAILINDO202412"/>
    <n v="42"/>
    <n v="0"/>
    <n v="0"/>
    <n v="4"/>
    <n v="4"/>
    <n v="31945000"/>
    <n v="0"/>
    <n v="0"/>
    <n v="7289000"/>
    <n v="7539100"/>
    <n v="47918"/>
    <n v="0"/>
    <n v="0"/>
    <n v="51023"/>
    <n v="52774"/>
  </r>
  <r>
    <x v="28"/>
    <x v="55"/>
    <s v="202412"/>
    <s v="2024"/>
    <s v="TAMANI202412"/>
    <n v="33"/>
    <n v="1"/>
    <n v="0"/>
    <n v="0"/>
    <n v="0"/>
    <n v="8384200"/>
    <n v="300300"/>
    <n v="0"/>
    <n v="0"/>
    <n v="0"/>
    <n v="12576"/>
    <n v="3003"/>
    <n v="0"/>
    <n v="0"/>
    <n v="0"/>
  </r>
  <r>
    <x v="30"/>
    <x v="59"/>
    <s v="202412"/>
    <s v="2024"/>
    <s v="YOGURT REPUBLIC202412"/>
    <n v="0"/>
    <n v="0"/>
    <n v="1"/>
    <n v="8"/>
    <n v="2522"/>
    <n v="0"/>
    <n v="0"/>
    <n v="10000"/>
    <n v="480300"/>
    <n v="190664793"/>
    <n v="0"/>
    <n v="0"/>
    <n v="200"/>
    <n v="0"/>
    <n v="0"/>
  </r>
  <r>
    <x v="30"/>
    <x v="62"/>
    <s v="202412"/>
    <s v="2024"/>
    <s v="YOGURT REPUBLIC202412"/>
    <n v="0"/>
    <n v="0"/>
    <n v="1"/>
    <n v="0"/>
    <n v="0"/>
    <n v="0"/>
    <n v="0"/>
    <n v="74824"/>
    <n v="0"/>
    <n v="0"/>
    <n v="0"/>
    <n v="0"/>
    <n v="1496"/>
    <n v="0"/>
    <n v="0"/>
  </r>
  <r>
    <x v="29"/>
    <x v="56"/>
    <s v="202412"/>
    <s v="2024"/>
    <s v="YOSHINOYA202412"/>
    <n v="613"/>
    <n v="7791"/>
    <n v="1650"/>
    <n v="0"/>
    <n v="0"/>
    <n v="87258100"/>
    <n v="1311153200"/>
    <n v="151514500"/>
    <n v="0"/>
    <n v="0"/>
    <n v="130887"/>
    <n v="13111532"/>
    <n v="1666660"/>
    <n v="0"/>
    <n v="0"/>
  </r>
  <r>
    <x v="0"/>
    <x v="0"/>
    <s v="202501"/>
    <s v="2025"/>
    <s v="ALFA GROUP202501"/>
    <n v="17449"/>
    <n v="49302"/>
    <n v="15524"/>
    <n v="0"/>
    <n v="0"/>
    <n v="1618873015"/>
    <n v="4865326104"/>
    <n v="2032944507"/>
    <n v="0"/>
    <n v="0"/>
    <n v="2428309"/>
    <n v="48653261"/>
    <n v="36520879"/>
    <n v="0"/>
    <n v="0"/>
  </r>
  <r>
    <x v="0"/>
    <x v="1"/>
    <s v="202501"/>
    <s v="2025"/>
    <s v="ALFA GROUP202501"/>
    <n v="5180"/>
    <n v="17946"/>
    <n v="6419"/>
    <n v="0"/>
    <n v="0"/>
    <n v="676460840"/>
    <n v="2319237532"/>
    <n v="1226386140"/>
    <n v="0"/>
    <n v="0"/>
    <n v="1014688"/>
    <n v="23192375"/>
    <n v="22030647"/>
    <n v="0"/>
    <n v="0"/>
  </r>
  <r>
    <x v="0"/>
    <x v="2"/>
    <s v="202501"/>
    <s v="2025"/>
    <s v="ALFA GROUP202501"/>
    <n v="368"/>
    <n v="1302"/>
    <n v="247"/>
    <n v="0"/>
    <n v="0"/>
    <n v="62424176"/>
    <n v="202428144"/>
    <n v="46809681"/>
    <n v="0"/>
    <n v="0"/>
    <n v="93636"/>
    <n v="2024281"/>
    <n v="840476"/>
    <n v="0"/>
    <n v="0"/>
  </r>
  <r>
    <x v="22"/>
    <x v="37"/>
    <s v="202501"/>
    <s v="2025"/>
    <s v="BANBAN TEA202501"/>
    <n v="41"/>
    <n v="1"/>
    <n v="1"/>
    <n v="84"/>
    <n v="2"/>
    <n v="3063492"/>
    <n v="234698"/>
    <n v="47300"/>
    <n v="5191089"/>
    <n v="145600"/>
    <n v="4595"/>
    <n v="2347"/>
    <n v="851"/>
    <n v="36337"/>
    <n v="1019"/>
  </r>
  <r>
    <x v="1"/>
    <x v="3"/>
    <s v="202501"/>
    <s v="2025"/>
    <s v="CHAMP RESTO202501"/>
    <n v="1"/>
    <n v="0"/>
    <n v="0"/>
    <n v="0"/>
    <n v="0"/>
    <n v="144481"/>
    <n v="0"/>
    <n v="0"/>
    <n v="0"/>
    <n v="0"/>
    <n v="217"/>
    <n v="0"/>
    <n v="0"/>
    <n v="0"/>
    <n v="0"/>
  </r>
  <r>
    <x v="1"/>
    <x v="4"/>
    <s v="202501"/>
    <s v="2025"/>
    <s v="CHAMP RESTO202501"/>
    <n v="0"/>
    <n v="3"/>
    <n v="0"/>
    <n v="0"/>
    <n v="0"/>
    <n v="0"/>
    <n v="481800"/>
    <n v="0"/>
    <n v="0"/>
    <n v="0"/>
    <n v="0"/>
    <n v="4818"/>
    <n v="0"/>
    <n v="0"/>
    <n v="0"/>
  </r>
  <r>
    <x v="1"/>
    <x v="5"/>
    <s v="202501"/>
    <s v="2025"/>
    <s v="CHAMP RESTO202501"/>
    <n v="12"/>
    <n v="10"/>
    <n v="0"/>
    <n v="0"/>
    <n v="0"/>
    <n v="2299990"/>
    <n v="2155204"/>
    <n v="0"/>
    <n v="0"/>
    <n v="0"/>
    <n v="3450"/>
    <n v="21552"/>
    <n v="0"/>
    <n v="0"/>
    <n v="0"/>
  </r>
  <r>
    <x v="1"/>
    <x v="6"/>
    <s v="202501"/>
    <s v="2025"/>
    <s v="CHAMP RESTO202501"/>
    <n v="1"/>
    <n v="15"/>
    <n v="0"/>
    <n v="0"/>
    <n v="0"/>
    <n v="151800"/>
    <n v="3598070"/>
    <n v="0"/>
    <n v="0"/>
    <n v="0"/>
    <n v="228"/>
    <n v="35981"/>
    <n v="0"/>
    <n v="0"/>
    <n v="0"/>
  </r>
  <r>
    <x v="1"/>
    <x v="7"/>
    <s v="202501"/>
    <s v="2025"/>
    <s v="CHAMP RESTO202501"/>
    <n v="2"/>
    <n v="1"/>
    <n v="1"/>
    <n v="0"/>
    <n v="0"/>
    <n v="502000"/>
    <n v="202339"/>
    <n v="131500"/>
    <n v="0"/>
    <n v="0"/>
    <n v="753"/>
    <n v="2023"/>
    <n v="2367"/>
    <n v="0"/>
    <n v="0"/>
  </r>
  <r>
    <x v="1"/>
    <x v="8"/>
    <s v="202501"/>
    <s v="2025"/>
    <s v="CHAMP RESTO202501"/>
    <n v="0"/>
    <n v="2"/>
    <n v="0"/>
    <n v="0"/>
    <n v="0"/>
    <n v="0"/>
    <n v="590003"/>
    <n v="0"/>
    <n v="0"/>
    <n v="0"/>
    <n v="0"/>
    <n v="5900"/>
    <n v="0"/>
    <n v="0"/>
    <n v="0"/>
  </r>
  <r>
    <x v="32"/>
    <x v="63"/>
    <s v="202501"/>
    <s v="2025"/>
    <s v="DAMRI202501"/>
    <n v="0"/>
    <n v="5"/>
    <n v="0"/>
    <n v="1"/>
    <n v="21"/>
    <n v="0"/>
    <n v="2885000"/>
    <n v="0"/>
    <n v="10"/>
    <n v="6140000"/>
    <n v="0"/>
    <n v="28850"/>
    <n v="0"/>
    <n v="0"/>
    <n v="42980"/>
  </r>
  <r>
    <x v="31"/>
    <x v="60"/>
    <s v="202501"/>
    <s v="2025"/>
    <s v="DWIDAYA202501"/>
    <n v="3"/>
    <n v="0"/>
    <n v="0"/>
    <n v="0"/>
    <n v="22"/>
    <n v="48806000"/>
    <n v="0"/>
    <n v="0"/>
    <n v="0"/>
    <n v="49187006"/>
    <n v="73209"/>
    <n v="0"/>
    <n v="0"/>
    <n v="0"/>
    <n v="344309"/>
  </r>
  <r>
    <x v="2"/>
    <x v="9"/>
    <s v="202501"/>
    <s v="2025"/>
    <s v="ES TELLER 77202501"/>
    <n v="0"/>
    <n v="1"/>
    <n v="0"/>
    <n v="0"/>
    <n v="0"/>
    <n v="0"/>
    <n v="45000"/>
    <n v="0"/>
    <n v="0"/>
    <n v="0"/>
    <n v="0"/>
    <n v="450"/>
    <n v="0"/>
    <n v="0"/>
    <n v="0"/>
  </r>
  <r>
    <x v="3"/>
    <x v="10"/>
    <s v="202501"/>
    <s v="2025"/>
    <s v="GRAMEDIA202501"/>
    <n v="10"/>
    <n v="0"/>
    <n v="0"/>
    <n v="0"/>
    <n v="0"/>
    <n v="3282400"/>
    <n v="0"/>
    <n v="0"/>
    <n v="0"/>
    <n v="0"/>
    <n v="4924"/>
    <n v="0"/>
    <n v="0"/>
    <n v="0"/>
    <n v="0"/>
  </r>
  <r>
    <x v="4"/>
    <x v="11"/>
    <s v="202501"/>
    <s v="2025"/>
    <s v="HAUS202501"/>
    <n v="1"/>
    <n v="34"/>
    <n v="2"/>
    <n v="216"/>
    <n v="59449"/>
    <n v="20000"/>
    <n v="1609994"/>
    <n v="215000"/>
    <n v="10099028"/>
    <n v="2419537656"/>
    <n v="30"/>
    <n v="16100"/>
    <n v="3870"/>
    <n v="70693"/>
    <n v="16936777"/>
  </r>
  <r>
    <x v="26"/>
    <x v="47"/>
    <s v="202501"/>
    <s v="2025"/>
    <s v="HEAVENLY WANG202501"/>
    <n v="5"/>
    <n v="1"/>
    <n v="0"/>
    <n v="0"/>
    <n v="0"/>
    <n v="904365"/>
    <n v="86625"/>
    <n v="0"/>
    <n v="0"/>
    <n v="0"/>
    <n v="1357"/>
    <n v="866"/>
    <n v="0"/>
    <n v="0"/>
    <n v="0"/>
  </r>
  <r>
    <x v="24"/>
    <x v="40"/>
    <s v="202501"/>
    <s v="2025"/>
    <s v="HERO GROUP202501"/>
    <n v="0"/>
    <n v="0"/>
    <n v="0"/>
    <n v="0"/>
    <n v="1"/>
    <n v="0"/>
    <n v="0"/>
    <n v="0"/>
    <n v="0"/>
    <n v="48255"/>
    <n v="0"/>
    <n v="0"/>
    <n v="0"/>
    <n v="0"/>
    <n v="0"/>
  </r>
  <r>
    <x v="27"/>
    <x v="48"/>
    <s v="202501"/>
    <s v="2025"/>
    <s v="HOKKAIDO BAKED CHEESE202501"/>
    <n v="23"/>
    <n v="189"/>
    <n v="5"/>
    <n v="120"/>
    <n v="1037"/>
    <n v="2533000"/>
    <n v="18196810"/>
    <n v="706000"/>
    <n v="9646000"/>
    <n v="84655937"/>
    <n v="3800"/>
    <n v="181968"/>
    <n v="12708"/>
    <n v="66647"/>
    <n v="436504"/>
  </r>
  <r>
    <x v="5"/>
    <x v="12"/>
    <s v="202501"/>
    <s v="2025"/>
    <s v="HOP HOP202501"/>
    <n v="0"/>
    <n v="0"/>
    <n v="0"/>
    <n v="249"/>
    <n v="207"/>
    <n v="0"/>
    <n v="0"/>
    <n v="0"/>
    <n v="9725000"/>
    <n v="7408000"/>
    <n v="0"/>
    <n v="0"/>
    <n v="0"/>
    <n v="770"/>
    <n v="13055"/>
  </r>
  <r>
    <x v="5"/>
    <x v="58"/>
    <s v="202501"/>
    <s v="2025"/>
    <s v="HOP HOP202501"/>
    <n v="0"/>
    <n v="0"/>
    <n v="0"/>
    <n v="35"/>
    <n v="28"/>
    <n v="0"/>
    <n v="0"/>
    <n v="0"/>
    <n v="1779000"/>
    <n v="915000"/>
    <n v="0"/>
    <n v="0"/>
    <n v="0"/>
    <n v="0"/>
    <n v="0"/>
  </r>
  <r>
    <x v="6"/>
    <x v="13"/>
    <s v="202501"/>
    <s v="2025"/>
    <s v="IKEA202501"/>
    <n v="26"/>
    <n v="0"/>
    <n v="0"/>
    <n v="0"/>
    <n v="0"/>
    <n v="23684330"/>
    <n v="0"/>
    <n v="0"/>
    <n v="0"/>
    <n v="0"/>
    <n v="35526"/>
    <n v="0"/>
    <n v="0"/>
    <n v="0"/>
    <n v="0"/>
  </r>
  <r>
    <x v="7"/>
    <x v="14"/>
    <s v="202501"/>
    <s v="2025"/>
    <s v="INDOMARET202501"/>
    <n v="30570"/>
    <n v="68805"/>
    <n v="21115"/>
    <n v="0"/>
    <n v="0"/>
    <n v="3205272367"/>
    <n v="6452744210"/>
    <n v="2864366821"/>
    <n v="0"/>
    <n v="0"/>
    <n v="4807906"/>
    <n v="64527442"/>
    <n v="47883439"/>
    <n v="0"/>
    <n v="0"/>
  </r>
  <r>
    <x v="7"/>
    <x v="15"/>
    <s v="202501"/>
    <s v="2025"/>
    <s v="INDOMARET202501"/>
    <n v="584"/>
    <n v="1613"/>
    <n v="618"/>
    <n v="0"/>
    <n v="0"/>
    <n v="39104801"/>
    <n v="113673097"/>
    <n v="71901700"/>
    <n v="0"/>
    <n v="0"/>
    <n v="58657"/>
    <n v="1136731"/>
    <n v="1202303"/>
    <n v="0"/>
    <n v="0"/>
  </r>
  <r>
    <x v="8"/>
    <x v="16"/>
    <s v="202501"/>
    <s v="2025"/>
    <s v="KAWAN LAMA202501"/>
    <n v="1673"/>
    <n v="0"/>
    <n v="0"/>
    <n v="0"/>
    <n v="0"/>
    <n v="1631755444"/>
    <n v="0"/>
    <n v="0"/>
    <n v="0"/>
    <n v="0"/>
    <n v="2447631"/>
    <n v="0"/>
    <n v="0"/>
    <n v="0"/>
    <n v="0"/>
  </r>
  <r>
    <x v="8"/>
    <x v="17"/>
    <s v="202501"/>
    <s v="2025"/>
    <s v="KAWAN LAMA202501"/>
    <n v="389"/>
    <n v="0"/>
    <n v="0"/>
    <n v="0"/>
    <n v="0"/>
    <n v="28014000"/>
    <n v="0"/>
    <n v="0"/>
    <n v="0"/>
    <n v="0"/>
    <n v="42021"/>
    <n v="0"/>
    <n v="0"/>
    <n v="0"/>
    <n v="0"/>
  </r>
  <r>
    <x v="8"/>
    <x v="49"/>
    <s v="202501"/>
    <s v="2025"/>
    <s v="KAWAN LAMA202501"/>
    <n v="12"/>
    <n v="0"/>
    <n v="0"/>
    <n v="0"/>
    <n v="0"/>
    <n v="1129000"/>
    <n v="0"/>
    <n v="0"/>
    <n v="0"/>
    <n v="0"/>
    <n v="1694"/>
    <n v="0"/>
    <n v="0"/>
    <n v="0"/>
    <n v="0"/>
  </r>
  <r>
    <x v="8"/>
    <x v="50"/>
    <s v="202501"/>
    <s v="2025"/>
    <s v="KAWAN LAMA202501"/>
    <n v="19"/>
    <n v="1"/>
    <n v="1"/>
    <n v="0"/>
    <n v="0"/>
    <n v="3607000"/>
    <n v="228000"/>
    <n v="240000"/>
    <n v="0"/>
    <n v="0"/>
    <n v="5410"/>
    <n v="2280"/>
    <n v="4800"/>
    <n v="0"/>
    <n v="0"/>
  </r>
  <r>
    <x v="8"/>
    <x v="18"/>
    <s v="202501"/>
    <s v="2025"/>
    <s v="KAWAN LAMA202501"/>
    <n v="422"/>
    <n v="0"/>
    <n v="0"/>
    <n v="0"/>
    <n v="0"/>
    <n v="1512432798"/>
    <n v="0"/>
    <n v="0"/>
    <n v="0"/>
    <n v="0"/>
    <n v="2268649"/>
    <n v="0"/>
    <n v="0"/>
    <n v="0"/>
    <n v="0"/>
  </r>
  <r>
    <x v="8"/>
    <x v="19"/>
    <s v="202501"/>
    <s v="2025"/>
    <s v="KAWAN LAMA202501"/>
    <n v="21"/>
    <n v="0"/>
    <n v="0"/>
    <n v="0"/>
    <n v="0"/>
    <n v="63417125"/>
    <n v="0"/>
    <n v="0"/>
    <n v="0"/>
    <n v="0"/>
    <n v="95126"/>
    <n v="0"/>
    <n v="0"/>
    <n v="0"/>
    <n v="0"/>
  </r>
  <r>
    <x v="8"/>
    <x v="21"/>
    <s v="202501"/>
    <s v="2025"/>
    <s v="KAWAN LAMA202501"/>
    <n v="2"/>
    <n v="1"/>
    <n v="0"/>
    <n v="0"/>
    <n v="0"/>
    <n v="937000"/>
    <n v="315000"/>
    <n v="0"/>
    <n v="0"/>
    <n v="0"/>
    <n v="1406"/>
    <n v="3150"/>
    <n v="0"/>
    <n v="0"/>
    <n v="0"/>
  </r>
  <r>
    <x v="9"/>
    <x v="22"/>
    <s v="202501"/>
    <s v="2025"/>
    <s v="KCIC202501"/>
    <n v="56"/>
    <n v="1613"/>
    <n v="921"/>
    <n v="0"/>
    <n v="0"/>
    <n v="41925000"/>
    <n v="982650000"/>
    <n v="732350000"/>
    <n v="0"/>
    <n v="0"/>
    <n v="62888"/>
    <n v="9826500"/>
    <n v="13185800"/>
    <n v="0"/>
    <n v="0"/>
  </r>
  <r>
    <x v="25"/>
    <x v="57"/>
    <s v="202501"/>
    <s v="2025"/>
    <s v="MAP GROUP202501"/>
    <n v="0"/>
    <n v="4"/>
    <n v="0"/>
    <n v="0"/>
    <n v="0"/>
    <n v="0"/>
    <n v="419800"/>
    <n v="0"/>
    <n v="0"/>
    <n v="0"/>
    <n v="0"/>
    <n v="4198"/>
    <n v="0"/>
    <n v="0"/>
    <n v="0"/>
  </r>
  <r>
    <x v="11"/>
    <x v="24"/>
    <s v="202501"/>
    <s v="2025"/>
    <s v="MITRA10202501"/>
    <n v="531"/>
    <n v="2"/>
    <n v="0"/>
    <n v="0"/>
    <n v="0"/>
    <n v="1010814407"/>
    <n v="3102038"/>
    <n v="0"/>
    <n v="0"/>
    <n v="0"/>
    <n v="1516220"/>
    <n v="31020"/>
    <n v="0"/>
    <n v="0"/>
    <n v="0"/>
  </r>
  <r>
    <x v="12"/>
    <x v="25"/>
    <s v="202501"/>
    <s v="2025"/>
    <s v="OPTIK MELAWAI202501"/>
    <n v="74"/>
    <n v="615"/>
    <n v="31"/>
    <n v="20"/>
    <n v="4534"/>
    <n v="117578500"/>
    <n v="1036621000"/>
    <n v="48053000"/>
    <n v="17693000"/>
    <n v="3399999699"/>
    <n v="176368"/>
    <n v="10366210"/>
    <n v="900186"/>
    <n v="123851"/>
    <n v="23800004"/>
  </r>
  <r>
    <x v="14"/>
    <x v="27"/>
    <s v="202501"/>
    <s v="2025"/>
    <s v="PERTAMINA RETAIL202501"/>
    <n v="0"/>
    <n v="10"/>
    <n v="0"/>
    <n v="0"/>
    <n v="5"/>
    <n v="0"/>
    <n v="433800"/>
    <n v="0"/>
    <n v="0"/>
    <n v="520000"/>
    <n v="0"/>
    <n v="4338"/>
    <n v="0"/>
    <n v="0"/>
    <n v="3120"/>
  </r>
  <r>
    <x v="14"/>
    <x v="28"/>
    <s v="202501"/>
    <s v="2025"/>
    <s v="PERTAMINA RETAIL202501"/>
    <n v="10"/>
    <n v="382"/>
    <n v="0"/>
    <n v="0"/>
    <n v="0"/>
    <n v="1742000"/>
    <n v="82568830"/>
    <n v="0"/>
    <n v="0"/>
    <n v="0"/>
    <n v="2613"/>
    <n v="412844"/>
    <n v="0"/>
    <n v="0"/>
    <n v="0"/>
  </r>
  <r>
    <x v="15"/>
    <x v="29"/>
    <s v="202501"/>
    <s v="2025"/>
    <s v="PIZZA HUT202501"/>
    <n v="31"/>
    <n v="0"/>
    <n v="0"/>
    <n v="0"/>
    <n v="0"/>
    <n v="6136994"/>
    <n v="0"/>
    <n v="0"/>
    <n v="0"/>
    <n v="0"/>
    <n v="9205"/>
    <n v="0"/>
    <n v="0"/>
    <n v="0"/>
    <n v="0"/>
  </r>
  <r>
    <x v="15"/>
    <x v="30"/>
    <s v="202501"/>
    <s v="2025"/>
    <s v="PIZZA HUT202501"/>
    <n v="278"/>
    <n v="1"/>
    <n v="0"/>
    <n v="0"/>
    <n v="0"/>
    <n v="74782977"/>
    <n v="142000"/>
    <n v="0"/>
    <n v="0"/>
    <n v="0"/>
    <n v="112174"/>
    <n v="1420"/>
    <n v="0"/>
    <n v="0"/>
    <n v="0"/>
  </r>
  <r>
    <x v="16"/>
    <x v="31"/>
    <s v="202501"/>
    <s v="2025"/>
    <s v="PLATINUM CINEPLEX202501"/>
    <n v="5"/>
    <n v="553"/>
    <n v="24"/>
    <n v="20"/>
    <n v="1734"/>
    <n v="550000"/>
    <n v="68893000"/>
    <n v="1992000"/>
    <n v="1678000"/>
    <n v="190302000"/>
    <n v="825"/>
    <n v="688930"/>
    <n v="36598"/>
    <n v="11746"/>
    <n v="1332114"/>
  </r>
  <r>
    <x v="17"/>
    <x v="32"/>
    <s v="202501"/>
    <s v="2025"/>
    <s v="SARINAH202501"/>
    <n v="12"/>
    <n v="272"/>
    <n v="437"/>
    <n v="0"/>
    <n v="0"/>
    <n v="8071000"/>
    <n v="251025751"/>
    <n v="514321878"/>
    <n v="0"/>
    <n v="0"/>
    <n v="12106"/>
    <n v="2510258"/>
    <n v="9257794"/>
    <n v="0"/>
    <n v="0"/>
  </r>
  <r>
    <x v="18"/>
    <x v="33"/>
    <s v="202501"/>
    <s v="2025"/>
    <s v="SHIHLIN202501"/>
    <n v="412"/>
    <n v="10"/>
    <n v="0"/>
    <n v="1143"/>
    <n v="44"/>
    <n v="27428000"/>
    <n v="699000"/>
    <n v="0"/>
    <n v="69904000"/>
    <n v="1247602"/>
    <n v="41142"/>
    <n v="6990"/>
    <n v="0"/>
    <n v="488999"/>
    <n v="5023"/>
  </r>
  <r>
    <x v="19"/>
    <x v="34"/>
    <s v="202501"/>
    <s v="2025"/>
    <s v="SOLARIA202501"/>
    <n v="1855"/>
    <n v="2"/>
    <n v="0"/>
    <n v="0"/>
    <n v="0"/>
    <n v="318048400"/>
    <n v="534000"/>
    <n v="0"/>
    <n v="0"/>
    <n v="0"/>
    <n v="477073"/>
    <n v="5340"/>
    <n v="0"/>
    <n v="0"/>
    <n v="0"/>
  </r>
  <r>
    <x v="20"/>
    <x v="35"/>
    <s v="202501"/>
    <s v="2025"/>
    <s v="SOUR SALLY202501"/>
    <n v="10"/>
    <n v="5"/>
    <n v="0"/>
    <n v="48"/>
    <n v="2406"/>
    <n v="798000"/>
    <n v="400000"/>
    <n v="0"/>
    <n v="3617000"/>
    <n v="191212608"/>
    <n v="1197"/>
    <n v="4000"/>
    <n v="0"/>
    <n v="25319"/>
    <n v="1338488"/>
  </r>
  <r>
    <x v="21"/>
    <x v="51"/>
    <s v="202501"/>
    <s v="2025"/>
    <s v="STEVEN GROUP202501"/>
    <n v="0"/>
    <n v="0"/>
    <n v="0"/>
    <n v="2"/>
    <n v="187"/>
    <n v="0"/>
    <n v="0"/>
    <n v="0"/>
    <n v="112000"/>
    <n v="8505000"/>
    <n v="0"/>
    <n v="0"/>
    <n v="0"/>
    <n v="0"/>
    <n v="0"/>
  </r>
  <r>
    <x v="21"/>
    <x v="36"/>
    <s v="202501"/>
    <s v="2025"/>
    <s v="STEVEN GROUP202501"/>
    <n v="3"/>
    <n v="3"/>
    <n v="0"/>
    <n v="0"/>
    <n v="2"/>
    <n v="90090000"/>
    <n v="1690000"/>
    <n v="0"/>
    <n v="0"/>
    <n v="2"/>
    <n v="135135"/>
    <n v="16900"/>
    <n v="0"/>
    <n v="0"/>
    <n v="0"/>
  </r>
  <r>
    <x v="33"/>
    <x v="65"/>
    <s v="202501"/>
    <s v="2025"/>
    <s v="SURYA BUMI RETAILINDO202501"/>
    <n v="19"/>
    <n v="0"/>
    <n v="0"/>
    <n v="0"/>
    <n v="0"/>
    <n v="31210300"/>
    <n v="0"/>
    <n v="0"/>
    <n v="0"/>
    <n v="0"/>
    <n v="46815"/>
    <n v="0"/>
    <n v="0"/>
    <n v="0"/>
    <n v="0"/>
  </r>
  <r>
    <x v="30"/>
    <x v="59"/>
    <s v="202501"/>
    <s v="2025"/>
    <s v="YOGURT REPUBLIC202501"/>
    <n v="0"/>
    <n v="0"/>
    <n v="0"/>
    <n v="16"/>
    <n v="5689"/>
    <n v="0"/>
    <n v="0"/>
    <n v="0"/>
    <n v="1200100"/>
    <n v="398178518"/>
    <n v="0"/>
    <n v="0"/>
    <n v="0"/>
    <n v="0"/>
    <n v="0"/>
  </r>
  <r>
    <x v="30"/>
    <x v="62"/>
    <s v="202501"/>
    <s v="2025"/>
    <s v="YOGURT REPUBLIC202501"/>
    <n v="3"/>
    <n v="0"/>
    <n v="0"/>
    <n v="0"/>
    <n v="0"/>
    <n v="203445"/>
    <n v="0"/>
    <n v="0"/>
    <n v="0"/>
    <n v="0"/>
    <n v="305"/>
    <n v="0"/>
    <n v="0"/>
    <n v="0"/>
    <n v="0"/>
  </r>
  <r>
    <x v="29"/>
    <x v="56"/>
    <s v="202501"/>
    <s v="2025"/>
    <s v="YOSHINOYA202501"/>
    <n v="440"/>
    <n v="12161"/>
    <n v="1205"/>
    <n v="0"/>
    <n v="0"/>
    <n v="75754600"/>
    <n v="1971186600"/>
    <n v="123494100"/>
    <n v="0"/>
    <n v="0"/>
    <n v="113632"/>
    <n v="19711866"/>
    <n v="1358435"/>
    <n v="0"/>
    <n v="0"/>
  </r>
  <r>
    <x v="0"/>
    <x v="0"/>
    <s v="202502"/>
    <s v="2025"/>
    <s v="ALFA GROUP202502"/>
    <n v="16371"/>
    <n v="47244"/>
    <n v="15184"/>
    <n v="0"/>
    <n v="0"/>
    <n v="1535543470"/>
    <n v="4688635403"/>
    <n v="2006197791"/>
    <n v="0"/>
    <n v="0"/>
    <n v="2303315"/>
    <n v="46886354"/>
    <n v="35977249"/>
    <n v="0"/>
    <n v="0"/>
  </r>
  <r>
    <x v="0"/>
    <x v="1"/>
    <s v="202502"/>
    <s v="2025"/>
    <s v="ALFA GROUP202502"/>
    <n v="5093"/>
    <n v="18062"/>
    <n v="6559"/>
    <n v="0"/>
    <n v="0"/>
    <n v="656185945"/>
    <n v="2366252859"/>
    <n v="1257847221"/>
    <n v="0"/>
    <n v="0"/>
    <n v="984276"/>
    <n v="23662529"/>
    <n v="22526567"/>
    <n v="0"/>
    <n v="0"/>
  </r>
  <r>
    <x v="0"/>
    <x v="2"/>
    <s v="202502"/>
    <s v="2025"/>
    <s v="ALFA GROUP202502"/>
    <n v="335"/>
    <n v="1140"/>
    <n v="195"/>
    <n v="0"/>
    <n v="0"/>
    <n v="58334411"/>
    <n v="187421755"/>
    <n v="37455700"/>
    <n v="0"/>
    <n v="0"/>
    <n v="87502"/>
    <n v="1874218"/>
    <n v="674678"/>
    <n v="0"/>
    <n v="0"/>
  </r>
  <r>
    <x v="22"/>
    <x v="37"/>
    <s v="202502"/>
    <s v="2025"/>
    <s v="BANBAN TEA202502"/>
    <n v="32"/>
    <n v="1"/>
    <n v="0"/>
    <n v="1016"/>
    <n v="13"/>
    <n v="1957599"/>
    <n v="133800"/>
    <n v="0"/>
    <n v="31643425"/>
    <n v="718277"/>
    <n v="2936"/>
    <n v="1338"/>
    <n v="0"/>
    <n v="221495"/>
    <n v="5028"/>
  </r>
  <r>
    <x v="1"/>
    <x v="39"/>
    <s v="202502"/>
    <s v="2025"/>
    <s v="CHAMP RESTO202502"/>
    <n v="1"/>
    <n v="0"/>
    <n v="0"/>
    <n v="0"/>
    <n v="0"/>
    <n v="69530"/>
    <n v="0"/>
    <n v="0"/>
    <n v="0"/>
    <n v="0"/>
    <n v="104"/>
    <n v="0"/>
    <n v="0"/>
    <n v="0"/>
    <n v="0"/>
  </r>
  <r>
    <x v="1"/>
    <x v="4"/>
    <s v="202502"/>
    <s v="2025"/>
    <s v="CHAMP RESTO202502"/>
    <n v="1"/>
    <n v="0"/>
    <n v="0"/>
    <n v="0"/>
    <n v="0"/>
    <n v="193600"/>
    <n v="0"/>
    <n v="0"/>
    <n v="0"/>
    <n v="0"/>
    <n v="290"/>
    <n v="0"/>
    <n v="0"/>
    <n v="0"/>
    <n v="0"/>
  </r>
  <r>
    <x v="1"/>
    <x v="44"/>
    <s v="202502"/>
    <s v="2025"/>
    <s v="CHAMP RESTO202502"/>
    <n v="0"/>
    <n v="1"/>
    <n v="0"/>
    <n v="0"/>
    <n v="0"/>
    <n v="0"/>
    <n v="86322"/>
    <n v="0"/>
    <n v="0"/>
    <n v="0"/>
    <n v="0"/>
    <n v="863"/>
    <n v="0"/>
    <n v="0"/>
    <n v="0"/>
  </r>
  <r>
    <x v="1"/>
    <x v="5"/>
    <s v="202502"/>
    <s v="2025"/>
    <s v="CHAMP RESTO202502"/>
    <n v="10"/>
    <n v="9"/>
    <n v="0"/>
    <n v="895"/>
    <n v="23"/>
    <n v="1751490"/>
    <n v="1244600"/>
    <n v="0"/>
    <n v="10781977"/>
    <n v="1200451"/>
    <n v="2627"/>
    <n v="12446"/>
    <n v="0"/>
    <n v="59933"/>
    <n v="7353"/>
  </r>
  <r>
    <x v="1"/>
    <x v="6"/>
    <s v="202502"/>
    <s v="2025"/>
    <s v="CHAMP RESTO202502"/>
    <n v="3"/>
    <n v="13"/>
    <n v="0"/>
    <n v="165"/>
    <n v="2"/>
    <n v="776700"/>
    <n v="4624754"/>
    <n v="0"/>
    <n v="1747500"/>
    <n v="37500"/>
    <n v="1165"/>
    <n v="46248"/>
    <n v="0"/>
    <n v="0"/>
    <n v="0"/>
  </r>
  <r>
    <x v="1"/>
    <x v="7"/>
    <s v="202502"/>
    <s v="2025"/>
    <s v="CHAMP RESTO202502"/>
    <n v="0"/>
    <n v="1"/>
    <n v="0"/>
    <n v="0"/>
    <n v="0"/>
    <n v="0"/>
    <n v="196900"/>
    <n v="0"/>
    <n v="0"/>
    <n v="0"/>
    <n v="0"/>
    <n v="1969"/>
    <n v="0"/>
    <n v="0"/>
    <n v="0"/>
  </r>
  <r>
    <x v="1"/>
    <x v="8"/>
    <s v="202502"/>
    <s v="2025"/>
    <s v="CHAMP RESTO202502"/>
    <n v="2"/>
    <n v="0"/>
    <n v="0"/>
    <n v="0"/>
    <n v="0"/>
    <n v="337003"/>
    <n v="0"/>
    <n v="0"/>
    <n v="0"/>
    <n v="0"/>
    <n v="506"/>
    <n v="0"/>
    <n v="0"/>
    <n v="0"/>
    <n v="0"/>
  </r>
  <r>
    <x v="32"/>
    <x v="63"/>
    <s v="202502"/>
    <s v="2025"/>
    <s v="DAMRI202502"/>
    <n v="5"/>
    <n v="78"/>
    <n v="0"/>
    <n v="0"/>
    <n v="68"/>
    <n v="650000"/>
    <n v="13485000"/>
    <n v="0"/>
    <n v="0"/>
    <n v="21440003"/>
    <n v="975"/>
    <n v="134850"/>
    <n v="0"/>
    <n v="0"/>
    <n v="150080"/>
  </r>
  <r>
    <x v="31"/>
    <x v="60"/>
    <s v="202502"/>
    <s v="2025"/>
    <s v="DWIDAYA202502"/>
    <n v="6"/>
    <n v="0"/>
    <n v="0"/>
    <n v="0"/>
    <n v="31"/>
    <n v="99720000"/>
    <n v="0"/>
    <n v="0"/>
    <n v="0"/>
    <n v="95552001"/>
    <n v="149580"/>
    <n v="0"/>
    <n v="0"/>
    <n v="0"/>
    <n v="668864"/>
  </r>
  <r>
    <x v="3"/>
    <x v="10"/>
    <s v="202502"/>
    <s v="2025"/>
    <s v="GRAMEDIA202502"/>
    <n v="8"/>
    <n v="0"/>
    <n v="0"/>
    <n v="0"/>
    <n v="0"/>
    <n v="1496800"/>
    <n v="0"/>
    <n v="0"/>
    <n v="0"/>
    <n v="0"/>
    <n v="2245"/>
    <n v="0"/>
    <n v="0"/>
    <n v="0"/>
    <n v="0"/>
  </r>
  <r>
    <x v="4"/>
    <x v="11"/>
    <s v="202502"/>
    <s v="2025"/>
    <s v="HAUS202502"/>
    <n v="0"/>
    <n v="36"/>
    <n v="0"/>
    <n v="21"/>
    <n v="5164"/>
    <n v="0"/>
    <n v="1863997"/>
    <n v="0"/>
    <n v="1174998"/>
    <n v="224407856"/>
    <n v="0"/>
    <n v="18640"/>
    <n v="0"/>
    <n v="8225"/>
    <n v="1570858"/>
  </r>
  <r>
    <x v="26"/>
    <x v="47"/>
    <s v="202502"/>
    <s v="2025"/>
    <s v="HEAVENLY WANG202502"/>
    <n v="3"/>
    <n v="0"/>
    <n v="1"/>
    <n v="0"/>
    <n v="0"/>
    <n v="525525"/>
    <n v="0"/>
    <n v="34650"/>
    <n v="0"/>
    <n v="0"/>
    <n v="788"/>
    <n v="0"/>
    <n v="624"/>
    <n v="0"/>
    <n v="0"/>
  </r>
  <r>
    <x v="24"/>
    <x v="40"/>
    <s v="202502"/>
    <s v="2025"/>
    <s v="HERO GROUP202502"/>
    <n v="0"/>
    <n v="1"/>
    <n v="0"/>
    <n v="0"/>
    <n v="2"/>
    <n v="0"/>
    <n v="310000"/>
    <n v="0"/>
    <n v="0"/>
    <n v="102931"/>
    <n v="0"/>
    <n v="3100"/>
    <n v="0"/>
    <n v="0"/>
    <n v="0"/>
  </r>
  <r>
    <x v="27"/>
    <x v="48"/>
    <s v="202502"/>
    <s v="2025"/>
    <s v="HOKKAIDO BAKED CHEESE202502"/>
    <n v="19"/>
    <n v="120"/>
    <n v="3"/>
    <n v="1242"/>
    <n v="818"/>
    <n v="1753000"/>
    <n v="12220806"/>
    <n v="375000"/>
    <n v="59807380"/>
    <n v="67353059"/>
    <n v="2630"/>
    <n v="122208"/>
    <n v="7164"/>
    <n v="386429"/>
    <n v="426705"/>
  </r>
  <r>
    <x v="5"/>
    <x v="12"/>
    <s v="202502"/>
    <s v="2025"/>
    <s v="HOP HOP202502"/>
    <n v="0"/>
    <n v="0"/>
    <n v="0"/>
    <n v="2657"/>
    <n v="4548"/>
    <n v="0"/>
    <n v="0"/>
    <n v="0"/>
    <n v="78233556"/>
    <n v="170759881"/>
    <n v="0"/>
    <n v="0"/>
    <n v="0"/>
    <n v="16016"/>
    <n v="9562"/>
  </r>
  <r>
    <x v="5"/>
    <x v="58"/>
    <s v="202502"/>
    <s v="2025"/>
    <s v="HOP HOP202502"/>
    <n v="0"/>
    <n v="0"/>
    <n v="0"/>
    <n v="200"/>
    <n v="382"/>
    <n v="0"/>
    <n v="0"/>
    <n v="0"/>
    <n v="8186000"/>
    <n v="15551800"/>
    <n v="0"/>
    <n v="0"/>
    <n v="0"/>
    <n v="0"/>
    <n v="0"/>
  </r>
  <r>
    <x v="6"/>
    <x v="13"/>
    <s v="202502"/>
    <s v="2025"/>
    <s v="IKEA202502"/>
    <n v="18"/>
    <n v="0"/>
    <n v="0"/>
    <n v="0"/>
    <n v="0"/>
    <n v="12026600"/>
    <n v="0"/>
    <n v="0"/>
    <n v="0"/>
    <n v="0"/>
    <n v="18040"/>
    <n v="0"/>
    <n v="0"/>
    <n v="0"/>
    <n v="0"/>
  </r>
  <r>
    <x v="7"/>
    <x v="14"/>
    <s v="202502"/>
    <s v="2025"/>
    <s v="INDOMARET202502"/>
    <n v="27148"/>
    <n v="62100"/>
    <n v="20572"/>
    <n v="0"/>
    <n v="0"/>
    <n v="2778806054"/>
    <n v="5833503245"/>
    <n v="2812425561"/>
    <n v="0"/>
    <n v="0"/>
    <n v="4168207"/>
    <n v="58335032"/>
    <n v="47009655"/>
    <n v="0"/>
    <n v="0"/>
  </r>
  <r>
    <x v="7"/>
    <x v="15"/>
    <s v="202502"/>
    <s v="2025"/>
    <s v="INDOMARET202502"/>
    <n v="524"/>
    <n v="1388"/>
    <n v="574"/>
    <n v="0"/>
    <n v="0"/>
    <n v="39151307"/>
    <n v="92254628"/>
    <n v="64366600"/>
    <n v="0"/>
    <n v="0"/>
    <n v="58727"/>
    <n v="922546"/>
    <n v="1076821"/>
    <n v="0"/>
    <n v="0"/>
  </r>
  <r>
    <x v="8"/>
    <x v="16"/>
    <s v="202502"/>
    <s v="2025"/>
    <s v="KAWAN LAMA202502"/>
    <n v="1377"/>
    <n v="0"/>
    <n v="0"/>
    <n v="0"/>
    <n v="0"/>
    <n v="1367980386"/>
    <n v="0"/>
    <n v="0"/>
    <n v="0"/>
    <n v="0"/>
    <n v="2051969"/>
    <n v="0"/>
    <n v="0"/>
    <n v="0"/>
    <n v="0"/>
  </r>
  <r>
    <x v="8"/>
    <x v="17"/>
    <s v="202502"/>
    <s v="2025"/>
    <s v="KAWAN LAMA202502"/>
    <n v="315"/>
    <n v="0"/>
    <n v="0"/>
    <n v="12367"/>
    <n v="142"/>
    <n v="31233000"/>
    <n v="0"/>
    <n v="0"/>
    <n v="37050885"/>
    <n v="5920475"/>
    <n v="46850"/>
    <n v="0"/>
    <n v="0"/>
    <n v="259308"/>
    <n v="41445"/>
  </r>
  <r>
    <x v="8"/>
    <x v="53"/>
    <s v="202502"/>
    <s v="2025"/>
    <s v="KAWAN LAMA202502"/>
    <n v="1"/>
    <n v="0"/>
    <n v="0"/>
    <n v="0"/>
    <n v="0"/>
    <n v="151000"/>
    <n v="0"/>
    <n v="0"/>
    <n v="0"/>
    <n v="0"/>
    <n v="226"/>
    <n v="0"/>
    <n v="0"/>
    <n v="0"/>
    <n v="0"/>
  </r>
  <r>
    <x v="8"/>
    <x v="54"/>
    <s v="202502"/>
    <s v="2025"/>
    <s v="KAWAN LAMA202502"/>
    <n v="0"/>
    <n v="0"/>
    <n v="0"/>
    <n v="0"/>
    <n v="3"/>
    <n v="0"/>
    <n v="0"/>
    <n v="0"/>
    <n v="0"/>
    <n v="309523"/>
    <n v="0"/>
    <n v="0"/>
    <n v="0"/>
    <n v="0"/>
    <n v="0"/>
  </r>
  <r>
    <x v="8"/>
    <x v="49"/>
    <s v="202502"/>
    <s v="2025"/>
    <s v="KAWAN LAMA202502"/>
    <n v="7"/>
    <n v="0"/>
    <n v="0"/>
    <n v="372"/>
    <n v="13"/>
    <n v="362000"/>
    <n v="0"/>
    <n v="0"/>
    <n v="3459296"/>
    <n v="542152"/>
    <n v="543"/>
    <n v="0"/>
    <n v="0"/>
    <n v="24215"/>
    <n v="3795"/>
  </r>
  <r>
    <x v="8"/>
    <x v="50"/>
    <s v="202502"/>
    <s v="2025"/>
    <s v="KAWAN LAMA202502"/>
    <n v="19"/>
    <n v="0"/>
    <n v="0"/>
    <n v="0"/>
    <n v="0"/>
    <n v="3662000"/>
    <n v="0"/>
    <n v="0"/>
    <n v="0"/>
    <n v="0"/>
    <n v="5493"/>
    <n v="0"/>
    <n v="0"/>
    <n v="0"/>
    <n v="0"/>
  </r>
  <r>
    <x v="8"/>
    <x v="18"/>
    <s v="202502"/>
    <s v="2025"/>
    <s v="KAWAN LAMA202502"/>
    <n v="384"/>
    <n v="0"/>
    <n v="0"/>
    <n v="0"/>
    <n v="0"/>
    <n v="1460526855"/>
    <n v="0"/>
    <n v="0"/>
    <n v="0"/>
    <n v="0"/>
    <n v="2190790"/>
    <n v="0"/>
    <n v="0"/>
    <n v="0"/>
    <n v="0"/>
  </r>
  <r>
    <x v="8"/>
    <x v="19"/>
    <s v="202502"/>
    <s v="2025"/>
    <s v="KAWAN LAMA202502"/>
    <n v="19"/>
    <n v="0"/>
    <n v="0"/>
    <n v="0"/>
    <n v="0"/>
    <n v="108473900"/>
    <n v="0"/>
    <n v="0"/>
    <n v="0"/>
    <n v="0"/>
    <n v="162711"/>
    <n v="0"/>
    <n v="0"/>
    <n v="0"/>
    <n v="0"/>
  </r>
  <r>
    <x v="8"/>
    <x v="21"/>
    <s v="202502"/>
    <s v="2025"/>
    <s v="KAWAN LAMA202502"/>
    <n v="1"/>
    <n v="0"/>
    <n v="0"/>
    <n v="0"/>
    <n v="0"/>
    <n v="586400"/>
    <n v="0"/>
    <n v="0"/>
    <n v="0"/>
    <n v="0"/>
    <n v="880"/>
    <n v="0"/>
    <n v="0"/>
    <n v="0"/>
    <n v="0"/>
  </r>
  <r>
    <x v="9"/>
    <x v="22"/>
    <s v="202502"/>
    <s v="2025"/>
    <s v="KCIC202502"/>
    <n v="50"/>
    <n v="1698"/>
    <n v="1141"/>
    <n v="0"/>
    <n v="0"/>
    <n v="27500000"/>
    <n v="971475000"/>
    <n v="901600000"/>
    <n v="0"/>
    <n v="0"/>
    <n v="41250"/>
    <n v="9714750"/>
    <n v="16237850"/>
    <n v="0"/>
    <n v="0"/>
  </r>
  <r>
    <x v="25"/>
    <x v="57"/>
    <s v="202502"/>
    <s v="2025"/>
    <s v="MAP GROUP202502"/>
    <n v="0"/>
    <n v="2"/>
    <n v="0"/>
    <n v="0"/>
    <n v="0"/>
    <n v="0"/>
    <n v="193000"/>
    <n v="0"/>
    <n v="0"/>
    <n v="0"/>
    <n v="0"/>
    <n v="1930"/>
    <n v="0"/>
    <n v="0"/>
    <n v="0"/>
  </r>
  <r>
    <x v="11"/>
    <x v="24"/>
    <s v="202502"/>
    <s v="2025"/>
    <s v="MITRA10202502"/>
    <n v="423"/>
    <n v="6"/>
    <n v="0"/>
    <n v="0"/>
    <n v="0"/>
    <n v="912476852"/>
    <n v="60979424"/>
    <n v="0"/>
    <n v="0"/>
    <n v="0"/>
    <n v="1368714"/>
    <n v="609794"/>
    <n v="0"/>
    <n v="0"/>
    <n v="0"/>
  </r>
  <r>
    <x v="12"/>
    <x v="25"/>
    <s v="202502"/>
    <s v="2025"/>
    <s v="OPTIK MELAWAI202502"/>
    <n v="80"/>
    <n v="495"/>
    <n v="31"/>
    <n v="1"/>
    <n v="431"/>
    <n v="90973000"/>
    <n v="724835000"/>
    <n v="27255000"/>
    <n v="4350000"/>
    <n v="223536500"/>
    <n v="136460"/>
    <n v="7248350"/>
    <n v="503620"/>
    <n v="30450"/>
    <n v="1564751"/>
  </r>
  <r>
    <x v="13"/>
    <x v="66"/>
    <s v="202502"/>
    <s v="2025"/>
    <s v="PATRA JASA202502"/>
    <n v="0"/>
    <n v="0"/>
    <n v="1"/>
    <n v="0"/>
    <n v="0"/>
    <n v="0"/>
    <n v="0"/>
    <n v="2400000"/>
    <n v="0"/>
    <n v="0"/>
    <n v="0"/>
    <n v="0"/>
    <n v="43200"/>
    <n v="0"/>
    <n v="0"/>
  </r>
  <r>
    <x v="14"/>
    <x v="27"/>
    <s v="202502"/>
    <s v="2025"/>
    <s v="PERTAMINA RETAIL202502"/>
    <n v="0"/>
    <n v="0"/>
    <n v="0"/>
    <n v="0"/>
    <n v="4"/>
    <n v="0"/>
    <n v="0"/>
    <n v="0"/>
    <n v="0"/>
    <n v="890000"/>
    <n v="0"/>
    <n v="0"/>
    <n v="0"/>
    <n v="0"/>
    <n v="5340"/>
  </r>
  <r>
    <x v="14"/>
    <x v="28"/>
    <s v="202502"/>
    <s v="2025"/>
    <s v="PERTAMINA RETAIL202502"/>
    <n v="18"/>
    <n v="186"/>
    <n v="0"/>
    <n v="0"/>
    <n v="0"/>
    <n v="2470000"/>
    <n v="23189984"/>
    <n v="0"/>
    <n v="0"/>
    <n v="0"/>
    <n v="3705"/>
    <n v="115950"/>
    <n v="0"/>
    <n v="0"/>
    <n v="0"/>
  </r>
  <r>
    <x v="15"/>
    <x v="29"/>
    <s v="202502"/>
    <s v="2025"/>
    <s v="PIZZA HUT202502"/>
    <n v="41"/>
    <n v="0"/>
    <n v="0"/>
    <n v="0"/>
    <n v="0"/>
    <n v="8304995"/>
    <n v="0"/>
    <n v="0"/>
    <n v="0"/>
    <n v="0"/>
    <n v="12457"/>
    <n v="0"/>
    <n v="0"/>
    <n v="0"/>
    <n v="0"/>
  </r>
  <r>
    <x v="15"/>
    <x v="30"/>
    <s v="202502"/>
    <s v="2025"/>
    <s v="PIZZA HUT202502"/>
    <n v="255"/>
    <n v="1"/>
    <n v="0"/>
    <n v="537"/>
    <n v="27"/>
    <n v="71171299"/>
    <n v="126000"/>
    <n v="0"/>
    <n v="8623340"/>
    <n v="1348532"/>
    <n v="106756"/>
    <n v="1260"/>
    <n v="0"/>
    <n v="60363"/>
    <n v="9440"/>
  </r>
  <r>
    <x v="16"/>
    <x v="31"/>
    <s v="202502"/>
    <s v="2025"/>
    <s v="PLATINUM CINEPLEX202502"/>
    <n v="12"/>
    <n v="527"/>
    <n v="42"/>
    <n v="122"/>
    <n v="2864"/>
    <n v="1132000"/>
    <n v="55036000"/>
    <n v="4190000"/>
    <n v="7930000"/>
    <n v="255459004"/>
    <n v="1698"/>
    <n v="550360"/>
    <n v="76394"/>
    <n v="55510"/>
    <n v="1788213"/>
  </r>
  <r>
    <x v="34"/>
    <x v="67"/>
    <s v="202502"/>
    <s v="2025"/>
    <s v="POPEYES202502"/>
    <n v="13"/>
    <n v="1"/>
    <n v="0"/>
    <n v="987"/>
    <n v="56"/>
    <n v="1069255"/>
    <n v="175596"/>
    <n v="0"/>
    <n v="21047389"/>
    <n v="2382694"/>
    <n v="1604"/>
    <n v="1756"/>
    <n v="0"/>
    <n v="147331"/>
    <n v="16679"/>
  </r>
  <r>
    <x v="17"/>
    <x v="32"/>
    <s v="202502"/>
    <s v="2025"/>
    <s v="SARINAH202502"/>
    <n v="12"/>
    <n v="213"/>
    <n v="527"/>
    <n v="0"/>
    <n v="0"/>
    <n v="9683450"/>
    <n v="173234405"/>
    <n v="545918311"/>
    <n v="0"/>
    <n v="0"/>
    <n v="14525"/>
    <n v="1732344"/>
    <n v="9826530"/>
    <n v="0"/>
    <n v="0"/>
  </r>
  <r>
    <x v="18"/>
    <x v="33"/>
    <s v="202502"/>
    <s v="2025"/>
    <s v="SHIHLIN202502"/>
    <n v="247"/>
    <n v="17"/>
    <n v="1"/>
    <n v="8497"/>
    <n v="145"/>
    <n v="15959000"/>
    <n v="1338000"/>
    <n v="214000"/>
    <n v="225604901"/>
    <n v="6471785"/>
    <n v="23938"/>
    <n v="13380"/>
    <n v="4280"/>
    <n v="1535696"/>
    <n v="12213"/>
  </r>
  <r>
    <x v="19"/>
    <x v="34"/>
    <s v="202502"/>
    <s v="2025"/>
    <s v="SOLARIA202502"/>
    <n v="1696"/>
    <n v="4"/>
    <n v="0"/>
    <n v="0"/>
    <n v="0"/>
    <n v="268286100"/>
    <n v="678000"/>
    <n v="0"/>
    <n v="0"/>
    <n v="0"/>
    <n v="402429"/>
    <n v="6780"/>
    <n v="0"/>
    <n v="0"/>
    <n v="0"/>
  </r>
  <r>
    <x v="20"/>
    <x v="35"/>
    <s v="202502"/>
    <s v="2025"/>
    <s v="SOUR SALLY202502"/>
    <n v="7"/>
    <n v="4"/>
    <n v="1"/>
    <n v="63"/>
    <n v="2062"/>
    <n v="895000"/>
    <n v="392610"/>
    <n v="199000"/>
    <n v="4462000"/>
    <n v="154307702"/>
    <n v="1342"/>
    <n v="3926"/>
    <n v="3582"/>
    <n v="31234"/>
    <n v="1080155"/>
  </r>
  <r>
    <x v="21"/>
    <x v="43"/>
    <s v="202502"/>
    <s v="2025"/>
    <s v="STEVEN GROUP202502"/>
    <n v="136"/>
    <n v="25"/>
    <n v="9"/>
    <n v="3205"/>
    <n v="177"/>
    <n v="12700874"/>
    <n v="3325573"/>
    <n v="814032"/>
    <n v="155476117"/>
    <n v="8128946"/>
    <n v="19051"/>
    <n v="33256"/>
    <n v="16281"/>
    <n v="1088307"/>
    <n v="56903"/>
  </r>
  <r>
    <x v="21"/>
    <x v="51"/>
    <s v="202502"/>
    <s v="2025"/>
    <s v="STEVEN GROUP202502"/>
    <n v="0"/>
    <n v="0"/>
    <n v="0"/>
    <n v="0"/>
    <n v="208"/>
    <n v="0"/>
    <n v="0"/>
    <n v="0"/>
    <n v="0"/>
    <n v="6497000"/>
    <n v="0"/>
    <n v="0"/>
    <n v="0"/>
    <n v="0"/>
    <n v="0"/>
  </r>
  <r>
    <x v="21"/>
    <x v="68"/>
    <s v="202502"/>
    <s v="2025"/>
    <s v="STEVEN GROUP202502"/>
    <n v="0"/>
    <n v="0"/>
    <n v="0"/>
    <n v="1"/>
    <n v="6"/>
    <n v="0"/>
    <n v="0"/>
    <n v="0"/>
    <n v="1"/>
    <n v="160000"/>
    <n v="0"/>
    <n v="0"/>
    <n v="0"/>
    <n v="0"/>
    <n v="0"/>
  </r>
  <r>
    <x v="21"/>
    <x v="36"/>
    <s v="202502"/>
    <s v="2025"/>
    <s v="STEVEN GROUP202502"/>
    <n v="2"/>
    <n v="0"/>
    <n v="0"/>
    <n v="0"/>
    <n v="3"/>
    <n v="4976000"/>
    <n v="0"/>
    <n v="0"/>
    <n v="0"/>
    <n v="95002"/>
    <n v="7464"/>
    <n v="0"/>
    <n v="0"/>
    <n v="0"/>
    <n v="0"/>
  </r>
  <r>
    <x v="33"/>
    <x v="65"/>
    <s v="202502"/>
    <s v="2025"/>
    <s v="SURYA BUMI RETAILINDO202502"/>
    <n v="5"/>
    <n v="2"/>
    <n v="0"/>
    <n v="5"/>
    <n v="2"/>
    <n v="3035000"/>
    <n v="1100000"/>
    <n v="0"/>
    <n v="1700000"/>
    <n v="1100000"/>
    <n v="4552"/>
    <n v="11000"/>
    <n v="0"/>
    <n v="11900"/>
    <n v="7700"/>
  </r>
  <r>
    <x v="28"/>
    <x v="55"/>
    <s v="202502"/>
    <s v="2025"/>
    <s v="TAMANI202502"/>
    <n v="1"/>
    <n v="1"/>
    <n v="3"/>
    <n v="0"/>
    <n v="0"/>
    <n v="322300"/>
    <n v="413600"/>
    <n v="1173700"/>
    <n v="0"/>
    <n v="0"/>
    <n v="483"/>
    <n v="4136"/>
    <n v="21127"/>
    <n v="0"/>
    <n v="0"/>
  </r>
  <r>
    <x v="30"/>
    <x v="59"/>
    <s v="202502"/>
    <s v="2025"/>
    <s v="YOGURT REPUBLIC202502"/>
    <n v="0"/>
    <n v="0"/>
    <n v="0"/>
    <n v="12"/>
    <n v="7200"/>
    <n v="0"/>
    <n v="0"/>
    <n v="0"/>
    <n v="754000"/>
    <n v="484148995"/>
    <n v="0"/>
    <n v="0"/>
    <n v="0"/>
    <n v="0"/>
    <n v="0"/>
  </r>
  <r>
    <x v="30"/>
    <x v="62"/>
    <s v="202502"/>
    <s v="2025"/>
    <s v="YOGURT REPUBLIC202502"/>
    <n v="1"/>
    <n v="5"/>
    <n v="0"/>
    <n v="0"/>
    <n v="0"/>
    <n v="43065"/>
    <n v="303679"/>
    <n v="0"/>
    <n v="0"/>
    <n v="0"/>
    <n v="65"/>
    <n v="3037"/>
    <n v="0"/>
    <n v="0"/>
    <n v="0"/>
  </r>
  <r>
    <x v="29"/>
    <x v="56"/>
    <s v="202502"/>
    <s v="2025"/>
    <s v="YOSHINOYA202502"/>
    <n v="352"/>
    <n v="9352"/>
    <n v="1066"/>
    <n v="11637"/>
    <n v="600661"/>
    <n v="52751400"/>
    <n v="1412368100"/>
    <n v="103271000"/>
    <n v="155789880"/>
    <n v="6158577946"/>
    <n v="79127"/>
    <n v="14123681"/>
    <n v="1135981"/>
    <n v="1090519"/>
    <n v="43109737"/>
  </r>
  <r>
    <x v="0"/>
    <x v="0"/>
    <s v="202503"/>
    <s v="2025"/>
    <s v="ALFA GROUP202503"/>
    <n v="17846"/>
    <n v="58682"/>
    <n v="15505"/>
    <n v="0"/>
    <n v="0"/>
    <n v="1912033430"/>
    <n v="6360991994"/>
    <n v="2231396079"/>
    <n v="0"/>
    <n v="0"/>
    <n v="2868050"/>
    <n v="63609920"/>
    <n v="39982466"/>
    <n v="0"/>
    <n v="0"/>
  </r>
  <r>
    <x v="0"/>
    <x v="1"/>
    <s v="202503"/>
    <s v="2025"/>
    <s v="ALFA GROUP202503"/>
    <n v="6338"/>
    <n v="25526"/>
    <n v="7293"/>
    <n v="0"/>
    <n v="0"/>
    <n v="914193013"/>
    <n v="3595800907"/>
    <n v="1545942459"/>
    <n v="0"/>
    <n v="0"/>
    <n v="1371287"/>
    <n v="35958009"/>
    <n v="27669902"/>
    <n v="0"/>
    <n v="0"/>
  </r>
  <r>
    <x v="0"/>
    <x v="2"/>
    <s v="202503"/>
    <s v="2025"/>
    <s v="ALFA GROUP202503"/>
    <n v="569"/>
    <n v="2329"/>
    <n v="289"/>
    <n v="0"/>
    <n v="0"/>
    <n v="97884616"/>
    <n v="378066976"/>
    <n v="55205930"/>
    <n v="0"/>
    <n v="0"/>
    <n v="146827"/>
    <n v="3780670"/>
    <n v="992118"/>
    <n v="0"/>
    <n v="0"/>
  </r>
  <r>
    <x v="22"/>
    <x v="37"/>
    <s v="202503"/>
    <s v="2025"/>
    <s v="BANBAN TEA202503"/>
    <n v="9"/>
    <n v="1"/>
    <n v="0"/>
    <n v="123"/>
    <n v="4"/>
    <n v="658700"/>
    <n v="85800"/>
    <n v="0"/>
    <n v="7927842"/>
    <n v="203101"/>
    <n v="988"/>
    <n v="858"/>
    <n v="0"/>
    <n v="55492"/>
    <n v="1421"/>
  </r>
  <r>
    <x v="1"/>
    <x v="3"/>
    <s v="202503"/>
    <s v="2025"/>
    <s v="CHAMP RESTO202503"/>
    <n v="1"/>
    <n v="0"/>
    <n v="0"/>
    <n v="0"/>
    <n v="0"/>
    <n v="317000"/>
    <n v="0"/>
    <n v="0"/>
    <n v="0"/>
    <n v="0"/>
    <n v="476"/>
    <n v="0"/>
    <n v="0"/>
    <n v="0"/>
    <n v="0"/>
  </r>
  <r>
    <x v="1"/>
    <x v="4"/>
    <s v="202503"/>
    <s v="2025"/>
    <s v="CHAMP RESTO202503"/>
    <n v="0"/>
    <n v="2"/>
    <n v="0"/>
    <n v="0"/>
    <n v="0"/>
    <n v="0"/>
    <n v="422400"/>
    <n v="0"/>
    <n v="0"/>
    <n v="0"/>
    <n v="0"/>
    <n v="4224"/>
    <n v="0"/>
    <n v="0"/>
    <n v="0"/>
  </r>
  <r>
    <x v="1"/>
    <x v="44"/>
    <s v="202503"/>
    <s v="2025"/>
    <s v="CHAMP RESTO202503"/>
    <n v="0"/>
    <n v="1"/>
    <n v="0"/>
    <n v="0"/>
    <n v="0"/>
    <n v="0"/>
    <n v="100512"/>
    <n v="0"/>
    <n v="0"/>
    <n v="0"/>
    <n v="0"/>
    <n v="1005"/>
    <n v="0"/>
    <n v="0"/>
    <n v="0"/>
  </r>
  <r>
    <x v="1"/>
    <x v="5"/>
    <s v="202503"/>
    <s v="2025"/>
    <s v="CHAMP RESTO202503"/>
    <n v="34"/>
    <n v="10"/>
    <n v="0"/>
    <n v="0"/>
    <n v="0"/>
    <n v="4923948"/>
    <n v="1988500"/>
    <n v="0"/>
    <n v="0"/>
    <n v="0"/>
    <n v="7386"/>
    <n v="19885"/>
    <n v="0"/>
    <n v="0"/>
    <n v="0"/>
  </r>
  <r>
    <x v="1"/>
    <x v="6"/>
    <s v="202503"/>
    <s v="2025"/>
    <s v="CHAMP RESTO202503"/>
    <n v="2"/>
    <n v="12"/>
    <n v="1"/>
    <n v="0"/>
    <n v="0"/>
    <n v="360690"/>
    <n v="3686949"/>
    <n v="338195"/>
    <n v="0"/>
    <n v="0"/>
    <n v="541"/>
    <n v="36869"/>
    <n v="6088"/>
    <n v="0"/>
    <n v="0"/>
  </r>
  <r>
    <x v="1"/>
    <x v="7"/>
    <s v="202503"/>
    <s v="2025"/>
    <s v="CHAMP RESTO202503"/>
    <n v="1"/>
    <n v="2"/>
    <n v="0"/>
    <n v="0"/>
    <n v="0"/>
    <n v="197639"/>
    <n v="628318"/>
    <n v="0"/>
    <n v="0"/>
    <n v="0"/>
    <n v="296"/>
    <n v="6283"/>
    <n v="0"/>
    <n v="0"/>
    <n v="0"/>
  </r>
  <r>
    <x v="1"/>
    <x v="8"/>
    <s v="202503"/>
    <s v="2025"/>
    <s v="CHAMP RESTO202503"/>
    <n v="68"/>
    <n v="0"/>
    <n v="0"/>
    <n v="0"/>
    <n v="0"/>
    <n v="17794506"/>
    <n v="0"/>
    <n v="0"/>
    <n v="0"/>
    <n v="0"/>
    <n v="26692"/>
    <n v="0"/>
    <n v="0"/>
    <n v="0"/>
    <n v="0"/>
  </r>
  <r>
    <x v="32"/>
    <x v="63"/>
    <s v="202503"/>
    <s v="2025"/>
    <s v="DAMRI202503"/>
    <n v="6"/>
    <n v="118"/>
    <n v="3"/>
    <n v="1"/>
    <n v="63"/>
    <n v="730000"/>
    <n v="20635000"/>
    <n v="850000"/>
    <n v="390000"/>
    <n v="25032000"/>
    <n v="1095"/>
    <n v="206350"/>
    <n v="17000"/>
    <n v="2730"/>
    <n v="175224"/>
  </r>
  <r>
    <x v="31"/>
    <x v="60"/>
    <s v="202503"/>
    <s v="2025"/>
    <s v="DWIDAYA202503"/>
    <n v="7"/>
    <n v="0"/>
    <n v="0"/>
    <n v="0"/>
    <n v="33"/>
    <n v="107690000"/>
    <n v="0"/>
    <n v="0"/>
    <n v="0"/>
    <n v="70887987"/>
    <n v="161535"/>
    <n v="0"/>
    <n v="0"/>
    <n v="0"/>
    <n v="496217"/>
  </r>
  <r>
    <x v="35"/>
    <x v="69"/>
    <s v="202503"/>
    <s v="2025"/>
    <s v="EKA HOSPITAL202503"/>
    <n v="0"/>
    <n v="5"/>
    <n v="28"/>
    <n v="0"/>
    <n v="0"/>
    <n v="0"/>
    <n v="5285553"/>
    <n v="6931945"/>
    <n v="0"/>
    <n v="0"/>
    <n v="0"/>
    <n v="52856"/>
    <n v="138639"/>
    <n v="0"/>
    <n v="0"/>
  </r>
  <r>
    <x v="3"/>
    <x v="10"/>
    <s v="202503"/>
    <s v="2025"/>
    <s v="GRAMEDIA202503"/>
    <n v="4"/>
    <n v="1"/>
    <n v="0"/>
    <n v="0"/>
    <n v="0"/>
    <n v="2569500"/>
    <n v="271500"/>
    <n v="0"/>
    <n v="0"/>
    <n v="0"/>
    <n v="3854"/>
    <n v="2715"/>
    <n v="0"/>
    <n v="0"/>
    <n v="0"/>
  </r>
  <r>
    <x v="4"/>
    <x v="11"/>
    <s v="202503"/>
    <s v="2025"/>
    <s v="HAUS202503"/>
    <n v="3"/>
    <n v="33"/>
    <n v="1"/>
    <n v="4"/>
    <n v="1819"/>
    <n v="116999"/>
    <n v="1708994"/>
    <n v="12000"/>
    <n v="143000"/>
    <n v="73378510"/>
    <n v="175"/>
    <n v="17090"/>
    <n v="216"/>
    <n v="1001"/>
    <n v="485440"/>
  </r>
  <r>
    <x v="26"/>
    <x v="47"/>
    <s v="202503"/>
    <s v="2025"/>
    <s v="HEAVENLY WANG202503"/>
    <n v="3"/>
    <n v="0"/>
    <n v="1"/>
    <n v="0"/>
    <n v="0"/>
    <n v="373065"/>
    <n v="0"/>
    <n v="22000"/>
    <n v="0"/>
    <n v="0"/>
    <n v="560"/>
    <n v="0"/>
    <n v="396"/>
    <n v="0"/>
    <n v="0"/>
  </r>
  <r>
    <x v="24"/>
    <x v="40"/>
    <s v="202503"/>
    <s v="2025"/>
    <s v="HERO GROUP202503"/>
    <n v="0"/>
    <n v="1"/>
    <n v="0"/>
    <n v="0"/>
    <n v="3"/>
    <n v="0"/>
    <n v="505000"/>
    <n v="0"/>
    <n v="0"/>
    <n v="195829"/>
    <n v="0"/>
    <n v="5050"/>
    <n v="0"/>
    <n v="0"/>
    <n v="0"/>
  </r>
  <r>
    <x v="27"/>
    <x v="48"/>
    <s v="202503"/>
    <s v="2025"/>
    <s v="HOKKAIDO BAKED CHEESE202503"/>
    <n v="14"/>
    <n v="340"/>
    <n v="38"/>
    <n v="30"/>
    <n v="4824"/>
    <n v="1754000"/>
    <n v="37810562"/>
    <n v="5438784"/>
    <n v="3722700"/>
    <n v="452438099"/>
    <n v="2631"/>
    <n v="378106"/>
    <n v="107126"/>
    <n v="26059"/>
    <n v="3063657"/>
  </r>
  <r>
    <x v="5"/>
    <x v="12"/>
    <s v="202503"/>
    <s v="2025"/>
    <s v="HOP HOP202503"/>
    <n v="0"/>
    <n v="0"/>
    <n v="0"/>
    <n v="168"/>
    <n v="14159"/>
    <n v="0"/>
    <n v="0"/>
    <n v="0"/>
    <n v="6801000"/>
    <n v="362445822"/>
    <n v="0"/>
    <n v="0"/>
    <n v="0"/>
    <n v="1071"/>
    <n v="19336"/>
  </r>
  <r>
    <x v="5"/>
    <x v="58"/>
    <s v="202503"/>
    <s v="2025"/>
    <s v="HOP HOP202503"/>
    <n v="0"/>
    <n v="0"/>
    <n v="0"/>
    <n v="18"/>
    <n v="3204"/>
    <n v="0"/>
    <n v="0"/>
    <n v="0"/>
    <n v="834000"/>
    <n v="67784748"/>
    <n v="0"/>
    <n v="0"/>
    <n v="0"/>
    <n v="0"/>
    <n v="0"/>
  </r>
  <r>
    <x v="6"/>
    <x v="13"/>
    <s v="202503"/>
    <s v="2025"/>
    <s v="IKEA202503"/>
    <n v="31"/>
    <n v="0"/>
    <n v="0"/>
    <n v="0"/>
    <n v="0"/>
    <n v="12519690"/>
    <n v="0"/>
    <n v="0"/>
    <n v="0"/>
    <n v="0"/>
    <n v="18780"/>
    <n v="0"/>
    <n v="0"/>
    <n v="0"/>
    <n v="0"/>
  </r>
  <r>
    <x v="7"/>
    <x v="14"/>
    <s v="202503"/>
    <s v="2025"/>
    <s v="INDOMARET202503"/>
    <n v="31121"/>
    <n v="73474"/>
    <n v="21108"/>
    <n v="0"/>
    <n v="0"/>
    <n v="3879274750"/>
    <n v="7955910671"/>
    <n v="3303881114"/>
    <n v="0"/>
    <n v="0"/>
    <n v="5818910"/>
    <n v="79559107"/>
    <n v="55266606"/>
    <n v="0"/>
    <n v="0"/>
  </r>
  <r>
    <x v="7"/>
    <x v="15"/>
    <s v="202503"/>
    <s v="2025"/>
    <s v="INDOMARET202503"/>
    <n v="494"/>
    <n v="1413"/>
    <n v="571"/>
    <n v="0"/>
    <n v="0"/>
    <n v="40911074"/>
    <n v="107336480"/>
    <n v="69731300"/>
    <n v="0"/>
    <n v="0"/>
    <n v="61367"/>
    <n v="1073365"/>
    <n v="1161553"/>
    <n v="0"/>
    <n v="0"/>
  </r>
  <r>
    <x v="8"/>
    <x v="16"/>
    <s v="202503"/>
    <s v="2025"/>
    <s v="KAWAN LAMA202503"/>
    <n v="2116"/>
    <n v="0"/>
    <n v="0"/>
    <n v="0"/>
    <n v="0"/>
    <n v="2182570571"/>
    <n v="0"/>
    <n v="0"/>
    <n v="0"/>
    <n v="0"/>
    <n v="3273853"/>
    <n v="0"/>
    <n v="0"/>
    <n v="0"/>
    <n v="0"/>
  </r>
  <r>
    <x v="8"/>
    <x v="17"/>
    <s v="202503"/>
    <s v="2025"/>
    <s v="KAWAN LAMA202503"/>
    <n v="448"/>
    <n v="0"/>
    <n v="0"/>
    <n v="8988"/>
    <n v="1236"/>
    <n v="35137400"/>
    <n v="0"/>
    <n v="0"/>
    <n v="46397300"/>
    <n v="5122013"/>
    <n v="52706"/>
    <n v="0"/>
    <n v="0"/>
    <n v="324781"/>
    <n v="35854"/>
  </r>
  <r>
    <x v="8"/>
    <x v="53"/>
    <s v="202503"/>
    <s v="2025"/>
    <s v="KAWAN LAMA202503"/>
    <n v="4"/>
    <n v="0"/>
    <n v="0"/>
    <n v="0"/>
    <n v="0"/>
    <n v="280000"/>
    <n v="0"/>
    <n v="0"/>
    <n v="0"/>
    <n v="0"/>
    <n v="420"/>
    <n v="0"/>
    <n v="0"/>
    <n v="0"/>
    <n v="0"/>
  </r>
  <r>
    <x v="8"/>
    <x v="54"/>
    <s v="202503"/>
    <s v="2025"/>
    <s v="KAWAN LAMA202503"/>
    <n v="1"/>
    <n v="0"/>
    <n v="0"/>
    <n v="0"/>
    <n v="15"/>
    <n v="299004"/>
    <n v="0"/>
    <n v="0"/>
    <n v="0"/>
    <n v="295000"/>
    <n v="448"/>
    <n v="0"/>
    <n v="0"/>
    <n v="0"/>
    <n v="0"/>
  </r>
  <r>
    <x v="8"/>
    <x v="49"/>
    <s v="202503"/>
    <s v="2025"/>
    <s v="KAWAN LAMA202503"/>
    <n v="8"/>
    <n v="0"/>
    <n v="0"/>
    <n v="0"/>
    <n v="0"/>
    <n v="683000"/>
    <n v="0"/>
    <n v="0"/>
    <n v="0"/>
    <n v="0"/>
    <n v="1024"/>
    <n v="0"/>
    <n v="0"/>
    <n v="0"/>
    <n v="0"/>
  </r>
  <r>
    <x v="8"/>
    <x v="50"/>
    <s v="202503"/>
    <s v="2025"/>
    <s v="KAWAN LAMA202503"/>
    <n v="26"/>
    <n v="0"/>
    <n v="0"/>
    <n v="0"/>
    <n v="0"/>
    <n v="4930000"/>
    <n v="0"/>
    <n v="0"/>
    <n v="0"/>
    <n v="0"/>
    <n v="7395"/>
    <n v="0"/>
    <n v="0"/>
    <n v="0"/>
    <n v="0"/>
  </r>
  <r>
    <x v="8"/>
    <x v="18"/>
    <s v="202503"/>
    <s v="2025"/>
    <s v="KAWAN LAMA202503"/>
    <n v="620"/>
    <n v="0"/>
    <n v="0"/>
    <n v="0"/>
    <n v="0"/>
    <n v="1978499952"/>
    <n v="0"/>
    <n v="0"/>
    <n v="0"/>
    <n v="0"/>
    <n v="2967750"/>
    <n v="0"/>
    <n v="0"/>
    <n v="0"/>
    <n v="0"/>
  </r>
  <r>
    <x v="8"/>
    <x v="19"/>
    <s v="202503"/>
    <s v="2025"/>
    <s v="KAWAN LAMA202503"/>
    <n v="31"/>
    <n v="0"/>
    <n v="0"/>
    <n v="0"/>
    <n v="0"/>
    <n v="85452500"/>
    <n v="0"/>
    <n v="0"/>
    <n v="0"/>
    <n v="0"/>
    <n v="128179"/>
    <n v="0"/>
    <n v="0"/>
    <n v="0"/>
    <n v="0"/>
  </r>
  <r>
    <x v="8"/>
    <x v="21"/>
    <s v="202503"/>
    <s v="2025"/>
    <s v="KAWAN LAMA202503"/>
    <n v="7"/>
    <n v="0"/>
    <n v="0"/>
    <n v="0"/>
    <n v="0"/>
    <n v="7589200"/>
    <n v="0"/>
    <n v="0"/>
    <n v="0"/>
    <n v="0"/>
    <n v="11384"/>
    <n v="0"/>
    <n v="0"/>
    <n v="0"/>
    <n v="0"/>
  </r>
  <r>
    <x v="9"/>
    <x v="22"/>
    <s v="202503"/>
    <s v="2025"/>
    <s v="KCIC202503"/>
    <n v="43"/>
    <n v="1413"/>
    <n v="695"/>
    <n v="0"/>
    <n v="0"/>
    <n v="22125000"/>
    <n v="698575000"/>
    <n v="428850000"/>
    <n v="0"/>
    <n v="0"/>
    <n v="33188"/>
    <n v="6985750"/>
    <n v="7727350"/>
    <n v="0"/>
    <n v="0"/>
  </r>
  <r>
    <x v="10"/>
    <x v="23"/>
    <s v="202503"/>
    <s v="2025"/>
    <s v="KIMIA FARMA202503"/>
    <n v="0"/>
    <n v="0"/>
    <n v="0"/>
    <n v="13"/>
    <n v="5"/>
    <n v="0"/>
    <n v="0"/>
    <n v="0"/>
    <n v="2680000"/>
    <n v="1665000"/>
    <n v="0"/>
    <n v="0"/>
    <n v="0"/>
    <n v="0"/>
    <n v="1605"/>
  </r>
  <r>
    <x v="25"/>
    <x v="57"/>
    <s v="202503"/>
    <s v="2025"/>
    <s v="MAP GROUP202503"/>
    <n v="0"/>
    <n v="2"/>
    <n v="0"/>
    <n v="0"/>
    <n v="0"/>
    <n v="0"/>
    <n v="143700"/>
    <n v="0"/>
    <n v="0"/>
    <n v="0"/>
    <n v="0"/>
    <n v="1437"/>
    <n v="0"/>
    <n v="0"/>
    <n v="0"/>
  </r>
  <r>
    <x v="11"/>
    <x v="24"/>
    <s v="202503"/>
    <s v="2025"/>
    <s v="MITRA10202503"/>
    <n v="490"/>
    <n v="1"/>
    <n v="0"/>
    <n v="0"/>
    <n v="0"/>
    <n v="898294874"/>
    <n v="5180000"/>
    <n v="0"/>
    <n v="0"/>
    <n v="0"/>
    <n v="1347441"/>
    <n v="51800"/>
    <n v="0"/>
    <n v="0"/>
    <n v="0"/>
  </r>
  <r>
    <x v="12"/>
    <x v="25"/>
    <s v="202503"/>
    <s v="2025"/>
    <s v="OPTIK MELAWAI202503"/>
    <n v="100"/>
    <n v="65"/>
    <n v="0"/>
    <n v="0"/>
    <n v="239"/>
    <n v="183310000"/>
    <n v="122342000"/>
    <n v="0"/>
    <n v="0"/>
    <n v="184655000"/>
    <n v="274965"/>
    <n v="1223420"/>
    <n v="0"/>
    <n v="0"/>
    <n v="1292585"/>
  </r>
  <r>
    <x v="13"/>
    <x v="26"/>
    <s v="202503"/>
    <s v="2025"/>
    <s v="PATRA JASA202503"/>
    <n v="0"/>
    <n v="1"/>
    <n v="0"/>
    <n v="0"/>
    <n v="0"/>
    <n v="0"/>
    <n v="1500000"/>
    <n v="0"/>
    <n v="0"/>
    <n v="0"/>
    <n v="0"/>
    <n v="15000"/>
    <n v="0"/>
    <n v="0"/>
    <n v="0"/>
  </r>
  <r>
    <x v="14"/>
    <x v="27"/>
    <s v="202503"/>
    <s v="2025"/>
    <s v="PERTAMINA RETAIL202503"/>
    <n v="0"/>
    <n v="0"/>
    <n v="0"/>
    <n v="0"/>
    <n v="9"/>
    <n v="0"/>
    <n v="0"/>
    <n v="0"/>
    <n v="0"/>
    <n v="2950000"/>
    <n v="0"/>
    <n v="0"/>
    <n v="0"/>
    <n v="0"/>
    <n v="17700"/>
  </r>
  <r>
    <x v="14"/>
    <x v="28"/>
    <s v="202503"/>
    <s v="2025"/>
    <s v="PERTAMINA RETAIL202503"/>
    <n v="17"/>
    <n v="307"/>
    <n v="0"/>
    <n v="0"/>
    <n v="0"/>
    <n v="3943280"/>
    <n v="54920253"/>
    <n v="0"/>
    <n v="0"/>
    <n v="0"/>
    <n v="5915"/>
    <n v="274601"/>
    <n v="0"/>
    <n v="0"/>
    <n v="0"/>
  </r>
  <r>
    <x v="15"/>
    <x v="29"/>
    <s v="202503"/>
    <s v="2025"/>
    <s v="PIZZA HUT202503"/>
    <n v="26"/>
    <n v="0"/>
    <n v="0"/>
    <n v="73"/>
    <n v="17"/>
    <n v="4961002"/>
    <n v="0"/>
    <n v="0"/>
    <n v="3580000"/>
    <n v="670000"/>
    <n v="7441"/>
    <n v="0"/>
    <n v="0"/>
    <n v="0"/>
    <n v="0"/>
  </r>
  <r>
    <x v="15"/>
    <x v="30"/>
    <s v="202503"/>
    <s v="2025"/>
    <s v="PIZZA HUT202503"/>
    <n v="298"/>
    <n v="0"/>
    <n v="0"/>
    <n v="0"/>
    <n v="0"/>
    <n v="87028817"/>
    <n v="0"/>
    <n v="0"/>
    <n v="0"/>
    <n v="0"/>
    <n v="130542"/>
    <n v="0"/>
    <n v="0"/>
    <n v="0"/>
    <n v="0"/>
  </r>
  <r>
    <x v="16"/>
    <x v="31"/>
    <s v="202503"/>
    <s v="2025"/>
    <s v="PLATINUM CINEPLEX202503"/>
    <n v="4"/>
    <n v="278"/>
    <n v="176"/>
    <n v="8"/>
    <n v="1371"/>
    <n v="368000"/>
    <n v="38757000"/>
    <n v="26407000"/>
    <n v="715000"/>
    <n v="137505000"/>
    <n v="552"/>
    <n v="387570"/>
    <n v="475688"/>
    <n v="5005"/>
    <n v="962535"/>
  </r>
  <r>
    <x v="34"/>
    <x v="67"/>
    <s v="202503"/>
    <s v="2025"/>
    <s v="POPEYES202503"/>
    <n v="0"/>
    <n v="0"/>
    <n v="0"/>
    <n v="2"/>
    <n v="0"/>
    <n v="0"/>
    <n v="0"/>
    <n v="0"/>
    <n v="91298"/>
    <n v="0"/>
    <n v="0"/>
    <n v="0"/>
    <n v="0"/>
    <n v="639"/>
    <n v="0"/>
  </r>
  <r>
    <x v="17"/>
    <x v="32"/>
    <s v="202503"/>
    <s v="2025"/>
    <s v="SARINAH202503"/>
    <n v="16"/>
    <n v="338"/>
    <n v="464"/>
    <n v="0"/>
    <n v="0"/>
    <n v="19804980"/>
    <n v="255840494"/>
    <n v="506976861"/>
    <n v="0"/>
    <n v="0"/>
    <n v="29707"/>
    <n v="2558405"/>
    <n v="9125583"/>
    <n v="0"/>
    <n v="0"/>
  </r>
  <r>
    <x v="18"/>
    <x v="33"/>
    <s v="202503"/>
    <s v="2025"/>
    <s v="SHIHLIN202503"/>
    <n v="195"/>
    <n v="3"/>
    <n v="1"/>
    <n v="1053"/>
    <n v="242"/>
    <n v="13432000"/>
    <n v="256000"/>
    <n v="31000"/>
    <n v="75871300"/>
    <n v="7374517"/>
    <n v="20148"/>
    <n v="2560"/>
    <n v="620"/>
    <n v="454218"/>
    <n v="4172"/>
  </r>
  <r>
    <x v="19"/>
    <x v="34"/>
    <s v="202503"/>
    <s v="2025"/>
    <s v="SOLARIA202503"/>
    <n v="1731"/>
    <n v="2"/>
    <n v="0"/>
    <n v="0"/>
    <n v="0"/>
    <n v="296393900"/>
    <n v="549000"/>
    <n v="0"/>
    <n v="0"/>
    <n v="0"/>
    <n v="444591"/>
    <n v="5490"/>
    <n v="0"/>
    <n v="0"/>
    <n v="0"/>
  </r>
  <r>
    <x v="20"/>
    <x v="35"/>
    <s v="202503"/>
    <s v="2025"/>
    <s v="SOUR SALLY202503"/>
    <n v="5"/>
    <n v="8"/>
    <n v="0"/>
    <n v="52"/>
    <n v="1649"/>
    <n v="485000"/>
    <n v="851000"/>
    <n v="0"/>
    <n v="4287000"/>
    <n v="132439400"/>
    <n v="728"/>
    <n v="8510"/>
    <n v="0"/>
    <n v="30009"/>
    <n v="927075"/>
  </r>
  <r>
    <x v="21"/>
    <x v="70"/>
    <s v="202503"/>
    <s v="2025"/>
    <s v="STEVEN GROUP202503"/>
    <n v="0"/>
    <n v="3"/>
    <n v="11"/>
    <n v="0"/>
    <n v="441"/>
    <n v="0"/>
    <n v="1347408"/>
    <n v="3739608"/>
    <n v="0"/>
    <n v="6826413"/>
    <n v="0"/>
    <n v="13474"/>
    <n v="74792"/>
    <n v="0"/>
    <n v="9846"/>
  </r>
  <r>
    <x v="21"/>
    <x v="43"/>
    <s v="202503"/>
    <s v="2025"/>
    <s v="STEVEN GROUP202503"/>
    <n v="36"/>
    <n v="18"/>
    <n v="4"/>
    <n v="140"/>
    <n v="362"/>
    <n v="4220524"/>
    <n v="1476009"/>
    <n v="462173"/>
    <n v="12588020"/>
    <n v="4630627"/>
    <n v="6331"/>
    <n v="14760"/>
    <n v="9243"/>
    <n v="88118"/>
    <n v="32415"/>
  </r>
  <r>
    <x v="21"/>
    <x v="68"/>
    <s v="202503"/>
    <s v="2025"/>
    <s v="STEVEN GROUP202503"/>
    <n v="0"/>
    <n v="2"/>
    <n v="4"/>
    <n v="55"/>
    <n v="3044"/>
    <n v="0"/>
    <n v="20000"/>
    <n v="40000"/>
    <n v="1353260"/>
    <n v="13723941"/>
    <n v="0"/>
    <n v="200"/>
    <n v="800"/>
    <n v="0"/>
    <n v="0"/>
  </r>
  <r>
    <x v="21"/>
    <x v="36"/>
    <s v="202503"/>
    <s v="2025"/>
    <s v="STEVEN GROUP202503"/>
    <n v="0"/>
    <n v="0"/>
    <n v="0"/>
    <n v="0"/>
    <n v="1"/>
    <n v="0"/>
    <n v="0"/>
    <n v="0"/>
    <n v="0"/>
    <n v="1"/>
    <n v="0"/>
    <n v="0"/>
    <n v="0"/>
    <n v="0"/>
    <n v="0"/>
  </r>
  <r>
    <x v="21"/>
    <x v="71"/>
    <s v="202503"/>
    <s v="2025"/>
    <s v="STEVEN GROUP202503"/>
    <n v="0"/>
    <n v="3"/>
    <n v="0"/>
    <n v="0"/>
    <n v="1"/>
    <n v="0"/>
    <n v="30000"/>
    <n v="0"/>
    <n v="0"/>
    <n v="1"/>
    <n v="0"/>
    <n v="300"/>
    <n v="0"/>
    <n v="0"/>
    <n v="0"/>
  </r>
  <r>
    <x v="36"/>
    <x v="72"/>
    <s v="202503"/>
    <s v="2025"/>
    <s v="SUPRA BOGA LESTARI202503"/>
    <n v="17"/>
    <n v="0"/>
    <n v="0"/>
    <n v="0"/>
    <n v="0"/>
    <n v="13328752"/>
    <n v="0"/>
    <n v="0"/>
    <n v="0"/>
    <n v="0"/>
    <n v="19993"/>
    <n v="0"/>
    <n v="0"/>
    <n v="0"/>
    <n v="0"/>
  </r>
  <r>
    <x v="37"/>
    <x v="73"/>
    <s v="202503"/>
    <s v="2025"/>
    <s v="SUSHI TEI202503"/>
    <n v="0"/>
    <n v="2"/>
    <n v="3"/>
    <n v="0"/>
    <n v="1"/>
    <n v="0"/>
    <n v="20000"/>
    <n v="30000"/>
    <n v="0"/>
    <n v="1"/>
    <n v="0"/>
    <n v="200"/>
    <n v="600"/>
    <n v="0"/>
    <n v="0"/>
  </r>
  <r>
    <x v="30"/>
    <x v="59"/>
    <s v="202503"/>
    <s v="2025"/>
    <s v="YOGURT REPUBLIC202503"/>
    <n v="0"/>
    <n v="0"/>
    <n v="0"/>
    <n v="32"/>
    <n v="8702"/>
    <n v="0"/>
    <n v="0"/>
    <n v="0"/>
    <n v="2575200"/>
    <n v="619736630"/>
    <n v="0"/>
    <n v="0"/>
    <n v="0"/>
    <n v="0"/>
    <n v="1761"/>
  </r>
  <r>
    <x v="30"/>
    <x v="62"/>
    <s v="202503"/>
    <s v="2025"/>
    <s v="YOGURT REPUBLIC202503"/>
    <n v="3"/>
    <n v="0"/>
    <n v="2"/>
    <n v="0"/>
    <n v="0"/>
    <n v="416509"/>
    <n v="0"/>
    <n v="169125"/>
    <n v="0"/>
    <n v="0"/>
    <n v="625"/>
    <n v="0"/>
    <n v="3382"/>
    <n v="0"/>
    <n v="0"/>
  </r>
  <r>
    <x v="29"/>
    <x v="56"/>
    <s v="202503"/>
    <s v="2025"/>
    <s v="YOSHINOYA202503"/>
    <n v="483"/>
    <n v="14041"/>
    <n v="1276"/>
    <n v="3838"/>
    <n v="7099361"/>
    <n v="75924500"/>
    <n v="2341697445"/>
    <n v="128478500"/>
    <n v="222262001"/>
    <n v="19855456524"/>
    <n v="113887"/>
    <n v="23416974"/>
    <n v="1413264"/>
    <n v="1555827"/>
    <n v="138986804"/>
  </r>
  <r>
    <x v="0"/>
    <x v="0"/>
    <s v="202504"/>
    <s v="2025"/>
    <s v="ALFA GROUP202504"/>
    <n v="16688"/>
    <n v="50995"/>
    <n v="14816"/>
    <n v="0"/>
    <n v="0"/>
    <n v="1554042407"/>
    <n v="4953735148"/>
    <n v="1858745743"/>
    <n v="0"/>
    <n v="0"/>
    <n v="2331063"/>
    <n v="49537351"/>
    <n v="33296863"/>
    <n v="0"/>
    <n v="0"/>
  </r>
  <r>
    <x v="0"/>
    <x v="1"/>
    <s v="202504"/>
    <s v="2025"/>
    <s v="ALFA GROUP202504"/>
    <n v="5037"/>
    <n v="18964"/>
    <n v="5925"/>
    <n v="0"/>
    <n v="0"/>
    <n v="637540680"/>
    <n v="2323883328"/>
    <n v="1111845162"/>
    <n v="0"/>
    <n v="0"/>
    <n v="956308"/>
    <n v="23238833"/>
    <n v="19904014"/>
    <n v="0"/>
    <n v="0"/>
  </r>
  <r>
    <x v="0"/>
    <x v="2"/>
    <s v="202504"/>
    <s v="2025"/>
    <s v="ALFA GROUP202504"/>
    <n v="363"/>
    <n v="1473"/>
    <n v="222"/>
    <n v="0"/>
    <n v="0"/>
    <n v="60998202"/>
    <n v="226359905"/>
    <n v="40881514"/>
    <n v="0"/>
    <n v="0"/>
    <n v="91497"/>
    <n v="2263599"/>
    <n v="738670"/>
    <n v="0"/>
    <n v="0"/>
  </r>
  <r>
    <x v="22"/>
    <x v="37"/>
    <s v="202504"/>
    <s v="2025"/>
    <s v="BANBAN TEA202504"/>
    <n v="13"/>
    <n v="1"/>
    <n v="0"/>
    <n v="67"/>
    <n v="0"/>
    <n v="1022800"/>
    <n v="74800"/>
    <n v="0"/>
    <n v="4125998"/>
    <n v="0"/>
    <n v="1534"/>
    <n v="748"/>
    <n v="0"/>
    <n v="28879"/>
    <n v="0"/>
  </r>
  <r>
    <x v="1"/>
    <x v="4"/>
    <s v="202504"/>
    <s v="2025"/>
    <s v="CHAMP RESTO202504"/>
    <n v="1"/>
    <n v="2"/>
    <n v="0"/>
    <n v="0"/>
    <n v="0"/>
    <n v="249800"/>
    <n v="338800"/>
    <n v="0"/>
    <n v="0"/>
    <n v="0"/>
    <n v="375"/>
    <n v="3388"/>
    <n v="0"/>
    <n v="0"/>
    <n v="0"/>
  </r>
  <r>
    <x v="1"/>
    <x v="5"/>
    <s v="202504"/>
    <s v="2025"/>
    <s v="CHAMP RESTO202504"/>
    <n v="19"/>
    <n v="12"/>
    <n v="0"/>
    <n v="0"/>
    <n v="0"/>
    <n v="2697477"/>
    <n v="2237455"/>
    <n v="0"/>
    <n v="0"/>
    <n v="0"/>
    <n v="4046"/>
    <n v="22375"/>
    <n v="0"/>
    <n v="0"/>
    <n v="0"/>
  </r>
  <r>
    <x v="1"/>
    <x v="6"/>
    <s v="202504"/>
    <s v="2025"/>
    <s v="CHAMP RESTO202504"/>
    <n v="0"/>
    <n v="6"/>
    <n v="1"/>
    <n v="0"/>
    <n v="0"/>
    <n v="0"/>
    <n v="1822231"/>
    <n v="1990147"/>
    <n v="0"/>
    <n v="0"/>
    <n v="0"/>
    <n v="18222"/>
    <n v="35823"/>
    <n v="0"/>
    <n v="0"/>
  </r>
  <r>
    <x v="1"/>
    <x v="8"/>
    <s v="202504"/>
    <s v="2025"/>
    <s v="CHAMP RESTO202504"/>
    <n v="49"/>
    <n v="2"/>
    <n v="0"/>
    <n v="0"/>
    <n v="1"/>
    <n v="13537179"/>
    <n v="651006"/>
    <n v="0"/>
    <n v="0"/>
    <n v="1"/>
    <n v="20306"/>
    <n v="6510"/>
    <n v="0"/>
    <n v="0"/>
    <n v="0"/>
  </r>
  <r>
    <x v="32"/>
    <x v="63"/>
    <s v="202504"/>
    <s v="2025"/>
    <s v="DAMRI202504"/>
    <n v="5"/>
    <n v="41"/>
    <n v="2"/>
    <n v="1"/>
    <n v="59"/>
    <n v="1130000"/>
    <n v="7155000"/>
    <n v="560000"/>
    <n v="345000"/>
    <n v="23645000"/>
    <n v="1695"/>
    <n v="71550"/>
    <n v="11200"/>
    <n v="2415"/>
    <n v="165515"/>
  </r>
  <r>
    <x v="31"/>
    <x v="60"/>
    <s v="202504"/>
    <s v="2025"/>
    <s v="DWIDAYA202504"/>
    <n v="11"/>
    <n v="0"/>
    <n v="0"/>
    <n v="0"/>
    <n v="31"/>
    <n v="139519000"/>
    <n v="0"/>
    <n v="0"/>
    <n v="0"/>
    <n v="92125123"/>
    <n v="209278"/>
    <n v="0"/>
    <n v="0"/>
    <n v="0"/>
    <n v="644877"/>
  </r>
  <r>
    <x v="35"/>
    <x v="69"/>
    <s v="202504"/>
    <s v="2025"/>
    <s v="EKA HOSPITAL202504"/>
    <n v="2"/>
    <n v="7"/>
    <n v="31"/>
    <n v="0"/>
    <n v="10"/>
    <n v="3439500"/>
    <n v="11250918"/>
    <n v="28117392"/>
    <n v="0"/>
    <n v="10"/>
    <n v="5159"/>
    <n v="112509"/>
    <n v="461116"/>
    <n v="0"/>
    <n v="0"/>
  </r>
  <r>
    <x v="2"/>
    <x v="9"/>
    <s v="202504"/>
    <s v="2025"/>
    <s v="ES TELLER 77202504"/>
    <n v="0"/>
    <n v="1"/>
    <n v="0"/>
    <n v="0"/>
    <n v="0"/>
    <n v="0"/>
    <n v="38000"/>
    <n v="0"/>
    <n v="0"/>
    <n v="0"/>
    <n v="0"/>
    <n v="380"/>
    <n v="0"/>
    <n v="0"/>
    <n v="0"/>
  </r>
  <r>
    <x v="3"/>
    <x v="10"/>
    <s v="202504"/>
    <s v="2025"/>
    <s v="GRAMEDIA202504"/>
    <n v="6"/>
    <n v="0"/>
    <n v="0"/>
    <n v="0"/>
    <n v="0"/>
    <n v="1260500"/>
    <n v="0"/>
    <n v="0"/>
    <n v="0"/>
    <n v="0"/>
    <n v="1891"/>
    <n v="0"/>
    <n v="0"/>
    <n v="0"/>
    <n v="0"/>
  </r>
  <r>
    <x v="4"/>
    <x v="11"/>
    <s v="202504"/>
    <s v="2025"/>
    <s v="HAUS202504"/>
    <n v="1"/>
    <n v="21"/>
    <n v="1"/>
    <n v="29"/>
    <n v="6545"/>
    <n v="47000"/>
    <n v="981994"/>
    <n v="47000"/>
    <n v="1009999"/>
    <n v="301369070"/>
    <n v="70"/>
    <n v="9820"/>
    <n v="846"/>
    <n v="5789"/>
    <n v="2056250"/>
  </r>
  <r>
    <x v="26"/>
    <x v="47"/>
    <s v="202504"/>
    <s v="2025"/>
    <s v="HEAVENLY WANG202504"/>
    <n v="1"/>
    <n v="1"/>
    <n v="2"/>
    <n v="0"/>
    <n v="0"/>
    <n v="271425"/>
    <n v="76230"/>
    <n v="209440"/>
    <n v="0"/>
    <n v="0"/>
    <n v="407"/>
    <n v="762"/>
    <n v="3770"/>
    <n v="0"/>
    <n v="0"/>
  </r>
  <r>
    <x v="24"/>
    <x v="40"/>
    <s v="202504"/>
    <s v="2025"/>
    <s v="HERO GROUP202504"/>
    <n v="0"/>
    <n v="0"/>
    <n v="0"/>
    <n v="0"/>
    <n v="1"/>
    <n v="0"/>
    <n v="0"/>
    <n v="0"/>
    <n v="0"/>
    <n v="130000"/>
    <n v="0"/>
    <n v="0"/>
    <n v="0"/>
    <n v="0"/>
    <n v="0"/>
  </r>
  <r>
    <x v="38"/>
    <x v="74"/>
    <s v="202504"/>
    <s v="2025"/>
    <s v="HOKBEN202504"/>
    <n v="0"/>
    <n v="0"/>
    <n v="0"/>
    <n v="6"/>
    <n v="930"/>
    <n v="0"/>
    <n v="0"/>
    <n v="0"/>
    <n v="417500"/>
    <n v="99484000"/>
    <n v="0"/>
    <n v="0"/>
    <n v="0"/>
    <n v="2923"/>
    <n v="696390"/>
  </r>
  <r>
    <x v="27"/>
    <x v="48"/>
    <s v="202504"/>
    <s v="2025"/>
    <s v="HOKKAIDO BAKED CHEESE202504"/>
    <n v="6"/>
    <n v="243"/>
    <n v="18"/>
    <n v="9"/>
    <n v="3932"/>
    <n v="629203"/>
    <n v="26526926"/>
    <n v="2457300"/>
    <n v="865600"/>
    <n v="330571088"/>
    <n v="944"/>
    <n v="265269"/>
    <n v="48384"/>
    <n v="6059"/>
    <n v="2190892"/>
  </r>
  <r>
    <x v="5"/>
    <x v="12"/>
    <s v="202504"/>
    <s v="2025"/>
    <s v="HOP HOP202504"/>
    <n v="0"/>
    <n v="0"/>
    <n v="0"/>
    <n v="119"/>
    <n v="12584"/>
    <n v="0"/>
    <n v="0"/>
    <n v="0"/>
    <n v="4880000"/>
    <n v="330231967"/>
    <n v="0"/>
    <n v="0"/>
    <n v="0"/>
    <n v="973"/>
    <n v="6780"/>
  </r>
  <r>
    <x v="5"/>
    <x v="58"/>
    <s v="202504"/>
    <s v="2025"/>
    <s v="HOP HOP202504"/>
    <n v="0"/>
    <n v="0"/>
    <n v="0"/>
    <n v="13"/>
    <n v="2725"/>
    <n v="0"/>
    <n v="0"/>
    <n v="0"/>
    <n v="561000"/>
    <n v="57270825"/>
    <n v="0"/>
    <n v="0"/>
    <n v="0"/>
    <n v="0"/>
    <n v="0"/>
  </r>
  <r>
    <x v="6"/>
    <x v="13"/>
    <s v="202504"/>
    <s v="2025"/>
    <s v="IKEA202504"/>
    <n v="35"/>
    <n v="0"/>
    <n v="0"/>
    <n v="0"/>
    <n v="0"/>
    <n v="25272940"/>
    <n v="0"/>
    <n v="0"/>
    <n v="0"/>
    <n v="0"/>
    <n v="37909"/>
    <n v="0"/>
    <n v="0"/>
    <n v="0"/>
    <n v="0"/>
  </r>
  <r>
    <x v="7"/>
    <x v="14"/>
    <s v="202504"/>
    <s v="2025"/>
    <s v="INDOMARET202504"/>
    <n v="28955"/>
    <n v="63071"/>
    <n v="20123"/>
    <n v="0"/>
    <n v="0"/>
    <n v="2903013289"/>
    <n v="5758669014"/>
    <n v="2704833181"/>
    <n v="0"/>
    <n v="0"/>
    <n v="4354518"/>
    <n v="57586690"/>
    <n v="45268632"/>
    <n v="0"/>
    <n v="0"/>
  </r>
  <r>
    <x v="7"/>
    <x v="15"/>
    <s v="202504"/>
    <s v="2025"/>
    <s v="INDOMARET202504"/>
    <n v="588"/>
    <n v="1434"/>
    <n v="684"/>
    <n v="0"/>
    <n v="0"/>
    <n v="39624920"/>
    <n v="97214670"/>
    <n v="71196740"/>
    <n v="0"/>
    <n v="0"/>
    <n v="59437"/>
    <n v="972147"/>
    <n v="1194439"/>
    <n v="0"/>
    <n v="0"/>
  </r>
  <r>
    <x v="8"/>
    <x v="16"/>
    <s v="202504"/>
    <s v="2025"/>
    <s v="KAWAN LAMA202504"/>
    <n v="1705"/>
    <n v="0"/>
    <n v="0"/>
    <n v="0"/>
    <n v="0"/>
    <n v="1690390393"/>
    <n v="0"/>
    <n v="0"/>
    <n v="0"/>
    <n v="0"/>
    <n v="2535583"/>
    <n v="0"/>
    <n v="0"/>
    <n v="0"/>
    <n v="0"/>
  </r>
  <r>
    <x v="8"/>
    <x v="17"/>
    <s v="202504"/>
    <s v="2025"/>
    <s v="KAWAN LAMA202504"/>
    <n v="444"/>
    <n v="0"/>
    <n v="0"/>
    <n v="695"/>
    <n v="70"/>
    <n v="32926700"/>
    <n v="0"/>
    <n v="0"/>
    <n v="38249000"/>
    <n v="3129019"/>
    <n v="49390"/>
    <n v="0"/>
    <n v="0"/>
    <n v="267743"/>
    <n v="21903"/>
  </r>
  <r>
    <x v="8"/>
    <x v="53"/>
    <s v="202504"/>
    <s v="2025"/>
    <s v="KAWAN LAMA202504"/>
    <n v="2"/>
    <n v="0"/>
    <n v="0"/>
    <n v="0"/>
    <n v="0"/>
    <n v="135000"/>
    <n v="0"/>
    <n v="0"/>
    <n v="0"/>
    <n v="0"/>
    <n v="202"/>
    <n v="0"/>
    <n v="0"/>
    <n v="0"/>
    <n v="0"/>
  </r>
  <r>
    <x v="8"/>
    <x v="49"/>
    <s v="202504"/>
    <s v="2025"/>
    <s v="KAWAN LAMA202504"/>
    <n v="10"/>
    <n v="0"/>
    <n v="0"/>
    <n v="0"/>
    <n v="0"/>
    <n v="807000"/>
    <n v="0"/>
    <n v="0"/>
    <n v="0"/>
    <n v="0"/>
    <n v="1210"/>
    <n v="0"/>
    <n v="0"/>
    <n v="0"/>
    <n v="0"/>
  </r>
  <r>
    <x v="8"/>
    <x v="50"/>
    <s v="202504"/>
    <s v="2025"/>
    <s v="KAWAN LAMA202504"/>
    <n v="26"/>
    <n v="1"/>
    <n v="0"/>
    <n v="0"/>
    <n v="0"/>
    <n v="4527000"/>
    <n v="50000"/>
    <n v="0"/>
    <n v="0"/>
    <n v="0"/>
    <n v="6790"/>
    <n v="500"/>
    <n v="0"/>
    <n v="0"/>
    <n v="0"/>
  </r>
  <r>
    <x v="8"/>
    <x v="18"/>
    <s v="202504"/>
    <s v="2025"/>
    <s v="KAWAN LAMA202504"/>
    <n v="392"/>
    <n v="0"/>
    <n v="0"/>
    <n v="0"/>
    <n v="0"/>
    <n v="1410068758"/>
    <n v="0"/>
    <n v="0"/>
    <n v="0"/>
    <n v="0"/>
    <n v="2115103"/>
    <n v="0"/>
    <n v="0"/>
    <n v="0"/>
    <n v="0"/>
  </r>
  <r>
    <x v="8"/>
    <x v="19"/>
    <s v="202504"/>
    <s v="2025"/>
    <s v="KAWAN LAMA202504"/>
    <n v="19"/>
    <n v="0"/>
    <n v="0"/>
    <n v="0"/>
    <n v="0"/>
    <n v="55573648"/>
    <n v="0"/>
    <n v="0"/>
    <n v="0"/>
    <n v="0"/>
    <n v="83360"/>
    <n v="0"/>
    <n v="0"/>
    <n v="0"/>
    <n v="0"/>
  </r>
  <r>
    <x v="8"/>
    <x v="20"/>
    <s v="202504"/>
    <s v="2025"/>
    <s v="KAWAN LAMA202504"/>
    <n v="0"/>
    <n v="0"/>
    <n v="0"/>
    <n v="0"/>
    <n v="3"/>
    <n v="0"/>
    <n v="0"/>
    <n v="0"/>
    <n v="0"/>
    <n v="150000"/>
    <n v="0"/>
    <n v="0"/>
    <n v="0"/>
    <n v="0"/>
    <n v="0"/>
  </r>
  <r>
    <x v="8"/>
    <x v="21"/>
    <s v="202504"/>
    <s v="2025"/>
    <s v="KAWAN LAMA202504"/>
    <n v="7"/>
    <n v="0"/>
    <n v="0"/>
    <n v="0"/>
    <n v="0"/>
    <n v="16372400"/>
    <n v="0"/>
    <n v="0"/>
    <n v="0"/>
    <n v="0"/>
    <n v="24559"/>
    <n v="0"/>
    <n v="0"/>
    <n v="0"/>
    <n v="0"/>
  </r>
  <r>
    <x v="9"/>
    <x v="22"/>
    <s v="202504"/>
    <s v="2025"/>
    <s v="KCIC202504"/>
    <n v="54"/>
    <n v="1647"/>
    <n v="945"/>
    <n v="0"/>
    <n v="0"/>
    <n v="36525000"/>
    <n v="896150008"/>
    <n v="666475000"/>
    <n v="0"/>
    <n v="0"/>
    <n v="54788"/>
    <n v="8961500"/>
    <n v="12008050"/>
    <n v="0"/>
    <n v="0"/>
  </r>
  <r>
    <x v="25"/>
    <x v="57"/>
    <s v="202504"/>
    <s v="2025"/>
    <s v="MAP GROUP202504"/>
    <n v="1"/>
    <n v="3"/>
    <n v="0"/>
    <n v="0"/>
    <n v="0"/>
    <n v="53200"/>
    <n v="386600"/>
    <n v="0"/>
    <n v="0"/>
    <n v="0"/>
    <n v="80"/>
    <n v="3866"/>
    <n v="0"/>
    <n v="0"/>
    <n v="0"/>
  </r>
  <r>
    <x v="11"/>
    <x v="24"/>
    <s v="202504"/>
    <s v="2025"/>
    <s v="MITRA10202504"/>
    <n v="423"/>
    <n v="1"/>
    <n v="0"/>
    <n v="0"/>
    <n v="0"/>
    <n v="836094748"/>
    <n v="38250"/>
    <n v="0"/>
    <n v="0"/>
    <n v="0"/>
    <n v="1254141"/>
    <n v="382"/>
    <n v="0"/>
    <n v="0"/>
    <n v="0"/>
  </r>
  <r>
    <x v="12"/>
    <x v="25"/>
    <s v="202504"/>
    <s v="2025"/>
    <s v="OPTIK MELAWAI202504"/>
    <n v="74"/>
    <n v="0"/>
    <n v="0"/>
    <n v="3"/>
    <n v="836"/>
    <n v="98527000"/>
    <n v="0"/>
    <n v="0"/>
    <n v="1823000"/>
    <n v="743703712"/>
    <n v="147790"/>
    <n v="0"/>
    <n v="0"/>
    <n v="12761"/>
    <n v="5205926"/>
  </r>
  <r>
    <x v="14"/>
    <x v="27"/>
    <s v="202504"/>
    <s v="2025"/>
    <s v="PERTAMINA RETAIL202504"/>
    <n v="0"/>
    <n v="0"/>
    <n v="0"/>
    <n v="0"/>
    <n v="7"/>
    <n v="0"/>
    <n v="0"/>
    <n v="0"/>
    <n v="0"/>
    <n v="5260000"/>
    <n v="0"/>
    <n v="0"/>
    <n v="0"/>
    <n v="0"/>
    <n v="31560"/>
  </r>
  <r>
    <x v="14"/>
    <x v="28"/>
    <s v="202504"/>
    <s v="2025"/>
    <s v="PERTAMINA RETAIL202504"/>
    <n v="14"/>
    <n v="151"/>
    <n v="0"/>
    <n v="0"/>
    <n v="0"/>
    <n v="2407225"/>
    <n v="27805221"/>
    <n v="0"/>
    <n v="0"/>
    <n v="0"/>
    <n v="3611"/>
    <n v="139026"/>
    <n v="0"/>
    <n v="0"/>
    <n v="0"/>
  </r>
  <r>
    <x v="15"/>
    <x v="29"/>
    <s v="202504"/>
    <s v="2025"/>
    <s v="PIZZA HUT202504"/>
    <n v="15"/>
    <n v="0"/>
    <n v="0"/>
    <n v="0"/>
    <n v="0"/>
    <n v="2714495"/>
    <n v="0"/>
    <n v="0"/>
    <n v="0"/>
    <n v="0"/>
    <n v="4072"/>
    <n v="0"/>
    <n v="0"/>
    <n v="0"/>
    <n v="0"/>
  </r>
  <r>
    <x v="15"/>
    <x v="30"/>
    <s v="202504"/>
    <s v="2025"/>
    <s v="PIZZA HUT202504"/>
    <n v="252"/>
    <n v="1"/>
    <n v="0"/>
    <n v="0"/>
    <n v="0"/>
    <n v="72985386"/>
    <n v="208001"/>
    <n v="0"/>
    <n v="0"/>
    <n v="0"/>
    <n v="109477"/>
    <n v="2080"/>
    <n v="0"/>
    <n v="0"/>
    <n v="0"/>
  </r>
  <r>
    <x v="16"/>
    <x v="31"/>
    <s v="202504"/>
    <s v="2025"/>
    <s v="PLATINUM CINEPLEX202504"/>
    <n v="14"/>
    <n v="1278"/>
    <n v="217"/>
    <n v="28"/>
    <n v="4219"/>
    <n v="1588000"/>
    <n v="172443000"/>
    <n v="29438000"/>
    <n v="2629000"/>
    <n v="472000000"/>
    <n v="2382"/>
    <n v="1724430"/>
    <n v="530914"/>
    <n v="18403"/>
    <n v="3304000"/>
  </r>
  <r>
    <x v="34"/>
    <x v="67"/>
    <s v="202504"/>
    <s v="2025"/>
    <s v="POPEYES202504"/>
    <n v="2"/>
    <n v="0"/>
    <n v="0"/>
    <n v="0"/>
    <n v="0"/>
    <n v="215596"/>
    <n v="0"/>
    <n v="0"/>
    <n v="0"/>
    <n v="0"/>
    <n v="323"/>
    <n v="0"/>
    <n v="0"/>
    <n v="0"/>
    <n v="0"/>
  </r>
  <r>
    <x v="17"/>
    <x v="32"/>
    <s v="202504"/>
    <s v="2025"/>
    <s v="SARINAH202504"/>
    <n v="10"/>
    <n v="236"/>
    <n v="435"/>
    <n v="0"/>
    <n v="0"/>
    <n v="4363093"/>
    <n v="215891830"/>
    <n v="475690545"/>
    <n v="0"/>
    <n v="0"/>
    <n v="6545"/>
    <n v="2158918"/>
    <n v="8562430"/>
    <n v="0"/>
    <n v="0"/>
  </r>
  <r>
    <x v="18"/>
    <x v="33"/>
    <s v="202504"/>
    <s v="2025"/>
    <s v="SHIHLIN202504"/>
    <n v="197"/>
    <n v="11"/>
    <n v="3"/>
    <n v="982"/>
    <n v="249"/>
    <n v="13780000"/>
    <n v="595000"/>
    <n v="343000"/>
    <n v="63230000"/>
    <n v="6069640"/>
    <n v="20670"/>
    <n v="5950"/>
    <n v="6388"/>
    <n v="434763"/>
    <n v="3031"/>
  </r>
  <r>
    <x v="19"/>
    <x v="34"/>
    <s v="202504"/>
    <s v="2025"/>
    <s v="SOLARIA202504"/>
    <n v="2043"/>
    <n v="2"/>
    <n v="0"/>
    <n v="0"/>
    <n v="0"/>
    <n v="351122200"/>
    <n v="283000"/>
    <n v="0"/>
    <n v="0"/>
    <n v="0"/>
    <n v="526683"/>
    <n v="2830"/>
    <n v="0"/>
    <n v="0"/>
    <n v="0"/>
  </r>
  <r>
    <x v="20"/>
    <x v="35"/>
    <s v="202504"/>
    <s v="2025"/>
    <s v="SOUR SALLY202504"/>
    <n v="8"/>
    <n v="16"/>
    <n v="0"/>
    <n v="50"/>
    <n v="1987"/>
    <n v="866000"/>
    <n v="1397000"/>
    <n v="0"/>
    <n v="3873000"/>
    <n v="158204360"/>
    <n v="1299"/>
    <n v="13970"/>
    <n v="0"/>
    <n v="27111"/>
    <n v="1107430"/>
  </r>
  <r>
    <x v="21"/>
    <x v="70"/>
    <s v="202504"/>
    <s v="2025"/>
    <s v="STEVEN GROUP202504"/>
    <n v="0"/>
    <n v="0"/>
    <n v="4"/>
    <n v="0"/>
    <n v="6"/>
    <n v="0"/>
    <n v="0"/>
    <n v="740245"/>
    <n v="0"/>
    <n v="1201007"/>
    <n v="0"/>
    <n v="0"/>
    <n v="14805"/>
    <n v="0"/>
    <n v="0"/>
  </r>
  <r>
    <x v="21"/>
    <x v="43"/>
    <s v="202504"/>
    <s v="2025"/>
    <s v="STEVEN GROUP202504"/>
    <n v="33"/>
    <n v="6"/>
    <n v="1"/>
    <n v="82"/>
    <n v="96"/>
    <n v="4376910"/>
    <n v="886379"/>
    <n v="268398"/>
    <n v="7331603"/>
    <n v="4338262"/>
    <n v="6565"/>
    <n v="8864"/>
    <n v="5368"/>
    <n v="51321"/>
    <n v="30367"/>
  </r>
  <r>
    <x v="21"/>
    <x v="68"/>
    <s v="202504"/>
    <s v="2025"/>
    <s v="STEVEN GROUP202504"/>
    <n v="3"/>
    <n v="0"/>
    <n v="0"/>
    <n v="2"/>
    <n v="64"/>
    <n v="1012221"/>
    <n v="0"/>
    <n v="0"/>
    <n v="59000"/>
    <n v="2732001"/>
    <n v="1518"/>
    <n v="0"/>
    <n v="0"/>
    <n v="0"/>
    <n v="0"/>
  </r>
  <r>
    <x v="21"/>
    <x v="36"/>
    <s v="202504"/>
    <s v="2025"/>
    <s v="STEVEN GROUP202504"/>
    <n v="0"/>
    <n v="1"/>
    <n v="0"/>
    <n v="0"/>
    <n v="1"/>
    <n v="0"/>
    <n v="4873737"/>
    <n v="0"/>
    <n v="0"/>
    <n v="1"/>
    <n v="0"/>
    <n v="48737"/>
    <n v="0"/>
    <n v="0"/>
    <n v="0"/>
  </r>
  <r>
    <x v="21"/>
    <x v="71"/>
    <s v="202504"/>
    <s v="2025"/>
    <s v="STEVEN GROUP202504"/>
    <n v="2"/>
    <n v="0"/>
    <n v="0"/>
    <n v="0"/>
    <n v="1"/>
    <n v="1304288"/>
    <n v="0"/>
    <n v="0"/>
    <n v="0"/>
    <n v="1"/>
    <n v="1956"/>
    <n v="0"/>
    <n v="0"/>
    <n v="0"/>
    <n v="0"/>
  </r>
  <r>
    <x v="36"/>
    <x v="72"/>
    <s v="202504"/>
    <s v="2025"/>
    <s v="SUPRA BOGA LESTARI202504"/>
    <n v="2"/>
    <n v="0"/>
    <n v="0"/>
    <n v="0"/>
    <n v="0"/>
    <n v="130323"/>
    <n v="0"/>
    <n v="0"/>
    <n v="0"/>
    <n v="0"/>
    <n v="195"/>
    <n v="0"/>
    <n v="0"/>
    <n v="0"/>
    <n v="0"/>
  </r>
  <r>
    <x v="37"/>
    <x v="73"/>
    <s v="202504"/>
    <s v="2025"/>
    <s v="SUSHI TEI202504"/>
    <n v="0"/>
    <n v="0"/>
    <n v="0"/>
    <n v="0"/>
    <n v="2"/>
    <n v="0"/>
    <n v="0"/>
    <n v="0"/>
    <n v="0"/>
    <n v="2"/>
    <n v="0"/>
    <n v="0"/>
    <n v="0"/>
    <n v="0"/>
    <n v="0"/>
  </r>
  <r>
    <x v="28"/>
    <x v="55"/>
    <s v="202504"/>
    <s v="2025"/>
    <s v="TAMANI202504"/>
    <n v="0"/>
    <n v="1"/>
    <n v="0"/>
    <n v="0"/>
    <n v="0"/>
    <n v="0"/>
    <n v="149600"/>
    <n v="0"/>
    <n v="0"/>
    <n v="0"/>
    <n v="0"/>
    <n v="1496"/>
    <n v="0"/>
    <n v="0"/>
    <n v="0"/>
  </r>
  <r>
    <x v="30"/>
    <x v="59"/>
    <s v="202504"/>
    <s v="2025"/>
    <s v="YOGURT REPUBLIC202504"/>
    <n v="0"/>
    <n v="0"/>
    <n v="0"/>
    <n v="29"/>
    <n v="10045"/>
    <n v="0"/>
    <n v="0"/>
    <n v="0"/>
    <n v="2160800"/>
    <n v="703198100"/>
    <n v="0"/>
    <n v="0"/>
    <n v="0"/>
    <n v="0"/>
    <n v="4239"/>
  </r>
  <r>
    <x v="29"/>
    <x v="56"/>
    <s v="202504"/>
    <s v="2025"/>
    <s v="YOSHINOYA202504"/>
    <n v="442"/>
    <n v="14168"/>
    <n v="1452"/>
    <n v="2652"/>
    <n v="152360"/>
    <n v="71753100"/>
    <n v="2385092521"/>
    <n v="150558900"/>
    <n v="284244100"/>
    <n v="20151470528"/>
    <n v="107630"/>
    <n v="23850925"/>
    <n v="1656148"/>
    <n v="1989689"/>
    <n v="141059673"/>
  </r>
  <r>
    <x v="0"/>
    <x v="0"/>
    <s v="202505"/>
    <s v="2025"/>
    <s v="ALFA GROUP202505"/>
    <n v="15136"/>
    <n v="45335"/>
    <n v="14560"/>
    <n v="0"/>
    <n v="0"/>
    <n v="1378866030"/>
    <n v="4249737192"/>
    <n v="1847357570"/>
    <n v="0"/>
    <n v="0"/>
    <n v="2068299"/>
    <n v="42497372"/>
    <n v="33102299"/>
    <n v="0"/>
    <n v="0"/>
  </r>
  <r>
    <x v="0"/>
    <x v="1"/>
    <s v="202505"/>
    <s v="2025"/>
    <s v="ALFA GROUP202505"/>
    <n v="4383"/>
    <n v="17587"/>
    <n v="5721"/>
    <n v="0"/>
    <n v="0"/>
    <n v="554878028"/>
    <n v="2111965956"/>
    <n v="1043880422"/>
    <n v="0"/>
    <n v="0"/>
    <n v="832315"/>
    <n v="21119660"/>
    <n v="18690860"/>
    <n v="0"/>
    <n v="0"/>
  </r>
  <r>
    <x v="0"/>
    <x v="2"/>
    <s v="202505"/>
    <s v="2025"/>
    <s v="ALFA GROUP202505"/>
    <n v="385"/>
    <n v="1354"/>
    <n v="235"/>
    <n v="0"/>
    <n v="0"/>
    <n v="63410304"/>
    <n v="207408653"/>
    <n v="47335868"/>
    <n v="0"/>
    <n v="0"/>
    <n v="95115"/>
    <n v="2074087"/>
    <n v="847650"/>
    <n v="0"/>
    <n v="0"/>
  </r>
  <r>
    <x v="22"/>
    <x v="37"/>
    <s v="202505"/>
    <s v="2025"/>
    <s v="BANBAN TEA202505"/>
    <n v="10"/>
    <n v="17"/>
    <n v="4"/>
    <n v="69"/>
    <n v="240"/>
    <n v="899899"/>
    <n v="1306901"/>
    <n v="387101"/>
    <n v="4319695"/>
    <n v="14865487"/>
    <n v="1350"/>
    <n v="13069"/>
    <n v="6968"/>
    <n v="30238"/>
    <n v="104059"/>
  </r>
  <r>
    <x v="1"/>
    <x v="4"/>
    <s v="202505"/>
    <s v="2025"/>
    <s v="CHAMP RESTO202505"/>
    <n v="1"/>
    <n v="0"/>
    <n v="0"/>
    <n v="0"/>
    <n v="0"/>
    <n v="522500"/>
    <n v="0"/>
    <n v="0"/>
    <n v="0"/>
    <n v="0"/>
    <n v="784"/>
    <n v="0"/>
    <n v="0"/>
    <n v="0"/>
    <n v="0"/>
  </r>
  <r>
    <x v="1"/>
    <x v="5"/>
    <s v="202505"/>
    <s v="2025"/>
    <s v="CHAMP RESTO202505"/>
    <n v="10"/>
    <n v="12"/>
    <n v="0"/>
    <n v="37"/>
    <n v="239"/>
    <n v="1607000"/>
    <n v="2349978"/>
    <n v="0"/>
    <n v="1769000"/>
    <n v="11153000"/>
    <n v="2410"/>
    <n v="23500"/>
    <n v="0"/>
    <n v="0"/>
    <n v="0"/>
  </r>
  <r>
    <x v="1"/>
    <x v="6"/>
    <s v="202505"/>
    <s v="2025"/>
    <s v="CHAMP RESTO202505"/>
    <n v="0"/>
    <n v="10"/>
    <n v="1"/>
    <n v="0"/>
    <n v="0"/>
    <n v="0"/>
    <n v="1475466"/>
    <n v="223492"/>
    <n v="0"/>
    <n v="0"/>
    <n v="0"/>
    <n v="14755"/>
    <n v="4023"/>
    <n v="0"/>
    <n v="0"/>
  </r>
  <r>
    <x v="1"/>
    <x v="8"/>
    <s v="202505"/>
    <s v="2025"/>
    <s v="CHAMP RESTO202505"/>
    <n v="29"/>
    <n v="4"/>
    <n v="0"/>
    <n v="7"/>
    <n v="116"/>
    <n v="8675157"/>
    <n v="1098004"/>
    <n v="0"/>
    <n v="204000"/>
    <n v="3486000"/>
    <n v="13013"/>
    <n v="10980"/>
    <n v="0"/>
    <n v="0"/>
    <n v="0"/>
  </r>
  <r>
    <x v="32"/>
    <x v="63"/>
    <s v="202505"/>
    <s v="2025"/>
    <s v="DAMRI202505"/>
    <n v="1"/>
    <n v="17"/>
    <n v="1"/>
    <n v="0"/>
    <n v="105"/>
    <n v="80000"/>
    <n v="7190000"/>
    <n v="355000"/>
    <n v="0"/>
    <n v="47541000"/>
    <n v="120"/>
    <n v="71900"/>
    <n v="7100"/>
    <n v="0"/>
    <n v="332787"/>
  </r>
  <r>
    <x v="31"/>
    <x v="60"/>
    <s v="202505"/>
    <s v="2025"/>
    <s v="DWIDAYA202505"/>
    <n v="24"/>
    <n v="0"/>
    <n v="0"/>
    <n v="1"/>
    <n v="45"/>
    <n v="389255000"/>
    <n v="0"/>
    <n v="0"/>
    <n v="1600000"/>
    <n v="152413001"/>
    <n v="583882"/>
    <n v="0"/>
    <n v="0"/>
    <n v="11200"/>
    <n v="1066892"/>
  </r>
  <r>
    <x v="35"/>
    <x v="69"/>
    <s v="202505"/>
    <s v="2025"/>
    <s v="EKA HOSPITAL202505"/>
    <n v="1"/>
    <n v="2"/>
    <n v="20"/>
    <n v="0"/>
    <n v="5"/>
    <n v="15000"/>
    <n v="342871"/>
    <n v="10047700"/>
    <n v="0"/>
    <n v="5"/>
    <n v="22"/>
    <n v="3429"/>
    <n v="142138"/>
    <n v="0"/>
    <n v="0"/>
  </r>
  <r>
    <x v="2"/>
    <x v="9"/>
    <s v="202505"/>
    <s v="2025"/>
    <s v="ES TELLER 77202505"/>
    <n v="0"/>
    <n v="1"/>
    <n v="0"/>
    <n v="0"/>
    <n v="0"/>
    <n v="0"/>
    <n v="50000"/>
    <n v="0"/>
    <n v="0"/>
    <n v="0"/>
    <n v="0"/>
    <n v="500"/>
    <n v="0"/>
    <n v="0"/>
    <n v="0"/>
  </r>
  <r>
    <x v="3"/>
    <x v="10"/>
    <s v="202505"/>
    <s v="2025"/>
    <s v="GRAMEDIA202505"/>
    <n v="4"/>
    <n v="0"/>
    <n v="1"/>
    <n v="0"/>
    <n v="0"/>
    <n v="1011900"/>
    <n v="0"/>
    <n v="419800"/>
    <n v="0"/>
    <n v="0"/>
    <n v="1518"/>
    <n v="0"/>
    <n v="7556"/>
    <n v="0"/>
    <n v="0"/>
  </r>
  <r>
    <x v="4"/>
    <x v="11"/>
    <s v="202505"/>
    <s v="2025"/>
    <s v="HAUS202505"/>
    <n v="0"/>
    <n v="2"/>
    <n v="0"/>
    <n v="82"/>
    <n v="18589"/>
    <n v="0"/>
    <n v="55000"/>
    <n v="0"/>
    <n v="3636000"/>
    <n v="743979005"/>
    <n v="0"/>
    <n v="550"/>
    <n v="0"/>
    <n v="105555"/>
    <n v="5203471"/>
  </r>
  <r>
    <x v="26"/>
    <x v="47"/>
    <s v="202505"/>
    <s v="2025"/>
    <s v="HEAVENLY WANG202505"/>
    <n v="0"/>
    <n v="0"/>
    <n v="1"/>
    <n v="0"/>
    <n v="0"/>
    <n v="0"/>
    <n v="0"/>
    <n v="227535"/>
    <n v="0"/>
    <n v="0"/>
    <n v="0"/>
    <n v="0"/>
    <n v="4096"/>
    <n v="0"/>
    <n v="0"/>
  </r>
  <r>
    <x v="24"/>
    <x v="40"/>
    <s v="202505"/>
    <s v="2025"/>
    <s v="HERO GROUP202505"/>
    <n v="0"/>
    <n v="0"/>
    <n v="0"/>
    <n v="0"/>
    <n v="20"/>
    <n v="0"/>
    <n v="0"/>
    <n v="0"/>
    <n v="0"/>
    <n v="1986785"/>
    <n v="0"/>
    <n v="0"/>
    <n v="0"/>
    <n v="0"/>
    <n v="0"/>
  </r>
  <r>
    <x v="38"/>
    <x v="74"/>
    <s v="202505"/>
    <s v="2025"/>
    <s v="HOKBEN202505"/>
    <n v="0"/>
    <n v="0"/>
    <n v="0"/>
    <n v="12"/>
    <n v="2706"/>
    <n v="0"/>
    <n v="0"/>
    <n v="0"/>
    <n v="2187000"/>
    <n v="279829520"/>
    <n v="0"/>
    <n v="0"/>
    <n v="0"/>
    <n v="618149"/>
    <n v="1958806"/>
  </r>
  <r>
    <x v="27"/>
    <x v="48"/>
    <s v="202505"/>
    <s v="2025"/>
    <s v="HOKKAIDO BAKED CHEESE202505"/>
    <n v="10"/>
    <n v="133"/>
    <n v="5"/>
    <n v="31"/>
    <n v="4671"/>
    <n v="1160005"/>
    <n v="12910627"/>
    <n v="623400"/>
    <n v="2795880"/>
    <n v="247375849"/>
    <n v="1740"/>
    <n v="129106"/>
    <n v="11904"/>
    <n v="17030"/>
    <n v="1499382"/>
  </r>
  <r>
    <x v="5"/>
    <x v="12"/>
    <s v="202505"/>
    <s v="2025"/>
    <s v="HOP HOP202505"/>
    <n v="0"/>
    <n v="0"/>
    <n v="0"/>
    <n v="140"/>
    <n v="12885"/>
    <n v="0"/>
    <n v="0"/>
    <n v="0"/>
    <n v="5837900"/>
    <n v="369136909"/>
    <n v="0"/>
    <n v="0"/>
    <n v="0"/>
    <n v="-150172"/>
    <n v="26910"/>
  </r>
  <r>
    <x v="5"/>
    <x v="58"/>
    <s v="202505"/>
    <s v="2025"/>
    <s v="HOP HOP202505"/>
    <n v="0"/>
    <n v="0"/>
    <n v="0"/>
    <n v="16"/>
    <n v="2683"/>
    <n v="0"/>
    <n v="0"/>
    <n v="0"/>
    <n v="706000"/>
    <n v="65336600"/>
    <n v="0"/>
    <n v="0"/>
    <n v="0"/>
    <n v="0"/>
    <n v="0"/>
  </r>
  <r>
    <x v="6"/>
    <x v="13"/>
    <s v="202505"/>
    <s v="2025"/>
    <s v="IKEA202505"/>
    <n v="23"/>
    <n v="0"/>
    <n v="0"/>
    <n v="0"/>
    <n v="0"/>
    <n v="50014800"/>
    <n v="0"/>
    <n v="0"/>
    <n v="0"/>
    <n v="0"/>
    <n v="75022"/>
    <n v="0"/>
    <n v="0"/>
    <n v="0"/>
    <n v="0"/>
  </r>
  <r>
    <x v="7"/>
    <x v="14"/>
    <s v="202505"/>
    <s v="2025"/>
    <s v="INDOMARET202505"/>
    <n v="27093"/>
    <n v="57159"/>
    <n v="19808"/>
    <n v="0"/>
    <n v="0"/>
    <n v="2700946942"/>
    <n v="5039801217"/>
    <n v="2581620260"/>
    <n v="0"/>
    <n v="0"/>
    <n v="4051418"/>
    <n v="50398012"/>
    <n v="43194840"/>
    <n v="0"/>
    <n v="0"/>
  </r>
  <r>
    <x v="7"/>
    <x v="15"/>
    <s v="202505"/>
    <s v="2025"/>
    <s v="INDOMARET202505"/>
    <n v="472"/>
    <n v="1209"/>
    <n v="655"/>
    <n v="0"/>
    <n v="0"/>
    <n v="32386806"/>
    <n v="81179658"/>
    <n v="74571000"/>
    <n v="0"/>
    <n v="0"/>
    <n v="48580"/>
    <n v="811797"/>
    <n v="1252797"/>
    <n v="0"/>
    <n v="0"/>
  </r>
  <r>
    <x v="8"/>
    <x v="16"/>
    <s v="202505"/>
    <s v="2025"/>
    <s v="KAWAN LAMA202505"/>
    <n v="1163"/>
    <n v="0"/>
    <n v="0"/>
    <n v="89"/>
    <n v="17"/>
    <n v="918873358"/>
    <n v="0"/>
    <n v="0"/>
    <n v="35810777"/>
    <n v="15547528"/>
    <n v="1378309"/>
    <n v="0"/>
    <n v="0"/>
    <n v="250669"/>
    <n v="108832"/>
  </r>
  <r>
    <x v="8"/>
    <x v="17"/>
    <s v="202505"/>
    <s v="2025"/>
    <s v="KAWAN LAMA202505"/>
    <n v="349"/>
    <n v="0"/>
    <n v="1"/>
    <n v="400"/>
    <n v="50"/>
    <n v="36040994"/>
    <n v="0"/>
    <n v="46000"/>
    <n v="20502000"/>
    <n v="10441010"/>
    <n v="54061"/>
    <n v="0"/>
    <n v="920"/>
    <n v="143514"/>
    <n v="73087"/>
  </r>
  <r>
    <x v="8"/>
    <x v="54"/>
    <s v="202505"/>
    <s v="2025"/>
    <s v="KAWAN LAMA202505"/>
    <n v="2"/>
    <n v="0"/>
    <n v="0"/>
    <n v="0"/>
    <n v="1"/>
    <n v="1364501"/>
    <n v="0"/>
    <n v="0"/>
    <n v="0"/>
    <n v="200500"/>
    <n v="2047"/>
    <n v="0"/>
    <n v="0"/>
    <n v="0"/>
    <n v="0"/>
  </r>
  <r>
    <x v="8"/>
    <x v="49"/>
    <s v="202505"/>
    <s v="2025"/>
    <s v="KAWAN LAMA202505"/>
    <n v="7"/>
    <n v="0"/>
    <n v="0"/>
    <n v="0"/>
    <n v="0"/>
    <n v="588000"/>
    <n v="0"/>
    <n v="0"/>
    <n v="0"/>
    <n v="0"/>
    <n v="882"/>
    <n v="0"/>
    <n v="0"/>
    <n v="0"/>
    <n v="0"/>
  </r>
  <r>
    <x v="8"/>
    <x v="50"/>
    <s v="202505"/>
    <s v="2025"/>
    <s v="KAWAN LAMA202505"/>
    <n v="17"/>
    <n v="0"/>
    <n v="0"/>
    <n v="0"/>
    <n v="0"/>
    <n v="2371000"/>
    <n v="0"/>
    <n v="0"/>
    <n v="0"/>
    <n v="0"/>
    <n v="3556"/>
    <n v="0"/>
    <n v="0"/>
    <n v="0"/>
    <n v="0"/>
  </r>
  <r>
    <x v="8"/>
    <x v="18"/>
    <s v="202505"/>
    <s v="2025"/>
    <s v="KAWAN LAMA202505"/>
    <n v="280"/>
    <n v="0"/>
    <n v="0"/>
    <n v="28"/>
    <n v="4"/>
    <n v="949293413"/>
    <n v="0"/>
    <n v="0"/>
    <n v="33279585"/>
    <n v="32457639"/>
    <n v="1423940"/>
    <n v="0"/>
    <n v="0"/>
    <n v="232956"/>
    <n v="227204"/>
  </r>
  <r>
    <x v="8"/>
    <x v="19"/>
    <s v="202505"/>
    <s v="2025"/>
    <s v="KAWAN LAMA202505"/>
    <n v="12"/>
    <n v="0"/>
    <n v="0"/>
    <n v="4"/>
    <n v="1"/>
    <n v="55170900"/>
    <n v="0"/>
    <n v="0"/>
    <n v="15025800"/>
    <n v="2062811"/>
    <n v="82756"/>
    <n v="0"/>
    <n v="0"/>
    <n v="105181"/>
    <n v="14440"/>
  </r>
  <r>
    <x v="8"/>
    <x v="20"/>
    <s v="202505"/>
    <s v="2025"/>
    <s v="KAWAN LAMA202505"/>
    <n v="0"/>
    <n v="0"/>
    <n v="0"/>
    <n v="4"/>
    <n v="41"/>
    <n v="0"/>
    <n v="0"/>
    <n v="0"/>
    <n v="1100000"/>
    <n v="6459750"/>
    <n v="0"/>
    <n v="0"/>
    <n v="0"/>
    <n v="2850"/>
    <n v="7897"/>
  </r>
  <r>
    <x v="8"/>
    <x v="21"/>
    <s v="202505"/>
    <s v="2025"/>
    <s v="KAWAN LAMA202505"/>
    <n v="2"/>
    <n v="0"/>
    <n v="0"/>
    <n v="5"/>
    <n v="3"/>
    <n v="839000"/>
    <n v="0"/>
    <n v="0"/>
    <n v="4562520"/>
    <n v="3057002"/>
    <n v="1258"/>
    <n v="0"/>
    <n v="0"/>
    <n v="31937"/>
    <n v="21399"/>
  </r>
  <r>
    <x v="8"/>
    <x v="52"/>
    <s v="202505"/>
    <s v="2025"/>
    <s v="KAWAN LAMA202505"/>
    <n v="1"/>
    <n v="0"/>
    <n v="0"/>
    <n v="0"/>
    <n v="0"/>
    <n v="148000"/>
    <n v="0"/>
    <n v="0"/>
    <n v="0"/>
    <n v="0"/>
    <n v="222"/>
    <n v="0"/>
    <n v="0"/>
    <n v="0"/>
    <n v="0"/>
  </r>
  <r>
    <x v="9"/>
    <x v="22"/>
    <s v="202505"/>
    <s v="2025"/>
    <s v="KCIC202505"/>
    <n v="50"/>
    <n v="1576"/>
    <n v="1048"/>
    <n v="0"/>
    <n v="0"/>
    <n v="22200000"/>
    <n v="799600000"/>
    <n v="762100000"/>
    <n v="0"/>
    <n v="0"/>
    <n v="33300"/>
    <n v="7996000"/>
    <n v="13726900"/>
    <n v="0"/>
    <n v="0"/>
  </r>
  <r>
    <x v="10"/>
    <x v="23"/>
    <s v="202505"/>
    <s v="2025"/>
    <s v="KIMIA FARMA202505"/>
    <n v="0"/>
    <n v="0"/>
    <n v="0"/>
    <n v="0"/>
    <n v="5"/>
    <n v="0"/>
    <n v="0"/>
    <n v="0"/>
    <n v="0"/>
    <n v="773451"/>
    <n v="0"/>
    <n v="0"/>
    <n v="0"/>
    <n v="0"/>
    <n v="5414"/>
  </r>
  <r>
    <x v="25"/>
    <x v="57"/>
    <s v="202505"/>
    <s v="2025"/>
    <s v="MAP GROUP202505"/>
    <n v="0"/>
    <n v="4"/>
    <n v="0"/>
    <n v="0"/>
    <n v="0"/>
    <n v="0"/>
    <n v="413100"/>
    <n v="0"/>
    <n v="0"/>
    <n v="0"/>
    <n v="0"/>
    <n v="4131"/>
    <n v="0"/>
    <n v="0"/>
    <n v="0"/>
  </r>
  <r>
    <x v="25"/>
    <x v="42"/>
    <s v="202505"/>
    <s v="2025"/>
    <s v="MAP GROUP202505"/>
    <n v="2"/>
    <n v="0"/>
    <n v="2"/>
    <n v="0"/>
    <n v="0"/>
    <n v="2600000"/>
    <n v="0"/>
    <n v="694000"/>
    <n v="0"/>
    <n v="0"/>
    <n v="3900"/>
    <n v="0"/>
    <n v="9022"/>
    <n v="0"/>
    <n v="0"/>
  </r>
  <r>
    <x v="11"/>
    <x v="24"/>
    <s v="202505"/>
    <s v="2025"/>
    <s v="MITRA10202505"/>
    <n v="473"/>
    <n v="0"/>
    <n v="1"/>
    <n v="0"/>
    <n v="0"/>
    <n v="1000475718"/>
    <n v="0"/>
    <n v="3442655"/>
    <n v="0"/>
    <n v="0"/>
    <n v="1500712"/>
    <n v="0"/>
    <n v="68853"/>
    <n v="0"/>
    <n v="0"/>
  </r>
  <r>
    <x v="12"/>
    <x v="25"/>
    <s v="202505"/>
    <s v="2025"/>
    <s v="OPTIK MELAWAI202505"/>
    <n v="82"/>
    <n v="0"/>
    <n v="0"/>
    <n v="0"/>
    <n v="48"/>
    <n v="138732500"/>
    <n v="0"/>
    <n v="0"/>
    <n v="0"/>
    <n v="66503000"/>
    <n v="208099"/>
    <n v="0"/>
    <n v="0"/>
    <n v="0"/>
    <n v="465521"/>
  </r>
  <r>
    <x v="13"/>
    <x v="66"/>
    <s v="202505"/>
    <s v="2025"/>
    <s v="PATRA JASA202505"/>
    <n v="0"/>
    <n v="1"/>
    <n v="0"/>
    <n v="0"/>
    <n v="0"/>
    <n v="0"/>
    <n v="750000"/>
    <n v="0"/>
    <n v="0"/>
    <n v="0"/>
    <n v="0"/>
    <n v="7500"/>
    <n v="0"/>
    <n v="0"/>
    <n v="0"/>
  </r>
  <r>
    <x v="14"/>
    <x v="28"/>
    <s v="202505"/>
    <s v="2025"/>
    <s v="PERTAMINA RETAIL202505"/>
    <n v="9"/>
    <n v="159"/>
    <n v="0"/>
    <n v="0"/>
    <n v="0"/>
    <n v="1767912"/>
    <n v="28999040"/>
    <n v="0"/>
    <n v="0"/>
    <n v="0"/>
    <n v="2652"/>
    <n v="144995"/>
    <n v="0"/>
    <n v="0"/>
    <n v="0"/>
  </r>
  <r>
    <x v="15"/>
    <x v="29"/>
    <s v="202505"/>
    <s v="2025"/>
    <s v="PIZZA HUT202505"/>
    <n v="16"/>
    <n v="0"/>
    <n v="0"/>
    <n v="6"/>
    <n v="102"/>
    <n v="3229996"/>
    <n v="0"/>
    <n v="0"/>
    <n v="250000"/>
    <n v="4702000"/>
    <n v="4845"/>
    <n v="0"/>
    <n v="0"/>
    <n v="0"/>
    <n v="0"/>
  </r>
  <r>
    <x v="15"/>
    <x v="30"/>
    <s v="202505"/>
    <s v="2025"/>
    <s v="PIZZA HUT202505"/>
    <n v="218"/>
    <n v="0"/>
    <n v="0"/>
    <n v="0"/>
    <n v="0"/>
    <n v="59237004"/>
    <n v="0"/>
    <n v="0"/>
    <n v="0"/>
    <n v="0"/>
    <n v="88855"/>
    <n v="0"/>
    <n v="0"/>
    <n v="0"/>
    <n v="0"/>
  </r>
  <r>
    <x v="16"/>
    <x v="31"/>
    <s v="202505"/>
    <s v="2025"/>
    <s v="PLATINUM CINEPLEX202505"/>
    <n v="2"/>
    <n v="352"/>
    <n v="163"/>
    <n v="12"/>
    <n v="1431"/>
    <n v="250000"/>
    <n v="44462000"/>
    <n v="19100000"/>
    <n v="1136000"/>
    <n v="172479000"/>
    <n v="375"/>
    <n v="444620"/>
    <n v="344472"/>
    <n v="7952"/>
    <n v="1207353"/>
  </r>
  <r>
    <x v="34"/>
    <x v="67"/>
    <s v="202505"/>
    <s v="2025"/>
    <s v="POPEYES202505"/>
    <n v="0"/>
    <n v="0"/>
    <n v="0"/>
    <n v="1"/>
    <n v="1"/>
    <n v="0"/>
    <n v="0"/>
    <n v="0"/>
    <n v="959277"/>
    <n v="1"/>
    <n v="0"/>
    <n v="0"/>
    <n v="0"/>
    <n v="6715"/>
    <n v="0"/>
  </r>
  <r>
    <x v="17"/>
    <x v="32"/>
    <s v="202505"/>
    <s v="2025"/>
    <s v="SARINAH202505"/>
    <n v="14"/>
    <n v="177"/>
    <n v="484"/>
    <n v="0"/>
    <n v="0"/>
    <n v="16122165"/>
    <n v="204533236"/>
    <n v="496241473"/>
    <n v="0"/>
    <n v="0"/>
    <n v="24183"/>
    <n v="2045332"/>
    <n v="8932346"/>
    <n v="0"/>
    <n v="0"/>
  </r>
  <r>
    <x v="18"/>
    <x v="33"/>
    <s v="202505"/>
    <s v="2025"/>
    <s v="SHIHLIN202505"/>
    <n v="142"/>
    <n v="1"/>
    <n v="2"/>
    <n v="1017"/>
    <n v="302"/>
    <n v="10050200"/>
    <n v="54000"/>
    <n v="288000"/>
    <n v="73638288"/>
    <n v="12563244"/>
    <n v="15075"/>
    <n v="540"/>
    <n v="5668"/>
    <n v="429724"/>
    <n v="52976"/>
  </r>
  <r>
    <x v="19"/>
    <x v="34"/>
    <s v="202505"/>
    <s v="2025"/>
    <s v="SOLARIA202505"/>
    <n v="1621"/>
    <n v="1"/>
    <n v="0"/>
    <n v="0"/>
    <n v="0"/>
    <n v="263364900"/>
    <n v="134000"/>
    <n v="0"/>
    <n v="0"/>
    <n v="0"/>
    <n v="395047"/>
    <n v="1340"/>
    <n v="0"/>
    <n v="0"/>
    <n v="0"/>
  </r>
  <r>
    <x v="20"/>
    <x v="35"/>
    <s v="202505"/>
    <s v="2025"/>
    <s v="SOUR SALLY202505"/>
    <n v="1"/>
    <n v="6"/>
    <n v="0"/>
    <n v="66"/>
    <n v="440"/>
    <n v="64000"/>
    <n v="680000"/>
    <n v="0"/>
    <n v="4911000"/>
    <n v="27153313"/>
    <n v="96"/>
    <n v="6800"/>
    <n v="0"/>
    <n v="34377"/>
    <n v="190073"/>
  </r>
  <r>
    <x v="21"/>
    <x v="43"/>
    <s v="202505"/>
    <s v="2025"/>
    <s v="STEVEN GROUP202505"/>
    <n v="37"/>
    <n v="25"/>
    <n v="4"/>
    <n v="89"/>
    <n v="198"/>
    <n v="3741047"/>
    <n v="3214147"/>
    <n v="619138"/>
    <n v="7409444"/>
    <n v="20036765"/>
    <n v="5611"/>
    <n v="32141"/>
    <n v="12383"/>
    <n v="51870"/>
    <n v="140251"/>
  </r>
  <r>
    <x v="21"/>
    <x v="68"/>
    <s v="202505"/>
    <s v="2025"/>
    <s v="STEVEN GROUP202505"/>
    <n v="2"/>
    <n v="0"/>
    <n v="0"/>
    <n v="0"/>
    <n v="2"/>
    <n v="444502"/>
    <n v="0"/>
    <n v="0"/>
    <n v="0"/>
    <n v="2"/>
    <n v="667"/>
    <n v="0"/>
    <n v="0"/>
    <n v="0"/>
    <n v="0"/>
  </r>
  <r>
    <x v="21"/>
    <x v="36"/>
    <s v="202505"/>
    <s v="2025"/>
    <s v="STEVEN GROUP202505"/>
    <n v="1"/>
    <n v="0"/>
    <n v="0"/>
    <n v="0"/>
    <n v="4"/>
    <n v="325000"/>
    <n v="0"/>
    <n v="0"/>
    <n v="0"/>
    <n v="3600004"/>
    <n v="488"/>
    <n v="0"/>
    <n v="0"/>
    <n v="0"/>
    <n v="25200"/>
  </r>
  <r>
    <x v="21"/>
    <x v="71"/>
    <s v="202505"/>
    <s v="2025"/>
    <s v="STEVEN GROUP202505"/>
    <n v="1"/>
    <n v="0"/>
    <n v="0"/>
    <n v="0"/>
    <n v="1"/>
    <n v="1568270"/>
    <n v="0"/>
    <n v="0"/>
    <n v="0"/>
    <n v="1"/>
    <n v="2352"/>
    <n v="0"/>
    <n v="0"/>
    <n v="0"/>
    <n v="0"/>
  </r>
  <r>
    <x v="36"/>
    <x v="72"/>
    <s v="202505"/>
    <s v="2025"/>
    <s v="SUPRA BOGA LESTARI202505"/>
    <n v="15"/>
    <n v="0"/>
    <n v="0"/>
    <n v="0"/>
    <n v="0"/>
    <n v="8765096"/>
    <n v="0"/>
    <n v="0"/>
    <n v="0"/>
    <n v="0"/>
    <n v="13148"/>
    <n v="0"/>
    <n v="0"/>
    <n v="0"/>
    <n v="0"/>
  </r>
  <r>
    <x v="37"/>
    <x v="73"/>
    <s v="202505"/>
    <s v="2025"/>
    <s v="SUSHI TEI202505"/>
    <n v="0"/>
    <n v="0"/>
    <n v="0"/>
    <n v="0"/>
    <n v="2"/>
    <n v="0"/>
    <n v="0"/>
    <n v="0"/>
    <n v="0"/>
    <n v="2"/>
    <n v="0"/>
    <n v="0"/>
    <n v="0"/>
    <n v="0"/>
    <n v="0"/>
  </r>
  <r>
    <x v="30"/>
    <x v="59"/>
    <s v="202505"/>
    <s v="2025"/>
    <s v="YOGURT REPUBLIC202505"/>
    <n v="0"/>
    <n v="0"/>
    <n v="0"/>
    <n v="22"/>
    <n v="7246"/>
    <n v="0"/>
    <n v="0"/>
    <n v="0"/>
    <n v="1578900"/>
    <n v="499551502"/>
    <n v="0"/>
    <n v="0"/>
    <n v="0"/>
    <n v="0"/>
    <n v="2723"/>
  </r>
  <r>
    <x v="30"/>
    <x v="62"/>
    <s v="202505"/>
    <s v="2025"/>
    <s v="YOGURT REPUBLIC202505"/>
    <n v="4"/>
    <n v="0"/>
    <n v="0"/>
    <n v="0"/>
    <n v="0"/>
    <n v="281710"/>
    <n v="0"/>
    <n v="0"/>
    <n v="0"/>
    <n v="0"/>
    <n v="423"/>
    <n v="0"/>
    <n v="0"/>
    <n v="0"/>
    <n v="0"/>
  </r>
  <r>
    <x v="29"/>
    <x v="56"/>
    <s v="202505"/>
    <s v="2025"/>
    <s v="YOSHINOYA202505"/>
    <n v="326"/>
    <n v="11246"/>
    <n v="568"/>
    <n v="968"/>
    <n v="151221"/>
    <n v="49851700"/>
    <n v="1722059700"/>
    <n v="67160500"/>
    <n v="112618502"/>
    <n v="18622937574"/>
    <n v="74778"/>
    <n v="17220597"/>
    <n v="738766"/>
    <n v="788310"/>
    <n v="130359777"/>
  </r>
  <r>
    <x v="39"/>
    <x v="75"/>
    <s v="202505"/>
    <s v="2025"/>
    <s v="ZENBU202505"/>
    <n v="0"/>
    <n v="0"/>
    <n v="0"/>
    <n v="14"/>
    <n v="5481"/>
    <n v="0"/>
    <n v="0"/>
    <n v="0"/>
    <n v="4131864"/>
    <n v="1309817796"/>
    <n v="0"/>
    <n v="0"/>
    <n v="0"/>
    <n v="778443"/>
    <n v="9168705"/>
  </r>
  <r>
    <x v="0"/>
    <x v="0"/>
    <s v="202506"/>
    <s v="2025"/>
    <s v="ALFA GROUP202506"/>
    <n v="16660"/>
    <n v="57238"/>
    <n v="16481"/>
    <n v="0"/>
    <n v="0"/>
    <n v="1561460603"/>
    <n v="5605130661"/>
    <n v="2080144464"/>
    <n v="0"/>
    <n v="0"/>
    <n v="2342191"/>
    <n v="56051307"/>
    <n v="37252757"/>
    <n v="0"/>
    <n v="0"/>
  </r>
  <r>
    <x v="0"/>
    <x v="1"/>
    <s v="202506"/>
    <s v="2025"/>
    <s v="ALFA GROUP202506"/>
    <n v="5225"/>
    <n v="21680"/>
    <n v="6565"/>
    <n v="0"/>
    <n v="0"/>
    <n v="652356470"/>
    <n v="2703220889"/>
    <n v="1195916878"/>
    <n v="0"/>
    <n v="0"/>
    <n v="978532"/>
    <n v="27032209"/>
    <n v="21407809"/>
    <n v="0"/>
    <n v="0"/>
  </r>
  <r>
    <x v="0"/>
    <x v="2"/>
    <s v="202506"/>
    <s v="2025"/>
    <s v="ALFA GROUP202506"/>
    <n v="409"/>
    <n v="1689"/>
    <n v="244"/>
    <n v="0"/>
    <n v="0"/>
    <n v="68906003"/>
    <n v="268588188"/>
    <n v="43981101"/>
    <n v="0"/>
    <n v="0"/>
    <n v="103359"/>
    <n v="2685882"/>
    <n v="789558"/>
    <n v="0"/>
    <n v="0"/>
  </r>
  <r>
    <x v="22"/>
    <x v="37"/>
    <s v="202506"/>
    <s v="2025"/>
    <s v="BANBAN TEA202506"/>
    <n v="12"/>
    <n v="60"/>
    <n v="12"/>
    <n v="38"/>
    <n v="576"/>
    <n v="937499"/>
    <n v="4469896"/>
    <n v="828200"/>
    <n v="2377699"/>
    <n v="37888974"/>
    <n v="1406"/>
    <n v="44699"/>
    <n v="14908"/>
    <n v="16644"/>
    <n v="265222"/>
  </r>
  <r>
    <x v="1"/>
    <x v="4"/>
    <s v="202506"/>
    <s v="2025"/>
    <s v="CHAMP RESTO202506"/>
    <n v="1"/>
    <n v="0"/>
    <n v="0"/>
    <n v="0"/>
    <n v="5"/>
    <n v="183260"/>
    <n v="0"/>
    <n v="0"/>
    <n v="0"/>
    <n v="891202"/>
    <n v="275"/>
    <n v="0"/>
    <n v="0"/>
    <n v="0"/>
    <n v="6237"/>
  </r>
  <r>
    <x v="1"/>
    <x v="44"/>
    <s v="202506"/>
    <s v="2025"/>
    <s v="CHAMP RESTO202506"/>
    <n v="0"/>
    <n v="0"/>
    <n v="0"/>
    <n v="0"/>
    <n v="6"/>
    <n v="0"/>
    <n v="0"/>
    <n v="0"/>
    <n v="0"/>
    <n v="4895387"/>
    <n v="0"/>
    <n v="0"/>
    <n v="0"/>
    <n v="0"/>
    <n v="34267"/>
  </r>
  <r>
    <x v="1"/>
    <x v="5"/>
    <s v="202506"/>
    <s v="2025"/>
    <s v="CHAMP RESTO202506"/>
    <n v="12"/>
    <n v="9"/>
    <n v="0"/>
    <n v="0"/>
    <n v="0"/>
    <n v="2015089"/>
    <n v="1398000"/>
    <n v="0"/>
    <n v="0"/>
    <n v="0"/>
    <n v="3023"/>
    <n v="13980"/>
    <n v="0"/>
    <n v="0"/>
    <n v="0"/>
  </r>
  <r>
    <x v="1"/>
    <x v="6"/>
    <s v="202506"/>
    <s v="2025"/>
    <s v="CHAMP RESTO202506"/>
    <n v="0"/>
    <n v="10"/>
    <n v="0"/>
    <n v="0"/>
    <n v="1"/>
    <n v="0"/>
    <n v="2314150"/>
    <n v="0"/>
    <n v="0"/>
    <n v="3132826"/>
    <n v="0"/>
    <n v="23141"/>
    <n v="0"/>
    <n v="0"/>
    <n v="21930"/>
  </r>
  <r>
    <x v="1"/>
    <x v="8"/>
    <s v="202506"/>
    <s v="2025"/>
    <s v="CHAMP RESTO202506"/>
    <n v="26"/>
    <n v="0"/>
    <n v="0"/>
    <n v="0"/>
    <n v="0"/>
    <n v="7389258"/>
    <n v="0"/>
    <n v="0"/>
    <n v="0"/>
    <n v="0"/>
    <n v="11084"/>
    <n v="0"/>
    <n v="0"/>
    <n v="0"/>
    <n v="0"/>
  </r>
  <r>
    <x v="32"/>
    <x v="63"/>
    <s v="202506"/>
    <s v="2025"/>
    <s v="DAMRI202506"/>
    <n v="2"/>
    <n v="12"/>
    <n v="1"/>
    <n v="1"/>
    <n v="58"/>
    <n v="160000"/>
    <n v="6395000"/>
    <n v="155000"/>
    <n v="1"/>
    <n v="23142000"/>
    <n v="240"/>
    <n v="63950"/>
    <n v="3100"/>
    <n v="0"/>
    <n v="161994"/>
  </r>
  <r>
    <x v="31"/>
    <x v="60"/>
    <s v="202506"/>
    <s v="2025"/>
    <s v="DWIDAYA202506"/>
    <n v="11"/>
    <n v="0"/>
    <n v="0"/>
    <n v="0"/>
    <n v="44"/>
    <n v="176357940"/>
    <n v="0"/>
    <n v="0"/>
    <n v="0"/>
    <n v="129646120"/>
    <n v="264537"/>
    <n v="0"/>
    <n v="0"/>
    <n v="0"/>
    <n v="907522"/>
  </r>
  <r>
    <x v="35"/>
    <x v="69"/>
    <s v="202506"/>
    <s v="2025"/>
    <s v="EKA HOSPITAL202506"/>
    <n v="0"/>
    <n v="4"/>
    <n v="8"/>
    <n v="0"/>
    <n v="5"/>
    <n v="0"/>
    <n v="76320061"/>
    <n v="2855840"/>
    <n v="0"/>
    <n v="5"/>
    <n v="0"/>
    <n v="763201"/>
    <n v="57117"/>
    <n v="0"/>
    <n v="0"/>
  </r>
  <r>
    <x v="3"/>
    <x v="10"/>
    <s v="202506"/>
    <s v="2025"/>
    <s v="GRAMEDIA202506"/>
    <n v="3"/>
    <n v="0"/>
    <n v="1"/>
    <n v="0"/>
    <n v="0"/>
    <n v="505300"/>
    <n v="0"/>
    <n v="499800"/>
    <n v="0"/>
    <n v="0"/>
    <n v="758"/>
    <n v="0"/>
    <n v="9996"/>
    <n v="0"/>
    <n v="0"/>
  </r>
  <r>
    <x v="4"/>
    <x v="11"/>
    <s v="202506"/>
    <s v="2025"/>
    <s v="HAUS202506"/>
    <n v="0"/>
    <n v="5"/>
    <n v="0"/>
    <n v="98"/>
    <n v="23471"/>
    <n v="0"/>
    <n v="154000"/>
    <n v="0"/>
    <n v="3833000"/>
    <n v="986656595"/>
    <n v="0"/>
    <n v="1540"/>
    <n v="0"/>
    <n v="22211"/>
    <n v="6836490"/>
  </r>
  <r>
    <x v="24"/>
    <x v="40"/>
    <s v="202506"/>
    <s v="2025"/>
    <s v="HERO GROUP202506"/>
    <n v="0"/>
    <n v="0"/>
    <n v="0"/>
    <n v="20"/>
    <n v="414"/>
    <n v="0"/>
    <n v="0"/>
    <n v="0"/>
    <n v="5247829"/>
    <n v="36429323"/>
    <n v="0"/>
    <n v="0"/>
    <n v="0"/>
    <n v="36737"/>
    <n v="245373"/>
  </r>
  <r>
    <x v="38"/>
    <x v="74"/>
    <s v="202506"/>
    <s v="2025"/>
    <s v="HOKBEN202506"/>
    <n v="0"/>
    <n v="0"/>
    <n v="0"/>
    <n v="7"/>
    <n v="2475"/>
    <n v="0"/>
    <n v="0"/>
    <n v="0"/>
    <n v="855000"/>
    <n v="247067000"/>
    <n v="0"/>
    <n v="0"/>
    <n v="0"/>
    <n v="5986"/>
    <n v="1729469"/>
  </r>
  <r>
    <x v="27"/>
    <x v="48"/>
    <s v="202506"/>
    <s v="2025"/>
    <s v="HOKKAIDO BAKED CHEESE202506"/>
    <n v="9"/>
    <n v="153"/>
    <n v="8"/>
    <n v="24"/>
    <n v="2784"/>
    <n v="838600"/>
    <n v="14807372"/>
    <n v="891900"/>
    <n v="2270658"/>
    <n v="146099206"/>
    <n v="1258"/>
    <n v="148074"/>
    <n v="16808"/>
    <n v="15894"/>
    <n v="832639"/>
  </r>
  <r>
    <x v="5"/>
    <x v="12"/>
    <s v="202506"/>
    <s v="2025"/>
    <s v="HOP HOP202506"/>
    <n v="3"/>
    <n v="6"/>
    <n v="1"/>
    <n v="193"/>
    <n v="11672"/>
    <n v="131000"/>
    <n v="165000"/>
    <n v="60000"/>
    <n v="7636000"/>
    <n v="310280569"/>
    <n v="196"/>
    <n v="1650"/>
    <n v="1080"/>
    <n v="553"/>
    <n v="8697"/>
  </r>
  <r>
    <x v="5"/>
    <x v="58"/>
    <s v="202506"/>
    <s v="2025"/>
    <s v="HOP HOP202506"/>
    <n v="0"/>
    <n v="0"/>
    <n v="0"/>
    <n v="44"/>
    <n v="2762"/>
    <n v="0"/>
    <n v="0"/>
    <n v="0"/>
    <n v="2064000"/>
    <n v="64482108"/>
    <n v="0"/>
    <n v="0"/>
    <n v="0"/>
    <n v="0"/>
    <n v="0"/>
  </r>
  <r>
    <x v="6"/>
    <x v="13"/>
    <s v="202506"/>
    <s v="2025"/>
    <s v="IKEA202506"/>
    <n v="19"/>
    <n v="0"/>
    <n v="0"/>
    <n v="0"/>
    <n v="0"/>
    <n v="14739100"/>
    <n v="0"/>
    <n v="0"/>
    <n v="0"/>
    <n v="0"/>
    <n v="22109"/>
    <n v="0"/>
    <n v="0"/>
    <n v="0"/>
    <n v="0"/>
  </r>
  <r>
    <x v="7"/>
    <x v="14"/>
    <s v="202506"/>
    <s v="2025"/>
    <s v="INDOMARET202506"/>
    <n v="29360"/>
    <n v="72307"/>
    <n v="23651"/>
    <n v="0"/>
    <n v="0"/>
    <n v="2965897433"/>
    <n v="6642608819"/>
    <n v="3196668480"/>
    <n v="0"/>
    <n v="0"/>
    <n v="4448843"/>
    <n v="66426088"/>
    <n v="53495366"/>
    <n v="0"/>
    <n v="0"/>
  </r>
  <r>
    <x v="7"/>
    <x v="15"/>
    <s v="202506"/>
    <s v="2025"/>
    <s v="INDOMARET202506"/>
    <n v="556"/>
    <n v="1599"/>
    <n v="796"/>
    <n v="0"/>
    <n v="0"/>
    <n v="44384831"/>
    <n v="109157590"/>
    <n v="92075600"/>
    <n v="0"/>
    <n v="0"/>
    <n v="66577"/>
    <n v="1091576"/>
    <n v="1553109"/>
    <n v="0"/>
    <n v="0"/>
  </r>
  <r>
    <x v="8"/>
    <x v="16"/>
    <s v="202506"/>
    <s v="2025"/>
    <s v="KAWAN LAMA202506"/>
    <n v="1248"/>
    <n v="7"/>
    <n v="1"/>
    <n v="0"/>
    <n v="47"/>
    <n v="907825904"/>
    <n v="959300"/>
    <n v="219800"/>
    <n v="0"/>
    <n v="254154394"/>
    <n v="1361737"/>
    <n v="9593"/>
    <n v="3956"/>
    <n v="0"/>
    <n v="1779070"/>
  </r>
  <r>
    <x v="8"/>
    <x v="17"/>
    <s v="202506"/>
    <s v="2025"/>
    <s v="KAWAN LAMA202506"/>
    <n v="354"/>
    <n v="1"/>
    <n v="2"/>
    <n v="0"/>
    <n v="45"/>
    <n v="24857000"/>
    <n v="35000"/>
    <n v="213000"/>
    <n v="0"/>
    <n v="31115014"/>
    <n v="37286"/>
    <n v="350"/>
    <n v="4260"/>
    <n v="0"/>
    <n v="217805"/>
  </r>
  <r>
    <x v="8"/>
    <x v="54"/>
    <s v="202506"/>
    <s v="2025"/>
    <s v="KAWAN LAMA202506"/>
    <n v="1"/>
    <n v="0"/>
    <n v="0"/>
    <n v="2"/>
    <n v="27"/>
    <n v="1119200"/>
    <n v="0"/>
    <n v="0"/>
    <n v="336000"/>
    <n v="24477557"/>
    <n v="1679"/>
    <n v="0"/>
    <n v="0"/>
    <n v="0"/>
    <n v="171343"/>
  </r>
  <r>
    <x v="8"/>
    <x v="49"/>
    <s v="202506"/>
    <s v="2025"/>
    <s v="KAWAN LAMA202506"/>
    <n v="3"/>
    <n v="0"/>
    <n v="0"/>
    <n v="0"/>
    <n v="0"/>
    <n v="284000"/>
    <n v="0"/>
    <n v="0"/>
    <n v="0"/>
    <n v="0"/>
    <n v="426"/>
    <n v="0"/>
    <n v="0"/>
    <n v="0"/>
    <n v="0"/>
  </r>
  <r>
    <x v="8"/>
    <x v="50"/>
    <s v="202506"/>
    <s v="2025"/>
    <s v="KAWAN LAMA202506"/>
    <n v="24"/>
    <n v="0"/>
    <n v="0"/>
    <n v="0"/>
    <n v="0"/>
    <n v="3927000"/>
    <n v="0"/>
    <n v="0"/>
    <n v="0"/>
    <n v="0"/>
    <n v="5890"/>
    <n v="0"/>
    <n v="0"/>
    <n v="0"/>
    <n v="0"/>
  </r>
  <r>
    <x v="8"/>
    <x v="18"/>
    <s v="202506"/>
    <s v="2025"/>
    <s v="KAWAN LAMA202506"/>
    <n v="301"/>
    <n v="0"/>
    <n v="0"/>
    <n v="0"/>
    <n v="5"/>
    <n v="988730421"/>
    <n v="0"/>
    <n v="0"/>
    <n v="0"/>
    <n v="155942065"/>
    <n v="1483095"/>
    <n v="0"/>
    <n v="0"/>
    <n v="0"/>
    <n v="1091591"/>
  </r>
  <r>
    <x v="8"/>
    <x v="19"/>
    <s v="202506"/>
    <s v="2025"/>
    <s v="KAWAN LAMA202506"/>
    <n v="20"/>
    <n v="0"/>
    <n v="0"/>
    <n v="0"/>
    <n v="1"/>
    <n v="56780600"/>
    <n v="0"/>
    <n v="0"/>
    <n v="0"/>
    <n v="27596728"/>
    <n v="85171"/>
    <n v="0"/>
    <n v="0"/>
    <n v="0"/>
    <n v="193176"/>
  </r>
  <r>
    <x v="8"/>
    <x v="20"/>
    <s v="202506"/>
    <s v="2025"/>
    <s v="KAWAN LAMA202506"/>
    <n v="0"/>
    <n v="0"/>
    <n v="0"/>
    <n v="4"/>
    <n v="38"/>
    <n v="0"/>
    <n v="0"/>
    <n v="0"/>
    <n v="250000"/>
    <n v="5551500"/>
    <n v="0"/>
    <n v="0"/>
    <n v="0"/>
    <n v="0"/>
    <n v="9370"/>
  </r>
  <r>
    <x v="8"/>
    <x v="21"/>
    <s v="202506"/>
    <s v="2025"/>
    <s v="KAWAN LAMA202506"/>
    <n v="15"/>
    <n v="0"/>
    <n v="0"/>
    <n v="0"/>
    <n v="12"/>
    <n v="33607832"/>
    <n v="0"/>
    <n v="0"/>
    <n v="0"/>
    <n v="45979818"/>
    <n v="50412"/>
    <n v="0"/>
    <n v="0"/>
    <n v="0"/>
    <n v="321858"/>
  </r>
  <r>
    <x v="9"/>
    <x v="22"/>
    <s v="202506"/>
    <s v="2025"/>
    <s v="KCIC202506"/>
    <n v="64"/>
    <n v="1809"/>
    <n v="1234"/>
    <n v="0"/>
    <n v="0"/>
    <n v="30950000"/>
    <n v="1003125000"/>
    <n v="875087000"/>
    <n v="0"/>
    <n v="0"/>
    <n v="46425"/>
    <n v="10031250"/>
    <n v="15764266"/>
    <n v="0"/>
    <n v="0"/>
  </r>
  <r>
    <x v="10"/>
    <x v="23"/>
    <s v="202506"/>
    <s v="2025"/>
    <s v="KIMIA FARMA202506"/>
    <n v="0"/>
    <n v="0"/>
    <n v="0"/>
    <n v="1"/>
    <n v="5"/>
    <n v="0"/>
    <n v="0"/>
    <n v="0"/>
    <n v="1"/>
    <n v="1187679"/>
    <n v="0"/>
    <n v="0"/>
    <n v="0"/>
    <n v="0"/>
    <n v="8313"/>
  </r>
  <r>
    <x v="25"/>
    <x v="57"/>
    <s v="202506"/>
    <s v="2025"/>
    <s v="MAP GROUP202506"/>
    <n v="1"/>
    <n v="4"/>
    <n v="1"/>
    <n v="0"/>
    <n v="0"/>
    <n v="310900"/>
    <n v="455000"/>
    <n v="217100"/>
    <n v="0"/>
    <n v="0"/>
    <n v="466"/>
    <n v="4550"/>
    <n v="3908"/>
    <n v="0"/>
    <n v="0"/>
  </r>
  <r>
    <x v="11"/>
    <x v="24"/>
    <s v="202506"/>
    <s v="2025"/>
    <s v="MITRA10202506"/>
    <n v="515"/>
    <n v="0"/>
    <n v="1"/>
    <n v="0"/>
    <n v="0"/>
    <n v="1033667872"/>
    <n v="0"/>
    <n v="105120"/>
    <n v="0"/>
    <n v="0"/>
    <n v="1550500"/>
    <n v="0"/>
    <n v="2102"/>
    <n v="0"/>
    <n v="0"/>
  </r>
  <r>
    <x v="12"/>
    <x v="25"/>
    <s v="202506"/>
    <s v="2025"/>
    <s v="OPTIK MELAWAI202506"/>
    <n v="85"/>
    <n v="0"/>
    <n v="0"/>
    <n v="0"/>
    <n v="0"/>
    <n v="135944000"/>
    <n v="0"/>
    <n v="0"/>
    <n v="0"/>
    <n v="0"/>
    <n v="203916"/>
    <n v="0"/>
    <n v="0"/>
    <n v="0"/>
    <n v="0"/>
  </r>
  <r>
    <x v="13"/>
    <x v="66"/>
    <s v="202506"/>
    <s v="2025"/>
    <s v="PATRA JASA202506"/>
    <n v="0"/>
    <n v="2"/>
    <n v="0"/>
    <n v="0"/>
    <n v="0"/>
    <n v="0"/>
    <n v="3750000"/>
    <n v="0"/>
    <n v="0"/>
    <n v="0"/>
    <n v="0"/>
    <n v="37500"/>
    <n v="0"/>
    <n v="0"/>
    <n v="0"/>
  </r>
  <r>
    <x v="14"/>
    <x v="28"/>
    <s v="202506"/>
    <s v="2025"/>
    <s v="PERTAMINA RETAIL202506"/>
    <n v="15"/>
    <n v="233"/>
    <n v="0"/>
    <n v="0"/>
    <n v="0"/>
    <n v="2862193"/>
    <n v="39621944"/>
    <n v="0"/>
    <n v="0"/>
    <n v="0"/>
    <n v="4293"/>
    <n v="198110"/>
    <n v="0"/>
    <n v="0"/>
    <n v="0"/>
  </r>
  <r>
    <x v="15"/>
    <x v="29"/>
    <s v="202506"/>
    <s v="2025"/>
    <s v="PIZZA HUT202506"/>
    <n v="44"/>
    <n v="0"/>
    <n v="0"/>
    <n v="0"/>
    <n v="43"/>
    <n v="7439495"/>
    <n v="0"/>
    <n v="0"/>
    <n v="0"/>
    <n v="1826000"/>
    <n v="11159"/>
    <n v="0"/>
    <n v="0"/>
    <n v="0"/>
    <n v="0"/>
  </r>
  <r>
    <x v="15"/>
    <x v="30"/>
    <s v="202506"/>
    <s v="2025"/>
    <s v="PIZZA HUT202506"/>
    <n v="306"/>
    <n v="0"/>
    <n v="0"/>
    <n v="0"/>
    <n v="0"/>
    <n v="84635018"/>
    <n v="0"/>
    <n v="0"/>
    <n v="0"/>
    <n v="0"/>
    <n v="126952"/>
    <n v="0"/>
    <n v="0"/>
    <n v="0"/>
    <n v="0"/>
  </r>
  <r>
    <x v="16"/>
    <x v="31"/>
    <s v="202506"/>
    <s v="2025"/>
    <s v="PLATINUM CINEPLEX202506"/>
    <n v="1"/>
    <n v="349"/>
    <n v="138"/>
    <n v="13"/>
    <n v="1306"/>
    <n v="42000"/>
    <n v="38623000"/>
    <n v="20065000"/>
    <n v="1396000"/>
    <n v="136139000"/>
    <n v="63"/>
    <n v="386230"/>
    <n v="361170"/>
    <n v="9772"/>
    <n v="952973"/>
  </r>
  <r>
    <x v="34"/>
    <x v="67"/>
    <s v="202506"/>
    <s v="2025"/>
    <s v="POPEYES202506"/>
    <n v="0"/>
    <n v="0"/>
    <n v="0"/>
    <n v="0"/>
    <n v="1"/>
    <n v="0"/>
    <n v="0"/>
    <n v="0"/>
    <n v="0"/>
    <n v="1"/>
    <n v="0"/>
    <n v="0"/>
    <n v="0"/>
    <n v="0"/>
    <n v="0"/>
  </r>
  <r>
    <x v="17"/>
    <x v="32"/>
    <s v="202506"/>
    <s v="2025"/>
    <s v="SARINAH202506"/>
    <n v="9"/>
    <n v="176"/>
    <n v="382"/>
    <n v="0"/>
    <n v="0"/>
    <n v="7774670"/>
    <n v="162891576"/>
    <n v="408639976"/>
    <n v="0"/>
    <n v="0"/>
    <n v="11662"/>
    <n v="1628916"/>
    <n v="7355520"/>
    <n v="0"/>
    <n v="0"/>
  </r>
  <r>
    <x v="18"/>
    <x v="33"/>
    <s v="202506"/>
    <s v="2025"/>
    <s v="SHIHLIN202506"/>
    <n v="86"/>
    <n v="9"/>
    <n v="2"/>
    <n v="327"/>
    <n v="376"/>
    <n v="5876000"/>
    <n v="506000"/>
    <n v="184000"/>
    <n v="24774001"/>
    <n v="56273924"/>
    <n v="8814"/>
    <n v="5060"/>
    <n v="3312"/>
    <n v="127148"/>
    <n v="353778"/>
  </r>
  <r>
    <x v="19"/>
    <x v="34"/>
    <s v="202506"/>
    <s v="2025"/>
    <s v="SOLARIA202506"/>
    <n v="2014"/>
    <n v="1"/>
    <n v="0"/>
    <n v="0"/>
    <n v="0"/>
    <n v="342331300"/>
    <n v="45000"/>
    <n v="0"/>
    <n v="0"/>
    <n v="0"/>
    <n v="513497"/>
    <n v="450"/>
    <n v="0"/>
    <n v="0"/>
    <n v="0"/>
  </r>
  <r>
    <x v="20"/>
    <x v="35"/>
    <s v="202506"/>
    <s v="2025"/>
    <s v="SOUR SALLY202506"/>
    <n v="9"/>
    <n v="5"/>
    <n v="0"/>
    <n v="46"/>
    <n v="700"/>
    <n v="806000"/>
    <n v="424000"/>
    <n v="0"/>
    <n v="3481000"/>
    <n v="46950900"/>
    <n v="1209"/>
    <n v="4240"/>
    <n v="0"/>
    <n v="24367"/>
    <n v="328656"/>
  </r>
  <r>
    <x v="21"/>
    <x v="70"/>
    <s v="202506"/>
    <s v="2025"/>
    <s v="STEVEN GROUP202506"/>
    <n v="3"/>
    <n v="0"/>
    <n v="0"/>
    <n v="0"/>
    <n v="0"/>
    <n v="1125740"/>
    <n v="0"/>
    <n v="0"/>
    <n v="0"/>
    <n v="2809000"/>
    <n v="1689"/>
    <n v="0"/>
    <n v="0"/>
    <n v="0"/>
    <n v="6486"/>
  </r>
  <r>
    <x v="21"/>
    <x v="43"/>
    <s v="202506"/>
    <s v="2025"/>
    <s v="STEVEN GROUP202506"/>
    <n v="67"/>
    <n v="26"/>
    <n v="6"/>
    <n v="0"/>
    <n v="78"/>
    <n v="6787342"/>
    <n v="2505013"/>
    <n v="385846"/>
    <n v="0"/>
    <n v="23354581"/>
    <n v="10181"/>
    <n v="25050"/>
    <n v="7285"/>
    <n v="0"/>
    <n v="163481"/>
  </r>
  <r>
    <x v="21"/>
    <x v="51"/>
    <s v="202506"/>
    <s v="2025"/>
    <s v="STEVEN GROUP202506"/>
    <n v="0"/>
    <n v="0"/>
    <n v="0"/>
    <n v="0"/>
    <n v="1"/>
    <n v="0"/>
    <n v="0"/>
    <n v="0"/>
    <n v="0"/>
    <n v="1"/>
    <n v="0"/>
    <n v="0"/>
    <n v="0"/>
    <n v="0"/>
    <n v="0"/>
  </r>
  <r>
    <x v="21"/>
    <x v="68"/>
    <s v="202506"/>
    <s v="2025"/>
    <s v="STEVEN GROUP202506"/>
    <n v="10"/>
    <n v="10"/>
    <n v="2"/>
    <n v="0"/>
    <n v="0"/>
    <n v="1660726"/>
    <n v="813000"/>
    <n v="417000"/>
    <n v="0"/>
    <n v="0"/>
    <n v="2491"/>
    <n v="8130"/>
    <n v="7506"/>
    <n v="0"/>
    <n v="0"/>
  </r>
  <r>
    <x v="21"/>
    <x v="36"/>
    <s v="202506"/>
    <s v="2025"/>
    <s v="STEVEN GROUP202506"/>
    <n v="3"/>
    <n v="0"/>
    <n v="0"/>
    <n v="0"/>
    <n v="4"/>
    <n v="32225000"/>
    <n v="0"/>
    <n v="0"/>
    <n v="0"/>
    <n v="2700004"/>
    <n v="48338"/>
    <n v="0"/>
    <n v="0"/>
    <n v="0"/>
    <n v="18900"/>
  </r>
  <r>
    <x v="21"/>
    <x v="71"/>
    <s v="202506"/>
    <s v="2025"/>
    <s v="STEVEN GROUP202506"/>
    <n v="6"/>
    <n v="0"/>
    <n v="0"/>
    <n v="0"/>
    <n v="1"/>
    <n v="3792883"/>
    <n v="0"/>
    <n v="0"/>
    <n v="0"/>
    <n v="1"/>
    <n v="5689"/>
    <n v="0"/>
    <n v="0"/>
    <n v="0"/>
    <n v="0"/>
  </r>
  <r>
    <x v="36"/>
    <x v="72"/>
    <s v="202506"/>
    <s v="2025"/>
    <s v="SUPRA BOGA LESTARI202506"/>
    <n v="3"/>
    <n v="0"/>
    <n v="0"/>
    <n v="0"/>
    <n v="0"/>
    <n v="4072152"/>
    <n v="0"/>
    <n v="0"/>
    <n v="0"/>
    <n v="0"/>
    <n v="6108"/>
    <n v="0"/>
    <n v="0"/>
    <n v="0"/>
    <n v="0"/>
  </r>
  <r>
    <x v="33"/>
    <x v="65"/>
    <s v="202506"/>
    <s v="2025"/>
    <s v="SURYA BUMI RETAILINDO202506"/>
    <n v="0"/>
    <n v="1"/>
    <n v="0"/>
    <n v="0"/>
    <n v="0"/>
    <n v="0"/>
    <n v="3380000"/>
    <n v="0"/>
    <n v="0"/>
    <n v="0"/>
    <n v="0"/>
    <n v="33800"/>
    <n v="0"/>
    <n v="0"/>
    <n v="0"/>
  </r>
  <r>
    <x v="37"/>
    <x v="73"/>
    <s v="202506"/>
    <s v="2025"/>
    <s v="SUSHI TEI202506"/>
    <n v="7"/>
    <n v="0"/>
    <n v="0"/>
    <n v="0"/>
    <n v="1"/>
    <n v="3598404"/>
    <n v="0"/>
    <n v="0"/>
    <n v="0"/>
    <n v="1"/>
    <n v="5398"/>
    <n v="0"/>
    <n v="0"/>
    <n v="0"/>
    <n v="0"/>
  </r>
  <r>
    <x v="28"/>
    <x v="55"/>
    <s v="202506"/>
    <s v="2025"/>
    <s v="TAMANI202506"/>
    <n v="0"/>
    <n v="1"/>
    <n v="0"/>
    <n v="0"/>
    <n v="0"/>
    <n v="0"/>
    <n v="31900"/>
    <n v="0"/>
    <n v="0"/>
    <n v="0"/>
    <n v="0"/>
    <n v="319"/>
    <n v="0"/>
    <n v="0"/>
    <n v="0"/>
  </r>
  <r>
    <x v="30"/>
    <x v="59"/>
    <s v="202506"/>
    <s v="2025"/>
    <s v="YOGURT REPUBLIC202506"/>
    <n v="0"/>
    <n v="0"/>
    <n v="0"/>
    <n v="0"/>
    <n v="7150"/>
    <n v="0"/>
    <n v="0"/>
    <n v="0"/>
    <n v="0"/>
    <n v="503633543"/>
    <n v="0"/>
    <n v="0"/>
    <n v="0"/>
    <n v="0"/>
    <n v="0"/>
  </r>
  <r>
    <x v="30"/>
    <x v="62"/>
    <s v="202506"/>
    <s v="2025"/>
    <s v="YOGURT REPUBLIC202506"/>
    <n v="1"/>
    <n v="0"/>
    <n v="0"/>
    <n v="0"/>
    <n v="0"/>
    <n v="112860"/>
    <n v="0"/>
    <n v="0"/>
    <n v="0"/>
    <n v="0"/>
    <n v="169"/>
    <n v="0"/>
    <n v="0"/>
    <n v="0"/>
    <n v="0"/>
  </r>
  <r>
    <x v="29"/>
    <x v="56"/>
    <s v="202506"/>
    <s v="2025"/>
    <s v="YOSHINOYA202506"/>
    <n v="347"/>
    <n v="12122"/>
    <n v="514"/>
    <n v="0"/>
    <n v="119863"/>
    <n v="56521400"/>
    <n v="1899019000"/>
    <n v="72265000"/>
    <n v="0"/>
    <n v="15238170611"/>
    <n v="84782"/>
    <n v="18990190"/>
    <n v="794915"/>
    <n v="0"/>
    <n v="106666501"/>
  </r>
  <r>
    <x v="39"/>
    <x v="75"/>
    <s v="202506"/>
    <s v="2025"/>
    <s v="ZENBU202506"/>
    <n v="0"/>
    <n v="0"/>
    <n v="0"/>
    <n v="19"/>
    <n v="6770"/>
    <n v="0"/>
    <n v="0"/>
    <n v="0"/>
    <n v="5982026"/>
    <n v="1770361925"/>
    <n v="0"/>
    <n v="0"/>
    <n v="0"/>
    <n v="41873"/>
    <n v="12392517"/>
  </r>
  <r>
    <x v="0"/>
    <x v="0"/>
    <s v="202507"/>
    <s v="2025"/>
    <s v="ALFA GROUP202507"/>
    <n v="17425"/>
    <n v="58371"/>
    <n v="17656"/>
    <n v="0"/>
    <n v="0"/>
    <n v="1586937708"/>
    <n v="5628753562"/>
    <n v="2174449482"/>
    <n v="0"/>
    <n v="0"/>
    <n v="2380406"/>
    <n v="56287536"/>
    <n v="38940214"/>
    <n v="0"/>
    <n v="0"/>
  </r>
  <r>
    <x v="0"/>
    <x v="1"/>
    <s v="202507"/>
    <s v="2025"/>
    <s v="ALFA GROUP202507"/>
    <n v="5107"/>
    <n v="21152"/>
    <n v="6853"/>
    <n v="0"/>
    <n v="0"/>
    <n v="642014405"/>
    <n v="2634048162"/>
    <n v="1254524372"/>
    <n v="0"/>
    <n v="0"/>
    <n v="963019"/>
    <n v="26340482"/>
    <n v="22439382"/>
    <n v="0"/>
    <n v="0"/>
  </r>
  <r>
    <x v="0"/>
    <x v="2"/>
    <s v="202507"/>
    <s v="2025"/>
    <s v="ALFA GROUP202507"/>
    <n v="403"/>
    <n v="1898"/>
    <n v="257"/>
    <n v="0"/>
    <n v="0"/>
    <n v="70316711"/>
    <n v="298137771"/>
    <n v="49172901"/>
    <n v="0"/>
    <n v="0"/>
    <n v="105475"/>
    <n v="2981378"/>
    <n v="882615"/>
    <n v="0"/>
    <n v="0"/>
  </r>
  <r>
    <x v="22"/>
    <x v="37"/>
    <s v="202507"/>
    <s v="2025"/>
    <s v="BANBAN TEA202507"/>
    <n v="3"/>
    <n v="31"/>
    <n v="2"/>
    <n v="32"/>
    <n v="185"/>
    <n v="190100"/>
    <n v="2558099"/>
    <n v="200200"/>
    <n v="1943798"/>
    <n v="11451095"/>
    <n v="285"/>
    <n v="25581"/>
    <n v="3604"/>
    <n v="13604"/>
    <n v="80158"/>
  </r>
  <r>
    <x v="23"/>
    <x v="38"/>
    <s v="202507"/>
    <s v="2025"/>
    <s v="BEARD PAPA202507"/>
    <n v="7"/>
    <n v="45"/>
    <n v="5"/>
    <n v="0"/>
    <n v="0"/>
    <n v="965000"/>
    <n v="4264000"/>
    <n v="495000"/>
    <n v="0"/>
    <n v="0"/>
    <n v="1448"/>
    <n v="42640"/>
    <n v="9900"/>
    <n v="0"/>
    <n v="0"/>
  </r>
  <r>
    <x v="1"/>
    <x v="4"/>
    <s v="202507"/>
    <s v="2025"/>
    <s v="CHAMP RESTO202507"/>
    <n v="7"/>
    <n v="0"/>
    <n v="0"/>
    <n v="0"/>
    <n v="9"/>
    <n v="1545165"/>
    <n v="0"/>
    <n v="0"/>
    <n v="0"/>
    <n v="1644500"/>
    <n v="2318"/>
    <n v="0"/>
    <n v="0"/>
    <n v="0"/>
    <n v="11512"/>
  </r>
  <r>
    <x v="1"/>
    <x v="44"/>
    <s v="202507"/>
    <s v="2025"/>
    <s v="CHAMP RESTO202507"/>
    <n v="1"/>
    <n v="0"/>
    <n v="0"/>
    <n v="0"/>
    <n v="3"/>
    <n v="259086"/>
    <n v="0"/>
    <n v="0"/>
    <n v="0"/>
    <n v="1119827"/>
    <n v="389"/>
    <n v="0"/>
    <n v="0"/>
    <n v="0"/>
    <n v="7839"/>
  </r>
  <r>
    <x v="1"/>
    <x v="5"/>
    <s v="202507"/>
    <s v="2025"/>
    <s v="CHAMP RESTO202507"/>
    <n v="4"/>
    <n v="4"/>
    <n v="0"/>
    <n v="0"/>
    <n v="0"/>
    <n v="556500"/>
    <n v="800489"/>
    <n v="0"/>
    <n v="0"/>
    <n v="0"/>
    <n v="835"/>
    <n v="8005"/>
    <n v="0"/>
    <n v="0"/>
    <n v="0"/>
  </r>
  <r>
    <x v="1"/>
    <x v="6"/>
    <s v="202507"/>
    <s v="2025"/>
    <s v="CHAMP RESTO202507"/>
    <n v="5"/>
    <n v="6"/>
    <n v="0"/>
    <n v="0"/>
    <n v="0"/>
    <n v="2223787"/>
    <n v="2327158"/>
    <n v="0"/>
    <n v="0"/>
    <n v="0"/>
    <n v="3336"/>
    <n v="23272"/>
    <n v="0"/>
    <n v="0"/>
    <n v="0"/>
  </r>
  <r>
    <x v="1"/>
    <x v="8"/>
    <s v="202507"/>
    <s v="2025"/>
    <s v="CHAMP RESTO202507"/>
    <n v="11"/>
    <n v="4"/>
    <n v="0"/>
    <n v="0"/>
    <n v="0"/>
    <n v="3717835"/>
    <n v="1073402"/>
    <n v="0"/>
    <n v="0"/>
    <n v="0"/>
    <n v="5577"/>
    <n v="10734"/>
    <n v="0"/>
    <n v="0"/>
    <n v="0"/>
  </r>
  <r>
    <x v="32"/>
    <x v="63"/>
    <s v="202507"/>
    <s v="2025"/>
    <s v="DAMRI202507"/>
    <n v="1"/>
    <n v="10"/>
    <n v="0"/>
    <n v="2"/>
    <n v="52"/>
    <n v="80000"/>
    <n v="5310000"/>
    <n v="0"/>
    <n v="1550000"/>
    <n v="23160000"/>
    <n v="120"/>
    <n v="53100"/>
    <n v="0"/>
    <n v="10850"/>
    <n v="162120"/>
  </r>
  <r>
    <x v="31"/>
    <x v="60"/>
    <s v="202507"/>
    <s v="2025"/>
    <s v="DWIDAYA202507"/>
    <n v="15"/>
    <n v="1"/>
    <n v="0"/>
    <n v="0"/>
    <n v="55"/>
    <n v="302555433"/>
    <n v="7806123"/>
    <n v="0"/>
    <n v="0"/>
    <n v="191617021"/>
    <n v="453833"/>
    <n v="78061"/>
    <n v="0"/>
    <n v="0"/>
    <n v="1341319"/>
  </r>
  <r>
    <x v="35"/>
    <x v="69"/>
    <s v="202507"/>
    <s v="2025"/>
    <s v="EKA HOSPITAL202507"/>
    <n v="0"/>
    <n v="2"/>
    <n v="5"/>
    <n v="0"/>
    <n v="5"/>
    <n v="0"/>
    <n v="37745584"/>
    <n v="50000"/>
    <n v="0"/>
    <n v="5"/>
    <n v="0"/>
    <n v="377456"/>
    <n v="650"/>
    <n v="0"/>
    <n v="0"/>
  </r>
  <r>
    <x v="3"/>
    <x v="10"/>
    <s v="202507"/>
    <s v="2025"/>
    <s v="GRAMEDIA202507"/>
    <n v="16"/>
    <n v="0"/>
    <n v="0"/>
    <n v="0"/>
    <n v="0"/>
    <n v="38085065"/>
    <n v="0"/>
    <n v="0"/>
    <n v="0"/>
    <n v="0"/>
    <n v="57128"/>
    <n v="0"/>
    <n v="0"/>
    <n v="0"/>
    <n v="0"/>
  </r>
  <r>
    <x v="4"/>
    <x v="11"/>
    <s v="202507"/>
    <s v="2025"/>
    <s v="HAUS202507"/>
    <n v="0"/>
    <n v="2"/>
    <n v="0"/>
    <n v="96"/>
    <n v="25529"/>
    <n v="0"/>
    <n v="96000"/>
    <n v="0"/>
    <n v="4888001"/>
    <n v="1211422601"/>
    <n v="0"/>
    <n v="960"/>
    <n v="0"/>
    <n v="31024"/>
    <n v="8399332"/>
  </r>
  <r>
    <x v="24"/>
    <x v="40"/>
    <s v="202507"/>
    <s v="2025"/>
    <s v="HERO GROUP202507"/>
    <n v="0"/>
    <n v="0"/>
    <n v="0"/>
    <n v="17"/>
    <n v="177"/>
    <n v="0"/>
    <n v="0"/>
    <n v="0"/>
    <n v="3836548"/>
    <n v="14923890"/>
    <n v="0"/>
    <n v="0"/>
    <n v="0"/>
    <n v="25314"/>
    <n v="97552"/>
  </r>
  <r>
    <x v="38"/>
    <x v="74"/>
    <s v="202507"/>
    <s v="2025"/>
    <s v="HOKBEN202507"/>
    <n v="0"/>
    <n v="0"/>
    <n v="0"/>
    <n v="7"/>
    <n v="3357"/>
    <n v="0"/>
    <n v="0"/>
    <n v="0"/>
    <n v="570000"/>
    <n v="351575200"/>
    <n v="0"/>
    <n v="0"/>
    <n v="0"/>
    <n v="3990"/>
    <n v="2461033"/>
  </r>
  <r>
    <x v="27"/>
    <x v="48"/>
    <s v="202507"/>
    <s v="2025"/>
    <s v="HOKKAIDO BAKED CHEESE202507"/>
    <n v="8"/>
    <n v="116"/>
    <n v="5"/>
    <n v="9"/>
    <n v="2894"/>
    <n v="979411"/>
    <n v="12921796"/>
    <n v="815800"/>
    <n v="975602"/>
    <n v="139487854"/>
    <n v="1469"/>
    <n v="129218"/>
    <n v="16316"/>
    <n v="6828"/>
    <n v="738593"/>
  </r>
  <r>
    <x v="5"/>
    <x v="12"/>
    <s v="202507"/>
    <s v="2025"/>
    <s v="HOP HOP202507"/>
    <n v="0"/>
    <n v="0"/>
    <n v="0"/>
    <n v="124"/>
    <n v="9552"/>
    <n v="0"/>
    <n v="0"/>
    <n v="0"/>
    <n v="4992000"/>
    <n v="244550721"/>
    <n v="0"/>
    <n v="0"/>
    <n v="0"/>
    <n v="0"/>
    <n v="3381"/>
  </r>
  <r>
    <x v="5"/>
    <x v="58"/>
    <s v="202507"/>
    <s v="2025"/>
    <s v="HOP HOP202507"/>
    <n v="0"/>
    <n v="0"/>
    <n v="0"/>
    <n v="31"/>
    <n v="2572"/>
    <n v="0"/>
    <n v="0"/>
    <n v="0"/>
    <n v="1555000"/>
    <n v="59584799"/>
    <n v="0"/>
    <n v="0"/>
    <n v="0"/>
    <n v="0"/>
    <n v="8406"/>
  </r>
  <r>
    <x v="6"/>
    <x v="13"/>
    <s v="202507"/>
    <s v="2025"/>
    <s v="IKEA202507"/>
    <n v="13"/>
    <n v="0"/>
    <n v="0"/>
    <n v="0"/>
    <n v="0"/>
    <n v="5428200"/>
    <n v="0"/>
    <n v="0"/>
    <n v="0"/>
    <n v="0"/>
    <n v="8142"/>
    <n v="0"/>
    <n v="0"/>
    <n v="0"/>
    <n v="0"/>
  </r>
  <r>
    <x v="7"/>
    <x v="14"/>
    <s v="202507"/>
    <s v="2025"/>
    <s v="INDOMARET202507"/>
    <n v="29323"/>
    <n v="74607"/>
    <n v="28939"/>
    <n v="0"/>
    <n v="0"/>
    <n v="2974803859"/>
    <n v="6822645419"/>
    <n v="4011571355"/>
    <n v="0"/>
    <n v="0"/>
    <n v="4462203"/>
    <n v="68226454"/>
    <n v="67014760"/>
    <n v="0"/>
    <n v="0"/>
  </r>
  <r>
    <x v="7"/>
    <x v="15"/>
    <s v="202507"/>
    <s v="2025"/>
    <s v="INDOMARET202507"/>
    <n v="563"/>
    <n v="1666"/>
    <n v="1007"/>
    <n v="0"/>
    <n v="0"/>
    <n v="39947155"/>
    <n v="117269150"/>
    <n v="116589710"/>
    <n v="0"/>
    <n v="0"/>
    <n v="59921"/>
    <n v="1172692"/>
    <n v="1953260"/>
    <n v="0"/>
    <n v="0"/>
  </r>
  <r>
    <x v="8"/>
    <x v="16"/>
    <s v="202507"/>
    <s v="2025"/>
    <s v="KAWAN LAMA202507"/>
    <n v="1227"/>
    <n v="0"/>
    <n v="0"/>
    <n v="0"/>
    <n v="16"/>
    <n v="989426645"/>
    <n v="0"/>
    <n v="0"/>
    <n v="0"/>
    <n v="407235322"/>
    <n v="1484138"/>
    <n v="0"/>
    <n v="0"/>
    <n v="0"/>
    <n v="2850638"/>
  </r>
  <r>
    <x v="8"/>
    <x v="17"/>
    <s v="202507"/>
    <s v="2025"/>
    <s v="KAWAN LAMA202507"/>
    <n v="306"/>
    <n v="0"/>
    <n v="0"/>
    <n v="0"/>
    <n v="32"/>
    <n v="23011300"/>
    <n v="0"/>
    <n v="0"/>
    <n v="0"/>
    <n v="32651012"/>
    <n v="34517"/>
    <n v="0"/>
    <n v="0"/>
    <n v="0"/>
    <n v="228557"/>
  </r>
  <r>
    <x v="8"/>
    <x v="53"/>
    <s v="202507"/>
    <s v="2025"/>
    <s v="KAWAN LAMA202507"/>
    <n v="1"/>
    <n v="0"/>
    <n v="0"/>
    <n v="0"/>
    <n v="0"/>
    <n v="49000"/>
    <n v="0"/>
    <n v="0"/>
    <n v="0"/>
    <n v="0"/>
    <n v="74"/>
    <n v="0"/>
    <n v="0"/>
    <n v="0"/>
    <n v="0"/>
  </r>
  <r>
    <x v="8"/>
    <x v="54"/>
    <s v="202507"/>
    <s v="2025"/>
    <s v="KAWAN LAMA202507"/>
    <n v="3"/>
    <n v="0"/>
    <n v="0"/>
    <n v="0"/>
    <n v="1"/>
    <n v="3036417"/>
    <n v="0"/>
    <n v="0"/>
    <n v="0"/>
    <n v="1122102"/>
    <n v="4555"/>
    <n v="0"/>
    <n v="0"/>
    <n v="0"/>
    <n v="7854"/>
  </r>
  <r>
    <x v="8"/>
    <x v="49"/>
    <s v="202507"/>
    <s v="2025"/>
    <s v="KAWAN LAMA202507"/>
    <n v="5"/>
    <n v="0"/>
    <n v="0"/>
    <n v="0"/>
    <n v="0"/>
    <n v="451000"/>
    <n v="0"/>
    <n v="0"/>
    <n v="0"/>
    <n v="0"/>
    <n v="676"/>
    <n v="0"/>
    <n v="0"/>
    <n v="0"/>
    <n v="0"/>
  </r>
  <r>
    <x v="8"/>
    <x v="50"/>
    <s v="202507"/>
    <s v="2025"/>
    <s v="KAWAN LAMA202507"/>
    <n v="14"/>
    <n v="0"/>
    <n v="0"/>
    <n v="0"/>
    <n v="0"/>
    <n v="3590000"/>
    <n v="0"/>
    <n v="0"/>
    <n v="0"/>
    <n v="0"/>
    <n v="5385"/>
    <n v="0"/>
    <n v="0"/>
    <n v="0"/>
    <n v="0"/>
  </r>
  <r>
    <x v="8"/>
    <x v="18"/>
    <s v="202507"/>
    <s v="2025"/>
    <s v="KAWAN LAMA202507"/>
    <n v="336"/>
    <n v="0"/>
    <n v="0"/>
    <n v="0"/>
    <n v="6"/>
    <n v="1167527829"/>
    <n v="0"/>
    <n v="0"/>
    <n v="0"/>
    <n v="399763439"/>
    <n v="1751292"/>
    <n v="0"/>
    <n v="0"/>
    <n v="0"/>
    <n v="2798342"/>
  </r>
  <r>
    <x v="8"/>
    <x v="19"/>
    <s v="202507"/>
    <s v="2025"/>
    <s v="KAWAN LAMA202507"/>
    <n v="14"/>
    <n v="0"/>
    <n v="0"/>
    <n v="0"/>
    <n v="0"/>
    <n v="32080052"/>
    <n v="0"/>
    <n v="0"/>
    <n v="0"/>
    <n v="34404050"/>
    <n v="48120"/>
    <n v="0"/>
    <n v="0"/>
    <n v="0"/>
    <n v="240827"/>
  </r>
  <r>
    <x v="8"/>
    <x v="20"/>
    <s v="202507"/>
    <s v="2025"/>
    <s v="KAWAN LAMA202507"/>
    <n v="0"/>
    <n v="0"/>
    <n v="0"/>
    <n v="6"/>
    <n v="31"/>
    <n v="0"/>
    <n v="0"/>
    <n v="0"/>
    <n v="250001"/>
    <n v="1880000"/>
    <n v="0"/>
    <n v="0"/>
    <n v="0"/>
    <n v="0"/>
    <n v="0"/>
  </r>
  <r>
    <x v="8"/>
    <x v="21"/>
    <s v="202507"/>
    <s v="2025"/>
    <s v="KAWAN LAMA202507"/>
    <n v="18"/>
    <n v="0"/>
    <n v="0"/>
    <n v="0"/>
    <n v="3"/>
    <n v="15175300"/>
    <n v="0"/>
    <n v="0"/>
    <n v="0"/>
    <n v="40348102"/>
    <n v="22763"/>
    <n v="0"/>
    <n v="0"/>
    <n v="0"/>
    <n v="282437"/>
  </r>
  <r>
    <x v="9"/>
    <x v="22"/>
    <s v="202507"/>
    <s v="2025"/>
    <s v="KCIC202507"/>
    <n v="85"/>
    <n v="2173"/>
    <n v="1466"/>
    <n v="0"/>
    <n v="0"/>
    <n v="50270000"/>
    <n v="1268475000"/>
    <n v="1140735000"/>
    <n v="0"/>
    <n v="0"/>
    <n v="75405"/>
    <n v="12684750"/>
    <n v="20546330"/>
    <n v="0"/>
    <n v="0"/>
  </r>
  <r>
    <x v="10"/>
    <x v="23"/>
    <s v="202507"/>
    <s v="2025"/>
    <s v="KIMIA FARMA202507"/>
    <n v="0"/>
    <n v="0"/>
    <n v="0"/>
    <n v="1"/>
    <n v="1"/>
    <n v="0"/>
    <n v="0"/>
    <n v="0"/>
    <n v="425963"/>
    <n v="53396"/>
    <n v="0"/>
    <n v="0"/>
    <n v="0"/>
    <n v="2982"/>
    <n v="374"/>
  </r>
  <r>
    <x v="40"/>
    <x v="76"/>
    <s v="202507"/>
    <s v="2025"/>
    <s v="LOTTE GROUP202507"/>
    <n v="334"/>
    <n v="0"/>
    <n v="0"/>
    <n v="0"/>
    <n v="0"/>
    <n v="196894418"/>
    <n v="0"/>
    <n v="0"/>
    <n v="0"/>
    <n v="0"/>
    <n v="295341"/>
    <n v="0"/>
    <n v="0"/>
    <n v="0"/>
    <n v="0"/>
  </r>
  <r>
    <x v="40"/>
    <x v="77"/>
    <s v="202507"/>
    <s v="2025"/>
    <s v="LOTTE GROUP202507"/>
    <n v="229"/>
    <n v="1"/>
    <n v="0"/>
    <n v="0"/>
    <n v="0"/>
    <n v="58443800"/>
    <n v="84800"/>
    <n v="0"/>
    <n v="0"/>
    <n v="0"/>
    <n v="87666"/>
    <n v="848"/>
    <n v="0"/>
    <n v="0"/>
    <n v="0"/>
  </r>
  <r>
    <x v="25"/>
    <x v="57"/>
    <s v="202507"/>
    <s v="2025"/>
    <s v="MAP GROUP202507"/>
    <n v="0"/>
    <n v="3"/>
    <n v="0"/>
    <n v="0"/>
    <n v="0"/>
    <n v="0"/>
    <n v="334400"/>
    <n v="0"/>
    <n v="0"/>
    <n v="0"/>
    <n v="0"/>
    <n v="3344"/>
    <n v="0"/>
    <n v="0"/>
    <n v="0"/>
  </r>
  <r>
    <x v="11"/>
    <x v="24"/>
    <s v="202507"/>
    <s v="2025"/>
    <s v="MITRA10202507"/>
    <n v="468"/>
    <n v="0"/>
    <n v="1"/>
    <n v="0"/>
    <n v="0"/>
    <n v="1104052183"/>
    <n v="0"/>
    <n v="502012"/>
    <n v="0"/>
    <n v="0"/>
    <n v="1656077"/>
    <n v="0"/>
    <n v="10040"/>
    <n v="0"/>
    <n v="0"/>
  </r>
  <r>
    <x v="12"/>
    <x v="25"/>
    <s v="202507"/>
    <s v="2025"/>
    <s v="OPTIK MELAWAI202507"/>
    <n v="71"/>
    <n v="0"/>
    <n v="0"/>
    <n v="0"/>
    <n v="0"/>
    <n v="93244500"/>
    <n v="0"/>
    <n v="0"/>
    <n v="0"/>
    <n v="0"/>
    <n v="139867"/>
    <n v="0"/>
    <n v="0"/>
    <n v="0"/>
    <n v="0"/>
  </r>
  <r>
    <x v="14"/>
    <x v="28"/>
    <s v="202507"/>
    <s v="2025"/>
    <s v="PERTAMINA RETAIL202507"/>
    <n v="2"/>
    <n v="65"/>
    <n v="0"/>
    <n v="0"/>
    <n v="0"/>
    <n v="334000"/>
    <n v="12156131"/>
    <n v="0"/>
    <n v="0"/>
    <n v="0"/>
    <n v="501"/>
    <n v="60781"/>
    <n v="0"/>
    <n v="0"/>
    <n v="0"/>
  </r>
  <r>
    <x v="15"/>
    <x v="29"/>
    <s v="202507"/>
    <s v="2025"/>
    <s v="PIZZA HUT202507"/>
    <n v="28"/>
    <n v="0"/>
    <n v="0"/>
    <n v="0"/>
    <n v="0"/>
    <n v="6286500"/>
    <n v="0"/>
    <n v="0"/>
    <n v="0"/>
    <n v="0"/>
    <n v="9430"/>
    <n v="0"/>
    <n v="0"/>
    <n v="0"/>
    <n v="0"/>
  </r>
  <r>
    <x v="15"/>
    <x v="30"/>
    <s v="202507"/>
    <s v="2025"/>
    <s v="PIZZA HUT202507"/>
    <n v="239"/>
    <n v="0"/>
    <n v="0"/>
    <n v="0"/>
    <n v="0"/>
    <n v="70420040"/>
    <n v="0"/>
    <n v="0"/>
    <n v="0"/>
    <n v="0"/>
    <n v="105630"/>
    <n v="0"/>
    <n v="0"/>
    <n v="0"/>
    <n v="0"/>
  </r>
  <r>
    <x v="16"/>
    <x v="31"/>
    <s v="202507"/>
    <s v="2025"/>
    <s v="PLATINUM CINEPLEX202507"/>
    <n v="0"/>
    <n v="152"/>
    <n v="79"/>
    <n v="4"/>
    <n v="527"/>
    <n v="0"/>
    <n v="19758000"/>
    <n v="11917000"/>
    <n v="301000"/>
    <n v="77265000"/>
    <n v="0"/>
    <n v="197580"/>
    <n v="215426"/>
    <n v="2107"/>
    <n v="540855"/>
  </r>
  <r>
    <x v="17"/>
    <x v="32"/>
    <s v="202507"/>
    <s v="2025"/>
    <s v="SARINAH202507"/>
    <n v="9"/>
    <n v="143"/>
    <n v="314"/>
    <n v="0"/>
    <n v="0"/>
    <n v="12938544"/>
    <n v="252298303"/>
    <n v="364734914"/>
    <n v="0"/>
    <n v="0"/>
    <n v="19408"/>
    <n v="2522983"/>
    <n v="6565228"/>
    <n v="0"/>
    <n v="0"/>
  </r>
  <r>
    <x v="18"/>
    <x v="33"/>
    <s v="202507"/>
    <s v="2025"/>
    <s v="SHIHLIN202507"/>
    <n v="110"/>
    <n v="3"/>
    <n v="0"/>
    <n v="504"/>
    <n v="560"/>
    <n v="8399000"/>
    <n v="184000"/>
    <n v="0"/>
    <n v="30724000"/>
    <n v="74425903"/>
    <n v="12598"/>
    <n v="1840"/>
    <n v="0"/>
    <n v="22603"/>
    <n v="382228"/>
  </r>
  <r>
    <x v="19"/>
    <x v="34"/>
    <s v="202507"/>
    <s v="2025"/>
    <s v="SOLARIA202507"/>
    <n v="1803"/>
    <n v="3"/>
    <n v="0"/>
    <n v="34"/>
    <n v="1052"/>
    <n v="311694500"/>
    <n v="525000"/>
    <n v="0"/>
    <n v="5609000"/>
    <n v="152102500"/>
    <n v="467542"/>
    <n v="5250"/>
    <n v="0"/>
    <n v="39263"/>
    <n v="1064718"/>
  </r>
  <r>
    <x v="20"/>
    <x v="35"/>
    <s v="202507"/>
    <s v="2025"/>
    <s v="SOUR SALLY202507"/>
    <n v="5"/>
    <n v="1"/>
    <n v="0"/>
    <n v="33"/>
    <n v="495"/>
    <n v="380000"/>
    <n v="74000"/>
    <n v="0"/>
    <n v="2288000"/>
    <n v="36658000"/>
    <n v="570"/>
    <n v="740"/>
    <n v="0"/>
    <n v="16016"/>
    <n v="256606"/>
  </r>
  <r>
    <x v="21"/>
    <x v="70"/>
    <s v="202507"/>
    <s v="2025"/>
    <s v="STEVEN GROUP202507"/>
    <n v="2"/>
    <n v="0"/>
    <n v="0"/>
    <n v="0"/>
    <n v="0"/>
    <n v="726381"/>
    <n v="0"/>
    <n v="0"/>
    <n v="0"/>
    <n v="600947"/>
    <n v="1090"/>
    <n v="0"/>
    <n v="0"/>
    <n v="0"/>
    <n v="0"/>
  </r>
  <r>
    <x v="21"/>
    <x v="43"/>
    <s v="202507"/>
    <s v="2025"/>
    <s v="STEVEN GROUP202507"/>
    <n v="37"/>
    <n v="10"/>
    <n v="8"/>
    <n v="0"/>
    <n v="195"/>
    <n v="3554783"/>
    <n v="1198307"/>
    <n v="1053234"/>
    <n v="0"/>
    <n v="27948293"/>
    <n v="5332"/>
    <n v="11983"/>
    <n v="21065"/>
    <n v="0"/>
    <n v="195635"/>
  </r>
  <r>
    <x v="21"/>
    <x v="51"/>
    <s v="202507"/>
    <s v="2025"/>
    <s v="STEVEN GROUP202507"/>
    <n v="0"/>
    <n v="0"/>
    <n v="0"/>
    <n v="3"/>
    <n v="147"/>
    <n v="0"/>
    <n v="0"/>
    <n v="0"/>
    <n v="600"/>
    <n v="5339000"/>
    <n v="0"/>
    <n v="0"/>
    <n v="0"/>
    <n v="0"/>
    <n v="0"/>
  </r>
  <r>
    <x v="21"/>
    <x v="68"/>
    <s v="202507"/>
    <s v="2025"/>
    <s v="STEVEN GROUP202507"/>
    <n v="2"/>
    <n v="0"/>
    <n v="0"/>
    <n v="0"/>
    <n v="2"/>
    <n v="494167"/>
    <n v="0"/>
    <n v="0"/>
    <n v="0"/>
    <n v="2"/>
    <n v="741"/>
    <n v="0"/>
    <n v="0"/>
    <n v="0"/>
    <n v="0"/>
  </r>
  <r>
    <x v="21"/>
    <x v="36"/>
    <s v="202507"/>
    <s v="2025"/>
    <s v="STEVEN GROUP202507"/>
    <n v="0"/>
    <n v="0"/>
    <n v="0"/>
    <n v="0"/>
    <n v="1"/>
    <n v="0"/>
    <n v="0"/>
    <n v="0"/>
    <n v="0"/>
    <n v="1"/>
    <n v="0"/>
    <n v="0"/>
    <n v="0"/>
    <n v="0"/>
    <n v="0"/>
  </r>
  <r>
    <x v="21"/>
    <x v="71"/>
    <s v="202507"/>
    <s v="2025"/>
    <s v="STEVEN GROUP202507"/>
    <n v="4"/>
    <n v="0"/>
    <n v="0"/>
    <n v="0"/>
    <n v="1"/>
    <n v="3264801"/>
    <n v="0"/>
    <n v="0"/>
    <n v="0"/>
    <n v="1"/>
    <n v="4897"/>
    <n v="0"/>
    <n v="0"/>
    <n v="0"/>
    <n v="0"/>
  </r>
  <r>
    <x v="36"/>
    <x v="72"/>
    <s v="202507"/>
    <s v="2025"/>
    <s v="SUPRA BOGA LESTARI202507"/>
    <n v="2"/>
    <n v="0"/>
    <n v="0"/>
    <n v="0"/>
    <n v="0"/>
    <n v="1960465"/>
    <n v="0"/>
    <n v="0"/>
    <n v="0"/>
    <n v="0"/>
    <n v="2941"/>
    <n v="0"/>
    <n v="0"/>
    <n v="0"/>
    <n v="0"/>
  </r>
  <r>
    <x v="33"/>
    <x v="65"/>
    <s v="202507"/>
    <s v="2025"/>
    <s v="SURYA BUMI RETAILINDO202507"/>
    <n v="3"/>
    <n v="0"/>
    <n v="0"/>
    <n v="1"/>
    <n v="14"/>
    <n v="12006000"/>
    <n v="0"/>
    <n v="0"/>
    <n v="80000"/>
    <n v="4520000"/>
    <n v="18009"/>
    <n v="0"/>
    <n v="0"/>
    <n v="560"/>
    <n v="31640"/>
  </r>
  <r>
    <x v="37"/>
    <x v="73"/>
    <s v="202507"/>
    <s v="2025"/>
    <s v="SUSHI TEI202507"/>
    <n v="17"/>
    <n v="0"/>
    <n v="0"/>
    <n v="0"/>
    <n v="2"/>
    <n v="8402982"/>
    <n v="0"/>
    <n v="0"/>
    <n v="0"/>
    <n v="2"/>
    <n v="12604"/>
    <n v="0"/>
    <n v="0"/>
    <n v="0"/>
    <n v="0"/>
  </r>
  <r>
    <x v="30"/>
    <x v="59"/>
    <s v="202507"/>
    <s v="2025"/>
    <s v="YOGURT REPUBLIC202507"/>
    <n v="0"/>
    <n v="0"/>
    <n v="0"/>
    <n v="7"/>
    <n v="7602"/>
    <n v="0"/>
    <n v="0"/>
    <n v="0"/>
    <n v="384200"/>
    <n v="533506958"/>
    <n v="0"/>
    <n v="0"/>
    <n v="0"/>
    <n v="0"/>
    <n v="2822"/>
  </r>
  <r>
    <x v="29"/>
    <x v="56"/>
    <s v="202507"/>
    <s v="2025"/>
    <s v="YOSHINOYA202507"/>
    <n v="271"/>
    <n v="12182"/>
    <n v="434"/>
    <n v="0"/>
    <n v="124492"/>
    <n v="42114400"/>
    <n v="1923916800"/>
    <n v="58192200"/>
    <n v="0"/>
    <n v="16175332903"/>
    <n v="63172"/>
    <n v="19239168"/>
    <n v="643732"/>
    <n v="0"/>
    <n v="113226605"/>
  </r>
  <r>
    <x v="39"/>
    <x v="75"/>
    <s v="202507"/>
    <s v="2025"/>
    <s v="ZENBU202507"/>
    <n v="0"/>
    <n v="0"/>
    <n v="0"/>
    <n v="18"/>
    <n v="8001"/>
    <n v="0"/>
    <n v="0"/>
    <n v="0"/>
    <n v="5466524"/>
    <n v="2240552414"/>
    <n v="0"/>
    <n v="0"/>
    <n v="0"/>
    <n v="38265"/>
    <n v="15683830"/>
  </r>
  <r>
    <x v="0"/>
    <x v="0"/>
    <s v="202508"/>
    <s v="2025"/>
    <s v="ALFA GROUP202508"/>
    <n v="16381"/>
    <n v="53672"/>
    <n v="16954"/>
    <n v="0"/>
    <n v="0"/>
    <n v="1487877265"/>
    <n v="5079118767"/>
    <n v="2092529978"/>
    <n v="0"/>
    <n v="0"/>
    <n v="2231816"/>
    <n v="50791188"/>
    <n v="37452854"/>
    <n v="0"/>
    <n v="0"/>
  </r>
  <r>
    <x v="0"/>
    <x v="1"/>
    <s v="202508"/>
    <s v="2025"/>
    <s v="ALFA GROUP202508"/>
    <n v="4725"/>
    <n v="19635"/>
    <n v="6330"/>
    <n v="0"/>
    <n v="0"/>
    <n v="594137103"/>
    <n v="2431672183"/>
    <n v="1176299365"/>
    <n v="0"/>
    <n v="0"/>
    <n v="891203"/>
    <n v="24316722"/>
    <n v="21038986"/>
    <n v="0"/>
    <n v="0"/>
  </r>
  <r>
    <x v="0"/>
    <x v="2"/>
    <s v="202508"/>
    <s v="2025"/>
    <s v="ALFA GROUP202508"/>
    <n v="391"/>
    <n v="1528"/>
    <n v="220"/>
    <n v="0"/>
    <n v="0"/>
    <n v="62513167"/>
    <n v="234247246"/>
    <n v="43487995"/>
    <n v="0"/>
    <n v="0"/>
    <n v="93770"/>
    <n v="2342472"/>
    <n v="780868"/>
    <n v="0"/>
    <n v="0"/>
  </r>
  <r>
    <x v="22"/>
    <x v="37"/>
    <s v="202508"/>
    <s v="2025"/>
    <s v="BANBAN TEA202508"/>
    <n v="2"/>
    <n v="9"/>
    <n v="3"/>
    <n v="6"/>
    <n v="143"/>
    <n v="93500"/>
    <n v="672000"/>
    <n v="212300"/>
    <n v="301400"/>
    <n v="8518939"/>
    <n v="140"/>
    <n v="6720"/>
    <n v="3821"/>
    <n v="2110"/>
    <n v="59631"/>
  </r>
  <r>
    <x v="23"/>
    <x v="38"/>
    <s v="202508"/>
    <s v="2025"/>
    <s v="BEARD PAPA202508"/>
    <n v="4"/>
    <n v="58"/>
    <n v="12"/>
    <n v="0"/>
    <n v="158"/>
    <n v="222000"/>
    <n v="5480000"/>
    <n v="1666000"/>
    <n v="0"/>
    <n v="33600506"/>
    <n v="333"/>
    <n v="54800"/>
    <n v="33320"/>
    <n v="0"/>
    <n v="235203"/>
  </r>
  <r>
    <x v="1"/>
    <x v="3"/>
    <s v="202508"/>
    <s v="2025"/>
    <s v="CHAMP RESTO202508"/>
    <n v="1"/>
    <n v="0"/>
    <n v="0"/>
    <n v="0"/>
    <n v="12"/>
    <n v="34000"/>
    <n v="0"/>
    <n v="0"/>
    <n v="0"/>
    <n v="792481"/>
    <n v="51"/>
    <n v="0"/>
    <n v="0"/>
    <n v="0"/>
    <n v="5547"/>
  </r>
  <r>
    <x v="1"/>
    <x v="39"/>
    <s v="202508"/>
    <s v="2025"/>
    <s v="CHAMP RESTO202508"/>
    <n v="0"/>
    <n v="0"/>
    <n v="0"/>
    <n v="0"/>
    <n v="2"/>
    <n v="0"/>
    <n v="0"/>
    <n v="0"/>
    <n v="0"/>
    <n v="618234"/>
    <n v="0"/>
    <n v="0"/>
    <n v="0"/>
    <n v="0"/>
    <n v="4327"/>
  </r>
  <r>
    <x v="1"/>
    <x v="4"/>
    <s v="202508"/>
    <s v="2025"/>
    <s v="CHAMP RESTO202508"/>
    <n v="8"/>
    <n v="3"/>
    <n v="0"/>
    <n v="0"/>
    <n v="25"/>
    <n v="1916950"/>
    <n v="1350800"/>
    <n v="0"/>
    <n v="0"/>
    <n v="3498118"/>
    <n v="2875"/>
    <n v="13508"/>
    <n v="0"/>
    <n v="0"/>
    <n v="24486"/>
  </r>
  <r>
    <x v="1"/>
    <x v="44"/>
    <s v="202508"/>
    <s v="2025"/>
    <s v="CHAMP RESTO202508"/>
    <n v="0"/>
    <n v="1"/>
    <n v="0"/>
    <n v="0"/>
    <n v="15"/>
    <n v="0"/>
    <n v="147812"/>
    <n v="0"/>
    <n v="0"/>
    <n v="4212323"/>
    <n v="0"/>
    <n v="1478"/>
    <n v="0"/>
    <n v="0"/>
    <n v="29486"/>
  </r>
  <r>
    <x v="1"/>
    <x v="5"/>
    <s v="202508"/>
    <s v="2025"/>
    <s v="CHAMP RESTO202508"/>
    <n v="10"/>
    <n v="3"/>
    <n v="0"/>
    <n v="0"/>
    <n v="107"/>
    <n v="1985777"/>
    <n v="554200"/>
    <n v="0"/>
    <n v="0"/>
    <n v="11872686"/>
    <n v="2979"/>
    <n v="5542"/>
    <n v="0"/>
    <n v="0"/>
    <n v="83102"/>
  </r>
  <r>
    <x v="1"/>
    <x v="46"/>
    <s v="202508"/>
    <s v="2025"/>
    <s v="CHAMP RESTO202508"/>
    <n v="0"/>
    <n v="0"/>
    <n v="0"/>
    <n v="0"/>
    <m/>
    <n v="0"/>
    <n v="0"/>
    <n v="0"/>
    <n v="0"/>
    <n v="27"/>
    <n v="0"/>
    <n v="0"/>
    <n v="0"/>
    <n v="0"/>
    <n v="0"/>
  </r>
  <r>
    <x v="1"/>
    <x v="6"/>
    <s v="202508"/>
    <s v="2025"/>
    <s v="CHAMP RESTO202508"/>
    <n v="5"/>
    <n v="11"/>
    <n v="0"/>
    <n v="0"/>
    <n v="62"/>
    <n v="1875228"/>
    <n v="4784476"/>
    <n v="0"/>
    <n v="0"/>
    <n v="15494353"/>
    <n v="2813"/>
    <n v="47845"/>
    <n v="0"/>
    <n v="0"/>
    <n v="108461"/>
  </r>
  <r>
    <x v="1"/>
    <x v="7"/>
    <s v="202508"/>
    <s v="2025"/>
    <s v="CHAMP RESTO202508"/>
    <n v="0"/>
    <n v="0"/>
    <n v="0"/>
    <n v="0"/>
    <n v="5"/>
    <n v="0"/>
    <n v="0"/>
    <n v="0"/>
    <n v="0"/>
    <n v="65"/>
    <n v="0"/>
    <n v="0"/>
    <n v="0"/>
    <n v="0"/>
    <n v="0"/>
  </r>
  <r>
    <x v="1"/>
    <x v="8"/>
    <s v="202508"/>
    <s v="2025"/>
    <s v="CHAMP RESTO202508"/>
    <n v="1"/>
    <n v="5"/>
    <n v="0"/>
    <n v="0"/>
    <n v="80"/>
    <n v="313802"/>
    <n v="1102507"/>
    <n v="0"/>
    <n v="0"/>
    <n v="16059784"/>
    <n v="471"/>
    <n v="11025"/>
    <n v="0"/>
    <n v="0"/>
    <n v="112414"/>
  </r>
  <r>
    <x v="32"/>
    <x v="63"/>
    <s v="202508"/>
    <s v="2025"/>
    <s v="DAMRI202508"/>
    <n v="2"/>
    <n v="11"/>
    <n v="0"/>
    <n v="0"/>
    <n v="51"/>
    <n v="160000"/>
    <n v="4635000"/>
    <n v="0"/>
    <n v="0"/>
    <n v="15370000"/>
    <n v="240"/>
    <n v="46350"/>
    <n v="0"/>
    <n v="0"/>
    <n v="107590"/>
  </r>
  <r>
    <x v="31"/>
    <x v="60"/>
    <s v="202508"/>
    <s v="2025"/>
    <s v="DWIDAYA202508"/>
    <n v="13"/>
    <n v="0"/>
    <n v="1"/>
    <n v="1"/>
    <n v="64"/>
    <n v="354396485"/>
    <n v="0"/>
    <n v="2950000"/>
    <n v="1178000"/>
    <n v="211208218"/>
    <n v="531595"/>
    <n v="0"/>
    <n v="59000"/>
    <n v="8246"/>
    <n v="1478457"/>
  </r>
  <r>
    <x v="35"/>
    <x v="69"/>
    <s v="202508"/>
    <s v="2025"/>
    <s v="EKA HOSPITAL202508"/>
    <n v="0"/>
    <n v="5"/>
    <n v="2"/>
    <n v="0"/>
    <n v="6"/>
    <n v="0"/>
    <n v="50000"/>
    <n v="2777670"/>
    <n v="0"/>
    <n v="72905"/>
    <n v="0"/>
    <n v="500"/>
    <n v="36110"/>
    <n v="0"/>
    <n v="510"/>
  </r>
  <r>
    <x v="2"/>
    <x v="9"/>
    <s v="202508"/>
    <s v="2025"/>
    <s v="ES TELLER 77202508"/>
    <n v="0"/>
    <n v="0"/>
    <n v="0"/>
    <n v="0"/>
    <n v="2"/>
    <n v="0"/>
    <n v="0"/>
    <n v="0"/>
    <n v="0"/>
    <n v="26"/>
    <n v="0"/>
    <n v="0"/>
    <n v="0"/>
    <n v="0"/>
    <n v="0"/>
  </r>
  <r>
    <x v="3"/>
    <x v="10"/>
    <s v="202508"/>
    <s v="2025"/>
    <s v="GRAMEDIA202508"/>
    <n v="6"/>
    <n v="0"/>
    <n v="0"/>
    <n v="0"/>
    <n v="0"/>
    <n v="3549500"/>
    <n v="0"/>
    <n v="0"/>
    <n v="0"/>
    <n v="0"/>
    <n v="5324"/>
    <n v="0"/>
    <n v="0"/>
    <n v="0"/>
    <n v="0"/>
  </r>
  <r>
    <x v="4"/>
    <x v="11"/>
    <s v="202508"/>
    <s v="2025"/>
    <s v="HAUS202508"/>
    <n v="0"/>
    <n v="0"/>
    <n v="0"/>
    <n v="124"/>
    <n v="23221"/>
    <n v="0"/>
    <n v="0"/>
    <n v="0"/>
    <n v="6217006"/>
    <n v="1056642427"/>
    <n v="0"/>
    <n v="0"/>
    <n v="0"/>
    <n v="23275"/>
    <n v="7272589"/>
  </r>
  <r>
    <x v="24"/>
    <x v="40"/>
    <s v="202508"/>
    <s v="2025"/>
    <s v="HERO GROUP202508"/>
    <n v="0"/>
    <n v="0"/>
    <n v="0"/>
    <n v="1"/>
    <n v="115"/>
    <n v="0"/>
    <n v="0"/>
    <n v="0"/>
    <n v="28470"/>
    <n v="4817414"/>
    <n v="0"/>
    <n v="0"/>
    <n v="0"/>
    <n v="199"/>
    <n v="22059"/>
  </r>
  <r>
    <x v="38"/>
    <x v="74"/>
    <s v="202508"/>
    <s v="2025"/>
    <s v="HOKBEN202508"/>
    <n v="0"/>
    <n v="0"/>
    <n v="0"/>
    <n v="6"/>
    <n v="2852"/>
    <n v="0"/>
    <n v="0"/>
    <n v="0"/>
    <n v="1066500"/>
    <n v="284817000"/>
    <n v="0"/>
    <n v="0"/>
    <n v="0"/>
    <n v="7466"/>
    <n v="1993717"/>
  </r>
  <r>
    <x v="27"/>
    <x v="48"/>
    <s v="202508"/>
    <s v="2025"/>
    <s v="HOKKAIDO BAKED CHEESE202508"/>
    <n v="8"/>
    <n v="113"/>
    <n v="15"/>
    <n v="1534"/>
    <n v="3173"/>
    <n v="700200"/>
    <n v="10321301"/>
    <n v="2366800"/>
    <n v="27342776"/>
    <n v="189128257"/>
    <n v="1050"/>
    <n v="103213"/>
    <n v="46544"/>
    <n v="180745"/>
    <n v="1149769"/>
  </r>
  <r>
    <x v="5"/>
    <x v="12"/>
    <s v="202508"/>
    <s v="2025"/>
    <s v="HOP HOP202508"/>
    <n v="0"/>
    <n v="0"/>
    <n v="0"/>
    <n v="696"/>
    <n v="9429"/>
    <n v="0"/>
    <n v="0"/>
    <n v="0"/>
    <n v="14072000"/>
    <n v="247832861"/>
    <n v="0"/>
    <n v="0"/>
    <n v="0"/>
    <n v="0"/>
    <n v="4212"/>
  </r>
  <r>
    <x v="5"/>
    <x v="58"/>
    <s v="202508"/>
    <s v="2025"/>
    <s v="HOP HOP202508"/>
    <n v="0"/>
    <n v="0"/>
    <n v="0"/>
    <n v="188"/>
    <n v="2807"/>
    <n v="0"/>
    <n v="0"/>
    <n v="0"/>
    <n v="3574000"/>
    <n v="63778698"/>
    <n v="0"/>
    <n v="0"/>
    <n v="0"/>
    <n v="0"/>
    <n v="0"/>
  </r>
  <r>
    <x v="6"/>
    <x v="13"/>
    <s v="202508"/>
    <s v="2025"/>
    <s v="IKEA202508"/>
    <n v="21"/>
    <n v="0"/>
    <n v="0"/>
    <n v="0"/>
    <n v="0"/>
    <n v="8885100"/>
    <n v="0"/>
    <n v="0"/>
    <n v="0"/>
    <n v="0"/>
    <n v="13328"/>
    <n v="0"/>
    <n v="0"/>
    <n v="0"/>
    <n v="0"/>
  </r>
  <r>
    <x v="7"/>
    <x v="14"/>
    <s v="202508"/>
    <s v="2025"/>
    <s v="INDOMARET202508"/>
    <n v="25950"/>
    <n v="66592"/>
    <n v="28350"/>
    <n v="0"/>
    <n v="0"/>
    <n v="2617369490"/>
    <n v="5981980993"/>
    <n v="3873646516"/>
    <n v="0"/>
    <n v="0"/>
    <n v="3926052"/>
    <n v="59819810"/>
    <n v="64735526"/>
    <n v="0"/>
    <n v="0"/>
  </r>
  <r>
    <x v="7"/>
    <x v="15"/>
    <s v="202508"/>
    <s v="2025"/>
    <s v="INDOMARET202508"/>
    <n v="497"/>
    <n v="1447"/>
    <n v="972"/>
    <n v="0"/>
    <n v="0"/>
    <n v="35741250"/>
    <n v="103440998"/>
    <n v="112587698"/>
    <n v="0"/>
    <n v="0"/>
    <n v="53612"/>
    <n v="1034410"/>
    <n v="1890405"/>
    <n v="0"/>
    <n v="0"/>
  </r>
  <r>
    <x v="8"/>
    <x v="16"/>
    <s v="202508"/>
    <s v="2025"/>
    <s v="KAWAN LAMA202508"/>
    <n v="1132"/>
    <n v="0"/>
    <n v="0"/>
    <n v="0"/>
    <n v="23"/>
    <n v="1022126904"/>
    <n v="0"/>
    <n v="0"/>
    <n v="0"/>
    <n v="455075178"/>
    <n v="1533189"/>
    <n v="0"/>
    <n v="0"/>
    <n v="0"/>
    <n v="3185516"/>
  </r>
  <r>
    <x v="8"/>
    <x v="17"/>
    <s v="202508"/>
    <s v="2025"/>
    <s v="KAWAN LAMA202508"/>
    <n v="236"/>
    <n v="0"/>
    <n v="0"/>
    <n v="0"/>
    <n v="53"/>
    <n v="23322000"/>
    <n v="0"/>
    <n v="0"/>
    <n v="0"/>
    <n v="30143210"/>
    <n v="34983"/>
    <n v="0"/>
    <n v="0"/>
    <n v="0"/>
    <n v="211002"/>
  </r>
  <r>
    <x v="8"/>
    <x v="53"/>
    <s v="202508"/>
    <s v="2025"/>
    <s v="KAWAN LAMA202508"/>
    <n v="3"/>
    <n v="0"/>
    <n v="0"/>
    <n v="0"/>
    <n v="0"/>
    <n v="1123700"/>
    <n v="0"/>
    <n v="0"/>
    <n v="0"/>
    <n v="0"/>
    <n v="1686"/>
    <n v="0"/>
    <n v="0"/>
    <n v="0"/>
    <n v="0"/>
  </r>
  <r>
    <x v="8"/>
    <x v="54"/>
    <s v="202508"/>
    <s v="2025"/>
    <s v="KAWAN LAMA202508"/>
    <n v="2"/>
    <n v="0"/>
    <n v="0"/>
    <n v="1"/>
    <n v="1"/>
    <n v="503003"/>
    <n v="0"/>
    <n v="0"/>
    <n v="10000"/>
    <n v="334002"/>
    <n v="754"/>
    <n v="0"/>
    <n v="0"/>
    <n v="0"/>
    <n v="2338"/>
  </r>
  <r>
    <x v="8"/>
    <x v="49"/>
    <s v="202508"/>
    <s v="2025"/>
    <s v="KAWAN LAMA202508"/>
    <n v="3"/>
    <n v="0"/>
    <n v="0"/>
    <n v="0"/>
    <n v="0"/>
    <n v="92000"/>
    <n v="0"/>
    <n v="0"/>
    <n v="0"/>
    <n v="0"/>
    <n v="138"/>
    <n v="0"/>
    <n v="0"/>
    <n v="0"/>
    <n v="0"/>
  </r>
  <r>
    <x v="8"/>
    <x v="50"/>
    <s v="202508"/>
    <s v="2025"/>
    <s v="KAWAN LAMA202508"/>
    <n v="16"/>
    <n v="0"/>
    <n v="0"/>
    <n v="0"/>
    <n v="0"/>
    <n v="2270000"/>
    <n v="0"/>
    <n v="0"/>
    <n v="0"/>
    <n v="0"/>
    <n v="3405"/>
    <n v="0"/>
    <n v="0"/>
    <n v="0"/>
    <n v="0"/>
  </r>
  <r>
    <x v="8"/>
    <x v="18"/>
    <s v="202508"/>
    <s v="2025"/>
    <s v="KAWAN LAMA202508"/>
    <n v="347"/>
    <n v="0"/>
    <n v="0"/>
    <n v="0"/>
    <n v="8"/>
    <n v="1108153653"/>
    <n v="0"/>
    <n v="0"/>
    <n v="0"/>
    <n v="435233727"/>
    <n v="1662230"/>
    <n v="0"/>
    <n v="0"/>
    <n v="0"/>
    <n v="3046630"/>
  </r>
  <r>
    <x v="8"/>
    <x v="19"/>
    <s v="202508"/>
    <s v="2025"/>
    <s v="KAWAN LAMA202508"/>
    <n v="21"/>
    <n v="0"/>
    <n v="0"/>
    <n v="0"/>
    <n v="0"/>
    <n v="76873800"/>
    <n v="0"/>
    <n v="0"/>
    <n v="0"/>
    <n v="70324450"/>
    <n v="115311"/>
    <n v="0"/>
    <n v="0"/>
    <n v="0"/>
    <n v="492270"/>
  </r>
  <r>
    <x v="8"/>
    <x v="20"/>
    <s v="202508"/>
    <s v="2025"/>
    <s v="KAWAN LAMA202508"/>
    <n v="0"/>
    <n v="0"/>
    <n v="0"/>
    <n v="7"/>
    <n v="698"/>
    <n v="0"/>
    <n v="0"/>
    <n v="0"/>
    <n v="920000"/>
    <n v="16208000"/>
    <n v="0"/>
    <n v="0"/>
    <n v="0"/>
    <n v="0"/>
    <n v="6000"/>
  </r>
  <r>
    <x v="8"/>
    <x v="21"/>
    <s v="202508"/>
    <s v="2025"/>
    <s v="KAWAN LAMA202508"/>
    <n v="31"/>
    <n v="0"/>
    <n v="0"/>
    <n v="0"/>
    <n v="3"/>
    <n v="62004401"/>
    <n v="0"/>
    <n v="0"/>
    <n v="0"/>
    <n v="53007495"/>
    <n v="93007"/>
    <n v="0"/>
    <n v="0"/>
    <n v="0"/>
    <n v="371050"/>
  </r>
  <r>
    <x v="8"/>
    <x v="78"/>
    <s v="202508"/>
    <s v="2025"/>
    <s v="KAWAN LAMA202508"/>
    <n v="0"/>
    <n v="0"/>
    <n v="0"/>
    <n v="0"/>
    <n v="1"/>
    <n v="0"/>
    <n v="0"/>
    <n v="0"/>
    <n v="0"/>
    <n v="720799"/>
    <n v="0"/>
    <n v="0"/>
    <n v="0"/>
    <n v="0"/>
    <n v="5046"/>
  </r>
  <r>
    <x v="8"/>
    <x v="52"/>
    <s v="202508"/>
    <s v="2025"/>
    <s v="KAWAN LAMA202508"/>
    <n v="1"/>
    <n v="0"/>
    <n v="0"/>
    <n v="0"/>
    <n v="0"/>
    <n v="170000"/>
    <n v="0"/>
    <n v="0"/>
    <n v="0"/>
    <n v="0"/>
    <n v="255"/>
    <n v="0"/>
    <n v="0"/>
    <n v="0"/>
    <n v="0"/>
  </r>
  <r>
    <x v="9"/>
    <x v="22"/>
    <s v="202508"/>
    <s v="2025"/>
    <s v="KCIC202508"/>
    <n v="84"/>
    <n v="1906"/>
    <n v="1533"/>
    <n v="0"/>
    <n v="0"/>
    <n v="52875000"/>
    <n v="1198530000"/>
    <n v="1258945000"/>
    <n v="0"/>
    <n v="0"/>
    <n v="79312"/>
    <n v="11985300"/>
    <n v="22673410"/>
    <n v="0"/>
    <n v="0"/>
  </r>
  <r>
    <x v="10"/>
    <x v="23"/>
    <s v="202508"/>
    <s v="2025"/>
    <s v="KIMIA FARMA202508"/>
    <n v="0"/>
    <n v="0"/>
    <n v="0"/>
    <n v="0"/>
    <n v="1"/>
    <n v="0"/>
    <n v="0"/>
    <n v="0"/>
    <n v="0"/>
    <n v="35500"/>
    <n v="0"/>
    <n v="0"/>
    <n v="0"/>
    <n v="0"/>
    <n v="248"/>
  </r>
  <r>
    <x v="40"/>
    <x v="76"/>
    <s v="202508"/>
    <s v="2025"/>
    <s v="LOTTE GROUP202508"/>
    <n v="664"/>
    <n v="0"/>
    <n v="0"/>
    <n v="0"/>
    <n v="0"/>
    <n v="399149286"/>
    <n v="0"/>
    <n v="0"/>
    <n v="0"/>
    <n v="0"/>
    <n v="598722"/>
    <n v="0"/>
    <n v="0"/>
    <n v="0"/>
    <n v="0"/>
  </r>
  <r>
    <x v="40"/>
    <x v="77"/>
    <s v="202508"/>
    <s v="2025"/>
    <s v="LOTTE GROUP202508"/>
    <n v="380"/>
    <n v="0"/>
    <n v="0"/>
    <n v="0"/>
    <n v="0"/>
    <n v="125511720"/>
    <n v="0"/>
    <n v="0"/>
    <n v="0"/>
    <n v="0"/>
    <n v="188268"/>
    <n v="0"/>
    <n v="0"/>
    <n v="0"/>
    <n v="0"/>
  </r>
  <r>
    <x v="41"/>
    <x v="79"/>
    <s v="202508"/>
    <s v="2025"/>
    <s v="MAMA ROZ202508"/>
    <n v="0"/>
    <n v="7"/>
    <n v="21"/>
    <n v="0"/>
    <n v="360"/>
    <n v="0"/>
    <n v="239810"/>
    <n v="807700"/>
    <n v="0"/>
    <n v="38548666"/>
    <n v="0"/>
    <n v="2398"/>
    <n v="13366"/>
    <n v="0"/>
    <n v="269842"/>
  </r>
  <r>
    <x v="25"/>
    <x v="80"/>
    <s v="202508"/>
    <s v="2025"/>
    <s v="MAP GROUP202508"/>
    <n v="0"/>
    <n v="0"/>
    <n v="13"/>
    <n v="0"/>
    <n v="0"/>
    <n v="0"/>
    <n v="0"/>
    <n v="52160800"/>
    <n v="0"/>
    <n v="0"/>
    <n v="0"/>
    <n v="0"/>
    <n v="678090"/>
    <n v="0"/>
    <n v="0"/>
  </r>
  <r>
    <x v="25"/>
    <x v="57"/>
    <s v="202508"/>
    <s v="2025"/>
    <s v="MAP GROUP202508"/>
    <n v="1"/>
    <n v="4"/>
    <n v="0"/>
    <n v="0"/>
    <n v="0"/>
    <n v="42500"/>
    <n v="391600"/>
    <n v="0"/>
    <n v="0"/>
    <n v="0"/>
    <n v="64"/>
    <n v="3916"/>
    <n v="0"/>
    <n v="0"/>
    <n v="0"/>
  </r>
  <r>
    <x v="25"/>
    <x v="81"/>
    <s v="202508"/>
    <s v="2025"/>
    <s v="MAP GROUP202508"/>
    <n v="0"/>
    <n v="9"/>
    <n v="5"/>
    <n v="0"/>
    <n v="0"/>
    <n v="0"/>
    <n v="496949"/>
    <n v="199408"/>
    <n v="0"/>
    <n v="0"/>
    <n v="0"/>
    <n v="4969"/>
    <n v="2592"/>
    <n v="0"/>
    <n v="0"/>
  </r>
  <r>
    <x v="25"/>
    <x v="82"/>
    <s v="202508"/>
    <s v="2025"/>
    <s v="MAP GROUP202508"/>
    <n v="1"/>
    <n v="10"/>
    <n v="20"/>
    <n v="0"/>
    <n v="0"/>
    <n v="2002000"/>
    <n v="19236400"/>
    <n v="38368930"/>
    <n v="0"/>
    <n v="0"/>
    <n v="3003"/>
    <n v="192364"/>
    <n v="498796"/>
    <n v="0"/>
    <n v="0"/>
  </r>
  <r>
    <x v="25"/>
    <x v="83"/>
    <s v="202508"/>
    <s v="2025"/>
    <s v="MAP GROUP202508"/>
    <n v="1"/>
    <n v="9"/>
    <n v="21"/>
    <n v="0"/>
    <n v="0"/>
    <n v="3689200"/>
    <n v="4657600"/>
    <n v="21213222"/>
    <n v="0"/>
    <n v="0"/>
    <n v="5534"/>
    <n v="46576"/>
    <n v="275772"/>
    <n v="0"/>
    <n v="0"/>
  </r>
  <r>
    <x v="25"/>
    <x v="84"/>
    <s v="202508"/>
    <s v="2025"/>
    <s v="MAP GROUP202508"/>
    <n v="2"/>
    <n v="0"/>
    <n v="5"/>
    <n v="0"/>
    <n v="0"/>
    <n v="20000"/>
    <n v="0"/>
    <n v="50014"/>
    <n v="0"/>
    <n v="0"/>
    <n v="30"/>
    <n v="0"/>
    <n v="1000"/>
    <n v="0"/>
    <n v="0"/>
  </r>
  <r>
    <x v="25"/>
    <x v="85"/>
    <s v="202508"/>
    <s v="2025"/>
    <s v="MAP GROUP202508"/>
    <n v="1"/>
    <n v="61"/>
    <n v="116"/>
    <n v="0"/>
    <n v="0"/>
    <n v="10382000"/>
    <n v="119417000"/>
    <n v="209579115"/>
    <n v="0"/>
    <n v="0"/>
    <n v="15573"/>
    <n v="1194170"/>
    <n v="2724528"/>
    <n v="0"/>
    <n v="0"/>
  </r>
  <r>
    <x v="25"/>
    <x v="86"/>
    <s v="202508"/>
    <s v="2025"/>
    <s v="MAP GROUP202508"/>
    <n v="2"/>
    <n v="77"/>
    <n v="46"/>
    <n v="0"/>
    <n v="0"/>
    <n v="2935920"/>
    <n v="185181700"/>
    <n v="79064900"/>
    <n v="0"/>
    <n v="0"/>
    <n v="4404"/>
    <n v="1851817"/>
    <n v="1027844"/>
    <n v="0"/>
    <n v="0"/>
  </r>
  <r>
    <x v="25"/>
    <x v="87"/>
    <s v="202508"/>
    <s v="2025"/>
    <s v="MAP GROUP202508"/>
    <n v="2"/>
    <n v="67"/>
    <n v="111"/>
    <n v="0"/>
    <n v="0"/>
    <n v="814800"/>
    <n v="41602400"/>
    <n v="79447200"/>
    <n v="0"/>
    <n v="0"/>
    <n v="1222"/>
    <n v="416024"/>
    <n v="1032814"/>
    <n v="0"/>
    <n v="0"/>
  </r>
  <r>
    <x v="25"/>
    <x v="88"/>
    <s v="202508"/>
    <s v="2025"/>
    <s v="MAP GROUP202508"/>
    <n v="1"/>
    <n v="27"/>
    <n v="17"/>
    <n v="0"/>
    <n v="0"/>
    <n v="240000"/>
    <n v="2830500"/>
    <n v="1831001"/>
    <n v="0"/>
    <n v="0"/>
    <n v="360"/>
    <n v="28305"/>
    <n v="23803"/>
    <n v="0"/>
    <n v="0"/>
  </r>
  <r>
    <x v="11"/>
    <x v="24"/>
    <s v="202508"/>
    <s v="2025"/>
    <s v="MITRA10202508"/>
    <n v="525"/>
    <n v="6"/>
    <n v="1"/>
    <n v="0"/>
    <n v="0"/>
    <n v="1146122094"/>
    <n v="35361234"/>
    <n v="318980"/>
    <n v="0"/>
    <n v="0"/>
    <n v="1719181"/>
    <n v="353612"/>
    <n v="6380"/>
    <n v="0"/>
    <n v="0"/>
  </r>
  <r>
    <x v="12"/>
    <x v="25"/>
    <s v="202508"/>
    <s v="2025"/>
    <s v="OPTIK MELAWAI202508"/>
    <n v="74"/>
    <n v="0"/>
    <n v="0"/>
    <n v="0"/>
    <n v="0"/>
    <n v="135529500"/>
    <n v="0"/>
    <n v="0"/>
    <n v="0"/>
    <n v="0"/>
    <n v="203294"/>
    <n v="0"/>
    <n v="0"/>
    <n v="0"/>
    <n v="0"/>
  </r>
  <r>
    <x v="14"/>
    <x v="28"/>
    <s v="202508"/>
    <s v="2025"/>
    <s v="PERTAMINA RETAIL202508"/>
    <n v="2"/>
    <n v="62"/>
    <n v="0"/>
    <n v="0"/>
    <n v="0"/>
    <n v="250000"/>
    <n v="11844130"/>
    <n v="0"/>
    <n v="0"/>
    <n v="0"/>
    <n v="375"/>
    <n v="59221"/>
    <n v="0"/>
    <n v="0"/>
    <n v="0"/>
  </r>
  <r>
    <x v="15"/>
    <x v="29"/>
    <s v="202508"/>
    <s v="2025"/>
    <s v="PIZZA HUT202508"/>
    <n v="39"/>
    <n v="0"/>
    <n v="0"/>
    <n v="67"/>
    <n v="11"/>
    <n v="8009500"/>
    <n v="0"/>
    <n v="0"/>
    <n v="5216001"/>
    <n v="414000"/>
    <n v="12014"/>
    <n v="0"/>
    <n v="0"/>
    <n v="36512"/>
    <n v="2898"/>
  </r>
  <r>
    <x v="15"/>
    <x v="30"/>
    <s v="202508"/>
    <s v="2025"/>
    <s v="PIZZA HUT202508"/>
    <n v="181"/>
    <n v="0"/>
    <n v="0"/>
    <n v="0"/>
    <n v="0"/>
    <n v="50874993"/>
    <n v="0"/>
    <n v="0"/>
    <n v="0"/>
    <n v="0"/>
    <n v="76312"/>
    <n v="0"/>
    <n v="0"/>
    <n v="0"/>
    <n v="0"/>
  </r>
  <r>
    <x v="16"/>
    <x v="31"/>
    <s v="202508"/>
    <s v="2025"/>
    <s v="PLATINUM CINEPLEX202508"/>
    <n v="2"/>
    <n v="214"/>
    <n v="100"/>
    <n v="4"/>
    <n v="1292"/>
    <n v="345000"/>
    <n v="24597000"/>
    <n v="12669000"/>
    <n v="345000"/>
    <n v="134150245"/>
    <n v="518"/>
    <n v="245970"/>
    <n v="228342"/>
    <n v="2415"/>
    <n v="939052"/>
  </r>
  <r>
    <x v="34"/>
    <x v="67"/>
    <s v="202508"/>
    <s v="2025"/>
    <s v="POPEYES202508"/>
    <n v="7"/>
    <n v="6"/>
    <n v="1"/>
    <n v="0"/>
    <n v="9"/>
    <n v="809383"/>
    <n v="482100"/>
    <n v="45000"/>
    <n v="0"/>
    <n v="15846183"/>
    <n v="1214"/>
    <n v="4821"/>
    <n v="900"/>
    <n v="0"/>
    <n v="110922"/>
  </r>
  <r>
    <x v="17"/>
    <x v="32"/>
    <s v="202508"/>
    <s v="2025"/>
    <s v="SARINAH202508"/>
    <n v="10"/>
    <n v="126"/>
    <n v="375"/>
    <n v="0"/>
    <n v="0"/>
    <n v="11117945"/>
    <n v="97068885"/>
    <n v="407039311"/>
    <n v="0"/>
    <n v="0"/>
    <n v="16677"/>
    <n v="970689"/>
    <n v="7326708"/>
    <n v="0"/>
    <n v="0"/>
  </r>
  <r>
    <x v="18"/>
    <x v="33"/>
    <s v="202508"/>
    <s v="2025"/>
    <s v="SHIHLIN202508"/>
    <n v="27"/>
    <n v="0"/>
    <n v="0"/>
    <n v="28"/>
    <n v="514"/>
    <n v="1877000"/>
    <n v="0"/>
    <n v="0"/>
    <n v="5635000"/>
    <n v="37877550"/>
    <n v="2816"/>
    <n v="0"/>
    <n v="0"/>
    <n v="4795"/>
    <n v="126575"/>
  </r>
  <r>
    <x v="19"/>
    <x v="34"/>
    <s v="202508"/>
    <s v="2025"/>
    <s v="SOLARIA202508"/>
    <n v="1261"/>
    <n v="1"/>
    <n v="0"/>
    <n v="19"/>
    <n v="1159"/>
    <n v="208792100"/>
    <n v="112000"/>
    <n v="0"/>
    <n v="2898000"/>
    <n v="159365100"/>
    <n v="313188"/>
    <n v="1120"/>
    <n v="0"/>
    <n v="20286"/>
    <n v="1115556"/>
  </r>
  <r>
    <x v="20"/>
    <x v="35"/>
    <s v="202508"/>
    <s v="2025"/>
    <s v="SOUR SALLY202508"/>
    <n v="5"/>
    <n v="3"/>
    <n v="0"/>
    <n v="33"/>
    <n v="246"/>
    <n v="540000"/>
    <n v="252000"/>
    <n v="0"/>
    <n v="2887000"/>
    <n v="18305000"/>
    <n v="810"/>
    <n v="2520"/>
    <n v="0"/>
    <n v="20209"/>
    <n v="128135"/>
  </r>
  <r>
    <x v="21"/>
    <x v="70"/>
    <s v="202508"/>
    <s v="2025"/>
    <s v="STEVEN GROUP202508"/>
    <n v="4"/>
    <n v="0"/>
    <n v="0"/>
    <n v="0"/>
    <n v="0"/>
    <n v="1249076"/>
    <n v="0"/>
    <n v="0"/>
    <n v="0"/>
    <n v="1880175"/>
    <n v="1874"/>
    <n v="0"/>
    <n v="0"/>
    <n v="0"/>
    <n v="5641"/>
  </r>
  <r>
    <x v="21"/>
    <x v="43"/>
    <s v="202508"/>
    <s v="2025"/>
    <s v="STEVEN GROUP202508"/>
    <n v="44"/>
    <n v="92"/>
    <n v="26"/>
    <n v="0"/>
    <n v="266"/>
    <n v="3278638"/>
    <n v="8914611"/>
    <n v="2301982"/>
    <n v="0"/>
    <n v="102469994"/>
    <n v="4918"/>
    <n v="89146"/>
    <n v="46040"/>
    <n v="0"/>
    <n v="717289"/>
  </r>
  <r>
    <x v="21"/>
    <x v="51"/>
    <s v="202508"/>
    <s v="2025"/>
    <s v="STEVEN GROUP202508"/>
    <n v="0"/>
    <n v="0"/>
    <n v="0"/>
    <n v="6"/>
    <n v="564"/>
    <n v="0"/>
    <n v="0"/>
    <n v="0"/>
    <n v="179000"/>
    <n v="18894800"/>
    <n v="0"/>
    <n v="0"/>
    <n v="0"/>
    <n v="0"/>
    <n v="0"/>
  </r>
  <r>
    <x v="21"/>
    <x v="68"/>
    <s v="202508"/>
    <s v="2025"/>
    <s v="STEVEN GROUP202508"/>
    <n v="3"/>
    <n v="0"/>
    <n v="0"/>
    <n v="0"/>
    <n v="1"/>
    <n v="931219"/>
    <n v="0"/>
    <n v="0"/>
    <n v="0"/>
    <n v="1"/>
    <n v="1397"/>
    <n v="0"/>
    <n v="0"/>
    <n v="0"/>
    <n v="0"/>
  </r>
  <r>
    <x v="21"/>
    <x v="36"/>
    <s v="202508"/>
    <s v="2025"/>
    <s v="STEVEN GROUP202508"/>
    <n v="2"/>
    <n v="0"/>
    <n v="0"/>
    <n v="0"/>
    <n v="1"/>
    <n v="1350000"/>
    <n v="0"/>
    <n v="0"/>
    <n v="0"/>
    <n v="1"/>
    <n v="2025"/>
    <n v="0"/>
    <n v="0"/>
    <n v="0"/>
    <n v="0"/>
  </r>
  <r>
    <x v="21"/>
    <x v="71"/>
    <s v="202508"/>
    <s v="2025"/>
    <s v="STEVEN GROUP202508"/>
    <n v="3"/>
    <n v="0"/>
    <n v="0"/>
    <n v="0"/>
    <n v="0"/>
    <n v="2334450"/>
    <n v="0"/>
    <n v="0"/>
    <n v="0"/>
    <n v="0"/>
    <n v="3502"/>
    <n v="0"/>
    <n v="0"/>
    <n v="0"/>
    <n v="0"/>
  </r>
  <r>
    <x v="36"/>
    <x v="72"/>
    <s v="202508"/>
    <s v="2025"/>
    <s v="SUPRA BOGA LESTARI202508"/>
    <n v="3"/>
    <n v="0"/>
    <n v="0"/>
    <n v="0"/>
    <n v="0"/>
    <n v="2517001"/>
    <n v="0"/>
    <n v="0"/>
    <n v="0"/>
    <n v="0"/>
    <n v="3775"/>
    <n v="0"/>
    <n v="0"/>
    <n v="0"/>
    <n v="0"/>
  </r>
  <r>
    <x v="33"/>
    <x v="65"/>
    <s v="202508"/>
    <s v="2025"/>
    <s v="SURYA BUMI RETAILINDO202508"/>
    <n v="0"/>
    <n v="0"/>
    <n v="0"/>
    <n v="2"/>
    <n v="0"/>
    <n v="0"/>
    <n v="0"/>
    <n v="0"/>
    <n v="5341000"/>
    <n v="0"/>
    <n v="0"/>
    <n v="0"/>
    <n v="0"/>
    <n v="37387"/>
    <n v="0"/>
  </r>
  <r>
    <x v="37"/>
    <x v="73"/>
    <s v="202508"/>
    <s v="2025"/>
    <s v="SUSHI TEI202508"/>
    <n v="11"/>
    <n v="0"/>
    <n v="0"/>
    <n v="0"/>
    <n v="1"/>
    <n v="6756251"/>
    <n v="0"/>
    <n v="0"/>
    <n v="0"/>
    <n v="1"/>
    <n v="10134"/>
    <n v="0"/>
    <n v="0"/>
    <n v="0"/>
    <n v="0"/>
  </r>
  <r>
    <x v="28"/>
    <x v="55"/>
    <s v="202508"/>
    <s v="2025"/>
    <s v="TAMANI202508"/>
    <n v="0"/>
    <n v="1"/>
    <n v="0"/>
    <n v="0"/>
    <n v="0"/>
    <n v="0"/>
    <n v="173800"/>
    <n v="0"/>
    <n v="0"/>
    <n v="0"/>
    <n v="0"/>
    <n v="1738"/>
    <n v="0"/>
    <n v="0"/>
    <n v="0"/>
  </r>
  <r>
    <x v="30"/>
    <x v="59"/>
    <s v="202508"/>
    <s v="2025"/>
    <s v="YOGURT REPUBLIC202508"/>
    <n v="0"/>
    <n v="0"/>
    <n v="0"/>
    <n v="0"/>
    <n v="7039"/>
    <n v="0"/>
    <n v="0"/>
    <n v="0"/>
    <n v="0"/>
    <n v="470087716"/>
    <n v="0"/>
    <n v="0"/>
    <n v="0"/>
    <n v="0"/>
    <n v="0"/>
  </r>
  <r>
    <x v="30"/>
    <x v="62"/>
    <s v="202508"/>
    <s v="2025"/>
    <s v="YOGURT REPUBLIC202508"/>
    <n v="0"/>
    <n v="1"/>
    <n v="0"/>
    <n v="0"/>
    <n v="0"/>
    <n v="0"/>
    <n v="50490"/>
    <n v="0"/>
    <n v="0"/>
    <n v="0"/>
    <n v="0"/>
    <n v="505"/>
    <n v="0"/>
    <n v="0"/>
    <n v="0"/>
  </r>
  <r>
    <x v="29"/>
    <x v="56"/>
    <s v="202508"/>
    <s v="2025"/>
    <s v="YOSHINOYA202508"/>
    <n v="302"/>
    <n v="9062"/>
    <n v="332"/>
    <n v="0"/>
    <n v="166790"/>
    <n v="50142000"/>
    <n v="1345877400"/>
    <n v="42239500"/>
    <n v="0"/>
    <n v="20297601832"/>
    <n v="75213"/>
    <n v="13458774"/>
    <n v="469836"/>
    <n v="0"/>
    <n v="142082354"/>
  </r>
  <r>
    <x v="39"/>
    <x v="75"/>
    <s v="202508"/>
    <s v="2025"/>
    <s v="ZENBU202508"/>
    <n v="0"/>
    <n v="0"/>
    <n v="0"/>
    <n v="29"/>
    <n v="7090"/>
    <n v="0"/>
    <n v="0"/>
    <n v="0"/>
    <n v="10490450"/>
    <n v="1951732110"/>
    <n v="0"/>
    <n v="0"/>
    <n v="0"/>
    <n v="73434"/>
    <n v="13662098"/>
  </r>
  <r>
    <x v="0"/>
    <x v="0"/>
    <s v="202509"/>
    <s v="2025"/>
    <s v="ALFA GROUP202509"/>
    <n v="16670"/>
    <n v="54882"/>
    <n v="16517"/>
    <n v="0"/>
    <n v="0"/>
    <n v="1488674790"/>
    <n v="5114114213"/>
    <n v="2058237277"/>
    <n v="0"/>
    <n v="0"/>
    <n v="2233012"/>
    <n v="51141142"/>
    <n v="36792226"/>
    <n v="0"/>
    <n v="0"/>
  </r>
  <r>
    <x v="0"/>
    <x v="1"/>
    <s v="202509"/>
    <s v="2025"/>
    <s v="ALFA GROUP202509"/>
    <n v="4797"/>
    <n v="20108"/>
    <n v="6215"/>
    <n v="0"/>
    <n v="0"/>
    <n v="594594900"/>
    <n v="2441093925"/>
    <n v="1102672727"/>
    <n v="0"/>
    <n v="0"/>
    <n v="891890"/>
    <n v="24410939"/>
    <n v="19709156"/>
    <n v="0"/>
    <n v="0"/>
  </r>
  <r>
    <x v="0"/>
    <x v="2"/>
    <s v="202509"/>
    <s v="2025"/>
    <s v="ALFA GROUP202509"/>
    <n v="408"/>
    <n v="1482"/>
    <n v="221"/>
    <n v="0"/>
    <n v="0"/>
    <n v="71186202"/>
    <n v="228366507"/>
    <n v="44024904"/>
    <n v="0"/>
    <n v="0"/>
    <n v="106779"/>
    <n v="2283665"/>
    <n v="793015"/>
    <n v="0"/>
    <n v="0"/>
  </r>
  <r>
    <x v="22"/>
    <x v="37"/>
    <s v="202509"/>
    <s v="2025"/>
    <s v="BANBAN TEA202509"/>
    <n v="2"/>
    <n v="5"/>
    <n v="0"/>
    <n v="71"/>
    <n v="71"/>
    <n v="154000"/>
    <n v="267300"/>
    <n v="0"/>
    <n v="4758996"/>
    <n v="4957396"/>
    <n v="231"/>
    <n v="2673"/>
    <n v="0"/>
    <n v="33308"/>
    <n v="34702"/>
  </r>
  <r>
    <x v="23"/>
    <x v="38"/>
    <s v="202509"/>
    <s v="2025"/>
    <s v="BEARD PAPA202509"/>
    <n v="23"/>
    <n v="55"/>
    <n v="58"/>
    <n v="0"/>
    <n v="19"/>
    <n v="2033000"/>
    <n v="5649000"/>
    <n v="7113300"/>
    <n v="0"/>
    <n v="5980707"/>
    <n v="3050"/>
    <n v="56490"/>
    <n v="142266"/>
    <n v="0"/>
    <n v="41864"/>
  </r>
  <r>
    <x v="1"/>
    <x v="4"/>
    <s v="202509"/>
    <s v="2025"/>
    <s v="CHAMP RESTO202509"/>
    <n v="1"/>
    <n v="0"/>
    <n v="0"/>
    <n v="0"/>
    <n v="13"/>
    <n v="139370"/>
    <n v="0"/>
    <n v="0"/>
    <n v="0"/>
    <n v="2165900"/>
    <n v="209"/>
    <n v="0"/>
    <n v="0"/>
    <n v="0"/>
    <n v="15160"/>
  </r>
  <r>
    <x v="1"/>
    <x v="44"/>
    <s v="202509"/>
    <s v="2025"/>
    <s v="CHAMP RESTO202509"/>
    <n v="0"/>
    <n v="0"/>
    <n v="0"/>
    <n v="0"/>
    <n v="3"/>
    <n v="0"/>
    <n v="0"/>
    <n v="0"/>
    <n v="0"/>
    <n v="839245"/>
    <n v="0"/>
    <n v="0"/>
    <n v="0"/>
    <n v="0"/>
    <n v="5875"/>
  </r>
  <r>
    <x v="1"/>
    <x v="5"/>
    <s v="202509"/>
    <s v="2025"/>
    <s v="CHAMP RESTO202509"/>
    <n v="11"/>
    <n v="2"/>
    <n v="0"/>
    <n v="0"/>
    <n v="43"/>
    <n v="1499854"/>
    <n v="371000"/>
    <n v="0"/>
    <n v="0"/>
    <n v="6402336"/>
    <n v="2250"/>
    <n v="3710"/>
    <n v="0"/>
    <n v="0"/>
    <n v="44815"/>
  </r>
  <r>
    <x v="1"/>
    <x v="6"/>
    <s v="202509"/>
    <s v="2025"/>
    <s v="CHAMP RESTO202509"/>
    <n v="4"/>
    <n v="8"/>
    <n v="0"/>
    <n v="0"/>
    <n v="33"/>
    <n v="885966"/>
    <n v="3156256"/>
    <n v="0"/>
    <n v="0"/>
    <n v="14518579"/>
    <n v="1329"/>
    <n v="31563"/>
    <n v="0"/>
    <n v="0"/>
    <n v="101633"/>
  </r>
  <r>
    <x v="1"/>
    <x v="8"/>
    <s v="202509"/>
    <s v="2025"/>
    <s v="CHAMP RESTO202509"/>
    <n v="3"/>
    <n v="0"/>
    <n v="0"/>
    <n v="0"/>
    <n v="2"/>
    <n v="704007"/>
    <n v="0"/>
    <n v="0"/>
    <n v="0"/>
    <n v="446503"/>
    <n v="1056"/>
    <n v="0"/>
    <n v="0"/>
    <n v="0"/>
    <n v="3126"/>
  </r>
  <r>
    <x v="32"/>
    <x v="63"/>
    <s v="202509"/>
    <s v="2025"/>
    <s v="DAMRI202509"/>
    <n v="1"/>
    <n v="9"/>
    <n v="0"/>
    <n v="0"/>
    <n v="51"/>
    <n v="80000"/>
    <n v="2235000"/>
    <n v="0"/>
    <n v="0"/>
    <n v="15315000"/>
    <n v="120"/>
    <n v="22350"/>
    <n v="0"/>
    <n v="0"/>
    <n v="107205"/>
  </r>
  <r>
    <x v="31"/>
    <x v="60"/>
    <s v="202509"/>
    <s v="2025"/>
    <s v="DWIDAYA202509"/>
    <n v="10"/>
    <n v="2"/>
    <n v="9"/>
    <n v="2"/>
    <n v="83"/>
    <n v="189277800"/>
    <n v="3705000"/>
    <n v="180210225"/>
    <n v="2750000"/>
    <n v="246105490"/>
    <n v="283917"/>
    <n v="37050"/>
    <n v="3604204"/>
    <n v="19250"/>
    <n v="1722739"/>
  </r>
  <r>
    <x v="35"/>
    <x v="69"/>
    <s v="202509"/>
    <s v="2025"/>
    <s v="EKA HOSPITAL202509"/>
    <n v="0"/>
    <n v="5"/>
    <n v="0"/>
    <n v="0"/>
    <n v="5"/>
    <n v="0"/>
    <n v="50000"/>
    <n v="0"/>
    <n v="0"/>
    <n v="5"/>
    <n v="0"/>
    <n v="500"/>
    <n v="0"/>
    <n v="0"/>
    <n v="0"/>
  </r>
  <r>
    <x v="2"/>
    <x v="9"/>
    <s v="202509"/>
    <s v="2025"/>
    <s v="ES TELLER 77202509"/>
    <n v="0"/>
    <n v="0"/>
    <n v="0"/>
    <n v="0"/>
    <n v="1"/>
    <n v="0"/>
    <n v="0"/>
    <n v="0"/>
    <n v="0"/>
    <n v="1"/>
    <n v="0"/>
    <n v="0"/>
    <n v="0"/>
    <n v="0"/>
    <n v="0"/>
  </r>
  <r>
    <x v="3"/>
    <x v="10"/>
    <s v="202509"/>
    <s v="2025"/>
    <s v="GRAMEDIA202509"/>
    <n v="5"/>
    <n v="0"/>
    <n v="0"/>
    <n v="0"/>
    <n v="0"/>
    <n v="1218110"/>
    <n v="0"/>
    <n v="0"/>
    <n v="0"/>
    <n v="0"/>
    <n v="1827"/>
    <n v="0"/>
    <n v="0"/>
    <n v="0"/>
    <n v="0"/>
  </r>
  <r>
    <x v="4"/>
    <x v="11"/>
    <s v="202509"/>
    <s v="2025"/>
    <s v="HAUS202509"/>
    <n v="0"/>
    <n v="2"/>
    <n v="0"/>
    <n v="97"/>
    <n v="20475"/>
    <n v="0"/>
    <n v="100000"/>
    <n v="0"/>
    <n v="5827502"/>
    <n v="851497392"/>
    <n v="0"/>
    <n v="1000"/>
    <n v="0"/>
    <n v="23699"/>
    <n v="5875411"/>
  </r>
  <r>
    <x v="24"/>
    <x v="40"/>
    <s v="202509"/>
    <s v="2025"/>
    <s v="HERO GROUP202509"/>
    <n v="0"/>
    <n v="0"/>
    <n v="0"/>
    <n v="4"/>
    <n v="150"/>
    <n v="0"/>
    <n v="0"/>
    <n v="0"/>
    <n v="375505"/>
    <n v="8478282"/>
    <n v="0"/>
    <n v="0"/>
    <n v="0"/>
    <n v="2628"/>
    <n v="47338"/>
  </r>
  <r>
    <x v="38"/>
    <x v="74"/>
    <s v="202509"/>
    <s v="2025"/>
    <s v="HOKBEN202509"/>
    <n v="0"/>
    <n v="0"/>
    <n v="0"/>
    <n v="4"/>
    <n v="2616"/>
    <n v="0"/>
    <n v="0"/>
    <n v="0"/>
    <n v="596000"/>
    <n v="258623120"/>
    <n v="0"/>
    <n v="0"/>
    <n v="0"/>
    <n v="4172"/>
    <n v="1809149"/>
  </r>
  <r>
    <x v="27"/>
    <x v="48"/>
    <s v="202509"/>
    <s v="2025"/>
    <s v="HOKKAIDO BAKED CHEESE202509"/>
    <n v="3"/>
    <n v="59"/>
    <n v="5"/>
    <n v="1"/>
    <n v="2345"/>
    <n v="207400"/>
    <n v="6186707"/>
    <n v="506300"/>
    <n v="74400"/>
    <n v="84834386"/>
    <n v="311"/>
    <n v="61867"/>
    <n v="9977"/>
    <n v="521"/>
    <n v="531805"/>
  </r>
  <r>
    <x v="5"/>
    <x v="12"/>
    <s v="202509"/>
    <s v="2025"/>
    <s v="HOP HOP202509"/>
    <n v="0"/>
    <n v="0"/>
    <n v="0"/>
    <n v="81"/>
    <n v="10353"/>
    <n v="0"/>
    <n v="0"/>
    <n v="0"/>
    <n v="3056000"/>
    <n v="280356201"/>
    <n v="0"/>
    <n v="0"/>
    <n v="0"/>
    <n v="0"/>
    <n v="5532"/>
  </r>
  <r>
    <x v="5"/>
    <x v="58"/>
    <s v="202509"/>
    <s v="2025"/>
    <s v="HOP HOP202509"/>
    <n v="0"/>
    <n v="0"/>
    <n v="0"/>
    <n v="20"/>
    <n v="2202"/>
    <n v="0"/>
    <n v="0"/>
    <n v="0"/>
    <n v="807000"/>
    <n v="43775576"/>
    <n v="0"/>
    <n v="0"/>
    <n v="0"/>
    <n v="0"/>
    <n v="0"/>
  </r>
  <r>
    <x v="6"/>
    <x v="13"/>
    <s v="202509"/>
    <s v="2025"/>
    <s v="IKEA202509"/>
    <n v="24"/>
    <n v="0"/>
    <n v="0"/>
    <n v="0"/>
    <n v="0"/>
    <n v="23463910"/>
    <n v="0"/>
    <n v="0"/>
    <n v="0"/>
    <n v="0"/>
    <n v="35196"/>
    <n v="0"/>
    <n v="0"/>
    <n v="0"/>
    <n v="0"/>
  </r>
  <r>
    <x v="7"/>
    <x v="14"/>
    <s v="202509"/>
    <s v="2025"/>
    <s v="INDOMARET202509"/>
    <n v="26380"/>
    <n v="68218"/>
    <n v="26099"/>
    <n v="0"/>
    <n v="0"/>
    <n v="2628222724"/>
    <n v="5936459801"/>
    <n v="3624473143"/>
    <n v="0"/>
    <n v="0"/>
    <n v="3942332"/>
    <n v="59364598"/>
    <n v="60591241"/>
    <n v="0"/>
    <n v="0"/>
  </r>
  <r>
    <x v="7"/>
    <x v="15"/>
    <s v="202509"/>
    <s v="2025"/>
    <s v="INDOMARET202509"/>
    <n v="440"/>
    <n v="1652"/>
    <n v="894"/>
    <n v="0"/>
    <n v="0"/>
    <n v="29864010"/>
    <n v="116221370"/>
    <n v="103673400"/>
    <n v="0"/>
    <n v="0"/>
    <n v="44796"/>
    <n v="1162214"/>
    <n v="1741273"/>
    <n v="0"/>
    <n v="0"/>
  </r>
  <r>
    <x v="8"/>
    <x v="41"/>
    <s v="202509"/>
    <s v="2025"/>
    <s v="KAWAN LAMA202509"/>
    <n v="2"/>
    <n v="0"/>
    <n v="0"/>
    <n v="0"/>
    <n v="0"/>
    <n v="270600"/>
    <n v="0"/>
    <n v="0"/>
    <n v="0"/>
    <n v="0"/>
    <n v="406"/>
    <n v="0"/>
    <n v="0"/>
    <n v="0"/>
    <n v="0"/>
  </r>
  <r>
    <x v="8"/>
    <x v="16"/>
    <s v="202509"/>
    <s v="2025"/>
    <s v="KAWAN LAMA202509"/>
    <n v="1063"/>
    <n v="0"/>
    <n v="0"/>
    <n v="8"/>
    <n v="18"/>
    <n v="901153998"/>
    <n v="0"/>
    <n v="0"/>
    <n v="1745085"/>
    <n v="508624513"/>
    <n v="1351730"/>
    <n v="0"/>
    <n v="0"/>
    <n v="12215"/>
    <n v="3560379"/>
  </r>
  <r>
    <x v="8"/>
    <x v="17"/>
    <s v="202509"/>
    <s v="2025"/>
    <s v="KAWAN LAMA202509"/>
    <n v="272"/>
    <n v="0"/>
    <n v="0"/>
    <n v="0"/>
    <n v="78"/>
    <n v="20117700"/>
    <n v="0"/>
    <n v="0"/>
    <n v="0"/>
    <n v="38534319"/>
    <n v="30177"/>
    <n v="0"/>
    <n v="0"/>
    <n v="0"/>
    <n v="269740"/>
  </r>
  <r>
    <x v="8"/>
    <x v="54"/>
    <s v="202509"/>
    <s v="2025"/>
    <s v="KAWAN LAMA202509"/>
    <n v="1"/>
    <n v="0"/>
    <n v="0"/>
    <n v="0"/>
    <n v="2"/>
    <n v="2498007"/>
    <n v="0"/>
    <n v="0"/>
    <n v="0"/>
    <n v="2509102"/>
    <n v="3747"/>
    <n v="0"/>
    <n v="0"/>
    <n v="0"/>
    <n v="16024"/>
  </r>
  <r>
    <x v="8"/>
    <x v="49"/>
    <s v="202509"/>
    <s v="2025"/>
    <s v="KAWAN LAMA202509"/>
    <n v="4"/>
    <n v="0"/>
    <n v="0"/>
    <n v="0"/>
    <n v="0"/>
    <n v="284000"/>
    <n v="0"/>
    <n v="0"/>
    <n v="0"/>
    <n v="0"/>
    <n v="426"/>
    <n v="0"/>
    <n v="0"/>
    <n v="0"/>
    <n v="0"/>
  </r>
  <r>
    <x v="8"/>
    <x v="50"/>
    <s v="202509"/>
    <s v="2025"/>
    <s v="KAWAN LAMA202509"/>
    <n v="13"/>
    <n v="0"/>
    <n v="0"/>
    <n v="0"/>
    <n v="0"/>
    <n v="1940000"/>
    <n v="0"/>
    <n v="0"/>
    <n v="0"/>
    <n v="0"/>
    <n v="2910"/>
    <n v="0"/>
    <n v="0"/>
    <n v="0"/>
    <n v="0"/>
  </r>
  <r>
    <x v="8"/>
    <x v="18"/>
    <s v="202509"/>
    <s v="2025"/>
    <s v="KAWAN LAMA202509"/>
    <n v="428"/>
    <n v="0"/>
    <n v="0"/>
    <n v="0"/>
    <n v="8"/>
    <n v="1478257560"/>
    <n v="0"/>
    <n v="0"/>
    <n v="0"/>
    <n v="512671059"/>
    <n v="2217386"/>
    <n v="0"/>
    <n v="0"/>
    <n v="0"/>
    <n v="3588689"/>
  </r>
  <r>
    <x v="8"/>
    <x v="19"/>
    <s v="202509"/>
    <s v="2025"/>
    <s v="KAWAN LAMA202509"/>
    <n v="31"/>
    <n v="0"/>
    <n v="0"/>
    <n v="0"/>
    <n v="1"/>
    <n v="259486768"/>
    <n v="0"/>
    <n v="0"/>
    <n v="0"/>
    <n v="54750300"/>
    <n v="389230"/>
    <n v="0"/>
    <n v="0"/>
    <n v="0"/>
    <n v="383251"/>
  </r>
  <r>
    <x v="8"/>
    <x v="89"/>
    <s v="202509"/>
    <s v="2025"/>
    <s v="KAWAN LAMA202509"/>
    <n v="0"/>
    <n v="0"/>
    <n v="0"/>
    <n v="0"/>
    <n v="1"/>
    <n v="0"/>
    <n v="0"/>
    <n v="0"/>
    <n v="0"/>
    <n v="399501"/>
    <n v="0"/>
    <n v="0"/>
    <n v="0"/>
    <n v="0"/>
    <n v="2796"/>
  </r>
  <r>
    <x v="8"/>
    <x v="20"/>
    <s v="202509"/>
    <s v="2025"/>
    <s v="KAWAN LAMA202509"/>
    <n v="0"/>
    <n v="0"/>
    <n v="0"/>
    <n v="5"/>
    <n v="1366"/>
    <n v="0"/>
    <n v="0"/>
    <n v="0"/>
    <n v="300000"/>
    <n v="24814022"/>
    <n v="0"/>
    <n v="0"/>
    <n v="0"/>
    <n v="0"/>
    <n v="2400"/>
  </r>
  <r>
    <x v="8"/>
    <x v="21"/>
    <s v="202509"/>
    <s v="2025"/>
    <s v="KAWAN LAMA202509"/>
    <n v="28"/>
    <n v="0"/>
    <n v="0"/>
    <n v="0"/>
    <n v="3"/>
    <n v="34807728"/>
    <n v="0"/>
    <n v="0"/>
    <n v="0"/>
    <n v="21891352"/>
    <n v="52212"/>
    <n v="0"/>
    <n v="0"/>
    <n v="0"/>
    <n v="153238"/>
  </r>
  <r>
    <x v="8"/>
    <x v="52"/>
    <s v="202509"/>
    <s v="2025"/>
    <s v="KAWAN LAMA202509"/>
    <n v="1"/>
    <n v="0"/>
    <n v="0"/>
    <n v="0"/>
    <n v="0"/>
    <n v="582400"/>
    <n v="0"/>
    <n v="0"/>
    <n v="0"/>
    <n v="744300"/>
    <n v="874"/>
    <n v="0"/>
    <n v="0"/>
    <n v="0"/>
    <n v="5210"/>
  </r>
  <r>
    <x v="9"/>
    <x v="22"/>
    <s v="202509"/>
    <s v="2025"/>
    <s v="KCIC202509"/>
    <n v="99"/>
    <n v="1809"/>
    <n v="1600"/>
    <n v="0"/>
    <n v="0"/>
    <n v="59915000"/>
    <n v="1120445000"/>
    <n v="1397830000"/>
    <n v="0"/>
    <n v="0"/>
    <n v="89872"/>
    <n v="11204450"/>
    <n v="25174640"/>
    <n v="0"/>
    <n v="0"/>
  </r>
  <r>
    <x v="10"/>
    <x v="23"/>
    <s v="202509"/>
    <s v="2025"/>
    <s v="KIMIA FARMA202509"/>
    <n v="0"/>
    <n v="0"/>
    <n v="0"/>
    <n v="0"/>
    <n v="4"/>
    <n v="0"/>
    <n v="0"/>
    <n v="0"/>
    <n v="0"/>
    <n v="961293"/>
    <n v="0"/>
    <n v="0"/>
    <n v="0"/>
    <n v="0"/>
    <n v="6729"/>
  </r>
  <r>
    <x v="40"/>
    <x v="76"/>
    <s v="202509"/>
    <s v="2025"/>
    <s v="LOTTE GROUP202509"/>
    <n v="630"/>
    <n v="0"/>
    <n v="0"/>
    <n v="0"/>
    <n v="1"/>
    <n v="460711925"/>
    <n v="0"/>
    <n v="0"/>
    <n v="0"/>
    <n v="804400"/>
    <n v="691066"/>
    <n v="0"/>
    <n v="0"/>
    <n v="0"/>
    <n v="5631"/>
  </r>
  <r>
    <x v="40"/>
    <x v="77"/>
    <s v="202509"/>
    <s v="2025"/>
    <s v="LOTTE GROUP202509"/>
    <n v="370"/>
    <n v="0"/>
    <n v="0"/>
    <n v="0"/>
    <n v="0"/>
    <n v="105574300"/>
    <n v="0"/>
    <n v="0"/>
    <n v="0"/>
    <n v="0"/>
    <n v="158361"/>
    <n v="0"/>
    <n v="0"/>
    <n v="0"/>
    <n v="0"/>
  </r>
  <r>
    <x v="41"/>
    <x v="79"/>
    <s v="202509"/>
    <s v="2025"/>
    <s v="MAMA ROZ202509"/>
    <n v="0"/>
    <n v="3"/>
    <n v="14"/>
    <n v="0"/>
    <n v="423"/>
    <n v="0"/>
    <n v="266400"/>
    <n v="1947890"/>
    <n v="0"/>
    <n v="33082774"/>
    <n v="0"/>
    <n v="2664"/>
    <n v="29218"/>
    <n v="0"/>
    <n v="231576"/>
  </r>
  <r>
    <x v="25"/>
    <x v="90"/>
    <s v="202509"/>
    <s v="2025"/>
    <s v="MAP GROUP202509"/>
    <n v="0"/>
    <n v="30"/>
    <n v="30"/>
    <n v="0"/>
    <n v="0"/>
    <n v="0"/>
    <n v="50663030"/>
    <n v="49079600"/>
    <n v="0"/>
    <n v="0"/>
    <n v="0"/>
    <n v="506630"/>
    <n v="638035"/>
    <n v="0"/>
    <n v="0"/>
  </r>
  <r>
    <x v="25"/>
    <x v="91"/>
    <s v="202509"/>
    <s v="2025"/>
    <s v="MAP GROUP202509"/>
    <n v="8"/>
    <n v="305"/>
    <n v="336"/>
    <n v="0"/>
    <n v="0"/>
    <n v="14370000"/>
    <n v="480187800"/>
    <n v="566408800"/>
    <n v="0"/>
    <n v="0"/>
    <n v="21555"/>
    <n v="4801878"/>
    <n v="7363314"/>
    <n v="0"/>
    <n v="0"/>
  </r>
  <r>
    <x v="25"/>
    <x v="92"/>
    <s v="202509"/>
    <s v="2025"/>
    <s v="MAP GROUP202509"/>
    <n v="2"/>
    <n v="118"/>
    <n v="131"/>
    <n v="0"/>
    <n v="0"/>
    <n v="1873400"/>
    <n v="156053985"/>
    <n v="159800132"/>
    <n v="0"/>
    <n v="0"/>
    <n v="2810"/>
    <n v="1560540"/>
    <n v="2077402"/>
    <n v="0"/>
    <n v="0"/>
  </r>
  <r>
    <x v="25"/>
    <x v="93"/>
    <s v="202509"/>
    <s v="2025"/>
    <s v="MAP GROUP202509"/>
    <n v="10"/>
    <n v="320"/>
    <n v="434"/>
    <n v="0"/>
    <n v="0"/>
    <n v="21424000"/>
    <n v="845827600"/>
    <n v="1033170696"/>
    <n v="0"/>
    <n v="0"/>
    <n v="32136"/>
    <n v="8458276"/>
    <n v="13431219"/>
    <n v="0"/>
    <n v="0"/>
  </r>
  <r>
    <x v="25"/>
    <x v="94"/>
    <s v="202509"/>
    <s v="2025"/>
    <s v="MAP GROUP202509"/>
    <n v="0"/>
    <n v="11"/>
    <n v="4"/>
    <n v="0"/>
    <n v="0"/>
    <n v="0"/>
    <n v="5642710"/>
    <n v="1973500"/>
    <n v="0"/>
    <n v="0"/>
    <n v="0"/>
    <n v="56427"/>
    <n v="25656"/>
    <n v="0"/>
    <n v="0"/>
  </r>
  <r>
    <x v="25"/>
    <x v="95"/>
    <s v="202509"/>
    <s v="2025"/>
    <s v="MAP GROUP202509"/>
    <n v="1"/>
    <n v="18"/>
    <n v="18"/>
    <n v="0"/>
    <n v="0"/>
    <n v="3200000"/>
    <n v="25991300"/>
    <n v="41944200"/>
    <n v="0"/>
    <n v="0"/>
    <n v="4800"/>
    <n v="259913"/>
    <n v="545275"/>
    <n v="0"/>
    <n v="0"/>
  </r>
  <r>
    <x v="25"/>
    <x v="96"/>
    <s v="202509"/>
    <s v="2025"/>
    <s v="MAP GROUP202509"/>
    <n v="2"/>
    <n v="23"/>
    <n v="25"/>
    <n v="0"/>
    <n v="0"/>
    <n v="4445630"/>
    <n v="18194020"/>
    <n v="20807850"/>
    <n v="0"/>
    <n v="0"/>
    <n v="6668"/>
    <n v="181940"/>
    <n v="270502"/>
    <n v="0"/>
    <n v="0"/>
  </r>
  <r>
    <x v="25"/>
    <x v="97"/>
    <s v="202509"/>
    <s v="2025"/>
    <s v="MAP GROUP202509"/>
    <n v="0"/>
    <n v="15"/>
    <n v="4"/>
    <n v="0"/>
    <n v="0"/>
    <n v="0"/>
    <n v="5618060"/>
    <n v="4004300"/>
    <n v="0"/>
    <n v="0"/>
    <n v="0"/>
    <n v="56181"/>
    <n v="52056"/>
    <n v="0"/>
    <n v="0"/>
  </r>
  <r>
    <x v="25"/>
    <x v="98"/>
    <s v="202509"/>
    <s v="2025"/>
    <s v="MAP GROUP202509"/>
    <n v="2"/>
    <n v="154"/>
    <n v="229"/>
    <n v="0"/>
    <n v="0"/>
    <n v="3342400"/>
    <n v="343351314"/>
    <n v="505274195"/>
    <n v="0"/>
    <n v="0"/>
    <n v="5014"/>
    <n v="3433513"/>
    <n v="6568565"/>
    <n v="0"/>
    <n v="0"/>
  </r>
  <r>
    <x v="25"/>
    <x v="80"/>
    <s v="202509"/>
    <s v="2025"/>
    <s v="MAP GROUP202509"/>
    <n v="0"/>
    <n v="9"/>
    <n v="19"/>
    <n v="0"/>
    <n v="0"/>
    <n v="0"/>
    <n v="16323000"/>
    <n v="42722300"/>
    <n v="0"/>
    <n v="0"/>
    <n v="0"/>
    <n v="163230"/>
    <n v="555390"/>
    <n v="0"/>
    <n v="0"/>
  </r>
  <r>
    <x v="25"/>
    <x v="99"/>
    <s v="202509"/>
    <s v="2025"/>
    <s v="MAP GROUP202509"/>
    <n v="1"/>
    <n v="47"/>
    <n v="94"/>
    <n v="0"/>
    <n v="0"/>
    <n v="2462880"/>
    <n v="84226384"/>
    <n v="165148006"/>
    <n v="0"/>
    <n v="0"/>
    <n v="3694"/>
    <n v="842264"/>
    <n v="2146924"/>
    <n v="0"/>
    <n v="0"/>
  </r>
  <r>
    <x v="25"/>
    <x v="57"/>
    <s v="202509"/>
    <s v="2025"/>
    <s v="MAP GROUP202509"/>
    <n v="16"/>
    <n v="514"/>
    <n v="219"/>
    <n v="0"/>
    <n v="0"/>
    <n v="14149900"/>
    <n v="497655680"/>
    <n v="201812232"/>
    <n v="0"/>
    <n v="0"/>
    <n v="21225"/>
    <n v="4976557"/>
    <n v="2623559"/>
    <n v="0"/>
    <n v="0"/>
  </r>
  <r>
    <x v="25"/>
    <x v="100"/>
    <s v="202509"/>
    <s v="2025"/>
    <s v="MAP GROUP202509"/>
    <n v="27"/>
    <n v="1227"/>
    <n v="738"/>
    <n v="0"/>
    <n v="0"/>
    <n v="31089800"/>
    <n v="1714038341"/>
    <n v="934893826"/>
    <n v="0"/>
    <n v="0"/>
    <n v="46635"/>
    <n v="17140383"/>
    <n v="12153620"/>
    <n v="0"/>
    <n v="0"/>
  </r>
  <r>
    <x v="25"/>
    <x v="101"/>
    <s v="202509"/>
    <s v="2025"/>
    <s v="MAP GROUP202509"/>
    <n v="0"/>
    <n v="44"/>
    <n v="50"/>
    <n v="0"/>
    <n v="0"/>
    <n v="0"/>
    <n v="142192000"/>
    <n v="145432265"/>
    <n v="0"/>
    <n v="0"/>
    <n v="0"/>
    <n v="1421920"/>
    <n v="1890619"/>
    <n v="0"/>
    <n v="0"/>
  </r>
  <r>
    <x v="25"/>
    <x v="102"/>
    <s v="202509"/>
    <s v="2025"/>
    <s v="MAP GROUP202509"/>
    <n v="0"/>
    <n v="67"/>
    <n v="110"/>
    <n v="0"/>
    <n v="0"/>
    <n v="0"/>
    <n v="108395795"/>
    <n v="152292380"/>
    <n v="0"/>
    <n v="0"/>
    <n v="0"/>
    <n v="1083958"/>
    <n v="1979801"/>
    <n v="0"/>
    <n v="0"/>
  </r>
  <r>
    <x v="25"/>
    <x v="81"/>
    <s v="202509"/>
    <s v="2025"/>
    <s v="MAP GROUP202509"/>
    <n v="0"/>
    <n v="17"/>
    <n v="4"/>
    <n v="0"/>
    <n v="0"/>
    <n v="0"/>
    <n v="569001"/>
    <n v="562206"/>
    <n v="0"/>
    <n v="0"/>
    <n v="0"/>
    <n v="5690"/>
    <n v="7309"/>
    <n v="0"/>
    <n v="0"/>
  </r>
  <r>
    <x v="25"/>
    <x v="103"/>
    <s v="202509"/>
    <s v="2025"/>
    <s v="MAP GROUP202509"/>
    <n v="31"/>
    <n v="1140"/>
    <n v="910"/>
    <n v="0"/>
    <n v="0"/>
    <n v="50547940"/>
    <n v="1787130069"/>
    <n v="1488922046"/>
    <n v="0"/>
    <n v="0"/>
    <n v="75822"/>
    <n v="17871301"/>
    <n v="19355987"/>
    <n v="0"/>
    <n v="0"/>
  </r>
  <r>
    <x v="25"/>
    <x v="104"/>
    <s v="202509"/>
    <s v="2025"/>
    <s v="MAP GROUP202509"/>
    <n v="0"/>
    <n v="8"/>
    <n v="8"/>
    <n v="0"/>
    <n v="0"/>
    <n v="0"/>
    <n v="2053000"/>
    <n v="2595500"/>
    <n v="0"/>
    <n v="0"/>
    <n v="0"/>
    <n v="20530"/>
    <n v="33742"/>
    <n v="0"/>
    <n v="0"/>
  </r>
  <r>
    <x v="25"/>
    <x v="105"/>
    <s v="202509"/>
    <s v="2025"/>
    <s v="MAP GROUP202509"/>
    <n v="0"/>
    <n v="43"/>
    <n v="63"/>
    <n v="0"/>
    <n v="0"/>
    <n v="0"/>
    <n v="51853960"/>
    <n v="154170060"/>
    <n v="0"/>
    <n v="0"/>
    <n v="0"/>
    <n v="518540"/>
    <n v="2004211"/>
    <n v="0"/>
    <n v="0"/>
  </r>
  <r>
    <x v="25"/>
    <x v="106"/>
    <s v="202509"/>
    <s v="2025"/>
    <s v="MAP GROUP202509"/>
    <n v="0"/>
    <n v="2"/>
    <n v="9"/>
    <n v="0"/>
    <n v="0"/>
    <n v="0"/>
    <n v="3291000"/>
    <n v="19053145"/>
    <n v="0"/>
    <n v="0"/>
    <n v="0"/>
    <n v="32910"/>
    <n v="247691"/>
    <n v="0"/>
    <n v="0"/>
  </r>
  <r>
    <x v="25"/>
    <x v="107"/>
    <s v="202509"/>
    <s v="2025"/>
    <s v="MAP GROUP202509"/>
    <n v="3"/>
    <n v="97"/>
    <n v="124"/>
    <n v="0"/>
    <n v="0"/>
    <n v="10408120"/>
    <n v="245305530"/>
    <n v="342200150"/>
    <n v="0"/>
    <n v="0"/>
    <n v="15612"/>
    <n v="2453055"/>
    <n v="4448602"/>
    <n v="0"/>
    <n v="0"/>
  </r>
  <r>
    <x v="25"/>
    <x v="108"/>
    <s v="202509"/>
    <s v="2025"/>
    <s v="MAP GROUP202509"/>
    <n v="0"/>
    <n v="3"/>
    <n v="5"/>
    <n v="0"/>
    <n v="0"/>
    <n v="0"/>
    <n v="4547225"/>
    <n v="7100240"/>
    <n v="0"/>
    <n v="0"/>
    <n v="0"/>
    <n v="45472"/>
    <n v="92303"/>
    <n v="0"/>
    <n v="0"/>
  </r>
  <r>
    <x v="25"/>
    <x v="109"/>
    <s v="202509"/>
    <s v="2025"/>
    <s v="MAP GROUP202509"/>
    <n v="33"/>
    <n v="2278"/>
    <n v="2225"/>
    <n v="0"/>
    <n v="0"/>
    <n v="17280340"/>
    <n v="1272139890"/>
    <n v="1286640575"/>
    <n v="0"/>
    <n v="0"/>
    <n v="25921"/>
    <n v="12721399"/>
    <n v="16726327"/>
    <n v="0"/>
    <n v="0"/>
  </r>
  <r>
    <x v="25"/>
    <x v="82"/>
    <s v="202509"/>
    <s v="2025"/>
    <s v="MAP GROUP202509"/>
    <n v="2"/>
    <n v="26"/>
    <n v="67"/>
    <n v="0"/>
    <n v="0"/>
    <n v="5902000"/>
    <n v="56357350"/>
    <n v="204393280"/>
    <n v="0"/>
    <n v="0"/>
    <n v="8853"/>
    <n v="563574"/>
    <n v="2657113"/>
    <n v="0"/>
    <n v="0"/>
  </r>
  <r>
    <x v="25"/>
    <x v="83"/>
    <s v="202509"/>
    <s v="2025"/>
    <s v="MAP GROUP202509"/>
    <n v="3"/>
    <n v="251"/>
    <n v="437"/>
    <n v="0"/>
    <n v="0"/>
    <n v="1703800"/>
    <n v="272363074"/>
    <n v="658088118"/>
    <n v="0"/>
    <n v="0"/>
    <n v="2556"/>
    <n v="2723631"/>
    <n v="8555146"/>
    <n v="0"/>
    <n v="0"/>
  </r>
  <r>
    <x v="25"/>
    <x v="110"/>
    <s v="202509"/>
    <s v="2025"/>
    <s v="MAP GROUP202509"/>
    <n v="1"/>
    <n v="38"/>
    <n v="65"/>
    <n v="0"/>
    <n v="0"/>
    <n v="1356880"/>
    <n v="36117238"/>
    <n v="79040449"/>
    <n v="0"/>
    <n v="0"/>
    <n v="2035"/>
    <n v="361172"/>
    <n v="1027526"/>
    <n v="0"/>
    <n v="0"/>
  </r>
  <r>
    <x v="25"/>
    <x v="111"/>
    <s v="202509"/>
    <s v="2025"/>
    <s v="MAP GROUP202509"/>
    <n v="0"/>
    <n v="4"/>
    <n v="16"/>
    <n v="0"/>
    <n v="0"/>
    <n v="0"/>
    <n v="1819000"/>
    <n v="8147100"/>
    <n v="0"/>
    <n v="0"/>
    <n v="0"/>
    <n v="18190"/>
    <n v="105912"/>
    <n v="0"/>
    <n v="0"/>
  </r>
  <r>
    <x v="25"/>
    <x v="112"/>
    <s v="202509"/>
    <s v="2025"/>
    <s v="MAP GROUP202509"/>
    <n v="22"/>
    <n v="620"/>
    <n v="398"/>
    <n v="0"/>
    <n v="0"/>
    <n v="33817600"/>
    <n v="1016156110"/>
    <n v="579921135"/>
    <n v="0"/>
    <n v="0"/>
    <n v="50726"/>
    <n v="10161561"/>
    <n v="7538975"/>
    <n v="0"/>
    <n v="0"/>
  </r>
  <r>
    <x v="25"/>
    <x v="113"/>
    <s v="202509"/>
    <s v="2025"/>
    <s v="MAP GROUP202509"/>
    <n v="12"/>
    <n v="419"/>
    <n v="291"/>
    <n v="0"/>
    <n v="0"/>
    <n v="10459100"/>
    <n v="422531756"/>
    <n v="283264513"/>
    <n v="0"/>
    <n v="0"/>
    <n v="15689"/>
    <n v="4225318"/>
    <n v="3682439"/>
    <n v="0"/>
    <n v="0"/>
  </r>
  <r>
    <x v="25"/>
    <x v="114"/>
    <s v="202509"/>
    <s v="2025"/>
    <s v="MAP GROUP202509"/>
    <n v="0"/>
    <n v="1"/>
    <n v="3"/>
    <n v="0"/>
    <n v="0"/>
    <n v="0"/>
    <n v="510280"/>
    <n v="2260180"/>
    <n v="0"/>
    <n v="0"/>
    <n v="0"/>
    <n v="5103"/>
    <n v="29382"/>
    <n v="0"/>
    <n v="0"/>
  </r>
  <r>
    <x v="25"/>
    <x v="115"/>
    <s v="202509"/>
    <s v="2025"/>
    <s v="MAP GROUP202509"/>
    <n v="8"/>
    <n v="119"/>
    <n v="95"/>
    <n v="0"/>
    <n v="0"/>
    <n v="21735000"/>
    <n v="358486000"/>
    <n v="253191000"/>
    <n v="0"/>
    <n v="0"/>
    <n v="32602"/>
    <n v="3584860"/>
    <n v="3291483"/>
    <n v="0"/>
    <n v="0"/>
  </r>
  <r>
    <x v="25"/>
    <x v="116"/>
    <s v="202509"/>
    <s v="2025"/>
    <s v="MAP GROUP202509"/>
    <n v="60"/>
    <n v="1514"/>
    <n v="624"/>
    <n v="0"/>
    <n v="0"/>
    <n v="21263600"/>
    <n v="558627900"/>
    <n v="243422090"/>
    <n v="0"/>
    <n v="0"/>
    <n v="31895"/>
    <n v="5586279"/>
    <n v="3164487"/>
    <n v="0"/>
    <n v="0"/>
  </r>
  <r>
    <x v="25"/>
    <x v="117"/>
    <s v="202509"/>
    <s v="2025"/>
    <s v="MAP GROUP202509"/>
    <n v="0"/>
    <n v="19"/>
    <n v="21"/>
    <n v="0"/>
    <n v="0"/>
    <n v="0"/>
    <n v="46329407"/>
    <n v="32683620"/>
    <n v="0"/>
    <n v="0"/>
    <n v="0"/>
    <n v="463294"/>
    <n v="424887"/>
    <n v="0"/>
    <n v="0"/>
  </r>
  <r>
    <x v="25"/>
    <x v="118"/>
    <s v="202509"/>
    <s v="2025"/>
    <s v="MAP GROUP202509"/>
    <n v="0"/>
    <n v="50"/>
    <n v="49"/>
    <n v="0"/>
    <n v="0"/>
    <n v="0"/>
    <n v="28990180"/>
    <n v="27009618"/>
    <n v="0"/>
    <n v="0"/>
    <n v="0"/>
    <n v="289902"/>
    <n v="351125"/>
    <n v="0"/>
    <n v="0"/>
  </r>
  <r>
    <x v="25"/>
    <x v="85"/>
    <s v="202509"/>
    <s v="2025"/>
    <s v="MAP GROUP202509"/>
    <n v="31"/>
    <n v="1299"/>
    <n v="1655"/>
    <n v="0"/>
    <n v="0"/>
    <n v="34840300"/>
    <n v="1841088996"/>
    <n v="2091283521"/>
    <n v="0"/>
    <n v="0"/>
    <n v="52260"/>
    <n v="18410890"/>
    <n v="27186686"/>
    <n v="0"/>
    <n v="0"/>
  </r>
  <r>
    <x v="25"/>
    <x v="119"/>
    <s v="202509"/>
    <s v="2025"/>
    <s v="MAP GROUP202509"/>
    <n v="1"/>
    <n v="89"/>
    <n v="125"/>
    <n v="0"/>
    <n v="0"/>
    <n v="702000"/>
    <n v="117314470"/>
    <n v="211304780"/>
    <n v="0"/>
    <n v="0"/>
    <n v="1053"/>
    <n v="1173145"/>
    <n v="2746962"/>
    <n v="0"/>
    <n v="0"/>
  </r>
  <r>
    <x v="25"/>
    <x v="120"/>
    <s v="202509"/>
    <s v="2025"/>
    <s v="MAP GROUP202509"/>
    <n v="8"/>
    <n v="281"/>
    <n v="204"/>
    <n v="0"/>
    <n v="0"/>
    <n v="10138037"/>
    <n v="416809860"/>
    <n v="285500833"/>
    <n v="0"/>
    <n v="0"/>
    <n v="15207"/>
    <n v="4168099"/>
    <n v="3711511"/>
    <n v="0"/>
    <n v="0"/>
  </r>
  <r>
    <x v="25"/>
    <x v="121"/>
    <s v="202509"/>
    <s v="2025"/>
    <s v="MAP GROUP202509"/>
    <n v="2"/>
    <n v="91"/>
    <n v="82"/>
    <n v="0"/>
    <n v="0"/>
    <n v="1118600"/>
    <n v="54665820"/>
    <n v="51117419"/>
    <n v="0"/>
    <n v="0"/>
    <n v="1678"/>
    <n v="546658"/>
    <n v="664526"/>
    <n v="0"/>
    <n v="0"/>
  </r>
  <r>
    <x v="25"/>
    <x v="122"/>
    <s v="202509"/>
    <s v="2025"/>
    <s v="MAP GROUP202509"/>
    <n v="0"/>
    <n v="4"/>
    <n v="1"/>
    <n v="0"/>
    <n v="0"/>
    <n v="0"/>
    <n v="4354700"/>
    <n v="299000"/>
    <n v="0"/>
    <n v="0"/>
    <n v="0"/>
    <n v="43547"/>
    <n v="3887"/>
    <n v="0"/>
    <n v="0"/>
  </r>
  <r>
    <x v="25"/>
    <x v="123"/>
    <s v="202509"/>
    <s v="2025"/>
    <s v="MAP GROUP202509"/>
    <n v="0"/>
    <n v="10"/>
    <n v="27"/>
    <n v="0"/>
    <n v="0"/>
    <n v="0"/>
    <n v="11340080"/>
    <n v="30348855"/>
    <n v="0"/>
    <n v="0"/>
    <n v="0"/>
    <n v="113401"/>
    <n v="394535"/>
    <n v="0"/>
    <n v="0"/>
  </r>
  <r>
    <x v="25"/>
    <x v="124"/>
    <s v="202509"/>
    <s v="2025"/>
    <s v="MAP GROUP202509"/>
    <n v="0"/>
    <n v="31"/>
    <n v="49"/>
    <n v="0"/>
    <n v="0"/>
    <n v="0"/>
    <n v="23978260"/>
    <n v="29579930"/>
    <n v="0"/>
    <n v="0"/>
    <n v="0"/>
    <n v="239783"/>
    <n v="384539"/>
    <n v="0"/>
    <n v="0"/>
  </r>
  <r>
    <x v="25"/>
    <x v="125"/>
    <s v="202509"/>
    <s v="2025"/>
    <s v="MAP GROUP202509"/>
    <n v="0"/>
    <n v="11"/>
    <n v="3"/>
    <n v="0"/>
    <n v="0"/>
    <n v="0"/>
    <n v="4934900"/>
    <n v="1220694"/>
    <n v="0"/>
    <n v="0"/>
    <n v="0"/>
    <n v="49349"/>
    <n v="15869"/>
    <n v="0"/>
    <n v="0"/>
  </r>
  <r>
    <x v="25"/>
    <x v="126"/>
    <s v="202509"/>
    <s v="2025"/>
    <s v="MAP GROUP202509"/>
    <n v="0"/>
    <n v="13"/>
    <n v="5"/>
    <n v="0"/>
    <n v="0"/>
    <n v="0"/>
    <n v="47223000"/>
    <n v="23509000"/>
    <n v="0"/>
    <n v="0"/>
    <n v="0"/>
    <n v="472230"/>
    <n v="305617"/>
    <n v="0"/>
    <n v="0"/>
  </r>
  <r>
    <x v="25"/>
    <x v="86"/>
    <s v="202509"/>
    <s v="2025"/>
    <s v="MAP GROUP202509"/>
    <n v="82"/>
    <n v="3120"/>
    <n v="2312"/>
    <n v="0"/>
    <n v="0"/>
    <n v="89778799"/>
    <n v="3760540445"/>
    <n v="2880259402"/>
    <n v="0"/>
    <n v="0"/>
    <n v="134668"/>
    <n v="37605404"/>
    <n v="37443372"/>
    <n v="0"/>
    <n v="0"/>
  </r>
  <r>
    <x v="25"/>
    <x v="127"/>
    <s v="202509"/>
    <s v="2025"/>
    <s v="MAP GROUP202509"/>
    <n v="2"/>
    <n v="148"/>
    <n v="151"/>
    <n v="0"/>
    <n v="0"/>
    <n v="3189400"/>
    <n v="153174608"/>
    <n v="153373346"/>
    <n v="0"/>
    <n v="0"/>
    <n v="4784"/>
    <n v="1531746"/>
    <n v="1993853"/>
    <n v="0"/>
    <n v="0"/>
  </r>
  <r>
    <x v="25"/>
    <x v="128"/>
    <s v="202509"/>
    <s v="2025"/>
    <s v="MAP GROUP202509"/>
    <n v="1"/>
    <n v="15"/>
    <n v="10"/>
    <n v="0"/>
    <n v="0"/>
    <n v="399000"/>
    <n v="12203500"/>
    <n v="13067800"/>
    <n v="0"/>
    <n v="0"/>
    <n v="598"/>
    <n v="122035"/>
    <n v="169881"/>
    <n v="0"/>
    <n v="0"/>
  </r>
  <r>
    <x v="25"/>
    <x v="87"/>
    <s v="202509"/>
    <s v="2025"/>
    <s v="MAP GROUP202509"/>
    <n v="347"/>
    <n v="12201"/>
    <n v="6259"/>
    <n v="0"/>
    <n v="0"/>
    <n v="210269560"/>
    <n v="7810106147"/>
    <n v="4085508596"/>
    <n v="0"/>
    <n v="0"/>
    <n v="315404"/>
    <n v="78101061"/>
    <n v="53111612"/>
    <n v="0"/>
    <n v="0"/>
  </r>
  <r>
    <x v="25"/>
    <x v="129"/>
    <s v="202509"/>
    <s v="2025"/>
    <s v="MAP GROUP202509"/>
    <n v="3"/>
    <n v="192"/>
    <n v="234"/>
    <n v="0"/>
    <n v="0"/>
    <n v="7363500"/>
    <n v="367797888"/>
    <n v="490890365"/>
    <n v="0"/>
    <n v="0"/>
    <n v="11045"/>
    <n v="3677979"/>
    <n v="6381575"/>
    <n v="0"/>
    <n v="0"/>
  </r>
  <r>
    <x v="25"/>
    <x v="88"/>
    <s v="202509"/>
    <s v="2025"/>
    <s v="MAP GROUP202509"/>
    <n v="0"/>
    <n v="50"/>
    <n v="33"/>
    <n v="0"/>
    <n v="0"/>
    <n v="0"/>
    <n v="6599500"/>
    <n v="2923000"/>
    <n v="0"/>
    <n v="0"/>
    <n v="0"/>
    <n v="65995"/>
    <n v="37999"/>
    <n v="0"/>
    <n v="0"/>
  </r>
  <r>
    <x v="25"/>
    <x v="130"/>
    <s v="202509"/>
    <s v="2025"/>
    <s v="MAP GROUP202509"/>
    <n v="3"/>
    <n v="123"/>
    <n v="109"/>
    <n v="0"/>
    <n v="0"/>
    <n v="4328400"/>
    <n v="193677798"/>
    <n v="169940066"/>
    <n v="0"/>
    <n v="0"/>
    <n v="6493"/>
    <n v="1936778"/>
    <n v="2209221"/>
    <n v="0"/>
    <n v="0"/>
  </r>
  <r>
    <x v="25"/>
    <x v="131"/>
    <s v="202509"/>
    <s v="2025"/>
    <s v="MAP GROUP202509"/>
    <n v="0"/>
    <n v="10"/>
    <n v="15"/>
    <n v="0"/>
    <n v="0"/>
    <n v="0"/>
    <n v="13429610"/>
    <n v="24937150"/>
    <n v="0"/>
    <n v="0"/>
    <n v="0"/>
    <n v="134296"/>
    <n v="324183"/>
    <n v="0"/>
    <n v="0"/>
  </r>
  <r>
    <x v="11"/>
    <x v="24"/>
    <s v="202509"/>
    <s v="2025"/>
    <s v="MITRA10202509"/>
    <n v="540"/>
    <n v="1"/>
    <n v="1"/>
    <n v="0"/>
    <n v="0"/>
    <n v="1195427566"/>
    <n v="2185810"/>
    <n v="118871"/>
    <n v="0"/>
    <n v="0"/>
    <n v="1793140"/>
    <n v="21858"/>
    <n v="2377"/>
    <n v="0"/>
    <n v="0"/>
  </r>
  <r>
    <x v="12"/>
    <x v="25"/>
    <s v="202509"/>
    <s v="2025"/>
    <s v="OPTIK MELAWAI202509"/>
    <n v="74"/>
    <n v="0"/>
    <n v="0"/>
    <n v="0"/>
    <n v="0"/>
    <n v="123567500"/>
    <n v="0"/>
    <n v="0"/>
    <n v="0"/>
    <n v="0"/>
    <n v="185351"/>
    <n v="0"/>
    <n v="0"/>
    <n v="0"/>
    <n v="0"/>
  </r>
  <r>
    <x v="14"/>
    <x v="28"/>
    <s v="202509"/>
    <s v="2025"/>
    <s v="PERTAMINA RETAIL202509"/>
    <n v="1"/>
    <n v="46"/>
    <n v="0"/>
    <n v="0"/>
    <n v="0"/>
    <n v="200000"/>
    <n v="9764764"/>
    <n v="0"/>
    <n v="0"/>
    <n v="0"/>
    <n v="300"/>
    <n v="48824"/>
    <n v="0"/>
    <n v="0"/>
    <n v="0"/>
  </r>
  <r>
    <x v="15"/>
    <x v="29"/>
    <s v="202509"/>
    <s v="2025"/>
    <s v="PIZZA HUT202509"/>
    <n v="18"/>
    <n v="0"/>
    <n v="0"/>
    <n v="2"/>
    <n v="21"/>
    <n v="2497494"/>
    <n v="0"/>
    <n v="0"/>
    <n v="50000"/>
    <n v="575000"/>
    <n v="3746"/>
    <n v="0"/>
    <n v="0"/>
    <n v="0"/>
    <n v="0"/>
  </r>
  <r>
    <x v="15"/>
    <x v="30"/>
    <s v="202509"/>
    <s v="2025"/>
    <s v="PIZZA HUT202509"/>
    <n v="156"/>
    <n v="0"/>
    <n v="0"/>
    <n v="0"/>
    <n v="0"/>
    <n v="44092008"/>
    <n v="0"/>
    <n v="0"/>
    <n v="0"/>
    <n v="0"/>
    <n v="66138"/>
    <n v="0"/>
    <n v="0"/>
    <n v="0"/>
    <n v="0"/>
  </r>
  <r>
    <x v="16"/>
    <x v="31"/>
    <s v="202509"/>
    <s v="2025"/>
    <s v="PLATINUM CINEPLEX202509"/>
    <n v="3"/>
    <n v="87"/>
    <n v="30"/>
    <n v="2"/>
    <n v="366"/>
    <n v="313000"/>
    <n v="10387000"/>
    <n v="4276000"/>
    <n v="270000"/>
    <n v="45597000"/>
    <n v="470"/>
    <n v="103870"/>
    <n v="76968"/>
    <n v="1890"/>
    <n v="319179"/>
  </r>
  <r>
    <x v="34"/>
    <x v="67"/>
    <s v="202509"/>
    <s v="2025"/>
    <s v="POPEYES202509"/>
    <n v="0"/>
    <n v="0"/>
    <n v="0"/>
    <n v="0"/>
    <n v="3"/>
    <n v="0"/>
    <n v="0"/>
    <n v="0"/>
    <n v="0"/>
    <n v="111547"/>
    <n v="0"/>
    <n v="0"/>
    <n v="0"/>
    <n v="0"/>
    <n v="781"/>
  </r>
  <r>
    <x v="17"/>
    <x v="32"/>
    <s v="202509"/>
    <s v="2025"/>
    <s v="SARINAH202509"/>
    <n v="5"/>
    <n v="76"/>
    <n v="244"/>
    <n v="0"/>
    <n v="0"/>
    <n v="8094500"/>
    <n v="96779600"/>
    <n v="226354697"/>
    <n v="0"/>
    <n v="0"/>
    <n v="12142"/>
    <n v="967796"/>
    <n v="4074385"/>
    <n v="0"/>
    <n v="0"/>
  </r>
  <r>
    <x v="18"/>
    <x v="33"/>
    <s v="202509"/>
    <s v="2025"/>
    <s v="SHIHLIN202509"/>
    <n v="29"/>
    <n v="5"/>
    <n v="4"/>
    <n v="65"/>
    <n v="2200"/>
    <n v="1916000"/>
    <n v="272000"/>
    <n v="327000"/>
    <n v="9125000"/>
    <n v="125634263"/>
    <n v="2874"/>
    <n v="2720"/>
    <n v="6540"/>
    <n v="0"/>
    <n v="48196"/>
  </r>
  <r>
    <x v="19"/>
    <x v="34"/>
    <s v="202509"/>
    <s v="2025"/>
    <s v="SOLARIA202509"/>
    <n v="1068"/>
    <n v="3"/>
    <n v="0"/>
    <n v="13"/>
    <n v="1076"/>
    <n v="173702000"/>
    <n v="410000"/>
    <n v="0"/>
    <n v="1321000"/>
    <n v="154745900"/>
    <n v="260553"/>
    <n v="4100"/>
    <n v="0"/>
    <n v="9247"/>
    <n v="1083221"/>
  </r>
  <r>
    <x v="20"/>
    <x v="35"/>
    <s v="202509"/>
    <s v="2025"/>
    <s v="SOUR SALLY202509"/>
    <n v="0"/>
    <n v="5"/>
    <n v="0"/>
    <n v="30"/>
    <n v="330"/>
    <n v="0"/>
    <n v="397490"/>
    <n v="0"/>
    <n v="2307000"/>
    <n v="24829400"/>
    <n v="0"/>
    <n v="3975"/>
    <n v="0"/>
    <n v="16149"/>
    <n v="173806"/>
  </r>
  <r>
    <x v="21"/>
    <x v="43"/>
    <s v="202509"/>
    <s v="2025"/>
    <s v="STEVEN GROUP202509"/>
    <n v="12"/>
    <n v="18"/>
    <n v="8"/>
    <n v="0"/>
    <n v="158"/>
    <n v="1531867"/>
    <n v="1742263"/>
    <n v="777880"/>
    <n v="0"/>
    <n v="16729420"/>
    <n v="2298"/>
    <n v="17423"/>
    <n v="15558"/>
    <n v="0"/>
    <n v="117107"/>
  </r>
  <r>
    <x v="21"/>
    <x v="51"/>
    <s v="202509"/>
    <s v="2025"/>
    <s v="STEVEN GROUP202509"/>
    <n v="0"/>
    <n v="0"/>
    <n v="0"/>
    <n v="7"/>
    <n v="514"/>
    <n v="0"/>
    <n v="0"/>
    <n v="0"/>
    <n v="206000"/>
    <n v="16897001"/>
    <n v="0"/>
    <n v="0"/>
    <n v="0"/>
    <n v="0"/>
    <n v="0"/>
  </r>
  <r>
    <x v="21"/>
    <x v="68"/>
    <s v="202509"/>
    <s v="2025"/>
    <s v="STEVEN GROUP202509"/>
    <n v="1"/>
    <n v="0"/>
    <n v="0"/>
    <n v="0"/>
    <n v="1"/>
    <n v="214387"/>
    <n v="0"/>
    <n v="0"/>
    <n v="0"/>
    <n v="1"/>
    <n v="322"/>
    <n v="0"/>
    <n v="0"/>
    <n v="0"/>
    <n v="0"/>
  </r>
  <r>
    <x v="21"/>
    <x v="36"/>
    <s v="202509"/>
    <s v="2025"/>
    <s v="STEVEN GROUP202509"/>
    <n v="1"/>
    <n v="0"/>
    <n v="1"/>
    <n v="0"/>
    <n v="2"/>
    <n v="27789060"/>
    <n v="0"/>
    <n v="5915000"/>
    <n v="0"/>
    <n v="1950001"/>
    <n v="41684"/>
    <n v="0"/>
    <n v="118300"/>
    <n v="0"/>
    <n v="13650"/>
  </r>
  <r>
    <x v="21"/>
    <x v="71"/>
    <s v="202509"/>
    <s v="2025"/>
    <s v="STEVEN GROUP202509"/>
    <n v="2"/>
    <n v="0"/>
    <n v="0"/>
    <n v="0"/>
    <n v="1"/>
    <n v="1718568"/>
    <n v="0"/>
    <n v="0"/>
    <n v="0"/>
    <n v="1"/>
    <n v="2578"/>
    <n v="0"/>
    <n v="0"/>
    <n v="0"/>
    <n v="0"/>
  </r>
  <r>
    <x v="36"/>
    <x v="72"/>
    <s v="202509"/>
    <s v="2025"/>
    <s v="SUPRA BOGA LESTARI202509"/>
    <n v="3"/>
    <n v="0"/>
    <n v="0"/>
    <n v="0"/>
    <n v="0"/>
    <n v="2554040"/>
    <n v="0"/>
    <n v="0"/>
    <n v="0"/>
    <n v="0"/>
    <n v="3831"/>
    <n v="0"/>
    <n v="0"/>
    <n v="0"/>
    <n v="0"/>
  </r>
  <r>
    <x v="37"/>
    <x v="73"/>
    <s v="202509"/>
    <s v="2025"/>
    <s v="SUSHI TEI202509"/>
    <n v="0"/>
    <n v="0"/>
    <n v="0"/>
    <n v="0"/>
    <n v="1"/>
    <n v="0"/>
    <n v="0"/>
    <n v="0"/>
    <n v="0"/>
    <n v="1"/>
    <n v="0"/>
    <n v="0"/>
    <n v="0"/>
    <n v="0"/>
    <n v="0"/>
  </r>
  <r>
    <x v="30"/>
    <x v="59"/>
    <s v="202509"/>
    <s v="2025"/>
    <s v="YOGURT REPUBLIC202509"/>
    <n v="0"/>
    <n v="0"/>
    <n v="0"/>
    <n v="1"/>
    <n v="3793"/>
    <n v="0"/>
    <n v="0"/>
    <n v="0"/>
    <n v="152900"/>
    <n v="248828439"/>
    <n v="0"/>
    <n v="0"/>
    <n v="0"/>
    <n v="0"/>
    <n v="0"/>
  </r>
  <r>
    <x v="29"/>
    <x v="56"/>
    <s v="202509"/>
    <s v="2025"/>
    <s v="YOSHINOYA202509"/>
    <n v="286"/>
    <n v="8352"/>
    <n v="181"/>
    <n v="0"/>
    <n v="149163"/>
    <n v="40729300"/>
    <n v="1211588500"/>
    <n v="23590500"/>
    <n v="0"/>
    <n v="17818707024"/>
    <n v="61094"/>
    <n v="12115885"/>
    <n v="266120"/>
    <n v="0"/>
    <n v="124730083"/>
  </r>
  <r>
    <x v="39"/>
    <x v="75"/>
    <s v="202509"/>
    <s v="2025"/>
    <s v="ZENBU202509"/>
    <n v="0"/>
    <n v="0"/>
    <n v="0"/>
    <n v="13"/>
    <n v="5409"/>
    <n v="0"/>
    <n v="0"/>
    <n v="0"/>
    <n v="4868306"/>
    <n v="1465642540"/>
    <n v="0"/>
    <n v="0"/>
    <n v="0"/>
    <n v="34078"/>
    <n v="10259472"/>
  </r>
  <r>
    <x v="0"/>
    <x v="0"/>
    <s v="202510"/>
    <s v="2025"/>
    <s v="ALFA GROUP202510"/>
    <n v="16773"/>
    <n v="57537"/>
    <n v="16806"/>
    <n v="0"/>
    <n v="0"/>
    <n v="1498257890"/>
    <n v="5387869261"/>
    <n v="2114507349"/>
    <n v="0"/>
    <n v="0"/>
    <n v="2247386"/>
    <n v="53878693"/>
    <n v="37525018"/>
    <n v="0"/>
    <n v="0"/>
  </r>
  <r>
    <x v="0"/>
    <x v="1"/>
    <s v="202510"/>
    <s v="2025"/>
    <s v="ALFA GROUP202510"/>
    <n v="4913"/>
    <n v="20658"/>
    <n v="6397"/>
    <n v="0"/>
    <n v="0"/>
    <n v="618435263"/>
    <n v="2523311323"/>
    <n v="1170602886"/>
    <n v="0"/>
    <n v="0"/>
    <n v="927650"/>
    <n v="25233113"/>
    <n v="20933818"/>
    <n v="0"/>
    <n v="0"/>
  </r>
  <r>
    <x v="0"/>
    <x v="2"/>
    <s v="202510"/>
    <s v="2025"/>
    <s v="ALFA GROUP202510"/>
    <n v="343"/>
    <n v="1546"/>
    <n v="214"/>
    <n v="0"/>
    <n v="0"/>
    <n v="56867859"/>
    <n v="237387318"/>
    <n v="39798100"/>
    <n v="0"/>
    <n v="0"/>
    <n v="85302"/>
    <n v="2373873"/>
    <n v="716086"/>
    <n v="0"/>
    <n v="0"/>
  </r>
  <r>
    <x v="42"/>
    <x v="132"/>
    <s v="202510"/>
    <s v="2025"/>
    <s v="ANCOL202510"/>
    <n v="0"/>
    <n v="0"/>
    <n v="0"/>
    <n v="0"/>
    <n v="24"/>
    <n v="0"/>
    <n v="0"/>
    <n v="0"/>
    <n v="0"/>
    <n v="408"/>
    <n v="0"/>
    <n v="0"/>
    <n v="0"/>
    <n v="0"/>
    <n v="2"/>
  </r>
  <r>
    <x v="22"/>
    <x v="37"/>
    <s v="202510"/>
    <s v="2025"/>
    <s v="BANBAN TEA202510"/>
    <n v="3"/>
    <n v="0"/>
    <n v="2"/>
    <n v="93"/>
    <n v="10"/>
    <n v="257400"/>
    <n v="0"/>
    <n v="20000"/>
    <n v="6259995"/>
    <n v="590501"/>
    <n v="386"/>
    <n v="0"/>
    <n v="400"/>
    <n v="43817"/>
    <n v="4134"/>
  </r>
  <r>
    <x v="23"/>
    <x v="38"/>
    <s v="202510"/>
    <s v="2025"/>
    <s v="BEARD PAPA202510"/>
    <n v="15"/>
    <n v="0"/>
    <n v="0"/>
    <n v="0"/>
    <n v="8"/>
    <n v="936000"/>
    <n v="0"/>
    <n v="0"/>
    <n v="0"/>
    <n v="6830005"/>
    <n v="1404"/>
    <n v="0"/>
    <n v="0"/>
    <n v="0"/>
    <n v="47810"/>
  </r>
  <r>
    <x v="1"/>
    <x v="4"/>
    <s v="202510"/>
    <s v="2025"/>
    <s v="CHAMP RESTO202510"/>
    <n v="1"/>
    <n v="0"/>
    <n v="0"/>
    <n v="0"/>
    <n v="16"/>
    <n v="362000"/>
    <n v="0"/>
    <n v="0"/>
    <n v="0"/>
    <n v="2061400"/>
    <n v="543"/>
    <n v="0"/>
    <n v="0"/>
    <n v="0"/>
    <n v="14431"/>
  </r>
  <r>
    <x v="1"/>
    <x v="44"/>
    <s v="202510"/>
    <s v="2025"/>
    <s v="CHAMP RESTO202510"/>
    <n v="0"/>
    <n v="0"/>
    <n v="0"/>
    <n v="0"/>
    <n v="3"/>
    <n v="0"/>
    <n v="0"/>
    <n v="0"/>
    <n v="0"/>
    <n v="586740"/>
    <n v="0"/>
    <n v="0"/>
    <n v="0"/>
    <n v="0"/>
    <n v="4108"/>
  </r>
  <r>
    <x v="1"/>
    <x v="5"/>
    <s v="202510"/>
    <s v="2025"/>
    <s v="CHAMP RESTO202510"/>
    <n v="4"/>
    <n v="4"/>
    <n v="0"/>
    <n v="0"/>
    <n v="40"/>
    <n v="846000"/>
    <n v="1148487"/>
    <n v="0"/>
    <n v="0"/>
    <n v="8239455"/>
    <n v="1269"/>
    <n v="11485"/>
    <n v="0"/>
    <n v="0"/>
    <n v="57675"/>
  </r>
  <r>
    <x v="1"/>
    <x v="6"/>
    <s v="202510"/>
    <s v="2025"/>
    <s v="CHAMP RESTO202510"/>
    <n v="3"/>
    <n v="7"/>
    <n v="0"/>
    <n v="0"/>
    <n v="30"/>
    <n v="862279"/>
    <n v="3378400"/>
    <n v="0"/>
    <n v="0"/>
    <n v="7035795"/>
    <n v="1293"/>
    <n v="33784"/>
    <n v="0"/>
    <n v="0"/>
    <n v="49250"/>
  </r>
  <r>
    <x v="1"/>
    <x v="8"/>
    <s v="202510"/>
    <s v="2025"/>
    <s v="CHAMP RESTO202510"/>
    <n v="6"/>
    <n v="0"/>
    <n v="0"/>
    <n v="0"/>
    <n v="4"/>
    <n v="2639299"/>
    <n v="0"/>
    <n v="0"/>
    <n v="0"/>
    <n v="914345"/>
    <n v="3959"/>
    <n v="0"/>
    <n v="0"/>
    <n v="0"/>
    <n v="6400"/>
  </r>
  <r>
    <x v="32"/>
    <x v="63"/>
    <s v="202510"/>
    <s v="2025"/>
    <s v="DAMRI202510"/>
    <n v="3"/>
    <n v="6"/>
    <n v="0"/>
    <n v="0"/>
    <n v="44"/>
    <n v="240000"/>
    <n v="1485000"/>
    <n v="0"/>
    <n v="0"/>
    <n v="12065000"/>
    <n v="360"/>
    <n v="14850"/>
    <n v="0"/>
    <n v="0"/>
    <n v="84455"/>
  </r>
  <r>
    <x v="43"/>
    <x v="133"/>
    <s v="202510"/>
    <s v="2025"/>
    <s v="DELTA WIBAWA BERSAMA202510"/>
    <n v="0"/>
    <n v="30"/>
    <n v="40"/>
    <n v="1"/>
    <n v="550"/>
    <n v="0"/>
    <n v="13586148"/>
    <n v="15852960"/>
    <n v="127628"/>
    <n v="117874370"/>
    <n v="0"/>
    <n v="135861"/>
    <n v="317059"/>
    <n v="893"/>
    <n v="825120"/>
  </r>
  <r>
    <x v="31"/>
    <x v="60"/>
    <s v="202510"/>
    <s v="2025"/>
    <s v="DWIDAYA202510"/>
    <n v="11"/>
    <n v="9"/>
    <n v="30"/>
    <n v="0"/>
    <n v="85"/>
    <n v="211577000"/>
    <n v="161033102"/>
    <n v="183979787"/>
    <n v="0"/>
    <n v="245133551"/>
    <n v="317366"/>
    <n v="1610331"/>
    <n v="3679596"/>
    <n v="0"/>
    <n v="1715936"/>
  </r>
  <r>
    <x v="35"/>
    <x v="69"/>
    <s v="202510"/>
    <s v="2025"/>
    <s v="EKA HOSPITAL202510"/>
    <n v="0"/>
    <n v="1"/>
    <n v="3"/>
    <n v="0"/>
    <n v="5"/>
    <n v="0"/>
    <n v="801600"/>
    <n v="2362390"/>
    <n v="0"/>
    <n v="5"/>
    <n v="0"/>
    <n v="8016"/>
    <n v="30711"/>
    <n v="0"/>
    <n v="0"/>
  </r>
  <r>
    <x v="3"/>
    <x v="10"/>
    <s v="202510"/>
    <s v="2025"/>
    <s v="GRAMEDIA202510"/>
    <n v="5"/>
    <n v="0"/>
    <n v="0"/>
    <n v="0"/>
    <n v="0"/>
    <n v="1463200"/>
    <n v="0"/>
    <n v="0"/>
    <n v="0"/>
    <n v="0"/>
    <n v="2195"/>
    <n v="0"/>
    <n v="0"/>
    <n v="0"/>
    <n v="0"/>
  </r>
  <r>
    <x v="4"/>
    <x v="11"/>
    <s v="202510"/>
    <s v="2025"/>
    <s v="HAUS202510"/>
    <n v="0"/>
    <n v="6"/>
    <n v="0"/>
    <n v="100"/>
    <n v="17683"/>
    <n v="0"/>
    <n v="179000"/>
    <n v="0"/>
    <n v="7243500"/>
    <n v="703146381"/>
    <n v="0"/>
    <n v="1790"/>
    <n v="0"/>
    <n v="22826"/>
    <n v="4640475"/>
  </r>
  <r>
    <x v="24"/>
    <x v="40"/>
    <s v="202510"/>
    <s v="2025"/>
    <s v="HERO GROUP202510"/>
    <n v="0"/>
    <n v="0"/>
    <n v="0"/>
    <n v="88"/>
    <n v="277"/>
    <n v="0"/>
    <n v="0"/>
    <n v="0"/>
    <n v="18162478"/>
    <n v="10171065"/>
    <n v="0"/>
    <n v="0"/>
    <n v="0"/>
    <n v="127138"/>
    <n v="60456"/>
  </r>
  <r>
    <x v="38"/>
    <x v="74"/>
    <s v="202510"/>
    <s v="2025"/>
    <s v="HOKBEN202510"/>
    <n v="0"/>
    <n v="0"/>
    <n v="0"/>
    <n v="2"/>
    <n v="2772"/>
    <n v="0"/>
    <n v="0"/>
    <n v="0"/>
    <n v="212500"/>
    <n v="264551023"/>
    <n v="0"/>
    <n v="0"/>
    <n v="0"/>
    <n v="1488"/>
    <n v="1848786"/>
  </r>
  <r>
    <x v="27"/>
    <x v="48"/>
    <s v="202510"/>
    <s v="2025"/>
    <s v="HOKKAIDO BAKED CHEESE202510"/>
    <n v="7"/>
    <n v="42"/>
    <n v="1"/>
    <n v="0"/>
    <n v="713"/>
    <n v="681800"/>
    <n v="4254506"/>
    <n v="75400"/>
    <n v="0"/>
    <n v="61742788"/>
    <n v="1023"/>
    <n v="42545"/>
    <n v="1508"/>
    <n v="0"/>
    <n v="381300"/>
  </r>
  <r>
    <x v="5"/>
    <x v="12"/>
    <s v="202510"/>
    <s v="2025"/>
    <s v="HOP HOP202510"/>
    <n v="0"/>
    <n v="0"/>
    <n v="0"/>
    <n v="87"/>
    <n v="7525"/>
    <n v="0"/>
    <n v="0"/>
    <n v="0"/>
    <n v="3369000"/>
    <n v="254935002"/>
    <n v="0"/>
    <n v="0"/>
    <n v="0"/>
    <n v="0"/>
    <n v="5817"/>
  </r>
  <r>
    <x v="5"/>
    <x v="58"/>
    <s v="202510"/>
    <s v="2025"/>
    <s v="HOP HOP202510"/>
    <n v="0"/>
    <n v="0"/>
    <n v="0"/>
    <n v="10"/>
    <n v="791"/>
    <n v="0"/>
    <n v="0"/>
    <n v="0"/>
    <n v="502000"/>
    <n v="29514000"/>
    <n v="0"/>
    <n v="0"/>
    <n v="0"/>
    <n v="0"/>
    <n v="5058"/>
  </r>
  <r>
    <x v="6"/>
    <x v="13"/>
    <s v="202510"/>
    <s v="2025"/>
    <s v="IKEA202510"/>
    <n v="15"/>
    <n v="0"/>
    <n v="0"/>
    <n v="0"/>
    <n v="0"/>
    <n v="7927030"/>
    <n v="0"/>
    <n v="0"/>
    <n v="0"/>
    <n v="0"/>
    <n v="11891"/>
    <n v="0"/>
    <n v="0"/>
    <n v="0"/>
    <n v="0"/>
  </r>
  <r>
    <x v="7"/>
    <x v="14"/>
    <s v="202510"/>
    <s v="2025"/>
    <s v="INDOMARET202510"/>
    <n v="26233"/>
    <n v="67094"/>
    <n v="24672"/>
    <n v="0"/>
    <n v="0"/>
    <n v="2627157918"/>
    <n v="5864060853"/>
    <n v="3525698230"/>
    <n v="0"/>
    <n v="0"/>
    <n v="3940735"/>
    <n v="58640609"/>
    <n v="58898414"/>
    <n v="0"/>
    <n v="0"/>
  </r>
  <r>
    <x v="7"/>
    <x v="15"/>
    <s v="202510"/>
    <s v="2025"/>
    <s v="INDOMARET202510"/>
    <n v="454"/>
    <n v="1581"/>
    <n v="878"/>
    <n v="0"/>
    <n v="0"/>
    <n v="28980064"/>
    <n v="98424461"/>
    <n v="107141800"/>
    <n v="0"/>
    <n v="0"/>
    <n v="43470"/>
    <n v="984245"/>
    <n v="1799381"/>
    <n v="0"/>
    <n v="0"/>
  </r>
  <r>
    <x v="8"/>
    <x v="134"/>
    <s v="202510"/>
    <s v="2025"/>
    <s v="KAWAN LAMA202510"/>
    <n v="0"/>
    <n v="0"/>
    <n v="4"/>
    <n v="0"/>
    <n v="0"/>
    <n v="0"/>
    <n v="0"/>
    <n v="880062"/>
    <n v="0"/>
    <n v="0"/>
    <n v="0"/>
    <n v="0"/>
    <n v="17601"/>
    <n v="0"/>
    <n v="0"/>
  </r>
  <r>
    <x v="8"/>
    <x v="41"/>
    <s v="202510"/>
    <s v="2025"/>
    <s v="KAWAN LAMA202510"/>
    <n v="5"/>
    <n v="0"/>
    <n v="0"/>
    <n v="0"/>
    <n v="0"/>
    <n v="829500"/>
    <n v="0"/>
    <n v="0"/>
    <n v="0"/>
    <n v="0"/>
    <n v="1244"/>
    <n v="0"/>
    <n v="0"/>
    <n v="0"/>
    <n v="0"/>
  </r>
  <r>
    <x v="8"/>
    <x v="16"/>
    <s v="202510"/>
    <s v="2025"/>
    <s v="KAWAN LAMA202510"/>
    <n v="1021"/>
    <n v="0"/>
    <n v="0"/>
    <n v="32"/>
    <n v="26"/>
    <n v="765306334"/>
    <n v="0"/>
    <n v="0"/>
    <n v="19244000"/>
    <n v="341917079"/>
    <n v="1147958"/>
    <n v="0"/>
    <n v="0"/>
    <n v="134708"/>
    <n v="2393409"/>
  </r>
  <r>
    <x v="8"/>
    <x v="17"/>
    <s v="202510"/>
    <s v="2025"/>
    <s v="KAWAN LAMA202510"/>
    <n v="248"/>
    <n v="0"/>
    <n v="1"/>
    <n v="0"/>
    <n v="8"/>
    <n v="15542000"/>
    <n v="0"/>
    <n v="68000"/>
    <n v="0"/>
    <n v="3983303"/>
    <n v="23313"/>
    <n v="0"/>
    <n v="1224"/>
    <n v="0"/>
    <n v="27883"/>
  </r>
  <r>
    <x v="8"/>
    <x v="54"/>
    <s v="202510"/>
    <s v="2025"/>
    <s v="KAWAN LAMA202510"/>
    <n v="1"/>
    <n v="0"/>
    <n v="0"/>
    <n v="0"/>
    <n v="1"/>
    <n v="1758001"/>
    <n v="0"/>
    <n v="0"/>
    <n v="0"/>
    <n v="4042403"/>
    <n v="2637"/>
    <n v="0"/>
    <n v="0"/>
    <n v="0"/>
    <n v="28297"/>
  </r>
  <r>
    <x v="8"/>
    <x v="49"/>
    <s v="202510"/>
    <s v="2025"/>
    <s v="KAWAN LAMA202510"/>
    <n v="6"/>
    <n v="0"/>
    <n v="0"/>
    <n v="0"/>
    <n v="0"/>
    <n v="510000"/>
    <n v="0"/>
    <n v="0"/>
    <n v="0"/>
    <n v="0"/>
    <n v="765"/>
    <n v="0"/>
    <n v="0"/>
    <n v="0"/>
    <n v="0"/>
  </r>
  <r>
    <x v="8"/>
    <x v="50"/>
    <s v="202510"/>
    <s v="2025"/>
    <s v="KAWAN LAMA202510"/>
    <n v="14"/>
    <n v="0"/>
    <n v="0"/>
    <n v="0"/>
    <n v="0"/>
    <n v="2095000"/>
    <n v="0"/>
    <n v="0"/>
    <n v="0"/>
    <n v="0"/>
    <n v="3142"/>
    <n v="0"/>
    <n v="0"/>
    <n v="0"/>
    <n v="0"/>
  </r>
  <r>
    <x v="8"/>
    <x v="18"/>
    <s v="202510"/>
    <s v="2025"/>
    <s v="KAWAN LAMA202510"/>
    <n v="376"/>
    <n v="0"/>
    <n v="0"/>
    <n v="0"/>
    <n v="10"/>
    <n v="1125550777"/>
    <n v="0"/>
    <n v="0"/>
    <n v="0"/>
    <n v="298051385"/>
    <n v="1688326"/>
    <n v="0"/>
    <n v="0"/>
    <n v="0"/>
    <n v="2086357"/>
  </r>
  <r>
    <x v="8"/>
    <x v="19"/>
    <s v="202510"/>
    <s v="2025"/>
    <s v="KAWAN LAMA202510"/>
    <n v="15"/>
    <n v="0"/>
    <n v="0"/>
    <n v="0"/>
    <n v="0"/>
    <n v="67450450"/>
    <n v="0"/>
    <n v="0"/>
    <n v="0"/>
    <n v="83720950"/>
    <n v="101176"/>
    <n v="0"/>
    <n v="0"/>
    <n v="0"/>
    <n v="586045"/>
  </r>
  <r>
    <x v="8"/>
    <x v="20"/>
    <s v="202510"/>
    <s v="2025"/>
    <s v="KAWAN LAMA202510"/>
    <n v="0"/>
    <n v="0"/>
    <n v="0"/>
    <n v="3"/>
    <n v="36"/>
    <n v="0"/>
    <n v="0"/>
    <n v="0"/>
    <n v="150000"/>
    <n v="2050000"/>
    <n v="0"/>
    <n v="0"/>
    <n v="0"/>
    <n v="0"/>
    <n v="0"/>
  </r>
  <r>
    <x v="8"/>
    <x v="21"/>
    <s v="202510"/>
    <s v="2025"/>
    <s v="KAWAN LAMA202510"/>
    <n v="26"/>
    <n v="0"/>
    <n v="0"/>
    <n v="0"/>
    <n v="2"/>
    <n v="15561878"/>
    <n v="0"/>
    <n v="0"/>
    <n v="0"/>
    <n v="32636302"/>
    <n v="23343"/>
    <n v="0"/>
    <n v="0"/>
    <n v="0"/>
    <n v="228453"/>
  </r>
  <r>
    <x v="8"/>
    <x v="52"/>
    <s v="202510"/>
    <s v="2025"/>
    <s v="KAWAN LAMA202510"/>
    <n v="1"/>
    <n v="0"/>
    <n v="0"/>
    <n v="0"/>
    <n v="0"/>
    <n v="342400"/>
    <n v="0"/>
    <n v="0"/>
    <n v="0"/>
    <n v="204000"/>
    <n v="514"/>
    <n v="0"/>
    <n v="0"/>
    <n v="0"/>
    <n v="1428"/>
  </r>
  <r>
    <x v="8"/>
    <x v="64"/>
    <s v="202510"/>
    <s v="2025"/>
    <s v="KAWAN LAMA202510"/>
    <n v="1"/>
    <n v="0"/>
    <n v="1"/>
    <n v="0"/>
    <n v="2"/>
    <n v="39800"/>
    <n v="0"/>
    <n v="10000"/>
    <n v="0"/>
    <n v="2"/>
    <n v="60"/>
    <n v="0"/>
    <n v="200"/>
    <n v="0"/>
    <n v="0"/>
  </r>
  <r>
    <x v="9"/>
    <x v="22"/>
    <s v="202510"/>
    <s v="2025"/>
    <s v="KCIC202510"/>
    <n v="38"/>
    <n v="1045"/>
    <n v="1007"/>
    <n v="14"/>
    <n v="4171"/>
    <n v="20440000"/>
    <n v="722545000"/>
    <n v="814600000"/>
    <n v="9940000"/>
    <n v="2739536000"/>
    <n v="30660"/>
    <n v="7225450"/>
    <n v="14670400"/>
    <n v="69580"/>
    <n v="19176752"/>
  </r>
  <r>
    <x v="10"/>
    <x v="23"/>
    <s v="202510"/>
    <s v="2025"/>
    <s v="KIMIA FARMA202510"/>
    <n v="0"/>
    <n v="0"/>
    <n v="0"/>
    <n v="0"/>
    <n v="1"/>
    <n v="0"/>
    <n v="0"/>
    <n v="0"/>
    <n v="0"/>
    <n v="137083"/>
    <n v="0"/>
    <n v="0"/>
    <n v="0"/>
    <n v="0"/>
    <n v="960"/>
  </r>
  <r>
    <x v="40"/>
    <x v="76"/>
    <s v="202510"/>
    <s v="2025"/>
    <s v="LOTTE GROUP202510"/>
    <n v="628"/>
    <n v="0"/>
    <n v="0"/>
    <n v="0"/>
    <n v="0"/>
    <n v="533285760"/>
    <n v="0"/>
    <n v="0"/>
    <n v="0"/>
    <n v="0"/>
    <n v="799927"/>
    <n v="0"/>
    <n v="0"/>
    <n v="0"/>
    <n v="0"/>
  </r>
  <r>
    <x v="40"/>
    <x v="77"/>
    <s v="202510"/>
    <s v="2025"/>
    <s v="LOTTE GROUP202510"/>
    <n v="450"/>
    <n v="0"/>
    <n v="0"/>
    <n v="0"/>
    <n v="0"/>
    <n v="104878650"/>
    <n v="0"/>
    <n v="0"/>
    <n v="0"/>
    <n v="0"/>
    <n v="157318"/>
    <n v="0"/>
    <n v="0"/>
    <n v="0"/>
    <n v="0"/>
  </r>
  <r>
    <x v="41"/>
    <x v="79"/>
    <s v="202510"/>
    <s v="2025"/>
    <s v="MAMA ROZ202510"/>
    <n v="0"/>
    <n v="9"/>
    <n v="10"/>
    <n v="0"/>
    <n v="380"/>
    <n v="0"/>
    <n v="745920"/>
    <n v="1629600"/>
    <n v="0"/>
    <n v="29134780"/>
    <n v="0"/>
    <n v="7459"/>
    <n v="24444"/>
    <n v="0"/>
    <n v="203944"/>
  </r>
  <r>
    <x v="25"/>
    <x v="90"/>
    <s v="202510"/>
    <s v="2025"/>
    <s v="MAP GROUP202510"/>
    <n v="0"/>
    <n v="21"/>
    <n v="44"/>
    <n v="0"/>
    <n v="0"/>
    <n v="0"/>
    <n v="37324700"/>
    <n v="58679950"/>
    <n v="0"/>
    <n v="0"/>
    <n v="0"/>
    <n v="373247"/>
    <n v="762839"/>
    <n v="0"/>
    <n v="0"/>
  </r>
  <r>
    <x v="25"/>
    <x v="91"/>
    <s v="202510"/>
    <s v="2025"/>
    <s v="MAP GROUP202510"/>
    <n v="14"/>
    <n v="334"/>
    <n v="584"/>
    <n v="0"/>
    <n v="0"/>
    <n v="28781000"/>
    <n v="636203000"/>
    <n v="936295000"/>
    <n v="0"/>
    <n v="0"/>
    <n v="43172"/>
    <n v="6362030"/>
    <n v="12171835"/>
    <n v="0"/>
    <n v="0"/>
  </r>
  <r>
    <x v="25"/>
    <x v="92"/>
    <s v="202510"/>
    <s v="2025"/>
    <s v="MAP GROUP202510"/>
    <n v="10"/>
    <n v="108"/>
    <n v="306"/>
    <n v="0"/>
    <n v="0"/>
    <n v="14713170"/>
    <n v="151860495"/>
    <n v="404591277"/>
    <n v="0"/>
    <n v="0"/>
    <n v="22070"/>
    <n v="1518605"/>
    <n v="5259687"/>
    <n v="0"/>
    <n v="0"/>
  </r>
  <r>
    <x v="25"/>
    <x v="135"/>
    <s v="202510"/>
    <s v="2025"/>
    <s v="MAP GROUP202510"/>
    <n v="1"/>
    <n v="2"/>
    <n v="5"/>
    <n v="0"/>
    <n v="0"/>
    <n v="2299000"/>
    <n v="2603600"/>
    <n v="6723900"/>
    <n v="0"/>
    <n v="0"/>
    <n v="3448"/>
    <n v="26036"/>
    <n v="87411"/>
    <n v="0"/>
    <n v="0"/>
  </r>
  <r>
    <x v="25"/>
    <x v="93"/>
    <s v="202510"/>
    <s v="2025"/>
    <s v="MAP GROUP202510"/>
    <n v="17"/>
    <n v="220"/>
    <n v="703"/>
    <n v="0"/>
    <n v="0"/>
    <n v="52074800"/>
    <n v="540593800"/>
    <n v="1630923250"/>
    <n v="0"/>
    <n v="0"/>
    <n v="78112"/>
    <n v="5405938"/>
    <n v="21202002"/>
    <n v="0"/>
    <n v="0"/>
  </r>
  <r>
    <x v="25"/>
    <x v="94"/>
    <s v="202510"/>
    <s v="2025"/>
    <s v="MAP GROUP202510"/>
    <n v="0"/>
    <n v="7"/>
    <n v="15"/>
    <n v="0"/>
    <n v="0"/>
    <n v="0"/>
    <n v="4366700"/>
    <n v="8265900"/>
    <n v="0"/>
    <n v="0"/>
    <n v="0"/>
    <n v="43667"/>
    <n v="107457"/>
    <n v="0"/>
    <n v="0"/>
  </r>
  <r>
    <x v="25"/>
    <x v="95"/>
    <s v="202510"/>
    <s v="2025"/>
    <s v="MAP GROUP202510"/>
    <n v="1"/>
    <n v="10"/>
    <n v="33"/>
    <n v="0"/>
    <n v="0"/>
    <n v="404000"/>
    <n v="19542000"/>
    <n v="68884400"/>
    <n v="0"/>
    <n v="0"/>
    <n v="606"/>
    <n v="195420"/>
    <n v="895497"/>
    <n v="0"/>
    <n v="0"/>
  </r>
  <r>
    <x v="25"/>
    <x v="96"/>
    <s v="202510"/>
    <s v="2025"/>
    <s v="MAP GROUP202510"/>
    <n v="1"/>
    <n v="27"/>
    <n v="76"/>
    <n v="0"/>
    <n v="0"/>
    <n v="374200"/>
    <n v="17860690"/>
    <n v="56227932"/>
    <n v="0"/>
    <n v="0"/>
    <n v="561"/>
    <n v="178607"/>
    <n v="730963"/>
    <n v="0"/>
    <n v="0"/>
  </r>
  <r>
    <x v="25"/>
    <x v="97"/>
    <s v="202510"/>
    <s v="2025"/>
    <s v="MAP GROUP202510"/>
    <n v="0"/>
    <n v="9"/>
    <n v="6"/>
    <n v="0"/>
    <n v="0"/>
    <n v="0"/>
    <n v="3585760"/>
    <n v="2766860"/>
    <n v="0"/>
    <n v="0"/>
    <n v="0"/>
    <n v="35858"/>
    <n v="35969"/>
    <n v="0"/>
    <n v="0"/>
  </r>
  <r>
    <x v="25"/>
    <x v="98"/>
    <s v="202510"/>
    <s v="2025"/>
    <s v="MAP GROUP202510"/>
    <n v="7"/>
    <n v="114"/>
    <n v="389"/>
    <n v="0"/>
    <n v="0"/>
    <n v="12823500"/>
    <n v="249781400"/>
    <n v="789398556"/>
    <n v="0"/>
    <n v="0"/>
    <n v="19235"/>
    <n v="2497814"/>
    <n v="10262181"/>
    <n v="0"/>
    <n v="0"/>
  </r>
  <r>
    <x v="25"/>
    <x v="80"/>
    <s v="202510"/>
    <s v="2025"/>
    <s v="MAP GROUP202510"/>
    <n v="0"/>
    <n v="10"/>
    <n v="34"/>
    <n v="0"/>
    <n v="0"/>
    <n v="0"/>
    <n v="21491100"/>
    <n v="82460700"/>
    <n v="0"/>
    <n v="0"/>
    <n v="0"/>
    <n v="214911"/>
    <n v="1071989"/>
    <n v="0"/>
    <n v="0"/>
  </r>
  <r>
    <x v="25"/>
    <x v="99"/>
    <s v="202510"/>
    <s v="2025"/>
    <s v="MAP GROUP202510"/>
    <n v="5"/>
    <n v="43"/>
    <n v="140"/>
    <n v="0"/>
    <n v="0"/>
    <n v="10317200"/>
    <n v="73955927"/>
    <n v="207603428"/>
    <n v="0"/>
    <n v="0"/>
    <n v="15476"/>
    <n v="739559"/>
    <n v="2698845"/>
    <n v="0"/>
    <n v="0"/>
  </r>
  <r>
    <x v="25"/>
    <x v="57"/>
    <s v="202510"/>
    <s v="2025"/>
    <s v="MAP GROUP202510"/>
    <n v="29"/>
    <n v="311"/>
    <n v="426"/>
    <n v="0"/>
    <n v="0"/>
    <n v="26165600"/>
    <n v="308679480"/>
    <n v="425027596"/>
    <n v="0"/>
    <n v="0"/>
    <n v="39248"/>
    <n v="3086795"/>
    <n v="5525359"/>
    <n v="0"/>
    <n v="0"/>
  </r>
  <r>
    <x v="25"/>
    <x v="100"/>
    <s v="202510"/>
    <s v="2025"/>
    <s v="MAP GROUP202510"/>
    <n v="54"/>
    <n v="887"/>
    <n v="1269"/>
    <n v="0"/>
    <n v="0"/>
    <n v="80310000"/>
    <n v="1253148944"/>
    <n v="1686652063"/>
    <n v="0"/>
    <n v="0"/>
    <n v="120465"/>
    <n v="12531489"/>
    <n v="21926477"/>
    <n v="0"/>
    <n v="0"/>
  </r>
  <r>
    <x v="25"/>
    <x v="136"/>
    <s v="202510"/>
    <s v="2025"/>
    <s v="MAP GROUP202510"/>
    <n v="0"/>
    <n v="3"/>
    <n v="3"/>
    <n v="0"/>
    <n v="0"/>
    <n v="0"/>
    <n v="23648000"/>
    <n v="48300000"/>
    <n v="0"/>
    <n v="0"/>
    <n v="0"/>
    <n v="236480"/>
    <n v="627900"/>
    <n v="0"/>
    <n v="0"/>
  </r>
  <r>
    <x v="25"/>
    <x v="137"/>
    <s v="202510"/>
    <s v="2025"/>
    <s v="MAP GROUP202510"/>
    <n v="0"/>
    <n v="1"/>
    <n v="0"/>
    <n v="0"/>
    <n v="0"/>
    <n v="0"/>
    <n v="17249000"/>
    <n v="0"/>
    <n v="0"/>
    <n v="0"/>
    <n v="0"/>
    <n v="172490"/>
    <n v="0"/>
    <n v="0"/>
    <n v="0"/>
  </r>
  <r>
    <x v="25"/>
    <x v="101"/>
    <s v="202510"/>
    <s v="2025"/>
    <s v="MAP GROUP202510"/>
    <n v="4"/>
    <n v="50"/>
    <n v="66"/>
    <n v="0"/>
    <n v="0"/>
    <n v="11701500"/>
    <n v="153736600"/>
    <n v="193929163"/>
    <n v="0"/>
    <n v="0"/>
    <n v="17552"/>
    <n v="1537366"/>
    <n v="2521079"/>
    <n v="0"/>
    <n v="0"/>
  </r>
  <r>
    <x v="25"/>
    <x v="102"/>
    <s v="202510"/>
    <s v="2025"/>
    <s v="MAP GROUP202510"/>
    <n v="2"/>
    <n v="46"/>
    <n v="147"/>
    <n v="0"/>
    <n v="0"/>
    <n v="4472700"/>
    <n v="75528063"/>
    <n v="210750354"/>
    <n v="0"/>
    <n v="0"/>
    <n v="6709"/>
    <n v="755281"/>
    <n v="2739755"/>
    <n v="0"/>
    <n v="0"/>
  </r>
  <r>
    <x v="25"/>
    <x v="138"/>
    <s v="202510"/>
    <s v="2025"/>
    <s v="MAP GROUP202510"/>
    <n v="0"/>
    <n v="1"/>
    <n v="10"/>
    <n v="0"/>
    <n v="0"/>
    <n v="0"/>
    <n v="90000"/>
    <n v="1894000"/>
    <n v="0"/>
    <n v="0"/>
    <n v="0"/>
    <n v="900"/>
    <n v="24622"/>
    <n v="0"/>
    <n v="0"/>
  </r>
  <r>
    <x v="25"/>
    <x v="81"/>
    <s v="202510"/>
    <s v="2025"/>
    <s v="MAP GROUP202510"/>
    <n v="0"/>
    <n v="16"/>
    <n v="2"/>
    <n v="0"/>
    <n v="0"/>
    <n v="0"/>
    <n v="697755"/>
    <n v="99198"/>
    <n v="0"/>
    <n v="0"/>
    <n v="0"/>
    <n v="6978"/>
    <n v="1290"/>
    <n v="0"/>
    <n v="0"/>
  </r>
  <r>
    <x v="25"/>
    <x v="103"/>
    <s v="202510"/>
    <s v="2025"/>
    <s v="MAP GROUP202510"/>
    <n v="76"/>
    <n v="1062"/>
    <n v="1707"/>
    <n v="0"/>
    <n v="0"/>
    <n v="134122620"/>
    <n v="1668713929"/>
    <n v="2750923307"/>
    <n v="0"/>
    <n v="0"/>
    <n v="201184"/>
    <n v="16687139"/>
    <n v="35762003"/>
    <n v="0"/>
    <n v="0"/>
  </r>
  <r>
    <x v="25"/>
    <x v="104"/>
    <s v="202510"/>
    <s v="2025"/>
    <s v="MAP GROUP202510"/>
    <n v="0"/>
    <n v="3"/>
    <n v="10"/>
    <n v="0"/>
    <n v="0"/>
    <n v="0"/>
    <n v="798000"/>
    <n v="3777000"/>
    <n v="0"/>
    <n v="0"/>
    <n v="0"/>
    <n v="7980"/>
    <n v="49101"/>
    <n v="0"/>
    <n v="0"/>
  </r>
  <r>
    <x v="25"/>
    <x v="105"/>
    <s v="202510"/>
    <s v="2025"/>
    <s v="MAP GROUP202510"/>
    <n v="1"/>
    <n v="66"/>
    <n v="177"/>
    <n v="0"/>
    <n v="0"/>
    <n v="1347600"/>
    <n v="175074410"/>
    <n v="291770295"/>
    <n v="0"/>
    <n v="0"/>
    <n v="2021"/>
    <n v="1750744"/>
    <n v="3793014"/>
    <n v="0"/>
    <n v="0"/>
  </r>
  <r>
    <x v="25"/>
    <x v="106"/>
    <s v="202510"/>
    <s v="2025"/>
    <s v="MAP GROUP202510"/>
    <n v="0"/>
    <n v="2"/>
    <n v="5"/>
    <n v="0"/>
    <n v="0"/>
    <n v="0"/>
    <n v="3902500"/>
    <n v="8009200"/>
    <n v="0"/>
    <n v="0"/>
    <n v="0"/>
    <n v="39025"/>
    <n v="104120"/>
    <n v="0"/>
    <n v="0"/>
  </r>
  <r>
    <x v="25"/>
    <x v="107"/>
    <s v="202510"/>
    <s v="2025"/>
    <s v="MAP GROUP202510"/>
    <n v="5"/>
    <n v="81"/>
    <n v="302"/>
    <n v="0"/>
    <n v="0"/>
    <n v="11768740"/>
    <n v="216874400"/>
    <n v="799117152"/>
    <n v="0"/>
    <n v="0"/>
    <n v="17653"/>
    <n v="2168744"/>
    <n v="10388523"/>
    <n v="0"/>
    <n v="0"/>
  </r>
  <r>
    <x v="25"/>
    <x v="108"/>
    <s v="202510"/>
    <s v="2025"/>
    <s v="MAP GROUP202510"/>
    <n v="0"/>
    <n v="1"/>
    <n v="6"/>
    <n v="0"/>
    <n v="0"/>
    <n v="0"/>
    <n v="1349100"/>
    <n v="7100700"/>
    <n v="0"/>
    <n v="0"/>
    <n v="0"/>
    <n v="13491"/>
    <n v="92309"/>
    <n v="0"/>
    <n v="0"/>
  </r>
  <r>
    <x v="25"/>
    <x v="109"/>
    <s v="202510"/>
    <s v="2025"/>
    <s v="MAP GROUP202510"/>
    <n v="105"/>
    <n v="1711"/>
    <n v="4381"/>
    <n v="0"/>
    <n v="0"/>
    <n v="46724410"/>
    <n v="1058801495"/>
    <n v="2527066073"/>
    <n v="0"/>
    <n v="0"/>
    <n v="70087"/>
    <n v="10588015"/>
    <n v="32851858"/>
    <n v="0"/>
    <n v="0"/>
  </r>
  <r>
    <x v="25"/>
    <x v="82"/>
    <s v="202510"/>
    <s v="2025"/>
    <s v="MAP GROUP202510"/>
    <n v="2"/>
    <n v="23"/>
    <n v="84"/>
    <n v="0"/>
    <n v="0"/>
    <n v="3453300"/>
    <n v="64144580"/>
    <n v="257874640"/>
    <n v="0"/>
    <n v="0"/>
    <n v="5180"/>
    <n v="641446"/>
    <n v="3352370"/>
    <n v="0"/>
    <n v="0"/>
  </r>
  <r>
    <x v="25"/>
    <x v="83"/>
    <s v="202510"/>
    <s v="2025"/>
    <s v="MAP GROUP202510"/>
    <n v="8"/>
    <n v="207"/>
    <n v="850"/>
    <n v="0"/>
    <n v="0"/>
    <n v="3468200"/>
    <n v="226427270"/>
    <n v="1170782021"/>
    <n v="0"/>
    <n v="0"/>
    <n v="5202"/>
    <n v="2264273"/>
    <n v="15220166"/>
    <n v="0"/>
    <n v="0"/>
  </r>
  <r>
    <x v="25"/>
    <x v="110"/>
    <s v="202510"/>
    <s v="2025"/>
    <s v="MAP GROUP202510"/>
    <n v="1"/>
    <n v="11"/>
    <n v="80"/>
    <n v="0"/>
    <n v="0"/>
    <n v="1006000"/>
    <n v="9532360"/>
    <n v="82308042"/>
    <n v="0"/>
    <n v="0"/>
    <n v="1509"/>
    <n v="95324"/>
    <n v="1070005"/>
    <n v="0"/>
    <n v="0"/>
  </r>
  <r>
    <x v="25"/>
    <x v="111"/>
    <s v="202510"/>
    <s v="2025"/>
    <s v="MAP GROUP202510"/>
    <n v="0"/>
    <n v="8"/>
    <n v="21"/>
    <n v="0"/>
    <n v="0"/>
    <n v="0"/>
    <n v="2894700"/>
    <n v="31820500"/>
    <n v="0"/>
    <n v="0"/>
    <n v="0"/>
    <n v="28947"/>
    <n v="413666"/>
    <n v="0"/>
    <n v="0"/>
  </r>
  <r>
    <x v="25"/>
    <x v="112"/>
    <s v="202510"/>
    <s v="2025"/>
    <s v="MAP GROUP202510"/>
    <n v="41"/>
    <n v="457"/>
    <n v="833"/>
    <n v="0"/>
    <n v="0"/>
    <n v="67929720"/>
    <n v="703165472"/>
    <n v="1244784629"/>
    <n v="0"/>
    <n v="0"/>
    <n v="101895"/>
    <n v="7031655"/>
    <n v="16182200"/>
    <n v="0"/>
    <n v="0"/>
  </r>
  <r>
    <x v="25"/>
    <x v="113"/>
    <s v="202510"/>
    <s v="2025"/>
    <s v="MAP GROUP202510"/>
    <n v="14"/>
    <n v="307"/>
    <n v="565"/>
    <n v="0"/>
    <n v="0"/>
    <n v="18166100"/>
    <n v="340793070"/>
    <n v="546981928"/>
    <n v="0"/>
    <n v="0"/>
    <n v="27249"/>
    <n v="3407931"/>
    <n v="7110765"/>
    <n v="0"/>
    <n v="0"/>
  </r>
  <r>
    <x v="25"/>
    <x v="114"/>
    <s v="202510"/>
    <s v="2025"/>
    <s v="MAP GROUP202510"/>
    <n v="0"/>
    <n v="0"/>
    <n v="2"/>
    <n v="0"/>
    <n v="0"/>
    <n v="0"/>
    <n v="0"/>
    <n v="1958300"/>
    <n v="0"/>
    <n v="0"/>
    <n v="0"/>
    <n v="0"/>
    <n v="25458"/>
    <n v="0"/>
    <n v="0"/>
  </r>
  <r>
    <x v="25"/>
    <x v="115"/>
    <s v="202510"/>
    <s v="2025"/>
    <s v="MAP GROUP202510"/>
    <n v="5"/>
    <n v="103"/>
    <n v="210"/>
    <n v="0"/>
    <n v="0"/>
    <n v="11217000"/>
    <n v="307577500"/>
    <n v="552892500"/>
    <n v="0"/>
    <n v="0"/>
    <n v="16826"/>
    <n v="3075775"/>
    <n v="7187602"/>
    <n v="0"/>
    <n v="0"/>
  </r>
  <r>
    <x v="25"/>
    <x v="116"/>
    <s v="202510"/>
    <s v="2025"/>
    <s v="MAP GROUP202510"/>
    <n v="121"/>
    <n v="1166"/>
    <n v="1116"/>
    <n v="0"/>
    <n v="0"/>
    <n v="47989484"/>
    <n v="438312082"/>
    <n v="445414121"/>
    <n v="0"/>
    <n v="0"/>
    <n v="71984"/>
    <n v="4383121"/>
    <n v="5790384"/>
    <n v="0"/>
    <n v="0"/>
  </r>
  <r>
    <x v="25"/>
    <x v="117"/>
    <s v="202510"/>
    <s v="2025"/>
    <s v="MAP GROUP202510"/>
    <n v="0"/>
    <n v="5"/>
    <n v="22"/>
    <n v="0"/>
    <n v="0"/>
    <n v="0"/>
    <n v="6424400"/>
    <n v="39622480"/>
    <n v="0"/>
    <n v="0"/>
    <n v="0"/>
    <n v="64244"/>
    <n v="515092"/>
    <n v="0"/>
    <n v="0"/>
  </r>
  <r>
    <x v="25"/>
    <x v="118"/>
    <s v="202510"/>
    <s v="2025"/>
    <s v="MAP GROUP202510"/>
    <n v="3"/>
    <n v="46"/>
    <n v="71"/>
    <n v="0"/>
    <n v="0"/>
    <n v="1547800"/>
    <n v="22141344"/>
    <n v="39720208"/>
    <n v="0"/>
    <n v="0"/>
    <n v="2322"/>
    <n v="221413"/>
    <n v="516363"/>
    <n v="0"/>
    <n v="0"/>
  </r>
  <r>
    <x v="25"/>
    <x v="85"/>
    <s v="202510"/>
    <s v="2025"/>
    <s v="MAP GROUP202510"/>
    <n v="44"/>
    <n v="899"/>
    <n v="2455"/>
    <n v="0"/>
    <n v="0"/>
    <n v="54266900"/>
    <n v="1182458901"/>
    <n v="3270339492"/>
    <n v="0"/>
    <n v="0"/>
    <n v="81400"/>
    <n v="11824589"/>
    <n v="42514413"/>
    <n v="0"/>
    <n v="0"/>
  </r>
  <r>
    <x v="25"/>
    <x v="119"/>
    <s v="202510"/>
    <s v="2025"/>
    <s v="MAP GROUP202510"/>
    <n v="6"/>
    <n v="57"/>
    <n v="205"/>
    <n v="0"/>
    <n v="0"/>
    <n v="4404500"/>
    <n v="74882700"/>
    <n v="265443406"/>
    <n v="0"/>
    <n v="0"/>
    <n v="6607"/>
    <n v="748827"/>
    <n v="3450764"/>
    <n v="0"/>
    <n v="0"/>
  </r>
  <r>
    <x v="25"/>
    <x v="120"/>
    <s v="202510"/>
    <s v="2025"/>
    <s v="MAP GROUP202510"/>
    <n v="12"/>
    <n v="175"/>
    <n v="347"/>
    <n v="0"/>
    <n v="0"/>
    <n v="26901000"/>
    <n v="264931700"/>
    <n v="502037236"/>
    <n v="0"/>
    <n v="0"/>
    <n v="40352"/>
    <n v="2649317"/>
    <n v="6526484"/>
    <n v="0"/>
    <n v="0"/>
  </r>
  <r>
    <x v="25"/>
    <x v="121"/>
    <s v="202510"/>
    <s v="2025"/>
    <s v="MAP GROUP202510"/>
    <n v="4"/>
    <n v="71"/>
    <n v="123"/>
    <n v="0"/>
    <n v="0"/>
    <n v="1039400"/>
    <n v="51633128"/>
    <n v="78575945"/>
    <n v="0"/>
    <n v="0"/>
    <n v="1559"/>
    <n v="516331"/>
    <n v="1021487"/>
    <n v="0"/>
    <n v="0"/>
  </r>
  <r>
    <x v="25"/>
    <x v="122"/>
    <s v="202510"/>
    <s v="2025"/>
    <s v="MAP GROUP202510"/>
    <n v="0"/>
    <n v="6"/>
    <n v="15"/>
    <n v="0"/>
    <n v="0"/>
    <n v="0"/>
    <n v="4051000"/>
    <n v="11636300"/>
    <n v="0"/>
    <n v="0"/>
    <n v="0"/>
    <n v="40510"/>
    <n v="151272"/>
    <n v="0"/>
    <n v="0"/>
  </r>
  <r>
    <x v="25"/>
    <x v="123"/>
    <s v="202510"/>
    <s v="2025"/>
    <s v="MAP GROUP202510"/>
    <n v="1"/>
    <n v="8"/>
    <n v="26"/>
    <n v="0"/>
    <n v="0"/>
    <n v="1278600"/>
    <n v="8398770"/>
    <n v="35121140"/>
    <n v="0"/>
    <n v="0"/>
    <n v="1918"/>
    <n v="83988"/>
    <n v="456575"/>
    <n v="0"/>
    <n v="0"/>
  </r>
  <r>
    <x v="25"/>
    <x v="124"/>
    <s v="202510"/>
    <s v="2025"/>
    <s v="MAP GROUP202510"/>
    <n v="0"/>
    <n v="26"/>
    <n v="82"/>
    <n v="0"/>
    <n v="0"/>
    <n v="0"/>
    <n v="15614990"/>
    <n v="59556670"/>
    <n v="0"/>
    <n v="0"/>
    <n v="0"/>
    <n v="156150"/>
    <n v="774237"/>
    <n v="0"/>
    <n v="0"/>
  </r>
  <r>
    <x v="25"/>
    <x v="125"/>
    <s v="202510"/>
    <s v="2025"/>
    <s v="MAP GROUP202510"/>
    <n v="2"/>
    <n v="4"/>
    <n v="3"/>
    <n v="0"/>
    <n v="0"/>
    <n v="949400"/>
    <n v="1475900"/>
    <n v="882900"/>
    <n v="0"/>
    <n v="0"/>
    <n v="1424"/>
    <n v="14759"/>
    <n v="11478"/>
    <n v="0"/>
    <n v="0"/>
  </r>
  <r>
    <x v="25"/>
    <x v="126"/>
    <s v="202510"/>
    <s v="2025"/>
    <s v="MAP GROUP202510"/>
    <n v="0"/>
    <n v="4"/>
    <n v="2"/>
    <n v="0"/>
    <n v="0"/>
    <n v="0"/>
    <n v="10617000"/>
    <n v="6740000"/>
    <n v="0"/>
    <n v="0"/>
    <n v="0"/>
    <n v="106170"/>
    <n v="87620"/>
    <n v="0"/>
    <n v="0"/>
  </r>
  <r>
    <x v="25"/>
    <x v="139"/>
    <s v="202510"/>
    <s v="2025"/>
    <s v="MAP GROUP202510"/>
    <n v="10"/>
    <n v="0"/>
    <n v="0"/>
    <n v="0"/>
    <n v="0"/>
    <n v="9131800"/>
    <n v="0"/>
    <n v="0"/>
    <n v="0"/>
    <n v="0"/>
    <n v="13698"/>
    <n v="0"/>
    <n v="0"/>
    <n v="0"/>
    <n v="0"/>
  </r>
  <r>
    <x v="25"/>
    <x v="86"/>
    <s v="202510"/>
    <s v="2025"/>
    <s v="MAP GROUP202510"/>
    <n v="173"/>
    <n v="2308"/>
    <n v="3687"/>
    <n v="0"/>
    <n v="0"/>
    <n v="191361820"/>
    <n v="2879652942"/>
    <n v="4571981716"/>
    <n v="0"/>
    <n v="0"/>
    <n v="287043"/>
    <n v="28796529"/>
    <n v="59435762"/>
    <n v="0"/>
    <n v="0"/>
  </r>
  <r>
    <x v="25"/>
    <x v="127"/>
    <s v="202510"/>
    <s v="2025"/>
    <s v="MAP GROUP202510"/>
    <n v="1"/>
    <n v="119"/>
    <n v="260"/>
    <n v="0"/>
    <n v="0"/>
    <n v="546500"/>
    <n v="125726345"/>
    <n v="241593193"/>
    <n v="0"/>
    <n v="0"/>
    <n v="820"/>
    <n v="1257263"/>
    <n v="3140711"/>
    <n v="0"/>
    <n v="0"/>
  </r>
  <r>
    <x v="25"/>
    <x v="128"/>
    <s v="202510"/>
    <s v="2025"/>
    <s v="MAP GROUP202510"/>
    <n v="2"/>
    <n v="16"/>
    <n v="21"/>
    <n v="0"/>
    <n v="0"/>
    <n v="1814000"/>
    <n v="14369740"/>
    <n v="13648900"/>
    <n v="0"/>
    <n v="0"/>
    <n v="2721"/>
    <n v="143697"/>
    <n v="177436"/>
    <n v="0"/>
    <n v="0"/>
  </r>
  <r>
    <x v="25"/>
    <x v="87"/>
    <s v="202510"/>
    <s v="2025"/>
    <s v="MAP GROUP202510"/>
    <n v="763"/>
    <n v="9116"/>
    <n v="10931"/>
    <n v="0"/>
    <n v="0"/>
    <n v="453543816"/>
    <n v="5867835295"/>
    <n v="7009429108"/>
    <n v="0"/>
    <n v="0"/>
    <n v="680316"/>
    <n v="58678353"/>
    <n v="91122578"/>
    <n v="0"/>
    <n v="0"/>
  </r>
  <r>
    <x v="25"/>
    <x v="129"/>
    <s v="202510"/>
    <s v="2025"/>
    <s v="MAP GROUP202510"/>
    <n v="19"/>
    <n v="145"/>
    <n v="433"/>
    <n v="0"/>
    <n v="0"/>
    <n v="36827430"/>
    <n v="297611630"/>
    <n v="825019649"/>
    <n v="0"/>
    <n v="0"/>
    <n v="55241"/>
    <n v="2976116"/>
    <n v="10725255"/>
    <n v="0"/>
    <n v="0"/>
  </r>
  <r>
    <x v="25"/>
    <x v="88"/>
    <s v="202510"/>
    <s v="2025"/>
    <s v="MAP GROUP202510"/>
    <n v="1"/>
    <n v="25"/>
    <n v="35"/>
    <n v="0"/>
    <n v="0"/>
    <n v="100000"/>
    <n v="3922250"/>
    <n v="4207800"/>
    <n v="0"/>
    <n v="0"/>
    <n v="150"/>
    <n v="39222"/>
    <n v="54701"/>
    <n v="0"/>
    <n v="0"/>
  </r>
  <r>
    <x v="25"/>
    <x v="130"/>
    <s v="202510"/>
    <s v="2025"/>
    <s v="MAP GROUP202510"/>
    <n v="4"/>
    <n v="131"/>
    <n v="304"/>
    <n v="0"/>
    <n v="0"/>
    <n v="5878430"/>
    <n v="224049189"/>
    <n v="468118980"/>
    <n v="0"/>
    <n v="0"/>
    <n v="8818"/>
    <n v="2240492"/>
    <n v="6085547"/>
    <n v="0"/>
    <n v="0"/>
  </r>
  <r>
    <x v="25"/>
    <x v="131"/>
    <s v="202510"/>
    <s v="2025"/>
    <s v="MAP GROUP202510"/>
    <n v="0"/>
    <n v="3"/>
    <n v="40"/>
    <n v="0"/>
    <n v="0"/>
    <n v="0"/>
    <n v="4046600"/>
    <n v="50284350"/>
    <n v="0"/>
    <n v="0"/>
    <n v="0"/>
    <n v="40466"/>
    <n v="653697"/>
    <n v="0"/>
    <n v="0"/>
  </r>
  <r>
    <x v="11"/>
    <x v="24"/>
    <s v="202510"/>
    <s v="2025"/>
    <s v="MITRA10202510"/>
    <n v="486"/>
    <n v="3"/>
    <n v="0"/>
    <n v="0"/>
    <n v="0"/>
    <n v="1110262165"/>
    <n v="1100502"/>
    <n v="0"/>
    <n v="0"/>
    <n v="0"/>
    <n v="1665392"/>
    <n v="11005"/>
    <n v="0"/>
    <n v="0"/>
    <n v="0"/>
  </r>
  <r>
    <x v="12"/>
    <x v="25"/>
    <s v="202510"/>
    <s v="2025"/>
    <s v="OPTIK MELAWAI202510"/>
    <n v="93"/>
    <n v="0"/>
    <n v="0"/>
    <n v="0"/>
    <n v="0"/>
    <n v="187309800"/>
    <n v="0"/>
    <n v="0"/>
    <n v="0"/>
    <n v="0"/>
    <n v="280965"/>
    <n v="0"/>
    <n v="0"/>
    <n v="0"/>
    <n v="0"/>
  </r>
  <r>
    <x v="13"/>
    <x v="140"/>
    <s v="202510"/>
    <s v="2025"/>
    <s v="PATRA JASA202510"/>
    <n v="0"/>
    <n v="0"/>
    <n v="0"/>
    <n v="1"/>
    <n v="0"/>
    <n v="0"/>
    <n v="0"/>
    <n v="0"/>
    <n v="1"/>
    <n v="0"/>
    <n v="0"/>
    <n v="0"/>
    <n v="0"/>
    <n v="0"/>
    <n v="0"/>
  </r>
  <r>
    <x v="13"/>
    <x v="66"/>
    <s v="202510"/>
    <s v="2025"/>
    <s v="PATRA JASA202510"/>
    <n v="0"/>
    <n v="0"/>
    <n v="1"/>
    <n v="0"/>
    <n v="0"/>
    <n v="0"/>
    <n v="0"/>
    <n v="2400000"/>
    <n v="0"/>
    <n v="0"/>
    <n v="0"/>
    <n v="0"/>
    <n v="43200"/>
    <n v="0"/>
    <n v="0"/>
  </r>
  <r>
    <x v="14"/>
    <x v="28"/>
    <s v="202510"/>
    <s v="2025"/>
    <s v="PERTAMINA RETAIL202510"/>
    <n v="0"/>
    <n v="23"/>
    <n v="0"/>
    <n v="0"/>
    <n v="0"/>
    <n v="0"/>
    <n v="7999813"/>
    <n v="0"/>
    <n v="0"/>
    <n v="0"/>
    <n v="0"/>
    <n v="39999"/>
    <n v="0"/>
    <n v="0"/>
    <n v="0"/>
  </r>
  <r>
    <x v="15"/>
    <x v="29"/>
    <s v="202510"/>
    <s v="2025"/>
    <s v="PIZZA HUT202510"/>
    <n v="25"/>
    <n v="0"/>
    <n v="0"/>
    <n v="0"/>
    <n v="31"/>
    <n v="3583994"/>
    <n v="0"/>
    <n v="0"/>
    <n v="0"/>
    <n v="680000"/>
    <n v="5376"/>
    <n v="0"/>
    <n v="0"/>
    <n v="0"/>
    <n v="0"/>
  </r>
  <r>
    <x v="15"/>
    <x v="30"/>
    <s v="202510"/>
    <s v="2025"/>
    <s v="PIZZA HUT202510"/>
    <n v="131"/>
    <n v="0"/>
    <n v="0"/>
    <n v="0"/>
    <n v="0"/>
    <n v="37917018"/>
    <n v="0"/>
    <n v="0"/>
    <n v="0"/>
    <n v="0"/>
    <n v="56875"/>
    <n v="0"/>
    <n v="0"/>
    <n v="0"/>
    <n v="0"/>
  </r>
  <r>
    <x v="16"/>
    <x v="31"/>
    <s v="202510"/>
    <s v="2025"/>
    <s v="PLATINUM CINEPLEX202510"/>
    <n v="1"/>
    <n v="33"/>
    <n v="19"/>
    <n v="2"/>
    <n v="355"/>
    <n v="143000"/>
    <n v="3919000"/>
    <n v="3775000"/>
    <n v="240000"/>
    <n v="41005001"/>
    <n v="214"/>
    <n v="39190"/>
    <n v="68540"/>
    <n v="1680"/>
    <n v="287035"/>
  </r>
  <r>
    <x v="34"/>
    <x v="67"/>
    <s v="202510"/>
    <s v="2025"/>
    <s v="POPEYES202510"/>
    <n v="0"/>
    <n v="0"/>
    <n v="0"/>
    <n v="0"/>
    <n v="2"/>
    <n v="0"/>
    <n v="0"/>
    <n v="0"/>
    <n v="0"/>
    <n v="452991"/>
    <n v="0"/>
    <n v="0"/>
    <n v="0"/>
    <n v="0"/>
    <n v="3170"/>
  </r>
  <r>
    <x v="17"/>
    <x v="32"/>
    <s v="202510"/>
    <s v="2025"/>
    <s v="SARINAH202510"/>
    <n v="3"/>
    <n v="77"/>
    <n v="201"/>
    <n v="0"/>
    <n v="0"/>
    <n v="916700"/>
    <n v="100200375"/>
    <n v="208146916"/>
    <n v="0"/>
    <n v="0"/>
    <n v="1375"/>
    <n v="1002004"/>
    <n v="3746644"/>
    <n v="0"/>
    <n v="0"/>
  </r>
  <r>
    <x v="18"/>
    <x v="33"/>
    <s v="202510"/>
    <s v="2025"/>
    <s v="SHIHLIN202510"/>
    <n v="31"/>
    <n v="6"/>
    <n v="1"/>
    <n v="48"/>
    <n v="2360"/>
    <n v="2349000"/>
    <n v="459000"/>
    <n v="92000"/>
    <n v="3723000"/>
    <n v="157008085"/>
    <n v="3524"/>
    <n v="4590"/>
    <n v="1656"/>
    <n v="0"/>
    <n v="215859"/>
  </r>
  <r>
    <x v="19"/>
    <x v="34"/>
    <s v="202510"/>
    <s v="2025"/>
    <s v="SOLARIA202510"/>
    <n v="1283"/>
    <n v="3"/>
    <n v="0"/>
    <n v="18"/>
    <n v="1194"/>
    <n v="209067600"/>
    <n v="341000"/>
    <n v="0"/>
    <n v="3070000"/>
    <n v="165087300"/>
    <n v="313601"/>
    <n v="3410"/>
    <n v="0"/>
    <n v="21490"/>
    <n v="1155611"/>
  </r>
  <r>
    <x v="20"/>
    <x v="35"/>
    <s v="202510"/>
    <s v="2025"/>
    <s v="SOUR SALLY202510"/>
    <n v="0"/>
    <n v="1"/>
    <n v="0"/>
    <n v="26"/>
    <n v="397"/>
    <n v="0"/>
    <n v="106000"/>
    <n v="0"/>
    <n v="2318000"/>
    <n v="29990802"/>
    <n v="0"/>
    <n v="1060"/>
    <n v="0"/>
    <n v="16226"/>
    <n v="209935"/>
  </r>
  <r>
    <x v="21"/>
    <x v="43"/>
    <s v="202510"/>
    <s v="2025"/>
    <s v="STEVEN GROUP202510"/>
    <n v="9"/>
    <n v="13"/>
    <n v="2"/>
    <n v="0"/>
    <n v="85"/>
    <n v="785134"/>
    <n v="4710834"/>
    <n v="362146"/>
    <n v="0"/>
    <n v="15232279"/>
    <n v="1178"/>
    <n v="47108"/>
    <n v="7243"/>
    <n v="0"/>
    <n v="106627"/>
  </r>
  <r>
    <x v="21"/>
    <x v="51"/>
    <s v="202510"/>
    <s v="2025"/>
    <s v="STEVEN GROUP202510"/>
    <n v="0"/>
    <n v="0"/>
    <n v="0"/>
    <n v="12"/>
    <n v="417"/>
    <n v="0"/>
    <n v="0"/>
    <n v="0"/>
    <n v="362000"/>
    <n v="13073000"/>
    <n v="0"/>
    <n v="0"/>
    <n v="0"/>
    <n v="0"/>
    <n v="0"/>
  </r>
  <r>
    <x v="21"/>
    <x v="68"/>
    <s v="202510"/>
    <s v="2025"/>
    <s v="STEVEN GROUP202510"/>
    <n v="0"/>
    <n v="0"/>
    <n v="0"/>
    <n v="0"/>
    <n v="1"/>
    <n v="0"/>
    <n v="0"/>
    <n v="0"/>
    <n v="0"/>
    <n v="1"/>
    <n v="0"/>
    <n v="0"/>
    <n v="0"/>
    <n v="0"/>
    <n v="0"/>
  </r>
  <r>
    <x v="21"/>
    <x v="36"/>
    <s v="202510"/>
    <s v="2025"/>
    <s v="STEVEN GROUP202510"/>
    <n v="0"/>
    <n v="0"/>
    <n v="1"/>
    <n v="0"/>
    <n v="1"/>
    <n v="0"/>
    <n v="0"/>
    <n v="11530000"/>
    <n v="0"/>
    <n v="1"/>
    <n v="0"/>
    <n v="0"/>
    <n v="230600"/>
    <n v="0"/>
    <n v="0"/>
  </r>
  <r>
    <x v="36"/>
    <x v="72"/>
    <s v="202510"/>
    <s v="2025"/>
    <s v="SUPRA BOGA LESTARI202510"/>
    <n v="1"/>
    <n v="0"/>
    <n v="0"/>
    <n v="0"/>
    <n v="0"/>
    <n v="472274"/>
    <n v="0"/>
    <n v="0"/>
    <n v="0"/>
    <n v="0"/>
    <n v="708"/>
    <n v="0"/>
    <n v="0"/>
    <n v="0"/>
    <n v="0"/>
  </r>
  <r>
    <x v="37"/>
    <x v="73"/>
    <s v="202510"/>
    <s v="2025"/>
    <s v="SUSHI TEI202510"/>
    <n v="0"/>
    <n v="0"/>
    <n v="0"/>
    <n v="0"/>
    <n v="1"/>
    <n v="0"/>
    <n v="0"/>
    <n v="0"/>
    <n v="0"/>
    <n v="1"/>
    <n v="0"/>
    <n v="0"/>
    <n v="0"/>
    <n v="0"/>
    <n v="0"/>
  </r>
  <r>
    <x v="30"/>
    <x v="59"/>
    <s v="202510"/>
    <s v="2025"/>
    <s v="YOGURT REPUBLIC202510"/>
    <n v="0"/>
    <n v="0"/>
    <n v="0"/>
    <n v="0"/>
    <n v="1495"/>
    <n v="0"/>
    <n v="0"/>
    <n v="0"/>
    <n v="0"/>
    <n v="92106417"/>
    <n v="0"/>
    <n v="0"/>
    <n v="0"/>
    <n v="0"/>
    <n v="0"/>
  </r>
  <r>
    <x v="29"/>
    <x v="56"/>
    <s v="202510"/>
    <s v="2025"/>
    <s v="YOSHINOYA202510"/>
    <n v="269"/>
    <n v="9284"/>
    <n v="124"/>
    <n v="0"/>
    <n v="30308"/>
    <n v="40536100"/>
    <n v="1323331700"/>
    <n v="19164500"/>
    <n v="0"/>
    <n v="3754410604"/>
    <n v="60804"/>
    <n v="13233317"/>
    <n v="213176"/>
    <n v="0"/>
    <n v="26280672"/>
  </r>
  <r>
    <x v="39"/>
    <x v="75"/>
    <s v="202510"/>
    <s v="2025"/>
    <s v="ZENBU202510"/>
    <n v="0"/>
    <n v="0"/>
    <n v="0"/>
    <n v="10"/>
    <n v="4168"/>
    <n v="0"/>
    <n v="0"/>
    <n v="0"/>
    <n v="3209052"/>
    <n v="1076080423"/>
    <n v="0"/>
    <n v="0"/>
    <n v="0"/>
    <n v="22463"/>
    <n v="7532544"/>
  </r>
  <r>
    <x v="0"/>
    <x v="0"/>
    <s v="202511"/>
    <s v="2025"/>
    <s v="ALFA GROUP202511"/>
    <n v="14929"/>
    <n v="55278"/>
    <n v="15815"/>
    <n v="0"/>
    <n v="0"/>
    <n v="1382086171"/>
    <n v="5304582008"/>
    <n v="2050521847"/>
    <n v="0"/>
    <n v="0"/>
    <n v="2073129"/>
    <n v="53045820"/>
    <n v="36508302"/>
    <n v="0"/>
    <n v="0"/>
  </r>
  <r>
    <x v="0"/>
    <x v="1"/>
    <s v="202511"/>
    <s v="2025"/>
    <s v="ALFA GROUP202511"/>
    <n v="4130"/>
    <n v="20156"/>
    <n v="6335"/>
    <n v="0"/>
    <n v="0"/>
    <n v="551108476"/>
    <n v="2554258526"/>
    <n v="1220581873"/>
    <n v="0"/>
    <n v="0"/>
    <n v="826660"/>
    <n v="25542585"/>
    <n v="21773878"/>
    <n v="0"/>
    <n v="0"/>
  </r>
  <r>
    <x v="0"/>
    <x v="2"/>
    <s v="202511"/>
    <s v="2025"/>
    <s v="ALFA GROUP202511"/>
    <n v="306"/>
    <n v="1423"/>
    <n v="199"/>
    <n v="0"/>
    <n v="0"/>
    <n v="48408708"/>
    <n v="225505752"/>
    <n v="40457268"/>
    <n v="0"/>
    <n v="0"/>
    <n v="72613"/>
    <n v="2255058"/>
    <n v="730145"/>
    <n v="0"/>
    <n v="0"/>
  </r>
  <r>
    <x v="42"/>
    <x v="132"/>
    <s v="202511"/>
    <s v="2025"/>
    <s v="ANCOL202511"/>
    <n v="47"/>
    <n v="732"/>
    <n v="210"/>
    <n v="0"/>
    <n v="5056"/>
    <n v="13534800"/>
    <n v="545412862"/>
    <n v="155509400"/>
    <n v="0"/>
    <n v="1467751605"/>
    <n v="20302"/>
    <n v="5454129"/>
    <n v="2799169"/>
    <n v="0"/>
    <n v="10274249"/>
  </r>
  <r>
    <x v="22"/>
    <x v="37"/>
    <s v="202511"/>
    <s v="2025"/>
    <s v="BANBAN TEA202511"/>
    <n v="1"/>
    <n v="1"/>
    <n v="0"/>
    <n v="68"/>
    <n v="14"/>
    <n v="51700"/>
    <n v="35200"/>
    <n v="0"/>
    <n v="4638898"/>
    <n v="749997"/>
    <n v="78"/>
    <n v="352"/>
    <n v="0"/>
    <n v="32470"/>
    <n v="5250"/>
  </r>
  <r>
    <x v="23"/>
    <x v="38"/>
    <s v="202511"/>
    <s v="2025"/>
    <s v="BEARD PAPA202511"/>
    <n v="16"/>
    <n v="0"/>
    <n v="0"/>
    <n v="0"/>
    <n v="19"/>
    <n v="1902000"/>
    <n v="0"/>
    <n v="0"/>
    <n v="0"/>
    <n v="8056005"/>
    <n v="2853"/>
    <n v="0"/>
    <n v="0"/>
    <n v="0"/>
    <n v="56392"/>
  </r>
  <r>
    <x v="1"/>
    <x v="3"/>
    <s v="202511"/>
    <s v="2025"/>
    <s v="CHAMP RESTO202511"/>
    <n v="0"/>
    <n v="0"/>
    <n v="0"/>
    <n v="1"/>
    <n v="0"/>
    <n v="0"/>
    <n v="0"/>
    <n v="0"/>
    <n v="1"/>
    <n v="0"/>
    <n v="0"/>
    <n v="0"/>
    <n v="0"/>
    <n v="0"/>
    <n v="0"/>
  </r>
  <r>
    <x v="1"/>
    <x v="39"/>
    <s v="202511"/>
    <s v="2025"/>
    <s v="CHAMP RESTO202511"/>
    <n v="0"/>
    <n v="0"/>
    <n v="0"/>
    <n v="0"/>
    <n v="1"/>
    <n v="0"/>
    <n v="0"/>
    <n v="0"/>
    <n v="0"/>
    <n v="300710"/>
    <n v="0"/>
    <n v="0"/>
    <n v="0"/>
    <n v="0"/>
    <n v="2105"/>
  </r>
  <r>
    <x v="1"/>
    <x v="4"/>
    <s v="202511"/>
    <s v="2025"/>
    <s v="CHAMP RESTO202511"/>
    <n v="1"/>
    <n v="0"/>
    <n v="0"/>
    <n v="0"/>
    <n v="11"/>
    <n v="117810"/>
    <n v="0"/>
    <n v="0"/>
    <n v="0"/>
    <n v="2444200"/>
    <n v="177"/>
    <n v="0"/>
    <n v="0"/>
    <n v="0"/>
    <n v="17109"/>
  </r>
  <r>
    <x v="1"/>
    <x v="44"/>
    <s v="202511"/>
    <s v="2025"/>
    <s v="CHAMP RESTO202511"/>
    <n v="1"/>
    <n v="0"/>
    <n v="0"/>
    <n v="0"/>
    <n v="3"/>
    <n v="360840"/>
    <n v="0"/>
    <n v="0"/>
    <n v="0"/>
    <n v="2118267"/>
    <n v="541"/>
    <n v="0"/>
    <n v="0"/>
    <n v="0"/>
    <n v="14828"/>
  </r>
  <r>
    <x v="1"/>
    <x v="5"/>
    <s v="202511"/>
    <s v="2025"/>
    <s v="CHAMP RESTO202511"/>
    <n v="6"/>
    <n v="5"/>
    <n v="0"/>
    <n v="0"/>
    <n v="53"/>
    <n v="841444"/>
    <n v="1153000"/>
    <n v="0"/>
    <n v="0"/>
    <n v="11206882"/>
    <n v="1262"/>
    <n v="11530"/>
    <n v="0"/>
    <n v="0"/>
    <n v="78446"/>
  </r>
  <r>
    <x v="1"/>
    <x v="6"/>
    <s v="202511"/>
    <s v="2025"/>
    <s v="CHAMP RESTO202511"/>
    <n v="5"/>
    <n v="8"/>
    <n v="0"/>
    <n v="0"/>
    <n v="37"/>
    <n v="1692453"/>
    <n v="1859521"/>
    <n v="0"/>
    <n v="0"/>
    <n v="13325582"/>
    <n v="2539"/>
    <n v="18595"/>
    <n v="0"/>
    <n v="0"/>
    <n v="93278"/>
  </r>
  <r>
    <x v="1"/>
    <x v="8"/>
    <s v="202511"/>
    <s v="2025"/>
    <s v="CHAMP RESTO202511"/>
    <n v="3"/>
    <n v="0"/>
    <n v="0"/>
    <n v="0"/>
    <n v="5"/>
    <n v="1478495"/>
    <n v="0"/>
    <n v="0"/>
    <n v="0"/>
    <n v="6595877"/>
    <n v="2218"/>
    <n v="0"/>
    <n v="0"/>
    <n v="0"/>
    <n v="46168"/>
  </r>
  <r>
    <x v="32"/>
    <x v="63"/>
    <s v="202511"/>
    <s v="2025"/>
    <s v="DAMRI202511"/>
    <n v="0"/>
    <n v="6"/>
    <n v="1"/>
    <n v="0"/>
    <n v="20"/>
    <n v="0"/>
    <n v="1065000"/>
    <n v="340000"/>
    <n v="0"/>
    <n v="4390000"/>
    <n v="0"/>
    <n v="10650"/>
    <n v="6800"/>
    <n v="0"/>
    <n v="30730"/>
  </r>
  <r>
    <x v="43"/>
    <x v="133"/>
    <s v="202511"/>
    <s v="2025"/>
    <s v="DELTA WIBAWA BERSAMA202511"/>
    <n v="1"/>
    <n v="64"/>
    <n v="63"/>
    <n v="8"/>
    <n v="896"/>
    <n v="440055"/>
    <n v="28495015"/>
    <n v="23009360"/>
    <n v="3040539"/>
    <n v="203570203"/>
    <n v="660"/>
    <n v="284950"/>
    <n v="460187"/>
    <n v="21283"/>
    <n v="1424990"/>
  </r>
  <r>
    <x v="43"/>
    <x v="141"/>
    <s v="202511"/>
    <s v="2025"/>
    <s v="DELTA WIBAWA BERSAMA202511"/>
    <n v="0"/>
    <n v="2"/>
    <n v="5"/>
    <n v="0"/>
    <n v="0"/>
    <n v="0"/>
    <n v="314160"/>
    <n v="1082235"/>
    <n v="0"/>
    <n v="0"/>
    <n v="0"/>
    <n v="3142"/>
    <n v="21645"/>
    <n v="0"/>
    <n v="0"/>
  </r>
  <r>
    <x v="31"/>
    <x v="60"/>
    <s v="202511"/>
    <s v="2025"/>
    <s v="DWIDAYA202511"/>
    <n v="10"/>
    <n v="6"/>
    <n v="18"/>
    <n v="0"/>
    <n v="68"/>
    <n v="225788350"/>
    <n v="83072552"/>
    <n v="219689096"/>
    <n v="0"/>
    <n v="213829563"/>
    <n v="338683"/>
    <n v="830726"/>
    <n v="4393782"/>
    <n v="0"/>
    <n v="1496807"/>
  </r>
  <r>
    <x v="35"/>
    <x v="69"/>
    <s v="202511"/>
    <s v="2025"/>
    <s v="EKA HOSPITAL202511"/>
    <n v="1"/>
    <n v="1"/>
    <n v="3"/>
    <n v="0"/>
    <n v="6"/>
    <n v="3750000"/>
    <n v="140000"/>
    <n v="4256390"/>
    <n v="0"/>
    <n v="540005"/>
    <n v="5625"/>
    <n v="1400"/>
    <n v="55333"/>
    <n v="0"/>
    <n v="3780"/>
  </r>
  <r>
    <x v="3"/>
    <x v="10"/>
    <s v="202511"/>
    <s v="2025"/>
    <s v="GRAMEDIA202511"/>
    <n v="6"/>
    <n v="0"/>
    <n v="0"/>
    <n v="0"/>
    <n v="0"/>
    <n v="2264000"/>
    <n v="0"/>
    <n v="0"/>
    <n v="0"/>
    <n v="0"/>
    <n v="3396"/>
    <n v="0"/>
    <n v="0"/>
    <n v="0"/>
    <n v="0"/>
  </r>
  <r>
    <x v="4"/>
    <x v="11"/>
    <s v="202511"/>
    <s v="2025"/>
    <s v="HAUS202511"/>
    <n v="0"/>
    <n v="2"/>
    <n v="0"/>
    <n v="43"/>
    <n v="4866"/>
    <n v="0"/>
    <n v="86000"/>
    <n v="0"/>
    <n v="3072400"/>
    <n v="199076223"/>
    <n v="0"/>
    <n v="860"/>
    <n v="0"/>
    <n v="3234"/>
    <n v="1278559"/>
  </r>
  <r>
    <x v="24"/>
    <x v="40"/>
    <s v="202511"/>
    <s v="2025"/>
    <s v="HERO GROUP202511"/>
    <n v="0"/>
    <n v="0"/>
    <n v="0"/>
    <n v="98"/>
    <n v="186"/>
    <n v="0"/>
    <n v="0"/>
    <n v="0"/>
    <n v="24335274"/>
    <n v="10185152"/>
    <n v="0"/>
    <n v="0"/>
    <n v="0"/>
    <n v="169853"/>
    <n v="36751"/>
  </r>
  <r>
    <x v="38"/>
    <x v="74"/>
    <s v="202511"/>
    <s v="2025"/>
    <s v="HOKBEN202511"/>
    <n v="0"/>
    <n v="0"/>
    <n v="0"/>
    <n v="8"/>
    <n v="2734"/>
    <n v="0"/>
    <n v="0"/>
    <n v="0"/>
    <n v="1025000"/>
    <n v="272531500"/>
    <n v="0"/>
    <n v="0"/>
    <n v="0"/>
    <n v="7174"/>
    <n v="1898989"/>
  </r>
  <r>
    <x v="27"/>
    <x v="48"/>
    <s v="202511"/>
    <s v="2025"/>
    <s v="HOKKAIDO BAKED CHEESE202511"/>
    <n v="3"/>
    <n v="45"/>
    <n v="10"/>
    <n v="5"/>
    <n v="933"/>
    <n v="356400"/>
    <n v="4519946"/>
    <n v="946600"/>
    <n v="126000"/>
    <n v="76180481"/>
    <n v="535"/>
    <n v="45199"/>
    <n v="18932"/>
    <n v="882"/>
    <n v="500194"/>
  </r>
  <r>
    <x v="5"/>
    <x v="12"/>
    <s v="202511"/>
    <s v="2025"/>
    <s v="HOP HOP202511"/>
    <n v="0"/>
    <n v="0"/>
    <n v="0"/>
    <n v="127"/>
    <n v="9440"/>
    <n v="0"/>
    <n v="0"/>
    <n v="0"/>
    <n v="4907000"/>
    <n v="243254513"/>
    <n v="0"/>
    <n v="0"/>
    <n v="0"/>
    <n v="0"/>
    <n v="2385"/>
  </r>
  <r>
    <x v="5"/>
    <x v="58"/>
    <s v="202511"/>
    <s v="2025"/>
    <s v="HOP HOP202511"/>
    <n v="0"/>
    <n v="0"/>
    <n v="0"/>
    <n v="9"/>
    <n v="1443"/>
    <n v="0"/>
    <n v="0"/>
    <n v="0"/>
    <n v="464000"/>
    <n v="27219900"/>
    <n v="0"/>
    <n v="0"/>
    <n v="0"/>
    <n v="0"/>
    <n v="11439"/>
  </r>
  <r>
    <x v="6"/>
    <x v="13"/>
    <s v="202511"/>
    <s v="2025"/>
    <s v="IKEA202511"/>
    <n v="21"/>
    <n v="0"/>
    <n v="0"/>
    <n v="0"/>
    <n v="0"/>
    <n v="15264100"/>
    <n v="0"/>
    <n v="0"/>
    <n v="0"/>
    <n v="0"/>
    <n v="22896"/>
    <n v="0"/>
    <n v="0"/>
    <n v="0"/>
    <n v="0"/>
  </r>
  <r>
    <x v="7"/>
    <x v="14"/>
    <s v="202511"/>
    <s v="2025"/>
    <s v="INDOMARET202511"/>
    <n v="23487"/>
    <n v="64260"/>
    <n v="24237"/>
    <n v="0"/>
    <n v="0"/>
    <n v="2418972211"/>
    <n v="5882892057"/>
    <n v="3518085457"/>
    <n v="0"/>
    <n v="0"/>
    <n v="3628457"/>
    <n v="58828921"/>
    <n v="58718614"/>
    <n v="0"/>
    <n v="0"/>
  </r>
  <r>
    <x v="7"/>
    <x v="15"/>
    <s v="202511"/>
    <s v="2025"/>
    <s v="INDOMARET202511"/>
    <n v="431"/>
    <n v="1503"/>
    <n v="881"/>
    <n v="0"/>
    <n v="0"/>
    <n v="33508977"/>
    <n v="104564850"/>
    <n v="103075400"/>
    <n v="0"/>
    <n v="0"/>
    <n v="50263"/>
    <n v="1045648"/>
    <n v="1733711"/>
    <n v="0"/>
    <n v="0"/>
  </r>
  <r>
    <x v="8"/>
    <x v="134"/>
    <s v="202511"/>
    <s v="2025"/>
    <s v="KAWAN LAMA202511"/>
    <n v="0"/>
    <n v="0"/>
    <n v="5"/>
    <n v="0"/>
    <n v="0"/>
    <n v="0"/>
    <n v="0"/>
    <n v="2049301"/>
    <n v="0"/>
    <n v="0"/>
    <n v="0"/>
    <n v="0"/>
    <n v="40986"/>
    <n v="0"/>
    <n v="0"/>
  </r>
  <r>
    <x v="8"/>
    <x v="41"/>
    <s v="202511"/>
    <s v="2025"/>
    <s v="KAWAN LAMA202511"/>
    <n v="4"/>
    <n v="0"/>
    <n v="0"/>
    <n v="0"/>
    <n v="0"/>
    <n v="322400"/>
    <n v="0"/>
    <n v="0"/>
    <n v="0"/>
    <n v="0"/>
    <n v="484"/>
    <n v="0"/>
    <n v="0"/>
    <n v="0"/>
    <n v="0"/>
  </r>
  <r>
    <x v="8"/>
    <x v="16"/>
    <s v="202511"/>
    <s v="2025"/>
    <s v="KAWAN LAMA202511"/>
    <n v="955"/>
    <n v="0"/>
    <n v="0"/>
    <n v="0"/>
    <n v="0"/>
    <n v="826512495"/>
    <n v="0"/>
    <n v="0"/>
    <n v="0"/>
    <n v="0"/>
    <n v="1239768"/>
    <n v="0"/>
    <n v="0"/>
    <n v="0"/>
    <n v="0"/>
  </r>
  <r>
    <x v="8"/>
    <x v="17"/>
    <s v="202511"/>
    <s v="2025"/>
    <s v="KAWAN LAMA202511"/>
    <n v="261"/>
    <n v="0"/>
    <n v="0"/>
    <n v="0"/>
    <n v="0"/>
    <n v="17076000"/>
    <n v="0"/>
    <n v="0"/>
    <n v="0"/>
    <n v="0"/>
    <n v="25614"/>
    <n v="0"/>
    <n v="0"/>
    <n v="0"/>
    <n v="0"/>
  </r>
  <r>
    <x v="8"/>
    <x v="53"/>
    <s v="202511"/>
    <s v="2025"/>
    <s v="KAWAN LAMA202511"/>
    <n v="1"/>
    <n v="0"/>
    <n v="0"/>
    <n v="0"/>
    <n v="0"/>
    <n v="58000"/>
    <n v="0"/>
    <n v="0"/>
    <n v="0"/>
    <n v="0"/>
    <n v="87"/>
    <n v="0"/>
    <n v="0"/>
    <n v="0"/>
    <n v="0"/>
  </r>
  <r>
    <x v="8"/>
    <x v="54"/>
    <s v="202511"/>
    <s v="2025"/>
    <s v="KAWAN LAMA202511"/>
    <n v="2"/>
    <n v="0"/>
    <n v="0"/>
    <n v="0"/>
    <n v="0"/>
    <n v="13054010"/>
    <n v="0"/>
    <n v="0"/>
    <n v="0"/>
    <n v="0"/>
    <n v="19581"/>
    <n v="0"/>
    <n v="0"/>
    <n v="0"/>
    <n v="0"/>
  </r>
  <r>
    <x v="8"/>
    <x v="49"/>
    <s v="202511"/>
    <s v="2025"/>
    <s v="KAWAN LAMA202511"/>
    <n v="7"/>
    <n v="0"/>
    <n v="0"/>
    <n v="0"/>
    <n v="0"/>
    <n v="459000"/>
    <n v="0"/>
    <n v="0"/>
    <n v="0"/>
    <n v="0"/>
    <n v="688"/>
    <n v="0"/>
    <n v="0"/>
    <n v="0"/>
    <n v="0"/>
  </r>
  <r>
    <x v="8"/>
    <x v="50"/>
    <s v="202511"/>
    <s v="2025"/>
    <s v="KAWAN LAMA202511"/>
    <n v="17"/>
    <n v="0"/>
    <n v="0"/>
    <n v="0"/>
    <n v="0"/>
    <n v="2365000"/>
    <n v="0"/>
    <n v="0"/>
    <n v="0"/>
    <n v="0"/>
    <n v="3548"/>
    <n v="0"/>
    <n v="0"/>
    <n v="0"/>
    <n v="0"/>
  </r>
  <r>
    <x v="8"/>
    <x v="18"/>
    <s v="202511"/>
    <s v="2025"/>
    <s v="KAWAN LAMA202511"/>
    <n v="328"/>
    <n v="0"/>
    <n v="0"/>
    <n v="0"/>
    <n v="0"/>
    <n v="1444398285"/>
    <n v="0"/>
    <n v="0"/>
    <n v="0"/>
    <n v="0"/>
    <n v="2166597"/>
    <n v="0"/>
    <n v="0"/>
    <n v="0"/>
    <n v="0"/>
  </r>
  <r>
    <x v="8"/>
    <x v="19"/>
    <s v="202511"/>
    <s v="2025"/>
    <s v="KAWAN LAMA202511"/>
    <n v="23"/>
    <n v="0"/>
    <n v="0"/>
    <n v="0"/>
    <n v="0"/>
    <n v="88223000"/>
    <n v="0"/>
    <n v="0"/>
    <n v="0"/>
    <n v="0"/>
    <n v="132334"/>
    <n v="0"/>
    <n v="0"/>
    <n v="0"/>
    <n v="0"/>
  </r>
  <r>
    <x v="8"/>
    <x v="20"/>
    <s v="202511"/>
    <s v="2025"/>
    <s v="KAWAN LAMA202511"/>
    <n v="0"/>
    <n v="0"/>
    <n v="0"/>
    <n v="4"/>
    <n v="38"/>
    <n v="0"/>
    <n v="0"/>
    <n v="0"/>
    <n v="180000"/>
    <n v="3170000"/>
    <n v="0"/>
    <n v="0"/>
    <n v="0"/>
    <n v="0"/>
    <n v="3000"/>
  </r>
  <r>
    <x v="8"/>
    <x v="21"/>
    <s v="202511"/>
    <s v="2025"/>
    <s v="KAWAN LAMA202511"/>
    <n v="22"/>
    <n v="0"/>
    <n v="0"/>
    <n v="0"/>
    <n v="0"/>
    <n v="50854366"/>
    <n v="0"/>
    <n v="0"/>
    <n v="0"/>
    <n v="0"/>
    <n v="76282"/>
    <n v="0"/>
    <n v="0"/>
    <n v="0"/>
    <n v="0"/>
  </r>
  <r>
    <x v="8"/>
    <x v="52"/>
    <s v="202511"/>
    <s v="2025"/>
    <s v="KAWAN LAMA202511"/>
    <n v="1"/>
    <n v="0"/>
    <n v="0"/>
    <n v="0"/>
    <n v="0"/>
    <n v="349000"/>
    <n v="0"/>
    <n v="0"/>
    <n v="0"/>
    <n v="0"/>
    <n v="524"/>
    <n v="0"/>
    <n v="0"/>
    <n v="0"/>
    <n v="0"/>
  </r>
  <r>
    <x v="8"/>
    <x v="64"/>
    <s v="202511"/>
    <s v="2025"/>
    <s v="KAWAN LAMA202511"/>
    <n v="0"/>
    <n v="0"/>
    <n v="0"/>
    <n v="2"/>
    <n v="12"/>
    <n v="0"/>
    <n v="0"/>
    <n v="0"/>
    <n v="2200750"/>
    <n v="1011"/>
    <n v="0"/>
    <n v="0"/>
    <n v="0"/>
    <n v="15405"/>
    <n v="7"/>
  </r>
  <r>
    <x v="9"/>
    <x v="22"/>
    <s v="202511"/>
    <s v="2025"/>
    <s v="KCIC202511"/>
    <n v="22"/>
    <n v="396"/>
    <n v="641"/>
    <n v="7"/>
    <n v="1891"/>
    <n v="14970000"/>
    <n v="297187000"/>
    <n v="544437000"/>
    <n v="6160000"/>
    <n v="1492312000"/>
    <n v="22455"/>
    <n v="2971870"/>
    <n v="9803866"/>
    <n v="43120"/>
    <n v="10446184"/>
  </r>
  <r>
    <x v="10"/>
    <x v="23"/>
    <s v="202511"/>
    <s v="2025"/>
    <s v="KIMIA FARMA202511"/>
    <n v="0"/>
    <n v="0"/>
    <n v="0"/>
    <n v="0"/>
    <n v="1"/>
    <n v="0"/>
    <n v="0"/>
    <n v="0"/>
    <n v="0"/>
    <n v="1000"/>
    <n v="0"/>
    <n v="0"/>
    <n v="0"/>
    <n v="0"/>
    <n v="7"/>
  </r>
  <r>
    <x v="40"/>
    <x v="76"/>
    <s v="202511"/>
    <s v="2025"/>
    <s v="LOTTE GROUP202511"/>
    <n v="644"/>
    <n v="0"/>
    <n v="0"/>
    <n v="0"/>
    <n v="13"/>
    <n v="468782968"/>
    <n v="0"/>
    <n v="0"/>
    <n v="0"/>
    <n v="13"/>
    <n v="703173"/>
    <n v="0"/>
    <n v="0"/>
    <n v="0"/>
    <n v="0"/>
  </r>
  <r>
    <x v="40"/>
    <x v="77"/>
    <s v="202511"/>
    <s v="2025"/>
    <s v="LOTTE GROUP202511"/>
    <n v="340"/>
    <n v="0"/>
    <n v="0"/>
    <n v="0"/>
    <n v="0"/>
    <n v="87124300"/>
    <n v="0"/>
    <n v="0"/>
    <n v="0"/>
    <n v="0"/>
    <n v="130686"/>
    <n v="0"/>
    <n v="0"/>
    <n v="0"/>
    <n v="0"/>
  </r>
  <r>
    <x v="41"/>
    <x v="79"/>
    <s v="202511"/>
    <s v="2025"/>
    <s v="MAMA ROZ202511"/>
    <n v="0"/>
    <n v="13"/>
    <n v="8"/>
    <n v="0"/>
    <n v="220"/>
    <n v="0"/>
    <n v="865800"/>
    <n v="1471100"/>
    <n v="0"/>
    <n v="16433761"/>
    <n v="0"/>
    <n v="8658"/>
    <n v="22066"/>
    <n v="0"/>
    <n v="115041"/>
  </r>
  <r>
    <x v="25"/>
    <x v="90"/>
    <s v="202511"/>
    <s v="2025"/>
    <s v="MAP GROUP202511"/>
    <n v="2"/>
    <n v="10"/>
    <n v="34"/>
    <n v="0"/>
    <n v="0"/>
    <n v="2899400"/>
    <n v="12794000"/>
    <n v="53562400"/>
    <n v="0"/>
    <n v="0"/>
    <n v="4349"/>
    <n v="127940"/>
    <n v="696311"/>
    <n v="0"/>
    <n v="0"/>
  </r>
  <r>
    <x v="25"/>
    <x v="91"/>
    <s v="202511"/>
    <s v="2025"/>
    <s v="MAP GROUP202511"/>
    <n v="20"/>
    <n v="323"/>
    <n v="345"/>
    <n v="0"/>
    <n v="0"/>
    <n v="38157000"/>
    <n v="482795500"/>
    <n v="567698221"/>
    <n v="0"/>
    <n v="0"/>
    <n v="57236"/>
    <n v="4827955"/>
    <n v="7380077"/>
    <n v="0"/>
    <n v="0"/>
  </r>
  <r>
    <x v="25"/>
    <x v="92"/>
    <s v="202511"/>
    <s v="2025"/>
    <s v="MAP GROUP202511"/>
    <n v="7"/>
    <n v="110"/>
    <n v="211"/>
    <n v="0"/>
    <n v="0"/>
    <n v="9819120"/>
    <n v="146132180"/>
    <n v="297820814"/>
    <n v="0"/>
    <n v="0"/>
    <n v="14729"/>
    <n v="1461322"/>
    <n v="3871671"/>
    <n v="0"/>
    <n v="0"/>
  </r>
  <r>
    <x v="25"/>
    <x v="135"/>
    <s v="202511"/>
    <s v="2025"/>
    <s v="MAP GROUP202511"/>
    <n v="0"/>
    <n v="5"/>
    <n v="22"/>
    <n v="0"/>
    <n v="0"/>
    <n v="0"/>
    <n v="8790300"/>
    <n v="32441600"/>
    <n v="0"/>
    <n v="0"/>
    <n v="0"/>
    <n v="87903"/>
    <n v="421741"/>
    <n v="0"/>
    <n v="0"/>
  </r>
  <r>
    <x v="25"/>
    <x v="93"/>
    <s v="202511"/>
    <s v="2025"/>
    <s v="MAP GROUP202511"/>
    <n v="23"/>
    <n v="175"/>
    <n v="412"/>
    <n v="0"/>
    <n v="0"/>
    <n v="50712400"/>
    <n v="405223677"/>
    <n v="890324434"/>
    <n v="0"/>
    <n v="0"/>
    <n v="76069"/>
    <n v="4052237"/>
    <n v="11574218"/>
    <n v="0"/>
    <n v="0"/>
  </r>
  <r>
    <x v="25"/>
    <x v="94"/>
    <s v="202511"/>
    <s v="2025"/>
    <s v="MAP GROUP202511"/>
    <n v="0"/>
    <n v="7"/>
    <n v="8"/>
    <n v="0"/>
    <n v="0"/>
    <n v="0"/>
    <n v="3650600"/>
    <n v="4142800"/>
    <n v="0"/>
    <n v="0"/>
    <n v="0"/>
    <n v="36506"/>
    <n v="53856"/>
    <n v="0"/>
    <n v="0"/>
  </r>
  <r>
    <x v="25"/>
    <x v="95"/>
    <s v="202511"/>
    <s v="2025"/>
    <s v="MAP GROUP202511"/>
    <n v="0"/>
    <n v="17"/>
    <n v="18"/>
    <n v="0"/>
    <n v="0"/>
    <n v="0"/>
    <n v="37909400"/>
    <n v="39784200"/>
    <n v="0"/>
    <n v="0"/>
    <n v="0"/>
    <n v="379094"/>
    <n v="517195"/>
    <n v="0"/>
    <n v="0"/>
  </r>
  <r>
    <x v="25"/>
    <x v="96"/>
    <s v="202511"/>
    <s v="2025"/>
    <s v="MAP GROUP202511"/>
    <n v="0"/>
    <n v="22"/>
    <n v="56"/>
    <n v="0"/>
    <n v="0"/>
    <n v="0"/>
    <n v="26320666"/>
    <n v="34851469"/>
    <n v="0"/>
    <n v="0"/>
    <n v="0"/>
    <n v="263207"/>
    <n v="453069"/>
    <n v="0"/>
    <n v="0"/>
  </r>
  <r>
    <x v="25"/>
    <x v="97"/>
    <s v="202511"/>
    <s v="2025"/>
    <s v="MAP GROUP202511"/>
    <n v="0"/>
    <n v="8"/>
    <n v="5"/>
    <n v="0"/>
    <n v="0"/>
    <n v="0"/>
    <n v="2542123"/>
    <n v="3329275"/>
    <n v="0"/>
    <n v="0"/>
    <n v="0"/>
    <n v="25421"/>
    <n v="43281"/>
    <n v="0"/>
    <n v="0"/>
  </r>
  <r>
    <x v="25"/>
    <x v="98"/>
    <s v="202511"/>
    <s v="2025"/>
    <s v="MAP GROUP202511"/>
    <n v="9"/>
    <n v="141"/>
    <n v="407"/>
    <n v="0"/>
    <n v="0"/>
    <n v="12375430"/>
    <n v="299877534"/>
    <n v="854924256"/>
    <n v="0"/>
    <n v="0"/>
    <n v="18563"/>
    <n v="2998775"/>
    <n v="11114015"/>
    <n v="0"/>
    <n v="0"/>
  </r>
  <r>
    <x v="25"/>
    <x v="80"/>
    <s v="202511"/>
    <s v="2025"/>
    <s v="MAP GROUP202511"/>
    <n v="0"/>
    <n v="10"/>
    <n v="51"/>
    <n v="0"/>
    <n v="0"/>
    <n v="0"/>
    <n v="21619250"/>
    <n v="102057260"/>
    <n v="0"/>
    <n v="0"/>
    <n v="0"/>
    <n v="216192"/>
    <n v="1326744"/>
    <n v="0"/>
    <n v="0"/>
  </r>
  <r>
    <x v="25"/>
    <x v="99"/>
    <s v="202511"/>
    <s v="2025"/>
    <s v="MAP GROUP202511"/>
    <n v="3"/>
    <n v="52"/>
    <n v="98"/>
    <n v="0"/>
    <n v="0"/>
    <n v="5600420"/>
    <n v="79020747"/>
    <n v="171242472"/>
    <n v="0"/>
    <n v="0"/>
    <n v="8401"/>
    <n v="790207"/>
    <n v="2226152"/>
    <n v="0"/>
    <n v="0"/>
  </r>
  <r>
    <x v="25"/>
    <x v="57"/>
    <s v="202511"/>
    <s v="2025"/>
    <s v="MAP GROUP202511"/>
    <n v="28"/>
    <n v="347"/>
    <n v="300"/>
    <n v="0"/>
    <n v="0"/>
    <n v="34327420"/>
    <n v="334177060"/>
    <n v="260209505"/>
    <n v="0"/>
    <n v="0"/>
    <n v="51491"/>
    <n v="3341771"/>
    <n v="3382724"/>
    <n v="0"/>
    <n v="0"/>
  </r>
  <r>
    <x v="25"/>
    <x v="100"/>
    <s v="202511"/>
    <s v="2025"/>
    <s v="MAP GROUP202511"/>
    <n v="59"/>
    <n v="988"/>
    <n v="1027"/>
    <n v="0"/>
    <n v="0"/>
    <n v="74361420"/>
    <n v="1387142842"/>
    <n v="1318458722"/>
    <n v="0"/>
    <n v="0"/>
    <n v="111542"/>
    <n v="13871428"/>
    <n v="17139963"/>
    <n v="0"/>
    <n v="0"/>
  </r>
  <r>
    <x v="25"/>
    <x v="136"/>
    <s v="202511"/>
    <s v="2025"/>
    <s v="MAP GROUP202511"/>
    <n v="1"/>
    <n v="25"/>
    <n v="29"/>
    <n v="0"/>
    <n v="0"/>
    <n v="18564000"/>
    <n v="304122000"/>
    <n v="428592000"/>
    <n v="0"/>
    <n v="0"/>
    <n v="27846"/>
    <n v="3041220"/>
    <n v="5571696"/>
    <n v="0"/>
    <n v="0"/>
  </r>
  <r>
    <x v="25"/>
    <x v="137"/>
    <s v="202511"/>
    <s v="2025"/>
    <s v="MAP GROUP202511"/>
    <n v="0"/>
    <n v="3"/>
    <n v="4"/>
    <n v="0"/>
    <n v="0"/>
    <n v="0"/>
    <n v="5946000"/>
    <n v="20545000"/>
    <n v="0"/>
    <n v="0"/>
    <n v="0"/>
    <n v="59460"/>
    <n v="267085"/>
    <n v="0"/>
    <n v="0"/>
  </r>
  <r>
    <x v="25"/>
    <x v="101"/>
    <s v="202511"/>
    <s v="2025"/>
    <s v="MAP GROUP202511"/>
    <n v="3"/>
    <n v="51"/>
    <n v="64"/>
    <n v="0"/>
    <n v="0"/>
    <n v="11379800"/>
    <n v="143549424"/>
    <n v="162375628"/>
    <n v="0"/>
    <n v="0"/>
    <n v="17070"/>
    <n v="1435494"/>
    <n v="2110883"/>
    <n v="0"/>
    <n v="0"/>
  </r>
  <r>
    <x v="25"/>
    <x v="102"/>
    <s v="202511"/>
    <s v="2025"/>
    <s v="MAP GROUP202511"/>
    <n v="5"/>
    <n v="53"/>
    <n v="150"/>
    <n v="0"/>
    <n v="0"/>
    <n v="8032500"/>
    <n v="89462581"/>
    <n v="208908529"/>
    <n v="0"/>
    <n v="0"/>
    <n v="12049"/>
    <n v="894626"/>
    <n v="2715811"/>
    <n v="0"/>
    <n v="0"/>
  </r>
  <r>
    <x v="25"/>
    <x v="138"/>
    <s v="202511"/>
    <s v="2025"/>
    <s v="MAP GROUP202511"/>
    <n v="1"/>
    <n v="86"/>
    <n v="316"/>
    <n v="0"/>
    <n v="0"/>
    <n v="330000"/>
    <n v="16258000"/>
    <n v="78825395"/>
    <n v="0"/>
    <n v="0"/>
    <n v="495"/>
    <n v="162580"/>
    <n v="1115667"/>
    <n v="0"/>
    <n v="0"/>
  </r>
  <r>
    <x v="25"/>
    <x v="81"/>
    <s v="202511"/>
    <s v="2025"/>
    <s v="MAP GROUP202511"/>
    <n v="0"/>
    <n v="6"/>
    <n v="3"/>
    <n v="0"/>
    <n v="0"/>
    <n v="0"/>
    <n v="164300"/>
    <n v="412199"/>
    <n v="0"/>
    <n v="0"/>
    <n v="0"/>
    <n v="1643"/>
    <n v="5359"/>
    <n v="0"/>
    <n v="0"/>
  </r>
  <r>
    <x v="25"/>
    <x v="103"/>
    <s v="202511"/>
    <s v="2025"/>
    <s v="MAP GROUP202511"/>
    <n v="75"/>
    <n v="1088"/>
    <n v="1260"/>
    <n v="0"/>
    <n v="0"/>
    <n v="136480040"/>
    <n v="1938534665"/>
    <n v="2265798282"/>
    <n v="0"/>
    <n v="0"/>
    <n v="204720"/>
    <n v="19385347"/>
    <n v="29455378"/>
    <n v="0"/>
    <n v="0"/>
  </r>
  <r>
    <x v="25"/>
    <x v="104"/>
    <s v="202511"/>
    <s v="2025"/>
    <s v="MAP GROUP202511"/>
    <n v="0"/>
    <n v="4"/>
    <n v="12"/>
    <n v="0"/>
    <n v="0"/>
    <n v="0"/>
    <n v="1257000"/>
    <n v="3149653"/>
    <n v="0"/>
    <n v="0"/>
    <n v="0"/>
    <n v="12570"/>
    <n v="40945"/>
    <n v="0"/>
    <n v="0"/>
  </r>
  <r>
    <x v="25"/>
    <x v="105"/>
    <s v="202511"/>
    <s v="2025"/>
    <s v="MAP GROUP202511"/>
    <n v="3"/>
    <n v="61"/>
    <n v="171"/>
    <n v="0"/>
    <n v="0"/>
    <n v="6786000"/>
    <n v="146198801"/>
    <n v="292480743"/>
    <n v="0"/>
    <n v="0"/>
    <n v="10179"/>
    <n v="1461988"/>
    <n v="3802250"/>
    <n v="0"/>
    <n v="0"/>
  </r>
  <r>
    <x v="25"/>
    <x v="106"/>
    <s v="202511"/>
    <s v="2025"/>
    <s v="MAP GROUP202511"/>
    <n v="0"/>
    <n v="2"/>
    <n v="3"/>
    <n v="0"/>
    <n v="0"/>
    <n v="0"/>
    <n v="3003050"/>
    <n v="3792300"/>
    <n v="0"/>
    <n v="0"/>
    <n v="0"/>
    <n v="30030"/>
    <n v="49300"/>
    <n v="0"/>
    <n v="0"/>
  </r>
  <r>
    <x v="25"/>
    <x v="107"/>
    <s v="202511"/>
    <s v="2025"/>
    <s v="MAP GROUP202511"/>
    <n v="4"/>
    <n v="107"/>
    <n v="237"/>
    <n v="0"/>
    <n v="0"/>
    <n v="9909000"/>
    <n v="357577010"/>
    <n v="633250610"/>
    <n v="0"/>
    <n v="0"/>
    <n v="14864"/>
    <n v="3575770"/>
    <n v="8232258"/>
    <n v="0"/>
    <n v="0"/>
  </r>
  <r>
    <x v="25"/>
    <x v="108"/>
    <s v="202511"/>
    <s v="2025"/>
    <s v="MAP GROUP202511"/>
    <n v="0"/>
    <n v="2"/>
    <n v="5"/>
    <n v="0"/>
    <n v="0"/>
    <n v="0"/>
    <n v="2893000"/>
    <n v="7775750"/>
    <n v="0"/>
    <n v="0"/>
    <n v="0"/>
    <n v="28930"/>
    <n v="101085"/>
    <n v="0"/>
    <n v="0"/>
  </r>
  <r>
    <x v="25"/>
    <x v="109"/>
    <s v="202511"/>
    <s v="2025"/>
    <s v="MAP GROUP202511"/>
    <n v="108"/>
    <n v="1837"/>
    <n v="3852"/>
    <n v="0"/>
    <n v="0"/>
    <n v="49903834"/>
    <n v="1250386171"/>
    <n v="2413917656"/>
    <n v="0"/>
    <n v="0"/>
    <n v="74856"/>
    <n v="12503862"/>
    <n v="31380928"/>
    <n v="0"/>
    <n v="0"/>
  </r>
  <r>
    <x v="25"/>
    <x v="82"/>
    <s v="202511"/>
    <s v="2025"/>
    <s v="MAP GROUP202511"/>
    <n v="2"/>
    <n v="18"/>
    <n v="53"/>
    <n v="0"/>
    <n v="0"/>
    <n v="5912800"/>
    <n v="50296200"/>
    <n v="180589194"/>
    <n v="0"/>
    <n v="0"/>
    <n v="8869"/>
    <n v="502962"/>
    <n v="2347660"/>
    <n v="0"/>
    <n v="0"/>
  </r>
  <r>
    <x v="25"/>
    <x v="83"/>
    <s v="202511"/>
    <s v="2025"/>
    <s v="MAP GROUP202511"/>
    <n v="11"/>
    <n v="234"/>
    <n v="818"/>
    <n v="0"/>
    <n v="0"/>
    <n v="9649750"/>
    <n v="228694945"/>
    <n v="943952862"/>
    <n v="0"/>
    <n v="0"/>
    <n v="14475"/>
    <n v="2286949"/>
    <n v="12271387"/>
    <n v="0"/>
    <n v="0"/>
  </r>
  <r>
    <x v="25"/>
    <x v="110"/>
    <s v="202511"/>
    <s v="2025"/>
    <s v="MAP GROUP202511"/>
    <n v="3"/>
    <n v="16"/>
    <n v="50"/>
    <n v="0"/>
    <n v="0"/>
    <n v="2054600"/>
    <n v="17184060"/>
    <n v="60448302"/>
    <n v="0"/>
    <n v="0"/>
    <n v="3082"/>
    <n v="171841"/>
    <n v="785828"/>
    <n v="0"/>
    <n v="0"/>
  </r>
  <r>
    <x v="25"/>
    <x v="111"/>
    <s v="202511"/>
    <s v="2025"/>
    <s v="MAP GROUP202511"/>
    <n v="1"/>
    <n v="11"/>
    <n v="10"/>
    <n v="0"/>
    <n v="0"/>
    <n v="149700"/>
    <n v="4474090"/>
    <n v="9072573"/>
    <n v="0"/>
    <n v="0"/>
    <n v="225"/>
    <n v="44741"/>
    <n v="117943"/>
    <n v="0"/>
    <n v="0"/>
  </r>
  <r>
    <x v="25"/>
    <x v="84"/>
    <s v="202511"/>
    <s v="2025"/>
    <s v="MAP GROUP202511"/>
    <n v="1"/>
    <n v="0"/>
    <n v="0"/>
    <n v="0"/>
    <n v="0"/>
    <n v="12500"/>
    <n v="0"/>
    <n v="0"/>
    <n v="0"/>
    <n v="0"/>
    <n v="19"/>
    <n v="0"/>
    <n v="0"/>
    <n v="0"/>
    <n v="0"/>
  </r>
  <r>
    <x v="25"/>
    <x v="112"/>
    <s v="202511"/>
    <s v="2025"/>
    <s v="MAP GROUP202511"/>
    <n v="45"/>
    <n v="528"/>
    <n v="669"/>
    <n v="0"/>
    <n v="0"/>
    <n v="61507260"/>
    <n v="870460840"/>
    <n v="967122625"/>
    <n v="0"/>
    <n v="0"/>
    <n v="92261"/>
    <n v="8704608"/>
    <n v="12572594"/>
    <n v="0"/>
    <n v="0"/>
  </r>
  <r>
    <x v="25"/>
    <x v="113"/>
    <s v="202511"/>
    <s v="2025"/>
    <s v="MAP GROUP202511"/>
    <n v="18"/>
    <n v="326"/>
    <n v="505"/>
    <n v="0"/>
    <n v="0"/>
    <n v="18490460"/>
    <n v="414359490"/>
    <n v="539001269"/>
    <n v="0"/>
    <n v="0"/>
    <n v="27736"/>
    <n v="4143595"/>
    <n v="7007016"/>
    <n v="0"/>
    <n v="0"/>
  </r>
  <r>
    <x v="25"/>
    <x v="114"/>
    <s v="202511"/>
    <s v="2025"/>
    <s v="MAP GROUP202511"/>
    <n v="0"/>
    <n v="0"/>
    <n v="2"/>
    <n v="0"/>
    <n v="0"/>
    <n v="0"/>
    <n v="0"/>
    <n v="744421"/>
    <n v="0"/>
    <n v="0"/>
    <n v="0"/>
    <n v="0"/>
    <n v="9677"/>
    <n v="0"/>
    <n v="0"/>
  </r>
  <r>
    <x v="25"/>
    <x v="115"/>
    <s v="202511"/>
    <s v="2025"/>
    <s v="MAP GROUP202511"/>
    <n v="20"/>
    <n v="147"/>
    <n v="259"/>
    <n v="0"/>
    <n v="0"/>
    <n v="60092000"/>
    <n v="469607893"/>
    <n v="760036000"/>
    <n v="0"/>
    <n v="0"/>
    <n v="90138"/>
    <n v="4696079"/>
    <n v="9880468"/>
    <n v="0"/>
    <n v="0"/>
  </r>
  <r>
    <x v="25"/>
    <x v="116"/>
    <s v="202511"/>
    <s v="2025"/>
    <s v="MAP GROUP202511"/>
    <n v="115"/>
    <n v="1306"/>
    <n v="795"/>
    <n v="0"/>
    <n v="0"/>
    <n v="43975441"/>
    <n v="536916280"/>
    <n v="335929820"/>
    <n v="0"/>
    <n v="0"/>
    <n v="65963"/>
    <n v="5369163"/>
    <n v="4367088"/>
    <n v="0"/>
    <n v="0"/>
  </r>
  <r>
    <x v="25"/>
    <x v="117"/>
    <s v="202511"/>
    <s v="2025"/>
    <s v="MAP GROUP202511"/>
    <n v="0"/>
    <n v="9"/>
    <n v="15"/>
    <n v="0"/>
    <n v="0"/>
    <n v="0"/>
    <n v="10784497"/>
    <n v="24058566"/>
    <n v="0"/>
    <n v="0"/>
    <n v="0"/>
    <n v="107845"/>
    <n v="312761"/>
    <n v="0"/>
    <n v="0"/>
  </r>
  <r>
    <x v="25"/>
    <x v="118"/>
    <s v="202511"/>
    <s v="2025"/>
    <s v="MAP GROUP202511"/>
    <n v="2"/>
    <n v="22"/>
    <n v="58"/>
    <n v="0"/>
    <n v="0"/>
    <n v="1686800"/>
    <n v="14217285"/>
    <n v="32334361"/>
    <n v="0"/>
    <n v="0"/>
    <n v="2530"/>
    <n v="142173"/>
    <n v="420347"/>
    <n v="0"/>
    <n v="0"/>
  </r>
  <r>
    <x v="25"/>
    <x v="85"/>
    <s v="202511"/>
    <s v="2025"/>
    <s v="MAP GROUP202511"/>
    <n v="57"/>
    <n v="872"/>
    <n v="1942"/>
    <n v="0"/>
    <n v="0"/>
    <n v="84608540"/>
    <n v="1236271780"/>
    <n v="2518752036"/>
    <n v="0"/>
    <n v="0"/>
    <n v="126913"/>
    <n v="12362718"/>
    <n v="32743776"/>
    <n v="0"/>
    <n v="0"/>
  </r>
  <r>
    <x v="25"/>
    <x v="119"/>
    <s v="202511"/>
    <s v="2025"/>
    <s v="MAP GROUP202511"/>
    <n v="0"/>
    <n v="67"/>
    <n v="215"/>
    <n v="0"/>
    <n v="0"/>
    <n v="0"/>
    <n v="122480740"/>
    <n v="293508220"/>
    <n v="0"/>
    <n v="0"/>
    <n v="0"/>
    <n v="1224807"/>
    <n v="3815607"/>
    <n v="0"/>
    <n v="0"/>
  </r>
  <r>
    <x v="25"/>
    <x v="120"/>
    <s v="202511"/>
    <s v="2025"/>
    <s v="MAP GROUP202511"/>
    <n v="16"/>
    <n v="184"/>
    <n v="247"/>
    <n v="0"/>
    <n v="0"/>
    <n v="18658800"/>
    <n v="257503120"/>
    <n v="320606240"/>
    <n v="0"/>
    <n v="0"/>
    <n v="27988"/>
    <n v="2575031"/>
    <n v="4167881"/>
    <n v="0"/>
    <n v="0"/>
  </r>
  <r>
    <x v="25"/>
    <x v="121"/>
    <s v="202511"/>
    <s v="2025"/>
    <s v="MAP GROUP202511"/>
    <n v="5"/>
    <n v="59"/>
    <n v="91"/>
    <n v="0"/>
    <n v="0"/>
    <n v="2697260"/>
    <n v="61459320"/>
    <n v="60907837"/>
    <n v="0"/>
    <n v="0"/>
    <n v="4046"/>
    <n v="614593"/>
    <n v="791802"/>
    <n v="0"/>
    <n v="0"/>
  </r>
  <r>
    <x v="25"/>
    <x v="122"/>
    <s v="202511"/>
    <s v="2025"/>
    <s v="MAP GROUP202511"/>
    <n v="1"/>
    <n v="5"/>
    <n v="16"/>
    <n v="0"/>
    <n v="0"/>
    <n v="239200"/>
    <n v="4644400"/>
    <n v="16074200"/>
    <n v="0"/>
    <n v="0"/>
    <n v="359"/>
    <n v="46444"/>
    <n v="208965"/>
    <n v="0"/>
    <n v="0"/>
  </r>
  <r>
    <x v="25"/>
    <x v="123"/>
    <s v="202511"/>
    <s v="2025"/>
    <s v="MAP GROUP202511"/>
    <n v="0"/>
    <n v="7"/>
    <n v="26"/>
    <n v="0"/>
    <n v="0"/>
    <n v="0"/>
    <n v="5948300"/>
    <n v="64313350"/>
    <n v="0"/>
    <n v="0"/>
    <n v="0"/>
    <n v="59483"/>
    <n v="836074"/>
    <n v="0"/>
    <n v="0"/>
  </r>
  <r>
    <x v="25"/>
    <x v="124"/>
    <s v="202511"/>
    <s v="2025"/>
    <s v="MAP GROUP202511"/>
    <n v="2"/>
    <n v="26"/>
    <n v="57"/>
    <n v="0"/>
    <n v="0"/>
    <n v="5317250"/>
    <n v="14706600"/>
    <n v="42483170"/>
    <n v="0"/>
    <n v="0"/>
    <n v="7976"/>
    <n v="147066"/>
    <n v="552281"/>
    <n v="0"/>
    <n v="0"/>
  </r>
  <r>
    <x v="25"/>
    <x v="125"/>
    <s v="202511"/>
    <s v="2025"/>
    <s v="MAP GROUP202511"/>
    <n v="1"/>
    <n v="1"/>
    <n v="0"/>
    <n v="0"/>
    <n v="0"/>
    <n v="137700"/>
    <n v="41700"/>
    <n v="0"/>
    <n v="0"/>
    <n v="0"/>
    <n v="207"/>
    <n v="417"/>
    <n v="0"/>
    <n v="0"/>
    <n v="0"/>
  </r>
  <r>
    <x v="25"/>
    <x v="126"/>
    <s v="202511"/>
    <s v="2025"/>
    <s v="MAP GROUP202511"/>
    <n v="0"/>
    <n v="4"/>
    <n v="7"/>
    <n v="0"/>
    <n v="0"/>
    <n v="0"/>
    <n v="17017000"/>
    <n v="25512000"/>
    <n v="0"/>
    <n v="0"/>
    <n v="0"/>
    <n v="170170"/>
    <n v="331656"/>
    <n v="0"/>
    <n v="0"/>
  </r>
  <r>
    <x v="25"/>
    <x v="139"/>
    <s v="202511"/>
    <s v="2025"/>
    <s v="MAP GROUP202511"/>
    <n v="66"/>
    <n v="17"/>
    <n v="39"/>
    <n v="0"/>
    <n v="0"/>
    <n v="82609120"/>
    <n v="24150550"/>
    <n v="55965285"/>
    <n v="0"/>
    <n v="0"/>
    <n v="123914"/>
    <n v="241506"/>
    <n v="727549"/>
    <n v="0"/>
    <n v="0"/>
  </r>
  <r>
    <x v="25"/>
    <x v="86"/>
    <s v="202511"/>
    <s v="2025"/>
    <s v="MAP GROUP202511"/>
    <n v="197"/>
    <n v="2326"/>
    <n v="2864"/>
    <n v="0"/>
    <n v="0"/>
    <n v="258332590"/>
    <n v="2999461544"/>
    <n v="3520635144"/>
    <n v="0"/>
    <n v="0"/>
    <n v="387499"/>
    <n v="29994615"/>
    <n v="45768257"/>
    <n v="0"/>
    <n v="0"/>
  </r>
  <r>
    <x v="25"/>
    <x v="127"/>
    <s v="202511"/>
    <s v="2025"/>
    <s v="MAP GROUP202511"/>
    <n v="8"/>
    <n v="125"/>
    <n v="228"/>
    <n v="0"/>
    <n v="0"/>
    <n v="9713660"/>
    <n v="153809296"/>
    <n v="204517560"/>
    <n v="0"/>
    <n v="0"/>
    <n v="14570"/>
    <n v="1538093"/>
    <n v="2658728"/>
    <n v="0"/>
    <n v="0"/>
  </r>
  <r>
    <x v="25"/>
    <x v="128"/>
    <s v="202511"/>
    <s v="2025"/>
    <s v="MAP GROUP202511"/>
    <n v="0"/>
    <n v="10"/>
    <n v="20"/>
    <n v="0"/>
    <n v="0"/>
    <n v="0"/>
    <n v="8672900"/>
    <n v="18619200"/>
    <n v="0"/>
    <n v="0"/>
    <n v="0"/>
    <n v="86729"/>
    <n v="242050"/>
    <n v="0"/>
    <n v="0"/>
  </r>
  <r>
    <x v="25"/>
    <x v="87"/>
    <s v="202511"/>
    <s v="2025"/>
    <s v="MAP GROUP202511"/>
    <n v="736"/>
    <n v="8999"/>
    <n v="8039"/>
    <n v="0"/>
    <n v="0"/>
    <n v="478549874"/>
    <n v="5996373905"/>
    <n v="5305944767"/>
    <n v="0"/>
    <n v="0"/>
    <n v="717825"/>
    <n v="59963739"/>
    <n v="68977282"/>
    <n v="0"/>
    <n v="0"/>
  </r>
  <r>
    <x v="25"/>
    <x v="129"/>
    <s v="202511"/>
    <s v="2025"/>
    <s v="MAP GROUP202511"/>
    <n v="13"/>
    <n v="134"/>
    <n v="273"/>
    <n v="0"/>
    <n v="0"/>
    <n v="27182070"/>
    <n v="246358321"/>
    <n v="529935792"/>
    <n v="0"/>
    <n v="0"/>
    <n v="40773"/>
    <n v="2463583"/>
    <n v="6889165"/>
    <n v="0"/>
    <n v="0"/>
  </r>
  <r>
    <x v="25"/>
    <x v="88"/>
    <s v="202511"/>
    <s v="2025"/>
    <s v="MAP GROUP202511"/>
    <n v="64"/>
    <n v="252"/>
    <n v="1302"/>
    <n v="0"/>
    <n v="0"/>
    <n v="7482500"/>
    <n v="31654750"/>
    <n v="159074646"/>
    <n v="0"/>
    <n v="0"/>
    <n v="11224"/>
    <n v="316548"/>
    <n v="2067970"/>
    <n v="0"/>
    <n v="0"/>
  </r>
  <r>
    <x v="25"/>
    <x v="130"/>
    <s v="202511"/>
    <s v="2025"/>
    <s v="MAP GROUP202511"/>
    <n v="13"/>
    <n v="119"/>
    <n v="186"/>
    <n v="0"/>
    <n v="0"/>
    <n v="19535950"/>
    <n v="171110120"/>
    <n v="255340951"/>
    <n v="0"/>
    <n v="0"/>
    <n v="29304"/>
    <n v="1711101"/>
    <n v="3319432"/>
    <n v="0"/>
    <n v="0"/>
  </r>
  <r>
    <x v="25"/>
    <x v="142"/>
    <s v="202511"/>
    <s v="2025"/>
    <s v="MAP GROUP202511"/>
    <n v="1"/>
    <n v="10"/>
    <n v="11"/>
    <n v="0"/>
    <n v="0"/>
    <n v="66000"/>
    <n v="956000"/>
    <n v="1149000"/>
    <n v="0"/>
    <n v="0"/>
    <n v="99"/>
    <n v="9560"/>
    <n v="15232"/>
    <n v="0"/>
    <n v="0"/>
  </r>
  <r>
    <x v="25"/>
    <x v="143"/>
    <s v="202511"/>
    <s v="2025"/>
    <s v="MAP GROUP202511"/>
    <n v="0"/>
    <n v="2"/>
    <n v="6"/>
    <n v="0"/>
    <n v="0"/>
    <n v="0"/>
    <n v="3028670"/>
    <n v="11437820"/>
    <n v="0"/>
    <n v="0"/>
    <n v="0"/>
    <n v="30287"/>
    <n v="148692"/>
    <n v="0"/>
    <n v="0"/>
  </r>
  <r>
    <x v="25"/>
    <x v="131"/>
    <s v="202511"/>
    <s v="2025"/>
    <s v="MAP GROUP202511"/>
    <n v="0"/>
    <n v="11"/>
    <n v="39"/>
    <n v="0"/>
    <n v="0"/>
    <n v="0"/>
    <n v="16121400"/>
    <n v="48259200"/>
    <n v="0"/>
    <n v="0"/>
    <n v="0"/>
    <n v="161214"/>
    <n v="627370"/>
    <n v="0"/>
    <n v="0"/>
  </r>
  <r>
    <x v="11"/>
    <x v="24"/>
    <s v="202511"/>
    <s v="2025"/>
    <s v="MITRA10202511"/>
    <n v="405"/>
    <n v="2"/>
    <n v="0"/>
    <n v="0"/>
    <n v="0"/>
    <n v="1030258109"/>
    <n v="5225523"/>
    <n v="0"/>
    <n v="0"/>
    <n v="0"/>
    <n v="1545386"/>
    <n v="52255"/>
    <n v="0"/>
    <n v="0"/>
    <n v="0"/>
  </r>
  <r>
    <x v="12"/>
    <x v="25"/>
    <s v="202511"/>
    <s v="2025"/>
    <s v="OPTIK MELAWAI202511"/>
    <n v="73"/>
    <n v="0"/>
    <n v="0"/>
    <n v="0"/>
    <n v="0"/>
    <n v="124723500"/>
    <n v="0"/>
    <n v="0"/>
    <n v="0"/>
    <n v="0"/>
    <n v="187085"/>
    <n v="0"/>
    <n v="0"/>
    <n v="0"/>
    <n v="0"/>
  </r>
  <r>
    <x v="13"/>
    <x v="144"/>
    <s v="202511"/>
    <s v="2025"/>
    <s v="PATRA JASA202511"/>
    <n v="0"/>
    <n v="0"/>
    <n v="2"/>
    <n v="0"/>
    <n v="0"/>
    <n v="0"/>
    <n v="0"/>
    <n v="508330"/>
    <n v="0"/>
    <n v="0"/>
    <n v="0"/>
    <n v="0"/>
    <n v="9150"/>
    <n v="0"/>
    <n v="0"/>
  </r>
  <r>
    <x v="13"/>
    <x v="66"/>
    <s v="202511"/>
    <s v="2025"/>
    <s v="PATRA JASA202511"/>
    <n v="0"/>
    <n v="1"/>
    <n v="2"/>
    <n v="0"/>
    <n v="0"/>
    <n v="0"/>
    <n v="15000"/>
    <n v="6100000"/>
    <n v="0"/>
    <n v="0"/>
    <n v="0"/>
    <n v="150"/>
    <n v="109800"/>
    <n v="0"/>
    <n v="0"/>
  </r>
  <r>
    <x v="13"/>
    <x v="145"/>
    <s v="202511"/>
    <s v="2025"/>
    <s v="PATRA JASA202511"/>
    <n v="0"/>
    <n v="0"/>
    <n v="0"/>
    <n v="1"/>
    <n v="3"/>
    <n v="0"/>
    <n v="0"/>
    <n v="0"/>
    <n v="34000"/>
    <n v="334000"/>
    <n v="0"/>
    <n v="0"/>
    <n v="0"/>
    <n v="238"/>
    <n v="2338"/>
  </r>
  <r>
    <x v="14"/>
    <x v="27"/>
    <s v="202511"/>
    <s v="2025"/>
    <s v="PERTAMINA RETAIL202511"/>
    <n v="6"/>
    <n v="110"/>
    <n v="21"/>
    <n v="0"/>
    <n v="1034"/>
    <n v="1546900"/>
    <n v="11928550"/>
    <n v="2529700"/>
    <n v="0"/>
    <n v="40518378"/>
    <n v="2320"/>
    <n v="119286"/>
    <n v="45535"/>
    <n v="0"/>
    <n v="283621"/>
  </r>
  <r>
    <x v="15"/>
    <x v="29"/>
    <s v="202511"/>
    <s v="2025"/>
    <s v="PIZZA HUT202511"/>
    <n v="28"/>
    <n v="6"/>
    <n v="0"/>
    <n v="3"/>
    <n v="439"/>
    <n v="5984502"/>
    <n v="181000"/>
    <n v="0"/>
    <n v="71000"/>
    <n v="7651000"/>
    <n v="8977"/>
    <n v="1810"/>
    <n v="0"/>
    <n v="0"/>
    <n v="0"/>
  </r>
  <r>
    <x v="15"/>
    <x v="30"/>
    <s v="202511"/>
    <s v="2025"/>
    <s v="PIZZA HUT202511"/>
    <n v="146"/>
    <n v="21"/>
    <n v="2"/>
    <n v="20"/>
    <n v="269"/>
    <n v="46624418"/>
    <n v="1780000"/>
    <n v="100000"/>
    <n v="1240000"/>
    <n v="16971000"/>
    <n v="69936"/>
    <n v="17800"/>
    <n v="1800"/>
    <n v="0"/>
    <n v="0"/>
  </r>
  <r>
    <x v="16"/>
    <x v="31"/>
    <s v="202511"/>
    <s v="2025"/>
    <s v="PLATINUM CINEPLEX202511"/>
    <n v="1"/>
    <n v="25"/>
    <n v="5"/>
    <n v="2"/>
    <n v="654"/>
    <n v="45000"/>
    <n v="3758000"/>
    <n v="3488000"/>
    <n v="253000"/>
    <n v="68163000"/>
    <n v="68"/>
    <n v="37580"/>
    <n v="62960"/>
    <n v="1771"/>
    <n v="477141"/>
  </r>
  <r>
    <x v="34"/>
    <x v="67"/>
    <s v="202511"/>
    <s v="2025"/>
    <s v="POPEYES202511"/>
    <n v="0"/>
    <n v="13"/>
    <n v="3"/>
    <n v="0"/>
    <n v="14"/>
    <n v="0"/>
    <n v="775005"/>
    <n v="155000"/>
    <n v="0"/>
    <n v="927894"/>
    <n v="0"/>
    <n v="7750"/>
    <n v="2790"/>
    <n v="0"/>
    <n v="6495"/>
  </r>
  <r>
    <x v="17"/>
    <x v="32"/>
    <s v="202511"/>
    <s v="2025"/>
    <s v="SARINAH202511"/>
    <n v="2"/>
    <n v="89"/>
    <n v="184"/>
    <n v="0"/>
    <n v="0"/>
    <n v="1792300"/>
    <n v="107555493"/>
    <n v="251095696"/>
    <n v="0"/>
    <n v="0"/>
    <n v="2688"/>
    <n v="1075555"/>
    <n v="4519723"/>
    <n v="0"/>
    <n v="0"/>
  </r>
  <r>
    <x v="18"/>
    <x v="33"/>
    <s v="202511"/>
    <s v="2025"/>
    <s v="SHIHLIN202511"/>
    <n v="36"/>
    <n v="6"/>
    <n v="2"/>
    <n v="89"/>
    <n v="2535"/>
    <n v="2291000"/>
    <n v="311000"/>
    <n v="151000"/>
    <n v="5244000"/>
    <n v="211050001"/>
    <n v="3436"/>
    <n v="3110"/>
    <n v="3020"/>
    <n v="4263"/>
    <n v="454524"/>
  </r>
  <r>
    <x v="19"/>
    <x v="34"/>
    <s v="202511"/>
    <s v="2025"/>
    <s v="SOLARIA202511"/>
    <n v="1114"/>
    <n v="3"/>
    <n v="0"/>
    <n v="21"/>
    <n v="1272"/>
    <n v="187639700"/>
    <n v="488000"/>
    <n v="0"/>
    <n v="3469000"/>
    <n v="185086000"/>
    <n v="281460"/>
    <n v="4880"/>
    <n v="0"/>
    <n v="24283"/>
    <n v="1295595"/>
  </r>
  <r>
    <x v="20"/>
    <x v="35"/>
    <s v="202511"/>
    <s v="2025"/>
    <s v="SOUR SALLY202511"/>
    <n v="0"/>
    <n v="1"/>
    <n v="0"/>
    <n v="34"/>
    <n v="568"/>
    <n v="0"/>
    <n v="64640"/>
    <n v="0"/>
    <n v="2893000"/>
    <n v="43009201"/>
    <n v="0"/>
    <n v="646"/>
    <n v="0"/>
    <n v="20251"/>
    <n v="301065"/>
  </r>
  <r>
    <x v="21"/>
    <x v="43"/>
    <s v="202511"/>
    <s v="2025"/>
    <s v="STEVEN GROUP202511"/>
    <n v="12"/>
    <n v="25"/>
    <n v="7"/>
    <n v="0"/>
    <n v="402"/>
    <n v="2919508"/>
    <n v="1843273"/>
    <n v="874990"/>
    <n v="0"/>
    <n v="42354619"/>
    <n v="4379"/>
    <n v="18433"/>
    <n v="17390"/>
    <n v="0"/>
    <n v="296477"/>
  </r>
  <r>
    <x v="21"/>
    <x v="51"/>
    <s v="202511"/>
    <s v="2025"/>
    <s v="STEVEN GROUP202511"/>
    <n v="0"/>
    <n v="0"/>
    <n v="0"/>
    <n v="14"/>
    <n v="439"/>
    <n v="0"/>
    <n v="0"/>
    <n v="0"/>
    <n v="510000"/>
    <n v="14673000"/>
    <n v="0"/>
    <n v="0"/>
    <n v="0"/>
    <n v="0"/>
    <n v="3150"/>
  </r>
  <r>
    <x v="21"/>
    <x v="68"/>
    <s v="202511"/>
    <s v="2025"/>
    <s v="STEVEN GROUP202511"/>
    <n v="0"/>
    <n v="0"/>
    <n v="0"/>
    <n v="0"/>
    <n v="1"/>
    <n v="0"/>
    <n v="0"/>
    <n v="0"/>
    <n v="0"/>
    <n v="1"/>
    <n v="0"/>
    <n v="0"/>
    <n v="0"/>
    <n v="0"/>
    <n v="0"/>
  </r>
  <r>
    <x v="21"/>
    <x v="36"/>
    <s v="202511"/>
    <s v="2025"/>
    <s v="STEVEN GROUP202511"/>
    <n v="0"/>
    <n v="0"/>
    <n v="0"/>
    <n v="0"/>
    <n v="1"/>
    <n v="0"/>
    <n v="0"/>
    <n v="0"/>
    <n v="0"/>
    <n v="1"/>
    <n v="0"/>
    <n v="0"/>
    <n v="0"/>
    <n v="0"/>
    <n v="0"/>
  </r>
  <r>
    <x v="33"/>
    <x v="65"/>
    <s v="202511"/>
    <s v="2025"/>
    <s v="SURYA BUMI RETAILINDO202511"/>
    <n v="1"/>
    <n v="0"/>
    <n v="0"/>
    <n v="0"/>
    <n v="0"/>
    <n v="906000"/>
    <n v="0"/>
    <n v="0"/>
    <n v="0"/>
    <n v="0"/>
    <n v="1359"/>
    <n v="0"/>
    <n v="0"/>
    <n v="0"/>
    <n v="0"/>
  </r>
  <r>
    <x v="37"/>
    <x v="73"/>
    <s v="202511"/>
    <s v="2025"/>
    <s v="SUSHI TEI202511"/>
    <n v="0"/>
    <n v="0"/>
    <n v="0"/>
    <n v="4"/>
    <n v="103"/>
    <n v="0"/>
    <n v="0"/>
    <n v="0"/>
    <n v="367400"/>
    <n v="11862402"/>
    <n v="0"/>
    <n v="0"/>
    <n v="0"/>
    <n v="0"/>
    <n v="1594"/>
  </r>
  <r>
    <x v="28"/>
    <x v="55"/>
    <s v="202511"/>
    <s v="2025"/>
    <s v="TAMANI202511"/>
    <n v="1"/>
    <n v="0"/>
    <n v="0"/>
    <n v="0"/>
    <n v="0"/>
    <n v="115500"/>
    <n v="0"/>
    <n v="0"/>
    <n v="0"/>
    <n v="0"/>
    <n v="173"/>
    <n v="0"/>
    <n v="0"/>
    <n v="0"/>
    <n v="0"/>
  </r>
  <r>
    <x v="30"/>
    <x v="59"/>
    <s v="202511"/>
    <s v="2025"/>
    <s v="YOGURT REPUBLIC202511"/>
    <n v="0"/>
    <n v="0"/>
    <n v="0"/>
    <n v="0"/>
    <n v="1948"/>
    <n v="0"/>
    <n v="0"/>
    <n v="0"/>
    <n v="0"/>
    <n v="121424392"/>
    <n v="0"/>
    <n v="0"/>
    <n v="0"/>
    <n v="0"/>
    <n v="0"/>
  </r>
  <r>
    <x v="29"/>
    <x v="56"/>
    <s v="202511"/>
    <s v="2025"/>
    <s v="YOSHINOYA202511"/>
    <n v="278"/>
    <n v="10036"/>
    <n v="139"/>
    <n v="61"/>
    <n v="11021"/>
    <n v="42285500"/>
    <n v="1468169696"/>
    <n v="20617500"/>
    <n v="5875000"/>
    <n v="1484477413"/>
    <n v="63428"/>
    <n v="14681697"/>
    <n v="241426"/>
    <n v="0"/>
    <n v="10132549"/>
  </r>
  <r>
    <x v="39"/>
    <x v="75"/>
    <s v="202511"/>
    <s v="2025"/>
    <s v="ZENBU202511"/>
    <n v="0"/>
    <n v="0"/>
    <n v="0"/>
    <n v="3"/>
    <n v="1377"/>
    <n v="0"/>
    <n v="0"/>
    <n v="0"/>
    <n v="1568160"/>
    <n v="355981848"/>
    <n v="0"/>
    <n v="0"/>
    <n v="0"/>
    <n v="10977"/>
    <n v="2491870"/>
  </r>
  <r>
    <x v="44"/>
    <x v="146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211EF-BF5F-A64A-92B6-1A63F0C0A27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1" firstHeaderRow="1" firstDataRow="1" firstDataCol="2"/>
  <pivotFields count="20">
    <pivotField axis="axisRow" compact="0" outline="0" showAll="0" defaultSubtotal="0">
      <items count="45">
        <item x="0"/>
        <item x="42"/>
        <item x="22"/>
        <item x="23"/>
        <item x="1"/>
        <item x="32"/>
        <item x="43"/>
        <item x="31"/>
        <item x="35"/>
        <item x="2"/>
        <item x="3"/>
        <item x="4"/>
        <item x="26"/>
        <item x="24"/>
        <item x="38"/>
        <item x="27"/>
        <item x="5"/>
        <item x="6"/>
        <item x="7"/>
        <item x="8"/>
        <item x="9"/>
        <item x="10"/>
        <item x="40"/>
        <item x="41"/>
        <item x="25"/>
        <item x="11"/>
        <item x="12"/>
        <item x="13"/>
        <item x="14"/>
        <item x="15"/>
        <item x="16"/>
        <item x="34"/>
        <item x="17"/>
        <item x="18"/>
        <item x="19"/>
        <item x="20"/>
        <item x="21"/>
        <item x="36"/>
        <item x="33"/>
        <item x="37"/>
        <item x="28"/>
        <item x="30"/>
        <item x="29"/>
        <item x="39"/>
        <item x="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48">
        <item x="65"/>
        <item x="90"/>
        <item x="134"/>
        <item x="91"/>
        <item x="92"/>
        <item x="0"/>
        <item x="1"/>
        <item x="132"/>
        <item x="135"/>
        <item x="23"/>
        <item x="93"/>
        <item x="94"/>
        <item x="41"/>
        <item x="95"/>
        <item x="16"/>
        <item x="96"/>
        <item x="70"/>
        <item x="3"/>
        <item x="37"/>
        <item x="97"/>
        <item x="38"/>
        <item x="98"/>
        <item x="27"/>
        <item x="43"/>
        <item x="80"/>
        <item x="17"/>
        <item x="39"/>
        <item x="99"/>
        <item x="57"/>
        <item x="4"/>
        <item x="100"/>
        <item x="53"/>
        <item x="63"/>
        <item x="2"/>
        <item x="44"/>
        <item x="136"/>
        <item x="137"/>
        <item x="101"/>
        <item x="60"/>
        <item x="69"/>
        <item x="9"/>
        <item x="54"/>
        <item x="102"/>
        <item x="138"/>
        <item x="81"/>
        <item x="103"/>
        <item x="104"/>
        <item x="49"/>
        <item x="50"/>
        <item x="51"/>
        <item x="5"/>
        <item x="105"/>
        <item x="10"/>
        <item x="45"/>
        <item x="11"/>
        <item x="47"/>
        <item x="40"/>
        <item x="106"/>
        <item x="107"/>
        <item x="74"/>
        <item x="48"/>
        <item x="12"/>
        <item x="133"/>
        <item x="140"/>
        <item x="13"/>
        <item x="14"/>
        <item x="18"/>
        <item x="19"/>
        <item x="141"/>
        <item x="89"/>
        <item x="108"/>
        <item x="22"/>
        <item x="109"/>
        <item x="68"/>
        <item x="46"/>
        <item x="82"/>
        <item x="83"/>
        <item x="110"/>
        <item x="76"/>
        <item x="77"/>
        <item x="79"/>
        <item x="61"/>
        <item x="111"/>
        <item x="84"/>
        <item x="24"/>
        <item x="6"/>
        <item x="112"/>
        <item x="113"/>
        <item x="114"/>
        <item x="36"/>
        <item x="115"/>
        <item x="25"/>
        <item x="144"/>
        <item x="66"/>
        <item x="145"/>
        <item x="26"/>
        <item x="116"/>
        <item x="117"/>
        <item x="20"/>
        <item x="29"/>
        <item x="30"/>
        <item x="118"/>
        <item x="85"/>
        <item x="7"/>
        <item x="31"/>
        <item x="15"/>
        <item x="67"/>
        <item x="119"/>
        <item x="120"/>
        <item x="8"/>
        <item x="72"/>
        <item x="59"/>
        <item x="121"/>
        <item x="122"/>
        <item x="123"/>
        <item x="124"/>
        <item x="125"/>
        <item x="126"/>
        <item x="32"/>
        <item x="21"/>
        <item x="139"/>
        <item x="71"/>
        <item x="33"/>
        <item x="58"/>
        <item x="86"/>
        <item x="127"/>
        <item x="42"/>
        <item x="34"/>
        <item x="35"/>
        <item x="28"/>
        <item x="128"/>
        <item x="87"/>
        <item x="129"/>
        <item x="88"/>
        <item x="130"/>
        <item x="142"/>
        <item x="78"/>
        <item x="73"/>
        <item x="143"/>
        <item x="55"/>
        <item x="131"/>
        <item x="52"/>
        <item x="64"/>
        <item x="62"/>
        <item x="56"/>
        <item x="75"/>
        <item x="14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48">
    <i>
      <x/>
      <x v="5"/>
    </i>
    <i r="1">
      <x v="6"/>
    </i>
    <i r="1">
      <x v="33"/>
    </i>
    <i>
      <x v="1"/>
      <x v="7"/>
    </i>
    <i>
      <x v="2"/>
      <x v="18"/>
    </i>
    <i>
      <x v="3"/>
      <x v="20"/>
    </i>
    <i>
      <x v="4"/>
      <x v="17"/>
    </i>
    <i r="1">
      <x v="26"/>
    </i>
    <i r="1">
      <x v="29"/>
    </i>
    <i r="1">
      <x v="34"/>
    </i>
    <i r="1">
      <x v="50"/>
    </i>
    <i r="1">
      <x v="53"/>
    </i>
    <i r="1">
      <x v="74"/>
    </i>
    <i r="1">
      <x v="85"/>
    </i>
    <i r="1">
      <x v="103"/>
    </i>
    <i r="1">
      <x v="109"/>
    </i>
    <i>
      <x v="5"/>
      <x v="32"/>
    </i>
    <i>
      <x v="6"/>
      <x v="62"/>
    </i>
    <i r="1">
      <x v="68"/>
    </i>
    <i>
      <x v="7"/>
      <x v="38"/>
    </i>
    <i>
      <x v="8"/>
      <x v="39"/>
    </i>
    <i>
      <x v="9"/>
      <x v="40"/>
    </i>
    <i>
      <x v="10"/>
      <x v="52"/>
    </i>
    <i>
      <x v="11"/>
      <x v="54"/>
    </i>
    <i>
      <x v="12"/>
      <x v="55"/>
    </i>
    <i>
      <x v="13"/>
      <x v="56"/>
    </i>
    <i>
      <x v="14"/>
      <x v="59"/>
    </i>
    <i>
      <x v="15"/>
      <x v="60"/>
    </i>
    <i>
      <x v="16"/>
      <x v="61"/>
    </i>
    <i r="1">
      <x v="123"/>
    </i>
    <i>
      <x v="17"/>
      <x v="64"/>
    </i>
    <i>
      <x v="18"/>
      <x v="65"/>
    </i>
    <i r="1">
      <x v="105"/>
    </i>
    <i>
      <x v="19"/>
      <x v="2"/>
    </i>
    <i r="1">
      <x v="12"/>
    </i>
    <i r="1">
      <x v="14"/>
    </i>
    <i r="1">
      <x v="25"/>
    </i>
    <i r="1">
      <x v="31"/>
    </i>
    <i r="1">
      <x v="41"/>
    </i>
    <i r="1">
      <x v="47"/>
    </i>
    <i r="1">
      <x v="48"/>
    </i>
    <i r="1">
      <x v="66"/>
    </i>
    <i r="1">
      <x v="67"/>
    </i>
    <i r="1">
      <x v="69"/>
    </i>
    <i r="1">
      <x v="98"/>
    </i>
    <i r="1">
      <x v="119"/>
    </i>
    <i r="1">
      <x v="136"/>
    </i>
    <i r="1">
      <x v="141"/>
    </i>
    <i r="1">
      <x v="142"/>
    </i>
    <i>
      <x v="20"/>
      <x v="71"/>
    </i>
    <i>
      <x v="21"/>
      <x v="9"/>
    </i>
    <i>
      <x v="22"/>
      <x v="78"/>
    </i>
    <i r="1">
      <x v="79"/>
    </i>
    <i>
      <x v="23"/>
      <x v="80"/>
    </i>
    <i>
      <x v="24"/>
      <x v="1"/>
    </i>
    <i r="1">
      <x v="3"/>
    </i>
    <i r="1">
      <x v="4"/>
    </i>
    <i r="1">
      <x v="8"/>
    </i>
    <i r="1">
      <x v="10"/>
    </i>
    <i r="1">
      <x v="11"/>
    </i>
    <i r="1">
      <x v="13"/>
    </i>
    <i r="1">
      <x v="15"/>
    </i>
    <i r="1">
      <x v="19"/>
    </i>
    <i r="1">
      <x v="21"/>
    </i>
    <i r="1">
      <x v="24"/>
    </i>
    <i r="1">
      <x v="27"/>
    </i>
    <i r="1">
      <x v="28"/>
    </i>
    <i r="1">
      <x v="30"/>
    </i>
    <i r="1">
      <x v="35"/>
    </i>
    <i r="1">
      <x v="36"/>
    </i>
    <i r="1">
      <x v="37"/>
    </i>
    <i r="1">
      <x v="42"/>
    </i>
    <i r="1">
      <x v="43"/>
    </i>
    <i r="1">
      <x v="44"/>
    </i>
    <i r="1">
      <x v="45"/>
    </i>
    <i r="1">
      <x v="46"/>
    </i>
    <i r="1">
      <x v="51"/>
    </i>
    <i r="1">
      <x v="57"/>
    </i>
    <i r="1">
      <x v="58"/>
    </i>
    <i r="1">
      <x v="70"/>
    </i>
    <i r="1">
      <x v="72"/>
    </i>
    <i r="1">
      <x v="75"/>
    </i>
    <i r="1">
      <x v="76"/>
    </i>
    <i r="1">
      <x v="77"/>
    </i>
    <i r="1">
      <x v="82"/>
    </i>
    <i r="1">
      <x v="83"/>
    </i>
    <i r="1">
      <x v="86"/>
    </i>
    <i r="1">
      <x v="87"/>
    </i>
    <i r="1">
      <x v="88"/>
    </i>
    <i r="1">
      <x v="90"/>
    </i>
    <i r="1">
      <x v="96"/>
    </i>
    <i r="1">
      <x v="97"/>
    </i>
    <i r="1">
      <x v="101"/>
    </i>
    <i r="1">
      <x v="102"/>
    </i>
    <i r="1">
      <x v="107"/>
    </i>
    <i r="1">
      <x v="108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20"/>
    </i>
    <i r="1">
      <x v="124"/>
    </i>
    <i r="1">
      <x v="125"/>
    </i>
    <i r="1">
      <x v="126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8"/>
    </i>
    <i r="1">
      <x v="140"/>
    </i>
    <i>
      <x v="25"/>
      <x v="84"/>
    </i>
    <i>
      <x v="26"/>
      <x v="91"/>
    </i>
    <i>
      <x v="27"/>
      <x v="63"/>
    </i>
    <i r="1">
      <x v="92"/>
    </i>
    <i r="1">
      <x v="93"/>
    </i>
    <i r="1">
      <x v="94"/>
    </i>
    <i r="1">
      <x v="95"/>
    </i>
    <i>
      <x v="28"/>
      <x v="22"/>
    </i>
    <i r="1">
      <x v="129"/>
    </i>
    <i>
      <x v="29"/>
      <x v="99"/>
    </i>
    <i r="1">
      <x v="100"/>
    </i>
    <i>
      <x v="30"/>
      <x v="104"/>
    </i>
    <i>
      <x v="31"/>
      <x v="106"/>
    </i>
    <i>
      <x v="32"/>
      <x v="118"/>
    </i>
    <i>
      <x v="33"/>
      <x v="122"/>
    </i>
    <i>
      <x v="34"/>
      <x v="127"/>
    </i>
    <i>
      <x v="35"/>
      <x v="128"/>
    </i>
    <i>
      <x v="36"/>
      <x v="16"/>
    </i>
    <i r="1">
      <x v="23"/>
    </i>
    <i r="1">
      <x v="49"/>
    </i>
    <i r="1">
      <x v="73"/>
    </i>
    <i r="1">
      <x v="81"/>
    </i>
    <i r="1">
      <x v="89"/>
    </i>
    <i r="1">
      <x v="121"/>
    </i>
    <i>
      <x v="37"/>
      <x v="110"/>
    </i>
    <i>
      <x v="38"/>
      <x/>
    </i>
    <i>
      <x v="39"/>
      <x v="137"/>
    </i>
    <i>
      <x v="40"/>
      <x v="139"/>
    </i>
    <i>
      <x v="41"/>
      <x v="111"/>
    </i>
    <i r="1">
      <x v="143"/>
    </i>
    <i>
      <x v="42"/>
      <x v="144"/>
    </i>
    <i>
      <x v="43"/>
      <x v="145"/>
    </i>
    <i>
      <x v="44"/>
      <x v="14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56F4-2362-AE4E-8067-E07D54B979D1}">
  <dimension ref="A1:X82"/>
  <sheetViews>
    <sheetView showGridLines="0" tabSelected="1" topLeftCell="A13" zoomScale="83" zoomScaleNormal="90" workbookViewId="0">
      <selection activeCell="D35" sqref="D35"/>
    </sheetView>
  </sheetViews>
  <sheetFormatPr defaultColWidth="10.875" defaultRowHeight="13.5" x14ac:dyDescent="0.25"/>
  <cols>
    <col min="1" max="1" width="2.5" style="1" customWidth="1"/>
    <col min="2" max="2" width="10.875" style="2" customWidth="1"/>
    <col min="3" max="3" width="1" style="2" customWidth="1"/>
    <col min="4" max="8" width="12.875" style="2" customWidth="1"/>
    <col min="9" max="9" width="12.875" style="3" customWidth="1"/>
    <col min="10" max="10" width="1" style="2" customWidth="1"/>
    <col min="11" max="15" width="12.875" style="2" customWidth="1"/>
    <col min="16" max="16" width="12.875" style="3" customWidth="1"/>
    <col min="17" max="17" width="1" style="2" customWidth="1"/>
    <col min="18" max="22" width="12.875" style="2" customWidth="1"/>
    <col min="23" max="23" width="12.875" style="3" customWidth="1"/>
    <col min="24" max="24" width="13" style="1" bestFit="1" customWidth="1"/>
    <col min="25" max="16384" width="10.875" style="2"/>
  </cols>
  <sheetData>
    <row r="1" spans="2:23" x14ac:dyDescent="0.25">
      <c r="B1" s="4"/>
      <c r="H1" s="5"/>
      <c r="O1" s="5"/>
      <c r="R1" s="3"/>
      <c r="V1" s="5"/>
    </row>
    <row r="2" spans="2:23" x14ac:dyDescent="0.25">
      <c r="B2" s="6" t="s">
        <v>0</v>
      </c>
      <c r="E2" s="73" t="s">
        <v>1</v>
      </c>
      <c r="F2" s="73"/>
      <c r="H2" s="18" t="s">
        <v>2</v>
      </c>
      <c r="I2" s="18"/>
      <c r="L2" s="73" t="s">
        <v>1</v>
      </c>
      <c r="M2" s="73"/>
      <c r="S2" s="73"/>
      <c r="T2" s="73"/>
    </row>
    <row r="3" spans="2:23" ht="29.25" customHeight="1" x14ac:dyDescent="0.25">
      <c r="B3" s="6" t="s">
        <v>3</v>
      </c>
    </row>
    <row r="4" spans="2:23" ht="9.9499999999999993" customHeight="1" x14ac:dyDescent="0.25"/>
    <row r="5" spans="2:23" ht="20.25" customHeight="1" x14ac:dyDescent="0.25">
      <c r="B5" s="30"/>
      <c r="C5" s="30"/>
      <c r="D5" s="30"/>
      <c r="E5" s="30"/>
      <c r="F5" s="30"/>
      <c r="G5" s="30"/>
      <c r="H5" s="30"/>
      <c r="I5" s="31"/>
      <c r="J5" s="30"/>
      <c r="K5" s="30"/>
      <c r="L5" s="30"/>
      <c r="M5" s="30"/>
      <c r="N5" s="30"/>
      <c r="O5" s="30"/>
      <c r="P5" s="31"/>
      <c r="Q5" s="30"/>
      <c r="R5" s="30"/>
      <c r="S5" s="30"/>
      <c r="T5" s="30"/>
      <c r="U5" s="30"/>
      <c r="V5" s="30"/>
      <c r="W5" s="31"/>
    </row>
    <row r="6" spans="2:23" ht="20.25" customHeight="1" x14ac:dyDescent="0.25"/>
    <row r="7" spans="2:23" ht="20.25" customHeight="1" x14ac:dyDescent="0.25"/>
    <row r="8" spans="2:23" ht="20.25" customHeight="1" x14ac:dyDescent="0.25"/>
    <row r="9" spans="2:23" ht="20.25" customHeight="1" x14ac:dyDescent="0.25"/>
    <row r="10" spans="2:23" ht="20.25" customHeight="1" x14ac:dyDescent="0.25"/>
    <row r="11" spans="2:23" ht="20.25" customHeight="1" x14ac:dyDescent="0.25"/>
    <row r="12" spans="2:23" ht="20.25" customHeight="1" x14ac:dyDescent="0.25"/>
    <row r="13" spans="2:23" ht="20.25" customHeight="1" x14ac:dyDescent="0.25"/>
    <row r="14" spans="2:23" ht="20.25" customHeight="1" x14ac:dyDescent="0.25"/>
    <row r="15" spans="2:23" ht="20.25" customHeight="1" x14ac:dyDescent="0.25"/>
    <row r="16" spans="2:23" ht="6" customHeight="1" x14ac:dyDescent="0.25"/>
    <row r="17" spans="1:24" ht="20.25" customHeight="1" x14ac:dyDescent="0.25">
      <c r="D17" s="74" t="s">
        <v>4</v>
      </c>
      <c r="E17" s="74"/>
      <c r="F17" s="74"/>
      <c r="G17" s="74"/>
      <c r="H17" s="74"/>
      <c r="I17" s="74"/>
      <c r="K17" s="74" t="s">
        <v>5</v>
      </c>
      <c r="L17" s="74"/>
      <c r="M17" s="74"/>
      <c r="N17" s="74"/>
      <c r="O17" s="74"/>
      <c r="P17" s="74"/>
      <c r="R17" s="74" t="s">
        <v>6</v>
      </c>
      <c r="S17" s="74"/>
      <c r="T17" s="74"/>
      <c r="U17" s="74"/>
      <c r="V17" s="74"/>
      <c r="W17" s="74"/>
    </row>
    <row r="18" spans="1:24" s="9" customFormat="1" ht="20.25" customHeight="1" x14ac:dyDescent="0.25">
      <c r="A18" s="7" t="str">
        <f>Portfolio!N1</f>
        <v>ALFA GROUP</v>
      </c>
      <c r="B18" s="8" t="s">
        <v>7</v>
      </c>
      <c r="D18" s="26" t="s">
        <v>8</v>
      </c>
      <c r="E18" s="26" t="s">
        <v>9</v>
      </c>
      <c r="F18" s="26" t="s">
        <v>10</v>
      </c>
      <c r="G18" s="26" t="s">
        <v>11</v>
      </c>
      <c r="H18" s="26" t="s">
        <v>12</v>
      </c>
      <c r="I18" s="27" t="s">
        <v>13</v>
      </c>
      <c r="K18" s="26" t="s">
        <v>8</v>
      </c>
      <c r="L18" s="26" t="s">
        <v>9</v>
      </c>
      <c r="M18" s="26" t="s">
        <v>10</v>
      </c>
      <c r="N18" s="26" t="s">
        <v>11</v>
      </c>
      <c r="O18" s="26" t="s">
        <v>12</v>
      </c>
      <c r="P18" s="27" t="s">
        <v>14</v>
      </c>
      <c r="R18" s="10" t="s">
        <v>8</v>
      </c>
      <c r="S18" s="10" t="s">
        <v>9</v>
      </c>
      <c r="T18" s="10" t="s">
        <v>10</v>
      </c>
      <c r="U18" s="10" t="s">
        <v>11</v>
      </c>
      <c r="V18" s="10" t="s">
        <v>12</v>
      </c>
      <c r="W18" s="27" t="s">
        <v>15</v>
      </c>
      <c r="X18" s="7"/>
    </row>
    <row r="19" spans="1:24" s="11" customFormat="1" ht="15" customHeight="1" x14ac:dyDescent="0.25">
      <c r="A19" s="28" t="s">
        <v>16</v>
      </c>
      <c r="B19" s="16">
        <v>45292</v>
      </c>
      <c r="D19" s="19">
        <f>SUMIF(Realisasi!$E:$E,Highlight!$X19,Realisasi!F:F)</f>
        <v>16262</v>
      </c>
      <c r="E19" s="19">
        <f>SUMIF(Realisasi!$E:$E,Highlight!$X19,Realisasi!G:G)</f>
        <v>60491</v>
      </c>
      <c r="F19" s="19">
        <f>SUMIF(Realisasi!$E:$E,Highlight!$X19,Realisasi!H:H)</f>
        <v>11819</v>
      </c>
      <c r="G19" s="19">
        <f>SUMIF(Realisasi!$E:$E,Highlight!$X19,Realisasi!I:I)</f>
        <v>0</v>
      </c>
      <c r="H19" s="19">
        <f>SUMIF(Realisasi!$E:$E,Highlight!$X19,Realisasi!J:J)</f>
        <v>1</v>
      </c>
      <c r="I19" s="20">
        <f>SUM(D19:H19)</f>
        <v>88573</v>
      </c>
      <c r="J19" s="21"/>
      <c r="K19" s="19">
        <f>SUMIF(Realisasi!$E:$E,Highlight!$X19,Realisasi!K:K)</f>
        <v>1711746090</v>
      </c>
      <c r="L19" s="19">
        <f>SUMIF(Realisasi!$E:$E,Highlight!$X19,Realisasi!L:L)</f>
        <v>6482977835</v>
      </c>
      <c r="M19" s="19">
        <f>SUMIF(Realisasi!$E:$E,Highlight!$X19,Realisasi!M:M)</f>
        <v>1882369072</v>
      </c>
      <c r="N19" s="19">
        <f>SUMIF(Realisasi!$E:$E,Highlight!$X19,Realisasi!N:N)</f>
        <v>0</v>
      </c>
      <c r="O19" s="19">
        <f>SUMIF(Realisasi!$E:$E,Highlight!$X19,Realisasi!O:O)</f>
        <v>130000</v>
      </c>
      <c r="P19" s="19">
        <f>SUM(K19:O19)</f>
        <v>10077222997</v>
      </c>
      <c r="R19" s="19">
        <f>SUMIF(Realisasi!$E:$E,Highlight!$X19,Realisasi!P:P)</f>
        <v>2567618</v>
      </c>
      <c r="S19" s="19">
        <f>SUMIF(Realisasi!$E:$E,Highlight!$X19,Realisasi!Q:Q)</f>
        <v>56745468</v>
      </c>
      <c r="T19" s="19">
        <f>SUMIF(Realisasi!$E:$E,Highlight!$X19,Realisasi!R:R)</f>
        <v>33840127</v>
      </c>
      <c r="U19" s="19">
        <f>SUMIF(Realisasi!$E:$E,Highlight!$X19,Realisasi!S:S)</f>
        <v>0</v>
      </c>
      <c r="V19" s="19">
        <f>SUMIF(Realisasi!$E:$E,Highlight!$X19,Realisasi!T:T)</f>
        <v>390</v>
      </c>
      <c r="W19" s="19">
        <f>SUM(R19:V19)</f>
        <v>93153603</v>
      </c>
      <c r="X19" s="11" t="str">
        <f>CONCATENATE(A$18,A19)</f>
        <v>ALFA GROUP202401</v>
      </c>
    </row>
    <row r="20" spans="1:24" s="11" customFormat="1" ht="15" customHeight="1" x14ac:dyDescent="0.25">
      <c r="A20" s="28" t="s">
        <v>17</v>
      </c>
      <c r="B20" s="16">
        <v>45323</v>
      </c>
      <c r="D20" s="19">
        <f>SUMIF(Realisasi!$E:$E,Highlight!$X20,Realisasi!F:F)</f>
        <v>19000</v>
      </c>
      <c r="E20" s="19">
        <f>SUMIF(Realisasi!$E:$E,Highlight!$X20,Realisasi!G:G)</f>
        <v>70681</v>
      </c>
      <c r="F20" s="19">
        <f>SUMIF(Realisasi!$E:$E,Highlight!$X20,Realisasi!H:H)</f>
        <v>6533</v>
      </c>
      <c r="G20" s="19">
        <f>SUMIF(Realisasi!$E:$E,Highlight!$X20,Realisasi!I:I)</f>
        <v>0</v>
      </c>
      <c r="H20" s="19">
        <f>SUMIF(Realisasi!$E:$E,Highlight!$X20,Realisasi!J:J)</f>
        <v>0</v>
      </c>
      <c r="I20" s="20">
        <f t="shared" ref="I20:I30" si="0">SUM(D20:H20)</f>
        <v>96214</v>
      </c>
      <c r="J20" s="21"/>
      <c r="K20" s="19">
        <f>SUMIF(Realisasi!$E:$E,Highlight!$X20,Realisasi!K:K)</f>
        <v>1880637508</v>
      </c>
      <c r="L20" s="19">
        <f>SUMIF(Realisasi!$E:$E,Highlight!$X20,Realisasi!L:L)</f>
        <v>7694614904</v>
      </c>
      <c r="M20" s="19">
        <f>SUMIF(Realisasi!$E:$E,Highlight!$X20,Realisasi!M:M)</f>
        <v>1024014060</v>
      </c>
      <c r="N20" s="19">
        <f>SUMIF(Realisasi!$E:$E,Highlight!$X20,Realisasi!N:N)</f>
        <v>0</v>
      </c>
      <c r="O20" s="19">
        <f>SUMIF(Realisasi!$E:$E,Highlight!$X20,Realisasi!O:O)</f>
        <v>0</v>
      </c>
      <c r="P20" s="19">
        <f t="shared" ref="P20:P30" si="1">SUM(K20:O20)</f>
        <v>10599266472</v>
      </c>
      <c r="R20" s="19">
        <f>SUMIF(Realisasi!$E:$E,Highlight!$X20,Realisasi!P:P)</f>
        <v>2820954</v>
      </c>
      <c r="S20" s="19">
        <f>SUMIF(Realisasi!$E:$E,Highlight!$X20,Realisasi!Q:Q)</f>
        <v>76622746</v>
      </c>
      <c r="T20" s="19">
        <f>SUMIF(Realisasi!$E:$E,Highlight!$X20,Realisasi!R:R)</f>
        <v>18415757</v>
      </c>
      <c r="U20" s="19">
        <f>SUMIF(Realisasi!$E:$E,Highlight!$X20,Realisasi!S:S)</f>
        <v>0</v>
      </c>
      <c r="V20" s="19">
        <f>SUMIF(Realisasi!$E:$E,Highlight!$X20,Realisasi!T:T)</f>
        <v>0</v>
      </c>
      <c r="W20" s="19">
        <f t="shared" ref="W20:W30" si="2">SUM(R20:V20)</f>
        <v>97859457</v>
      </c>
      <c r="X20" s="11" t="str">
        <f t="shared" ref="X20:X30" si="3">CONCATENATE(A$18,A20)</f>
        <v>ALFA GROUP202402</v>
      </c>
    </row>
    <row r="21" spans="1:24" s="11" customFormat="1" ht="15" customHeight="1" x14ac:dyDescent="0.25">
      <c r="A21" s="28" t="s">
        <v>18</v>
      </c>
      <c r="B21" s="16">
        <v>45352</v>
      </c>
      <c r="D21" s="19">
        <f>SUMIF(Realisasi!$E:$E,Highlight!$X21,Realisasi!F:F)</f>
        <v>22365</v>
      </c>
      <c r="E21" s="19">
        <f>SUMIF(Realisasi!$E:$E,Highlight!$X21,Realisasi!G:G)</f>
        <v>88566</v>
      </c>
      <c r="F21" s="19">
        <f>SUMIF(Realisasi!$E:$E,Highlight!$X21,Realisasi!H:H)</f>
        <v>7783</v>
      </c>
      <c r="G21" s="19">
        <f>SUMIF(Realisasi!$E:$E,Highlight!$X21,Realisasi!I:I)</f>
        <v>0</v>
      </c>
      <c r="H21" s="19">
        <f>SUMIF(Realisasi!$E:$E,Highlight!$X21,Realisasi!J:J)</f>
        <v>0</v>
      </c>
      <c r="I21" s="20">
        <f t="shared" si="0"/>
        <v>118714</v>
      </c>
      <c r="J21" s="21"/>
      <c r="K21" s="19">
        <f>SUMIF(Realisasi!$E:$E,Highlight!$X21,Realisasi!K:K)</f>
        <v>2531039839</v>
      </c>
      <c r="L21" s="19">
        <f>SUMIF(Realisasi!$E:$E,Highlight!$X21,Realisasi!L:L)</f>
        <v>10451945225</v>
      </c>
      <c r="M21" s="19">
        <f>SUMIF(Realisasi!$E:$E,Highlight!$X21,Realisasi!M:M)</f>
        <v>1330938495</v>
      </c>
      <c r="N21" s="19">
        <f>SUMIF(Realisasi!$E:$E,Highlight!$X21,Realisasi!N:N)</f>
        <v>0</v>
      </c>
      <c r="O21" s="19">
        <f>SUMIF(Realisasi!$E:$E,Highlight!$X21,Realisasi!O:O)</f>
        <v>0</v>
      </c>
      <c r="P21" s="19">
        <f t="shared" si="1"/>
        <v>14313923559</v>
      </c>
      <c r="R21" s="19">
        <f>SUMIF(Realisasi!$E:$E,Highlight!$X21,Realisasi!P:P)</f>
        <v>3796556</v>
      </c>
      <c r="S21" s="19">
        <f>SUMIF(Realisasi!$E:$E,Highlight!$X21,Realisasi!Q:Q)</f>
        <v>103526651</v>
      </c>
      <c r="T21" s="19">
        <f>SUMIF(Realisasi!$E:$E,Highlight!$X21,Realisasi!R:R)</f>
        <v>23941357</v>
      </c>
      <c r="U21" s="19">
        <f>SUMIF(Realisasi!$E:$E,Highlight!$X21,Realisasi!S:S)</f>
        <v>0</v>
      </c>
      <c r="V21" s="19">
        <f>SUMIF(Realisasi!$E:$E,Highlight!$X21,Realisasi!T:T)</f>
        <v>0</v>
      </c>
      <c r="W21" s="19">
        <f t="shared" si="2"/>
        <v>131264564</v>
      </c>
      <c r="X21" s="11" t="str">
        <f t="shared" si="3"/>
        <v>ALFA GROUP202403</v>
      </c>
    </row>
    <row r="22" spans="1:24" s="9" customFormat="1" ht="15" customHeight="1" x14ac:dyDescent="0.25">
      <c r="A22" s="28" t="s">
        <v>19</v>
      </c>
      <c r="B22" s="16">
        <v>45383</v>
      </c>
      <c r="D22" s="19">
        <f>SUMIF(Realisasi!$E:$E,Highlight!$X22,Realisasi!F:F)</f>
        <v>22096</v>
      </c>
      <c r="E22" s="19">
        <f>SUMIF(Realisasi!$E:$E,Highlight!$X22,Realisasi!G:G)</f>
        <v>81243</v>
      </c>
      <c r="F22" s="19">
        <f>SUMIF(Realisasi!$E:$E,Highlight!$X22,Realisasi!H:H)</f>
        <v>14358</v>
      </c>
      <c r="G22" s="19">
        <f>SUMIF(Realisasi!$E:$E,Highlight!$X22,Realisasi!I:I)</f>
        <v>0</v>
      </c>
      <c r="H22" s="19">
        <f>SUMIF(Realisasi!$E:$E,Highlight!$X22,Realisasi!J:J)</f>
        <v>0</v>
      </c>
      <c r="I22" s="20">
        <f t="shared" si="0"/>
        <v>117697</v>
      </c>
      <c r="J22" s="22"/>
      <c r="K22" s="19">
        <f>SUMIF(Realisasi!$E:$E,Highlight!$X22,Realisasi!K:K)</f>
        <v>2534740240</v>
      </c>
      <c r="L22" s="19">
        <f>SUMIF(Realisasi!$E:$E,Highlight!$X22,Realisasi!L:L)</f>
        <v>9284556300</v>
      </c>
      <c r="M22" s="19">
        <f>SUMIF(Realisasi!$E:$E,Highlight!$X22,Realisasi!M:M)</f>
        <v>2381667096</v>
      </c>
      <c r="N22" s="19">
        <f>SUMIF(Realisasi!$E:$E,Highlight!$X22,Realisasi!N:N)</f>
        <v>0</v>
      </c>
      <c r="O22" s="19">
        <f>SUMIF(Realisasi!$E:$E,Highlight!$X22,Realisasi!O:O)</f>
        <v>0</v>
      </c>
      <c r="P22" s="19">
        <f t="shared" si="1"/>
        <v>14200963636</v>
      </c>
      <c r="R22" s="19">
        <f>SUMIF(Realisasi!$E:$E,Highlight!$X22,Realisasi!P:P)</f>
        <v>3802105</v>
      </c>
      <c r="S22" s="19">
        <f>SUMIF(Realisasi!$E:$E,Highlight!$X22,Realisasi!Q:Q)</f>
        <v>82839858</v>
      </c>
      <c r="T22" s="19">
        <f>SUMIF(Realisasi!$E:$E,Highlight!$X22,Realisasi!R:R)</f>
        <v>42832709</v>
      </c>
      <c r="U22" s="19">
        <f>SUMIF(Realisasi!$E:$E,Highlight!$X22,Realisasi!S:S)</f>
        <v>0</v>
      </c>
      <c r="V22" s="19">
        <f>SUMIF(Realisasi!$E:$E,Highlight!$X22,Realisasi!T:T)</f>
        <v>0</v>
      </c>
      <c r="W22" s="19">
        <f t="shared" si="2"/>
        <v>129474672</v>
      </c>
      <c r="X22" s="11" t="str">
        <f t="shared" si="3"/>
        <v>ALFA GROUP202404</v>
      </c>
    </row>
    <row r="23" spans="1:24" s="9" customFormat="1" ht="15" customHeight="1" x14ac:dyDescent="0.25">
      <c r="A23" s="28" t="s">
        <v>20</v>
      </c>
      <c r="B23" s="16">
        <v>45413</v>
      </c>
      <c r="D23" s="19">
        <f>SUMIF(Realisasi!$E:$E,Highlight!$X23,Realisasi!F:F)</f>
        <v>21307</v>
      </c>
      <c r="E23" s="19">
        <f>SUMIF(Realisasi!$E:$E,Highlight!$X23,Realisasi!G:G)</f>
        <v>76165</v>
      </c>
      <c r="F23" s="19">
        <f>SUMIF(Realisasi!$E:$E,Highlight!$X23,Realisasi!H:H)</f>
        <v>15119</v>
      </c>
      <c r="G23" s="19">
        <f>SUMIF(Realisasi!$E:$E,Highlight!$X23,Realisasi!I:I)</f>
        <v>6</v>
      </c>
      <c r="H23" s="19">
        <f>SUMIF(Realisasi!$E:$E,Highlight!$X23,Realisasi!J:J)</f>
        <v>16</v>
      </c>
      <c r="I23" s="20">
        <f t="shared" si="0"/>
        <v>112613</v>
      </c>
      <c r="J23" s="22"/>
      <c r="K23" s="19">
        <f>SUMIF(Realisasi!$E:$E,Highlight!$X23,Realisasi!K:K)</f>
        <v>2235514862</v>
      </c>
      <c r="L23" s="19">
        <f>SUMIF(Realisasi!$E:$E,Highlight!$X23,Realisasi!L:L)</f>
        <v>8121972013</v>
      </c>
      <c r="M23" s="19">
        <f>SUMIF(Realisasi!$E:$E,Highlight!$X23,Realisasi!M:M)</f>
        <v>2354381619</v>
      </c>
      <c r="N23" s="19">
        <f>SUMIF(Realisasi!$E:$E,Highlight!$X23,Realisasi!N:N)</f>
        <v>55000</v>
      </c>
      <c r="O23" s="19">
        <f>SUMIF(Realisasi!$E:$E,Highlight!$X23,Realisasi!O:O)</f>
        <v>128500</v>
      </c>
      <c r="P23" s="19">
        <f t="shared" si="1"/>
        <v>12712051994</v>
      </c>
      <c r="R23" s="19">
        <f>SUMIF(Realisasi!$E:$E,Highlight!$X23,Realisasi!P:P)</f>
        <v>3353268</v>
      </c>
      <c r="S23" s="19">
        <f>SUMIF(Realisasi!$E:$E,Highlight!$X23,Realisasi!Q:Q)</f>
        <v>70824575</v>
      </c>
      <c r="T23" s="19">
        <f>SUMIF(Realisasi!$E:$E,Highlight!$X23,Realisasi!R:R)</f>
        <v>42338741</v>
      </c>
      <c r="U23" s="19">
        <f>SUMIF(Realisasi!$E:$E,Highlight!$X23,Realisasi!S:S)</f>
        <v>165</v>
      </c>
      <c r="V23" s="19">
        <f>SUMIF(Realisasi!$E:$E,Highlight!$X23,Realisasi!T:T)</f>
        <v>386</v>
      </c>
      <c r="W23" s="19">
        <f t="shared" si="2"/>
        <v>116517135</v>
      </c>
      <c r="X23" s="11" t="str">
        <f t="shared" si="3"/>
        <v>ALFA GROUP202405</v>
      </c>
    </row>
    <row r="24" spans="1:24" s="9" customFormat="1" ht="15" customHeight="1" x14ac:dyDescent="0.25">
      <c r="A24" s="28" t="s">
        <v>21</v>
      </c>
      <c r="B24" s="16">
        <v>45444</v>
      </c>
      <c r="D24" s="19">
        <f>SUMIF(Realisasi!$E:$E,Highlight!$X24,Realisasi!F:F)</f>
        <v>20813</v>
      </c>
      <c r="E24" s="19">
        <f>SUMIF(Realisasi!$E:$E,Highlight!$X24,Realisasi!G:G)</f>
        <v>77560</v>
      </c>
      <c r="F24" s="19">
        <f>SUMIF(Realisasi!$E:$E,Highlight!$X24,Realisasi!H:H)</f>
        <v>15232</v>
      </c>
      <c r="G24" s="19">
        <f>SUMIF(Realisasi!$E:$E,Highlight!$X24,Realisasi!I:I)</f>
        <v>5</v>
      </c>
      <c r="H24" s="19">
        <f>SUMIF(Realisasi!$E:$E,Highlight!$X24,Realisasi!J:J)</f>
        <v>24</v>
      </c>
      <c r="I24" s="20">
        <f t="shared" si="0"/>
        <v>113634</v>
      </c>
      <c r="J24" s="22"/>
      <c r="K24" s="19">
        <f>SUMIF(Realisasi!$E:$E,Highlight!$X24,Realisasi!K:K)</f>
        <v>2269620239</v>
      </c>
      <c r="L24" s="19">
        <f>SUMIF(Realisasi!$E:$E,Highlight!$X24,Realisasi!L:L)</f>
        <v>8459632772</v>
      </c>
      <c r="M24" s="19">
        <f>SUMIF(Realisasi!$E:$E,Highlight!$X24,Realisasi!M:M)</f>
        <v>2394991151</v>
      </c>
      <c r="N24" s="19">
        <f>SUMIF(Realisasi!$E:$E,Highlight!$X24,Realisasi!N:N)</f>
        <v>33000</v>
      </c>
      <c r="O24" s="19">
        <f>SUMIF(Realisasi!$E:$E,Highlight!$X24,Realisasi!O:O)</f>
        <v>172800</v>
      </c>
      <c r="P24" s="19">
        <f t="shared" si="1"/>
        <v>13124449962</v>
      </c>
      <c r="R24" s="19">
        <f>SUMIF(Realisasi!$E:$E,Highlight!$X24,Realisasi!P:P)</f>
        <v>3404427</v>
      </c>
      <c r="S24" s="19">
        <f>SUMIF(Realisasi!$E:$E,Highlight!$X24,Realisasi!Q:Q)</f>
        <v>74617598</v>
      </c>
      <c r="T24" s="19">
        <f>SUMIF(Realisasi!$E:$E,Highlight!$X24,Realisasi!R:R)</f>
        <v>43077823</v>
      </c>
      <c r="U24" s="19">
        <f>SUMIF(Realisasi!$E:$E,Highlight!$X24,Realisasi!S:S)</f>
        <v>101</v>
      </c>
      <c r="V24" s="19">
        <f>SUMIF(Realisasi!$E:$E,Highlight!$X24,Realisasi!T:T)</f>
        <v>566</v>
      </c>
      <c r="W24" s="19">
        <f t="shared" si="2"/>
        <v>121100515</v>
      </c>
      <c r="X24" s="11" t="str">
        <f t="shared" si="3"/>
        <v>ALFA GROUP202406</v>
      </c>
    </row>
    <row r="25" spans="1:24" s="9" customFormat="1" ht="15" customHeight="1" x14ac:dyDescent="0.25">
      <c r="A25" s="28" t="s">
        <v>22</v>
      </c>
      <c r="B25" s="16">
        <v>45474</v>
      </c>
      <c r="D25" s="19">
        <f>SUMIF(Realisasi!$E:$E,Highlight!$X25,Realisasi!F:F)</f>
        <v>22181</v>
      </c>
      <c r="E25" s="19">
        <f>SUMIF(Realisasi!$E:$E,Highlight!$X25,Realisasi!G:G)</f>
        <v>78977</v>
      </c>
      <c r="F25" s="19">
        <f>SUMIF(Realisasi!$E:$E,Highlight!$X25,Realisasi!H:H)</f>
        <v>16550</v>
      </c>
      <c r="G25" s="19">
        <f>SUMIF(Realisasi!$E:$E,Highlight!$X25,Realisasi!I:I)</f>
        <v>3</v>
      </c>
      <c r="H25" s="19">
        <f>SUMIF(Realisasi!$E:$E,Highlight!$X25,Realisasi!J:J)</f>
        <v>44</v>
      </c>
      <c r="I25" s="20">
        <f t="shared" si="0"/>
        <v>117755</v>
      </c>
      <c r="J25" s="22"/>
      <c r="K25" s="19">
        <f>SUMIF(Realisasi!$E:$E,Highlight!$X25,Realisasi!K:K)</f>
        <v>2264212357</v>
      </c>
      <c r="L25" s="19">
        <f>SUMIF(Realisasi!$E:$E,Highlight!$X25,Realisasi!L:L)</f>
        <v>8642422442</v>
      </c>
      <c r="M25" s="19">
        <f>SUMIF(Realisasi!$E:$E,Highlight!$X25,Realisasi!M:M)</f>
        <v>2588367934</v>
      </c>
      <c r="N25" s="19">
        <f>SUMIF(Realisasi!$E:$E,Highlight!$X25,Realisasi!N:N)</f>
        <v>18000</v>
      </c>
      <c r="O25" s="19">
        <f>SUMIF(Realisasi!$E:$E,Highlight!$X25,Realisasi!O:O)</f>
        <v>375000</v>
      </c>
      <c r="P25" s="19">
        <f t="shared" si="1"/>
        <v>13495395733</v>
      </c>
      <c r="R25" s="19">
        <f>SUMIF(Realisasi!$E:$E,Highlight!$X25,Realisasi!P:P)</f>
        <v>3396315</v>
      </c>
      <c r="S25" s="19">
        <f>SUMIF(Realisasi!$E:$E,Highlight!$X25,Realisasi!Q:Q)</f>
        <v>76374440</v>
      </c>
      <c r="T25" s="19">
        <f>SUMIF(Realisasi!$E:$E,Highlight!$X25,Realisasi!R:R)</f>
        <v>46549719</v>
      </c>
      <c r="U25" s="19">
        <f>SUMIF(Realisasi!$E:$E,Highlight!$X25,Realisasi!S:S)</f>
        <v>54</v>
      </c>
      <c r="V25" s="19">
        <f>SUMIF(Realisasi!$E:$E,Highlight!$X25,Realisasi!T:T)</f>
        <v>1125</v>
      </c>
      <c r="W25" s="19">
        <f t="shared" si="2"/>
        <v>126321653</v>
      </c>
      <c r="X25" s="11" t="str">
        <f t="shared" si="3"/>
        <v>ALFA GROUP202407</v>
      </c>
    </row>
    <row r="26" spans="1:24" s="9" customFormat="1" ht="15" customHeight="1" x14ac:dyDescent="0.25">
      <c r="A26" s="28" t="s">
        <v>23</v>
      </c>
      <c r="B26" s="16">
        <v>45505</v>
      </c>
      <c r="D26" s="19">
        <f>SUMIF(Realisasi!$E:$E,Highlight!$X26,Realisasi!F:F)</f>
        <v>22859</v>
      </c>
      <c r="E26" s="19">
        <f>SUMIF(Realisasi!$E:$E,Highlight!$X26,Realisasi!G:G)</f>
        <v>81603</v>
      </c>
      <c r="F26" s="19">
        <f>SUMIF(Realisasi!$E:$E,Highlight!$X26,Realisasi!H:H)</f>
        <v>17696</v>
      </c>
      <c r="G26" s="19">
        <f>SUMIF(Realisasi!$E:$E,Highlight!$X26,Realisasi!I:I)</f>
        <v>19</v>
      </c>
      <c r="H26" s="19">
        <f>SUMIF(Realisasi!$E:$E,Highlight!$X26,Realisasi!J:J)</f>
        <v>45</v>
      </c>
      <c r="I26" s="20">
        <f t="shared" si="0"/>
        <v>122222</v>
      </c>
      <c r="J26" s="22"/>
      <c r="K26" s="19">
        <f>SUMIF(Realisasi!$E:$E,Highlight!$X26,Realisasi!K:K)</f>
        <v>2293227863</v>
      </c>
      <c r="L26" s="19">
        <f>SUMIF(Realisasi!$E:$E,Highlight!$X26,Realisasi!L:L)</f>
        <v>8788575803</v>
      </c>
      <c r="M26" s="19">
        <f>SUMIF(Realisasi!$E:$E,Highlight!$X26,Realisasi!M:M)</f>
        <v>2721134031</v>
      </c>
      <c r="N26" s="19">
        <f>SUMIF(Realisasi!$E:$E,Highlight!$X26,Realisasi!N:N)</f>
        <v>156000</v>
      </c>
      <c r="O26" s="19">
        <f>SUMIF(Realisasi!$E:$E,Highlight!$X26,Realisasi!O:O)</f>
        <v>672000</v>
      </c>
      <c r="P26" s="19">
        <f t="shared" si="1"/>
        <v>13803765697</v>
      </c>
      <c r="R26" s="19">
        <f>SUMIF(Realisasi!$E:$E,Highlight!$X26,Realisasi!P:P)</f>
        <v>3439838</v>
      </c>
      <c r="S26" s="19">
        <f>SUMIF(Realisasi!$E:$E,Highlight!$X26,Realisasi!Q:Q)</f>
        <v>77086562</v>
      </c>
      <c r="T26" s="19">
        <f>SUMIF(Realisasi!$E:$E,Highlight!$X26,Realisasi!R:R)</f>
        <v>48912271</v>
      </c>
      <c r="U26" s="19">
        <f>SUMIF(Realisasi!$E:$E,Highlight!$X26,Realisasi!S:S)</f>
        <v>468</v>
      </c>
      <c r="V26" s="19">
        <f>SUMIF(Realisasi!$E:$E,Highlight!$X26,Realisasi!T:T)</f>
        <v>2015</v>
      </c>
      <c r="W26" s="19">
        <f t="shared" si="2"/>
        <v>129441154</v>
      </c>
      <c r="X26" s="11" t="str">
        <f t="shared" si="3"/>
        <v>ALFA GROUP202408</v>
      </c>
    </row>
    <row r="27" spans="1:24" s="9" customFormat="1" ht="15" customHeight="1" x14ac:dyDescent="0.25">
      <c r="A27" s="28" t="s">
        <v>24</v>
      </c>
      <c r="B27" s="16">
        <v>45536</v>
      </c>
      <c r="D27" s="19">
        <f>SUMIF(Realisasi!$E:$E,Highlight!$X27,Realisasi!F:F)</f>
        <v>23272</v>
      </c>
      <c r="E27" s="19">
        <f>SUMIF(Realisasi!$E:$E,Highlight!$X27,Realisasi!G:G)</f>
        <v>79381</v>
      </c>
      <c r="F27" s="19">
        <f>SUMIF(Realisasi!$E:$E,Highlight!$X27,Realisasi!H:H)</f>
        <v>20057</v>
      </c>
      <c r="G27" s="19">
        <f>SUMIF(Realisasi!$E:$E,Highlight!$X27,Realisasi!I:I)</f>
        <v>11</v>
      </c>
      <c r="H27" s="19">
        <f>SUMIF(Realisasi!$E:$E,Highlight!$X27,Realisasi!J:J)</f>
        <v>40</v>
      </c>
      <c r="I27" s="20">
        <f t="shared" si="0"/>
        <v>122761</v>
      </c>
      <c r="J27" s="22"/>
      <c r="K27" s="19">
        <f>SUMIF(Realisasi!$E:$E,Highlight!$X27,Realisasi!K:K)</f>
        <v>2326507566</v>
      </c>
      <c r="L27" s="19">
        <f>SUMIF(Realisasi!$E:$E,Highlight!$X27,Realisasi!L:L)</f>
        <v>8374753183</v>
      </c>
      <c r="M27" s="19">
        <f>SUMIF(Realisasi!$E:$E,Highlight!$X27,Realisasi!M:M)</f>
        <v>3032459304</v>
      </c>
      <c r="N27" s="19">
        <f>SUMIF(Realisasi!$E:$E,Highlight!$X27,Realisasi!N:N)</f>
        <v>89000</v>
      </c>
      <c r="O27" s="19">
        <f>SUMIF(Realisasi!$E:$E,Highlight!$X27,Realisasi!O:O)</f>
        <v>1909000</v>
      </c>
      <c r="P27" s="19">
        <f t="shared" si="1"/>
        <v>13735718053</v>
      </c>
      <c r="R27" s="19">
        <f>SUMIF(Realisasi!$E:$E,Highlight!$X27,Realisasi!P:P)</f>
        <v>7426824</v>
      </c>
      <c r="S27" s="19">
        <f>SUMIF(Realisasi!$E:$E,Highlight!$X27,Realisasi!Q:Q)</f>
        <v>76437593</v>
      </c>
      <c r="T27" s="19">
        <f>SUMIF(Realisasi!$E:$E,Highlight!$X27,Realisasi!R:R)</f>
        <v>54548727</v>
      </c>
      <c r="U27" s="19">
        <f>SUMIF(Realisasi!$E:$E,Highlight!$X27,Realisasi!S:S)</f>
        <v>267</v>
      </c>
      <c r="V27" s="19">
        <f>SUMIF(Realisasi!$E:$E,Highlight!$X27,Realisasi!T:T)</f>
        <v>5727</v>
      </c>
      <c r="W27" s="19">
        <f t="shared" si="2"/>
        <v>138419138</v>
      </c>
      <c r="X27" s="11" t="str">
        <f t="shared" si="3"/>
        <v>ALFA GROUP202409</v>
      </c>
    </row>
    <row r="28" spans="1:24" s="9" customFormat="1" ht="15" customHeight="1" x14ac:dyDescent="0.25">
      <c r="A28" s="28" t="s">
        <v>25</v>
      </c>
      <c r="B28" s="16">
        <v>45566</v>
      </c>
      <c r="D28" s="19">
        <f>SUMIF(Realisasi!$E:$E,Highlight!$X28,Realisasi!F:F)</f>
        <v>24256</v>
      </c>
      <c r="E28" s="19">
        <f>SUMIF(Realisasi!$E:$E,Highlight!$X28,Realisasi!G:G)</f>
        <v>74140</v>
      </c>
      <c r="F28" s="19">
        <f>SUMIF(Realisasi!$E:$E,Highlight!$X28,Realisasi!H:H)</f>
        <v>22616</v>
      </c>
      <c r="G28" s="19">
        <f>SUMIF(Realisasi!$E:$E,Highlight!$X28,Realisasi!I:I)</f>
        <v>9</v>
      </c>
      <c r="H28" s="19">
        <f>SUMIF(Realisasi!$E:$E,Highlight!$X28,Realisasi!J:J)</f>
        <v>90</v>
      </c>
      <c r="I28" s="20">
        <f t="shared" si="0"/>
        <v>121111</v>
      </c>
      <c r="J28" s="22"/>
      <c r="K28" s="19">
        <f>SUMIF(Realisasi!$E:$E,Highlight!$X28,Realisasi!K:K)</f>
        <v>2345739119</v>
      </c>
      <c r="L28" s="19">
        <f>SUMIF(Realisasi!$E:$E,Highlight!$X28,Realisasi!L:L)</f>
        <v>7491031410</v>
      </c>
      <c r="M28" s="19">
        <f>SUMIF(Realisasi!$E:$E,Highlight!$X28,Realisasi!M:M)</f>
        <v>3335397519</v>
      </c>
      <c r="N28" s="19">
        <f>SUMIF(Realisasi!$E:$E,Highlight!$X28,Realisasi!N:N)</f>
        <v>122200</v>
      </c>
      <c r="O28" s="19">
        <f>SUMIF(Realisasi!$E:$E,Highlight!$X28,Realisasi!O:O)</f>
        <v>1336468</v>
      </c>
      <c r="P28" s="19">
        <f t="shared" si="1"/>
        <v>13173626716</v>
      </c>
      <c r="R28" s="19">
        <f>SUMIF(Realisasi!$E:$E,Highlight!$X28,Realisasi!P:P)</f>
        <v>3518606</v>
      </c>
      <c r="S28" s="19">
        <f>SUMIF(Realisasi!$E:$E,Highlight!$X28,Realisasi!Q:Q)</f>
        <v>74909516</v>
      </c>
      <c r="T28" s="19">
        <f>SUMIF(Realisasi!$E:$E,Highlight!$X28,Realisasi!R:R)</f>
        <v>59987337</v>
      </c>
      <c r="U28" s="19">
        <f>SUMIF(Realisasi!$E:$E,Highlight!$X28,Realisasi!S:S)</f>
        <v>0</v>
      </c>
      <c r="V28" s="19">
        <f>SUMIF(Realisasi!$E:$E,Highlight!$X28,Realisasi!T:T)</f>
        <v>1596</v>
      </c>
      <c r="W28" s="19">
        <f t="shared" si="2"/>
        <v>138417055</v>
      </c>
      <c r="X28" s="11" t="str">
        <f t="shared" si="3"/>
        <v>ALFA GROUP202410</v>
      </c>
    </row>
    <row r="29" spans="1:24" s="9" customFormat="1" ht="15" customHeight="1" x14ac:dyDescent="0.25">
      <c r="A29" s="28" t="s">
        <v>26</v>
      </c>
      <c r="B29" s="16">
        <v>45597</v>
      </c>
      <c r="D29" s="19">
        <f>SUMIF(Realisasi!$E:$E,Highlight!$X29,Realisasi!F:F)</f>
        <v>23048</v>
      </c>
      <c r="E29" s="19">
        <f>SUMIF(Realisasi!$E:$E,Highlight!$X29,Realisasi!G:G)</f>
        <v>70592</v>
      </c>
      <c r="F29" s="19">
        <f>SUMIF(Realisasi!$E:$E,Highlight!$X29,Realisasi!H:H)</f>
        <v>25251</v>
      </c>
      <c r="G29" s="19">
        <f>SUMIF(Realisasi!$E:$E,Highlight!$X29,Realisasi!I:I)</f>
        <v>188</v>
      </c>
      <c r="H29" s="19">
        <f>SUMIF(Realisasi!$E:$E,Highlight!$X29,Realisasi!J:J)</f>
        <v>212</v>
      </c>
      <c r="I29" s="20">
        <f t="shared" si="0"/>
        <v>119291</v>
      </c>
      <c r="J29" s="22"/>
      <c r="K29" s="19">
        <f>SUMIF(Realisasi!$E:$E,Highlight!$X29,Realisasi!K:K)</f>
        <v>2264147238</v>
      </c>
      <c r="L29" s="19">
        <f>SUMIF(Realisasi!$E:$E,Highlight!$X29,Realisasi!L:L)</f>
        <v>7338323563</v>
      </c>
      <c r="M29" s="19">
        <f>SUMIF(Realisasi!$E:$E,Highlight!$X29,Realisasi!M:M)</f>
        <v>3776677559</v>
      </c>
      <c r="N29" s="19">
        <f>SUMIF(Realisasi!$E:$E,Highlight!$X29,Realisasi!N:N)</f>
        <v>18336915</v>
      </c>
      <c r="O29" s="19">
        <f>SUMIF(Realisasi!$E:$E,Highlight!$X29,Realisasi!O:O)</f>
        <v>3237407</v>
      </c>
      <c r="P29" s="19">
        <f t="shared" si="1"/>
        <v>13400722682</v>
      </c>
      <c r="R29" s="19">
        <f>SUMIF(Realisasi!$E:$E,Highlight!$X29,Realisasi!P:P)</f>
        <v>3396218</v>
      </c>
      <c r="S29" s="19">
        <f>SUMIF(Realisasi!$E:$E,Highlight!$X29,Realisasi!Q:Q)</f>
        <v>73383236</v>
      </c>
      <c r="T29" s="19">
        <f>SUMIF(Realisasi!$E:$E,Highlight!$X29,Realisasi!R:R)</f>
        <v>67926250</v>
      </c>
      <c r="U29" s="19">
        <f>SUMIF(Realisasi!$E:$E,Highlight!$X29,Realisasi!S:S)</f>
        <v>3021</v>
      </c>
      <c r="V29" s="19">
        <f>SUMIF(Realisasi!$E:$E,Highlight!$X29,Realisasi!T:T)</f>
        <v>10164</v>
      </c>
      <c r="W29" s="19">
        <f t="shared" si="2"/>
        <v>144718889</v>
      </c>
      <c r="X29" s="11" t="str">
        <f t="shared" si="3"/>
        <v>ALFA GROUP202411</v>
      </c>
    </row>
    <row r="30" spans="1:24" s="9" customFormat="1" ht="15" customHeight="1" x14ac:dyDescent="0.25">
      <c r="A30" s="28" t="s">
        <v>27</v>
      </c>
      <c r="B30" s="16">
        <v>45627</v>
      </c>
      <c r="D30" s="19">
        <f>SUMIF(Realisasi!$E:$E,Highlight!$X30,Realisasi!F:F)</f>
        <v>23418</v>
      </c>
      <c r="E30" s="19">
        <f>SUMIF(Realisasi!$E:$E,Highlight!$X30,Realisasi!G:G)</f>
        <v>71015</v>
      </c>
      <c r="F30" s="19">
        <f>SUMIF(Realisasi!$E:$E,Highlight!$X30,Realisasi!H:H)</f>
        <v>22227</v>
      </c>
      <c r="G30" s="19">
        <f>SUMIF(Realisasi!$E:$E,Highlight!$X30,Realisasi!I:I)</f>
        <v>26</v>
      </c>
      <c r="H30" s="19">
        <f>SUMIF(Realisasi!$E:$E,Highlight!$X30,Realisasi!J:J)</f>
        <v>246</v>
      </c>
      <c r="I30" s="20">
        <f t="shared" si="0"/>
        <v>116932</v>
      </c>
      <c r="J30" s="22"/>
      <c r="K30" s="19">
        <f>SUMIF(Realisasi!$E:$E,Highlight!$X30,Realisasi!K:K)</f>
        <v>2404627964</v>
      </c>
      <c r="L30" s="19">
        <f>SUMIF(Realisasi!$E:$E,Highlight!$X30,Realisasi!L:L)</f>
        <v>7606631818</v>
      </c>
      <c r="M30" s="19">
        <f>SUMIF(Realisasi!$E:$E,Highlight!$X30,Realisasi!M:M)</f>
        <v>3352983151</v>
      </c>
      <c r="N30" s="19">
        <f>SUMIF(Realisasi!$E:$E,Highlight!$X30,Realisasi!N:N)</f>
        <v>1367800</v>
      </c>
      <c r="O30" s="19">
        <f>SUMIF(Realisasi!$E:$E,Highlight!$X30,Realisasi!O:O)</f>
        <v>9104749</v>
      </c>
      <c r="P30" s="19">
        <f t="shared" si="1"/>
        <v>13374715482</v>
      </c>
      <c r="R30" s="19">
        <f>SUMIF(Realisasi!$E:$E,Highlight!$X30,Realisasi!P:P)</f>
        <v>3606938</v>
      </c>
      <c r="S30" s="19">
        <f>SUMIF(Realisasi!$E:$E,Highlight!$X30,Realisasi!Q:Q)</f>
        <v>76066318</v>
      </c>
      <c r="T30" s="19">
        <f>SUMIF(Realisasi!$E:$E,Highlight!$X30,Realisasi!R:R)</f>
        <v>60297942</v>
      </c>
      <c r="U30" s="19">
        <f>SUMIF(Realisasi!$E:$E,Highlight!$X30,Realisasi!S:S)</f>
        <v>1153</v>
      </c>
      <c r="V30" s="19">
        <f>SUMIF(Realisasi!$E:$E,Highlight!$X30,Realisasi!T:T)</f>
        <v>33636</v>
      </c>
      <c r="W30" s="19">
        <f t="shared" si="2"/>
        <v>140005987</v>
      </c>
      <c r="X30" s="11" t="str">
        <f t="shared" si="3"/>
        <v>ALFA GROUP202412</v>
      </c>
    </row>
    <row r="31" spans="1:24" s="9" customFormat="1" ht="15" customHeight="1" x14ac:dyDescent="0.25">
      <c r="A31" s="7"/>
      <c r="B31" s="17" t="s">
        <v>28</v>
      </c>
      <c r="D31" s="23">
        <f>SUM(D19:D30)</f>
        <v>260877</v>
      </c>
      <c r="E31" s="23">
        <f t="shared" ref="E31:I31" si="4">SUM(E19:E30)</f>
        <v>910414</v>
      </c>
      <c r="F31" s="23">
        <f t="shared" si="4"/>
        <v>195241</v>
      </c>
      <c r="G31" s="23">
        <f t="shared" si="4"/>
        <v>267</v>
      </c>
      <c r="H31" s="23">
        <f t="shared" si="4"/>
        <v>718</v>
      </c>
      <c r="I31" s="23">
        <f t="shared" si="4"/>
        <v>1367517</v>
      </c>
      <c r="J31" s="22"/>
      <c r="K31" s="23">
        <f>SUM(K19:K30)</f>
        <v>27061760885</v>
      </c>
      <c r="L31" s="23">
        <f t="shared" ref="L31" si="5">SUM(L19:L30)</f>
        <v>98737437268</v>
      </c>
      <c r="M31" s="23">
        <f t="shared" ref="M31" si="6">SUM(M19:M30)</f>
        <v>30175380991</v>
      </c>
      <c r="N31" s="23">
        <f t="shared" ref="N31" si="7">SUM(N19:N30)</f>
        <v>20177915</v>
      </c>
      <c r="O31" s="23">
        <f t="shared" ref="O31" si="8">SUM(O19:O30)</f>
        <v>17065924</v>
      </c>
      <c r="P31" s="23">
        <f t="shared" ref="P31" si="9">SUM(P19:P30)</f>
        <v>156011822983</v>
      </c>
      <c r="R31" s="23">
        <f>SUM(R19:R30)</f>
        <v>44529667</v>
      </c>
      <c r="S31" s="23">
        <f t="shared" ref="S31" si="10">SUM(S19:S30)</f>
        <v>919434561</v>
      </c>
      <c r="T31" s="23">
        <f t="shared" ref="T31" si="11">SUM(T19:T30)</f>
        <v>542668760</v>
      </c>
      <c r="U31" s="23">
        <f t="shared" ref="U31" si="12">SUM(U19:U30)</f>
        <v>5229</v>
      </c>
      <c r="V31" s="23">
        <f t="shared" ref="V31" si="13">SUM(V19:V30)</f>
        <v>55605</v>
      </c>
      <c r="W31" s="23">
        <f t="shared" ref="W31" si="14">SUM(W19:W30)</f>
        <v>1506693822</v>
      </c>
      <c r="X31" s="7"/>
    </row>
    <row r="32" spans="1:24" s="9" customFormat="1" ht="15" customHeight="1" x14ac:dyDescent="0.25">
      <c r="A32" s="7"/>
      <c r="B32" s="12" t="s">
        <v>29</v>
      </c>
      <c r="C32" s="13"/>
      <c r="D32" s="24">
        <f>AVERAGE(D19:D30)</f>
        <v>21739.75</v>
      </c>
      <c r="E32" s="24">
        <f t="shared" ref="E32:I32" si="15">AVERAGE(E19:E30)</f>
        <v>75867.833333333328</v>
      </c>
      <c r="F32" s="24">
        <f t="shared" si="15"/>
        <v>16270.083333333334</v>
      </c>
      <c r="G32" s="24">
        <f t="shared" si="15"/>
        <v>22.25</v>
      </c>
      <c r="H32" s="24">
        <f t="shared" si="15"/>
        <v>59.833333333333336</v>
      </c>
      <c r="I32" s="24">
        <f t="shared" si="15"/>
        <v>113959.75</v>
      </c>
      <c r="J32" s="25"/>
      <c r="K32" s="24">
        <f>AVERAGE(K19:K30)</f>
        <v>2255146740.4166665</v>
      </c>
      <c r="L32" s="24">
        <f t="shared" ref="L32:P32" si="16">AVERAGE(L19:L30)</f>
        <v>8228119772.333333</v>
      </c>
      <c r="M32" s="24">
        <f t="shared" si="16"/>
        <v>2514615082.5833335</v>
      </c>
      <c r="N32" s="24">
        <f t="shared" si="16"/>
        <v>1681492.9166666667</v>
      </c>
      <c r="O32" s="24">
        <f t="shared" si="16"/>
        <v>1422160.3333333333</v>
      </c>
      <c r="P32" s="24">
        <f t="shared" si="16"/>
        <v>13000985248.583334</v>
      </c>
      <c r="Q32" s="13"/>
      <c r="R32" s="24">
        <f>AVERAGE(R19:R30)</f>
        <v>3710805.5833333335</v>
      </c>
      <c r="S32" s="24">
        <f t="shared" ref="S32:W32" si="17">AVERAGE(S19:S30)</f>
        <v>76619546.75</v>
      </c>
      <c r="T32" s="24">
        <f t="shared" si="17"/>
        <v>45222396.666666664</v>
      </c>
      <c r="U32" s="24">
        <f t="shared" si="17"/>
        <v>435.75</v>
      </c>
      <c r="V32" s="24">
        <f t="shared" si="17"/>
        <v>4633.75</v>
      </c>
      <c r="W32" s="24">
        <f t="shared" si="17"/>
        <v>125557818.5</v>
      </c>
      <c r="X32" s="7"/>
    </row>
    <row r="33" spans="1:24" s="9" customFormat="1" ht="15" customHeight="1" x14ac:dyDescent="0.25">
      <c r="A33" s="28" t="s">
        <v>30</v>
      </c>
      <c r="B33" s="16">
        <v>45658</v>
      </c>
      <c r="D33" s="19">
        <f>SUMIF(Realisasi!$E:$E,Highlight!$X33,Realisasi!F:F)</f>
        <v>22997</v>
      </c>
      <c r="E33" s="19">
        <f>SUMIF(Realisasi!$E:$E,Highlight!$X33,Realisasi!G:G)</f>
        <v>68550</v>
      </c>
      <c r="F33" s="19">
        <f>SUMIF(Realisasi!$E:$E,Highlight!$X33,Realisasi!H:H)</f>
        <v>22190</v>
      </c>
      <c r="G33" s="19">
        <f>SUMIF(Realisasi!$E:$E,Highlight!$X33,Realisasi!I:I)</f>
        <v>18</v>
      </c>
      <c r="H33" s="19">
        <f>SUMIF(Realisasi!$E:$E,Highlight!$X33,Realisasi!J:J)</f>
        <v>491</v>
      </c>
      <c r="I33" s="20">
        <f t="shared" ref="I33:I42" si="18">SUM(D33:H33)</f>
        <v>114246</v>
      </c>
      <c r="J33" s="22"/>
      <c r="K33" s="19">
        <f>SUMIF(Realisasi!$E:$E,Highlight!$X33,Realisasi!K:K)</f>
        <v>2357758031</v>
      </c>
      <c r="L33" s="19">
        <f>SUMIF(Realisasi!$E:$E,Highlight!$X33,Realisasi!L:L)</f>
        <v>7386991780</v>
      </c>
      <c r="M33" s="19">
        <f>SUMIF(Realisasi!$E:$E,Highlight!$X33,Realisasi!M:M)</f>
        <v>3306140328</v>
      </c>
      <c r="N33" s="19">
        <f>SUMIF(Realisasi!$E:$E,Highlight!$X33,Realisasi!N:N)</f>
        <v>732600</v>
      </c>
      <c r="O33" s="19">
        <f>SUMIF(Realisasi!$E:$E,Highlight!$X33,Realisasi!O:O)</f>
        <v>24575667</v>
      </c>
      <c r="P33" s="19">
        <f t="shared" ref="P33:P42" si="19">SUM(K33:O33)</f>
        <v>13076198406</v>
      </c>
      <c r="R33" s="19">
        <f>SUMIF(Realisasi!$E:$E,Highlight!$X33,Realisasi!P:P)</f>
        <v>3536634</v>
      </c>
      <c r="S33" s="19">
        <f>SUMIF(Realisasi!$E:$E,Highlight!$X33,Realisasi!Q:Q)</f>
        <v>73869918</v>
      </c>
      <c r="T33" s="19">
        <f>SUMIF(Realisasi!$E:$E,Highlight!$X33,Realisasi!R:R)</f>
        <v>59392003</v>
      </c>
      <c r="U33" s="19">
        <f>SUMIF(Realisasi!$E:$E,Highlight!$X33,Realisasi!S:S)</f>
        <v>730</v>
      </c>
      <c r="V33" s="19">
        <f>SUMIF(Realisasi!$E:$E,Highlight!$X33,Realisasi!T:T)</f>
        <v>39432</v>
      </c>
      <c r="W33" s="19">
        <f t="shared" ref="W33:W42" si="20">SUM(R33:V33)</f>
        <v>136838717</v>
      </c>
      <c r="X33" s="11" t="str">
        <f>CONCATENATE(A$18,A33)</f>
        <v>ALFA GROUP202501</v>
      </c>
    </row>
    <row r="34" spans="1:24" s="9" customFormat="1" ht="15" customHeight="1" x14ac:dyDescent="0.25">
      <c r="A34" s="28" t="s">
        <v>31</v>
      </c>
      <c r="B34" s="16">
        <v>45689</v>
      </c>
      <c r="D34" s="19">
        <f>SUMIF(Realisasi!$E:$E,Highlight!$X34,Realisasi!F:F)</f>
        <v>21799</v>
      </c>
      <c r="E34" s="19">
        <f>SUMIF(Realisasi!$E:$E,Highlight!$X34,Realisasi!G:G)</f>
        <v>66448</v>
      </c>
      <c r="F34" s="19">
        <f>SUMIF(Realisasi!$E:$E,Highlight!$X34,Realisasi!H:H)</f>
        <v>21938</v>
      </c>
      <c r="G34" s="19">
        <f>SUMIF(Realisasi!$E:$E,Highlight!$X34,Realisasi!I:I)</f>
        <v>35</v>
      </c>
      <c r="H34" s="19">
        <f>SUMIF(Realisasi!$E:$E,Highlight!$X34,Realisasi!J:J)</f>
        <v>437</v>
      </c>
      <c r="I34" s="20">
        <f t="shared" si="18"/>
        <v>110657</v>
      </c>
      <c r="J34" s="22"/>
      <c r="K34" s="19">
        <f>SUMIF(Realisasi!$E:$E,Highlight!$X34,Realisasi!K:K)</f>
        <v>2250063826</v>
      </c>
      <c r="L34" s="19">
        <f>SUMIF(Realisasi!$E:$E,Highlight!$X34,Realisasi!L:L)</f>
        <v>7242576017</v>
      </c>
      <c r="M34" s="19">
        <f>SUMIF(Realisasi!$E:$E,Highlight!$X34,Realisasi!M:M)</f>
        <v>3301500712</v>
      </c>
      <c r="N34" s="19">
        <f>SUMIF(Realisasi!$E:$E,Highlight!$X34,Realisasi!N:N)</f>
        <v>780500</v>
      </c>
      <c r="O34" s="19">
        <f>SUMIF(Realisasi!$E:$E,Highlight!$X34,Realisasi!O:O)</f>
        <v>19665000</v>
      </c>
      <c r="P34" s="19">
        <f t="shared" si="19"/>
        <v>12814586055</v>
      </c>
      <c r="R34" s="19">
        <f>SUMIF(Realisasi!$E:$E,Highlight!$X34,Realisasi!P:P)</f>
        <v>3375093</v>
      </c>
      <c r="S34" s="19">
        <f>SUMIF(Realisasi!$E:$E,Highlight!$X34,Realisasi!Q:Q)</f>
        <v>72425761</v>
      </c>
      <c r="T34" s="19">
        <f>SUMIF(Realisasi!$E:$E,Highlight!$X34,Realisasi!R:R)</f>
        <v>59178495</v>
      </c>
      <c r="U34" s="19">
        <f>SUMIF(Realisasi!$E:$E,Highlight!$X34,Realisasi!S:S)</f>
        <v>280</v>
      </c>
      <c r="V34" s="19">
        <f>SUMIF(Realisasi!$E:$E,Highlight!$X34,Realisasi!T:T)</f>
        <v>25513</v>
      </c>
      <c r="W34" s="19">
        <f t="shared" si="20"/>
        <v>135005142</v>
      </c>
      <c r="X34" s="11" t="str">
        <f>CONCATENATE(A$18,A34)</f>
        <v>ALFA GROUP202502</v>
      </c>
    </row>
    <row r="35" spans="1:24" s="9" customFormat="1" ht="15" customHeight="1" x14ac:dyDescent="0.25">
      <c r="A35" s="28" t="s">
        <v>32</v>
      </c>
      <c r="B35" s="16">
        <v>45717</v>
      </c>
      <c r="D35" s="19">
        <f>SUMIF(Realisasi!$E:$E,Highlight!$X35,Realisasi!F:F)</f>
        <v>24754</v>
      </c>
      <c r="E35" s="19">
        <f>SUMIF(Realisasi!$E:$E,Highlight!$X35,Realisasi!G:G)</f>
        <v>86537</v>
      </c>
      <c r="F35" s="19">
        <f>SUMIF(Realisasi!$E:$E,Highlight!$X35,Realisasi!H:H)</f>
        <v>23087</v>
      </c>
      <c r="G35" s="19">
        <f>SUMIF(Realisasi!$E:$E,Highlight!$X35,Realisasi!I:I)</f>
        <v>17</v>
      </c>
      <c r="H35" s="19">
        <f>SUMIF(Realisasi!$E:$E,Highlight!$X35,Realisasi!J:J)</f>
        <v>215</v>
      </c>
      <c r="I35" s="20">
        <f t="shared" si="18"/>
        <v>134610</v>
      </c>
      <c r="J35" s="22"/>
      <c r="K35" s="19">
        <f>SUMIF(Realisasi!$E:$E,Highlight!$X35,Realisasi!K:K)</f>
        <v>2924293659</v>
      </c>
      <c r="L35" s="19">
        <f>SUMIF(Realisasi!$E:$E,Highlight!$X35,Realisasi!L:L)</f>
        <v>10334859877</v>
      </c>
      <c r="M35" s="19">
        <f>SUMIF(Realisasi!$E:$E,Highlight!$X35,Realisasi!M:M)</f>
        <v>3832544468</v>
      </c>
      <c r="N35" s="19">
        <f>SUMIF(Realisasi!$E:$E,Highlight!$X35,Realisasi!N:N)</f>
        <v>724000</v>
      </c>
      <c r="O35" s="19">
        <f>SUMIF(Realisasi!$E:$E,Highlight!$X35,Realisasi!O:O)</f>
        <v>16063700</v>
      </c>
      <c r="P35" s="19">
        <f t="shared" si="19"/>
        <v>17108485704</v>
      </c>
      <c r="R35" s="19">
        <f>SUMIF(Realisasi!$E:$E,Highlight!$X35,Realisasi!P:P)</f>
        <v>4386438</v>
      </c>
      <c r="S35" s="19">
        <f>SUMIF(Realisasi!$E:$E,Highlight!$X35,Realisasi!Q:Q)</f>
        <v>103348599</v>
      </c>
      <c r="T35" s="19">
        <f>SUMIF(Realisasi!$E:$E,Highlight!$X35,Realisasi!R:R)</f>
        <v>68644486</v>
      </c>
      <c r="U35" s="19">
        <f>SUMIF(Realisasi!$E:$E,Highlight!$X35,Realisasi!S:S)</f>
        <v>546</v>
      </c>
      <c r="V35" s="19">
        <f>SUMIF(Realisasi!$E:$E,Highlight!$X35,Realisasi!T:T)</f>
        <v>24301</v>
      </c>
      <c r="W35" s="19">
        <f t="shared" si="20"/>
        <v>176404370</v>
      </c>
      <c r="X35" s="11" t="str">
        <f t="shared" ref="X35:X44" si="21">CONCATENATE(A$18,A35)</f>
        <v>ALFA GROUP202503</v>
      </c>
    </row>
    <row r="36" spans="1:24" s="9" customFormat="1" ht="15" customHeight="1" x14ac:dyDescent="0.25">
      <c r="A36" s="28" t="s">
        <v>33</v>
      </c>
      <c r="B36" s="16">
        <v>45748</v>
      </c>
      <c r="D36" s="19">
        <f>SUMIF(Realisasi!$E:$E,Highlight!$X36,Realisasi!F:F)</f>
        <v>22089</v>
      </c>
      <c r="E36" s="19">
        <f>SUMIF(Realisasi!$E:$E,Highlight!$X36,Realisasi!G:G)</f>
        <v>71432</v>
      </c>
      <c r="F36" s="19">
        <f>SUMIF(Realisasi!$E:$E,Highlight!$X36,Realisasi!H:H)</f>
        <v>20963</v>
      </c>
      <c r="G36" s="19">
        <f>SUMIF(Realisasi!$E:$E,Highlight!$X36,Realisasi!I:I)</f>
        <v>13</v>
      </c>
      <c r="H36" s="19">
        <f>SUMIF(Realisasi!$E:$E,Highlight!$X36,Realisasi!J:J)</f>
        <v>274</v>
      </c>
      <c r="I36" s="20">
        <f t="shared" si="18"/>
        <v>114771</v>
      </c>
      <c r="J36" s="22"/>
      <c r="K36" s="19">
        <f>SUMIF(Realisasi!$E:$E,Highlight!$X36,Realisasi!K:K)</f>
        <v>2252685289</v>
      </c>
      <c r="L36" s="19">
        <f>SUMIF(Realisasi!$E:$E,Highlight!$X36,Realisasi!L:L)</f>
        <v>7503978381</v>
      </c>
      <c r="M36" s="19">
        <f>SUMIF(Realisasi!$E:$E,Highlight!$X36,Realisasi!M:M)</f>
        <v>3011472419</v>
      </c>
      <c r="N36" s="19">
        <f>SUMIF(Realisasi!$E:$E,Highlight!$X36,Realisasi!N:N)</f>
        <v>869200</v>
      </c>
      <c r="O36" s="19">
        <f>SUMIF(Realisasi!$E:$E,Highlight!$X36,Realisasi!O:O)</f>
        <v>14664300</v>
      </c>
      <c r="P36" s="19">
        <f t="shared" si="19"/>
        <v>12783669589</v>
      </c>
      <c r="R36" s="19">
        <f>SUMIF(Realisasi!$E:$E,Highlight!$X36,Realisasi!P:P)</f>
        <v>3379024</v>
      </c>
      <c r="S36" s="19">
        <f>SUMIF(Realisasi!$E:$E,Highlight!$X36,Realisasi!Q:Q)</f>
        <v>75039784</v>
      </c>
      <c r="T36" s="19">
        <f>SUMIF(Realisasi!$E:$E,Highlight!$X36,Realisasi!R:R)</f>
        <v>53939547</v>
      </c>
      <c r="U36" s="19">
        <f>SUMIF(Realisasi!$E:$E,Highlight!$X36,Realisasi!S:S)</f>
        <v>2498</v>
      </c>
      <c r="V36" s="19">
        <f>SUMIF(Realisasi!$E:$E,Highlight!$X36,Realisasi!T:T)</f>
        <v>13911</v>
      </c>
      <c r="W36" s="19">
        <f t="shared" si="20"/>
        <v>132374764</v>
      </c>
      <c r="X36" s="11" t="str">
        <f t="shared" si="21"/>
        <v>ALFA GROUP202504</v>
      </c>
    </row>
    <row r="37" spans="1:24" s="9" customFormat="1" ht="15" customHeight="1" x14ac:dyDescent="0.25">
      <c r="A37" s="28" t="s">
        <v>34</v>
      </c>
      <c r="B37" s="16">
        <v>45778</v>
      </c>
      <c r="D37" s="19">
        <f>SUMIF(Realisasi!$E:$E,Highlight!$X37,Realisasi!F:F)</f>
        <v>19905</v>
      </c>
      <c r="E37" s="19">
        <f>SUMIF(Realisasi!$E:$E,Highlight!$X37,Realisasi!G:G)</f>
        <v>64277</v>
      </c>
      <c r="F37" s="19">
        <f>SUMIF(Realisasi!$E:$E,Highlight!$X37,Realisasi!H:H)</f>
        <v>20517</v>
      </c>
      <c r="G37" s="19">
        <f>SUMIF(Realisasi!$E:$E,Highlight!$X37,Realisasi!I:I)</f>
        <v>26</v>
      </c>
      <c r="H37" s="19">
        <f>SUMIF(Realisasi!$E:$E,Highlight!$X37,Realisasi!J:J)</f>
        <v>358</v>
      </c>
      <c r="I37" s="20">
        <f t="shared" si="18"/>
        <v>105083</v>
      </c>
      <c r="J37" s="22"/>
      <c r="K37" s="19">
        <f>SUMIF(Realisasi!$E:$E,Highlight!$X37,Realisasi!K:K)</f>
        <v>1997239662</v>
      </c>
      <c r="L37" s="19">
        <f>SUMIF(Realisasi!$E:$E,Highlight!$X37,Realisasi!L:L)</f>
        <v>6569143301</v>
      </c>
      <c r="M37" s="19">
        <f>SUMIF(Realisasi!$E:$E,Highlight!$X37,Realisasi!M:M)</f>
        <v>2938618660</v>
      </c>
      <c r="N37" s="19">
        <f>SUMIF(Realisasi!$E:$E,Highlight!$X37,Realisasi!N:N)</f>
        <v>932700</v>
      </c>
      <c r="O37" s="19">
        <f>SUMIF(Realisasi!$E:$E,Highlight!$X37,Realisasi!O:O)</f>
        <v>17996501</v>
      </c>
      <c r="P37" s="19">
        <f t="shared" si="19"/>
        <v>11523930824</v>
      </c>
      <c r="R37" s="19">
        <f>SUMIF(Realisasi!$E:$E,Highlight!$X37,Realisasi!P:P)</f>
        <v>2995856</v>
      </c>
      <c r="S37" s="19">
        <f>SUMIF(Realisasi!$E:$E,Highlight!$X37,Realisasi!Q:Q)</f>
        <v>65691433</v>
      </c>
      <c r="T37" s="19">
        <f>SUMIF(Realisasi!$E:$E,Highlight!$X37,Realisasi!R:R)</f>
        <v>52641548</v>
      </c>
      <c r="U37" s="19">
        <f>SUMIF(Realisasi!$E:$E,Highlight!$X37,Realisasi!S:S)</f>
        <v>64</v>
      </c>
      <c r="V37" s="19">
        <f>SUMIF(Realisasi!$E:$E,Highlight!$X37,Realisasi!T:T)</f>
        <v>17949</v>
      </c>
      <c r="W37" s="19">
        <f t="shared" si="20"/>
        <v>121346850</v>
      </c>
      <c r="X37" s="11" t="str">
        <f t="shared" si="21"/>
        <v>ALFA GROUP202505</v>
      </c>
    </row>
    <row r="38" spans="1:24" s="9" customFormat="1" ht="15" customHeight="1" x14ac:dyDescent="0.25">
      <c r="A38" s="28" t="s">
        <v>35</v>
      </c>
      <c r="B38" s="16">
        <v>45809</v>
      </c>
      <c r="D38" s="19">
        <f>SUMIF(Realisasi!$E:$E,Highlight!$X38,Realisasi!F:F)</f>
        <v>22294</v>
      </c>
      <c r="E38" s="19">
        <f>SUMIF(Realisasi!$E:$E,Highlight!$X38,Realisasi!G:G)</f>
        <v>80610</v>
      </c>
      <c r="F38" s="19">
        <f>SUMIF(Realisasi!$E:$E,Highlight!$X38,Realisasi!H:H)</f>
        <v>23291</v>
      </c>
      <c r="G38" s="19">
        <f>SUMIF(Realisasi!$E:$E,Highlight!$X38,Realisasi!I:I)</f>
        <v>26</v>
      </c>
      <c r="H38" s="19">
        <f>SUMIF(Realisasi!$E:$E,Highlight!$X38,Realisasi!J:J)</f>
        <v>374</v>
      </c>
      <c r="I38" s="20">
        <f t="shared" si="18"/>
        <v>126595</v>
      </c>
      <c r="J38" s="22"/>
      <c r="K38" s="19">
        <f>SUMIF(Realisasi!$E:$E,Highlight!$X38,Realisasi!K:K)</f>
        <v>2282723076</v>
      </c>
      <c r="L38" s="19">
        <f>SUMIF(Realisasi!$E:$E,Highlight!$X38,Realisasi!L:L)</f>
        <v>8577464438</v>
      </c>
      <c r="M38" s="19">
        <f>SUMIF(Realisasi!$E:$E,Highlight!$X38,Realisasi!M:M)</f>
        <v>3320134443</v>
      </c>
      <c r="N38" s="19">
        <f>SUMIF(Realisasi!$E:$E,Highlight!$X38,Realisasi!N:N)</f>
        <v>2015058</v>
      </c>
      <c r="O38" s="19">
        <f>SUMIF(Realisasi!$E:$E,Highlight!$X38,Realisasi!O:O)</f>
        <v>22631385</v>
      </c>
      <c r="P38" s="19">
        <f t="shared" si="19"/>
        <v>14204968400</v>
      </c>
      <c r="R38" s="19">
        <f>SUMIF(Realisasi!$E:$E,Highlight!$X38,Realisasi!P:P)</f>
        <v>3424081</v>
      </c>
      <c r="S38" s="19">
        <f>SUMIF(Realisasi!$E:$E,Highlight!$X38,Realisasi!Q:Q)</f>
        <v>85774645</v>
      </c>
      <c r="T38" s="19">
        <f>SUMIF(Realisasi!$E:$E,Highlight!$X38,Realisasi!R:R)</f>
        <v>59451642</v>
      </c>
      <c r="U38" s="19">
        <f>SUMIF(Realisasi!$E:$E,Highlight!$X38,Realisasi!S:S)</f>
        <v>7276</v>
      </c>
      <c r="V38" s="19">
        <f>SUMIF(Realisasi!$E:$E,Highlight!$X38,Realisasi!T:T)</f>
        <v>20939</v>
      </c>
      <c r="W38" s="19">
        <f t="shared" si="20"/>
        <v>148678583</v>
      </c>
      <c r="X38" s="11" t="str">
        <f t="shared" si="21"/>
        <v>ALFA GROUP202506</v>
      </c>
    </row>
    <row r="39" spans="1:24" s="9" customFormat="1" ht="15" customHeight="1" x14ac:dyDescent="0.25">
      <c r="A39" s="28" t="s">
        <v>36</v>
      </c>
      <c r="B39" s="16">
        <v>45839</v>
      </c>
      <c r="D39" s="19">
        <f>SUMIF(Realisasi!$E:$E,Highlight!$X39,Realisasi!F:F)</f>
        <v>22936</v>
      </c>
      <c r="E39" s="19">
        <f>SUMIF(Realisasi!$E:$E,Highlight!$X39,Realisasi!G:G)</f>
        <v>81425</v>
      </c>
      <c r="F39" s="19">
        <f>SUMIF(Realisasi!$E:$E,Highlight!$X39,Realisasi!H:H)</f>
        <v>24766</v>
      </c>
      <c r="G39" s="19">
        <f>SUMIF(Realisasi!$E:$E,Highlight!$X39,Realisasi!I:I)</f>
        <v>29</v>
      </c>
      <c r="H39" s="19">
        <f>SUMIF(Realisasi!$E:$E,Highlight!$X39,Realisasi!J:J)</f>
        <v>485</v>
      </c>
      <c r="I39" s="20">
        <f t="shared" si="18"/>
        <v>129641</v>
      </c>
      <c r="J39" s="22"/>
      <c r="K39" s="19">
        <f>SUMIF(Realisasi!$E:$E,Highlight!$X39,Realisasi!K:K)</f>
        <v>2299339424</v>
      </c>
      <c r="L39" s="19">
        <f>SUMIF(Realisasi!$E:$E,Highlight!$X39,Realisasi!L:L)</f>
        <v>8561522595</v>
      </c>
      <c r="M39" s="19">
        <f>SUMIF(Realisasi!$E:$E,Highlight!$X39,Realisasi!M:M)</f>
        <v>3478146755</v>
      </c>
      <c r="N39" s="19">
        <f>SUMIF(Realisasi!$E:$E,Highlight!$X39,Realisasi!N:N)</f>
        <v>944400</v>
      </c>
      <c r="O39" s="19">
        <f>SUMIF(Realisasi!$E:$E,Highlight!$X39,Realisasi!O:O)</f>
        <v>33227000</v>
      </c>
      <c r="P39" s="19">
        <f t="shared" si="19"/>
        <v>14373180174</v>
      </c>
      <c r="R39" s="19">
        <f>SUMIF(Realisasi!$E:$E,Highlight!$X39,Realisasi!P:P)</f>
        <v>3449006</v>
      </c>
      <c r="S39" s="19">
        <f>SUMIF(Realisasi!$E:$E,Highlight!$X39,Realisasi!Q:Q)</f>
        <v>85615226</v>
      </c>
      <c r="T39" s="19">
        <f>SUMIF(Realisasi!$E:$E,Highlight!$X39,Realisasi!R:R)</f>
        <v>62262212</v>
      </c>
      <c r="U39" s="19">
        <f>SUMIF(Realisasi!$E:$E,Highlight!$X39,Realisasi!S:S)</f>
        <v>1197</v>
      </c>
      <c r="V39" s="19">
        <f>SUMIF(Realisasi!$E:$E,Highlight!$X39,Realisasi!T:T)</f>
        <v>21537</v>
      </c>
      <c r="W39" s="19">
        <f t="shared" si="20"/>
        <v>151349178</v>
      </c>
      <c r="X39" s="11" t="str">
        <f t="shared" si="21"/>
        <v>ALFA GROUP202507</v>
      </c>
    </row>
    <row r="40" spans="1:24" s="9" customFormat="1" ht="15" customHeight="1" x14ac:dyDescent="0.25">
      <c r="A40" s="28" t="s">
        <v>37</v>
      </c>
      <c r="B40" s="16">
        <v>45870</v>
      </c>
      <c r="D40" s="19">
        <f>SUMIF(Realisasi!$E:$E,Highlight!$X40,Realisasi!F:F)</f>
        <v>21499</v>
      </c>
      <c r="E40" s="19">
        <f>SUMIF(Realisasi!$E:$E,Highlight!$X40,Realisasi!G:G)</f>
        <v>74837</v>
      </c>
      <c r="F40" s="19">
        <f>SUMIF(Realisasi!$E:$E,Highlight!$X40,Realisasi!H:H)</f>
        <v>23504</v>
      </c>
      <c r="G40" s="19">
        <f>SUMIF(Realisasi!$E:$E,Highlight!$X40,Realisasi!I:I)</f>
        <v>42</v>
      </c>
      <c r="H40" s="19">
        <f>SUMIF(Realisasi!$E:$E,Highlight!$X40,Realisasi!J:J)</f>
        <v>539</v>
      </c>
      <c r="I40" s="20">
        <f t="shared" si="18"/>
        <v>120421</v>
      </c>
      <c r="J40" s="22"/>
      <c r="K40" s="19">
        <f>SUMIF(Realisasi!$E:$E,Highlight!$X40,Realisasi!K:K)</f>
        <v>2144898935</v>
      </c>
      <c r="L40" s="19">
        <f>SUMIF(Realisasi!$E:$E,Highlight!$X40,Realisasi!L:L)</f>
        <v>7745484296</v>
      </c>
      <c r="M40" s="19">
        <f>SUMIF(Realisasi!$E:$E,Highlight!$X40,Realisasi!M:M)</f>
        <v>3312317338</v>
      </c>
      <c r="N40" s="19">
        <f>SUMIF(Realisasi!$E:$E,Highlight!$X40,Realisasi!N:N)</f>
        <v>3990100</v>
      </c>
      <c r="O40" s="19">
        <f>SUMIF(Realisasi!$E:$E,Highlight!$X40,Realisasi!O:O)</f>
        <v>35205700</v>
      </c>
      <c r="P40" s="19">
        <f t="shared" si="19"/>
        <v>13241896369</v>
      </c>
      <c r="R40" s="19">
        <f>SUMIF(Realisasi!$E:$E,Highlight!$X40,Realisasi!P:P)</f>
        <v>3217346</v>
      </c>
      <c r="S40" s="19">
        <f>SUMIF(Realisasi!$E:$E,Highlight!$X40,Realisasi!Q:Q)</f>
        <v>77454843</v>
      </c>
      <c r="T40" s="19">
        <f>SUMIF(Realisasi!$E:$E,Highlight!$X40,Realisasi!R:R)</f>
        <v>59272708</v>
      </c>
      <c r="U40" s="19">
        <f>SUMIF(Realisasi!$E:$E,Highlight!$X40,Realisasi!S:S)</f>
        <v>9912</v>
      </c>
      <c r="V40" s="19">
        <f>SUMIF(Realisasi!$E:$E,Highlight!$X40,Realisasi!T:T)</f>
        <v>21394</v>
      </c>
      <c r="W40" s="19">
        <f t="shared" si="20"/>
        <v>139976203</v>
      </c>
      <c r="X40" s="11" t="str">
        <f t="shared" si="21"/>
        <v>ALFA GROUP202508</v>
      </c>
    </row>
    <row r="41" spans="1:24" s="9" customFormat="1" ht="15" customHeight="1" x14ac:dyDescent="0.25">
      <c r="A41" s="28" t="s">
        <v>38</v>
      </c>
      <c r="B41" s="16">
        <v>45901</v>
      </c>
      <c r="D41" s="19">
        <f>SUMIF(Realisasi!$E:$E,Highlight!$X41,Realisasi!F:F)</f>
        <v>21875</v>
      </c>
      <c r="E41" s="19">
        <f>SUMIF(Realisasi!$E:$E,Highlight!$X41,Realisasi!G:G)</f>
        <v>76470</v>
      </c>
      <c r="F41" s="19">
        <f>SUMIF(Realisasi!$E:$E,Highlight!$X41,Realisasi!H:H)</f>
        <v>22946</v>
      </c>
      <c r="G41" s="19">
        <f>SUMIF(Realisasi!$E:$E,Highlight!$X41,Realisasi!I:I)</f>
        <v>30</v>
      </c>
      <c r="H41" s="19">
        <f>SUMIF(Realisasi!$E:$E,Highlight!$X41,Realisasi!J:J)</f>
        <v>505</v>
      </c>
      <c r="I41" s="20">
        <f t="shared" si="18"/>
        <v>121826</v>
      </c>
      <c r="J41" s="22"/>
      <c r="K41" s="19">
        <f>SUMIF(Realisasi!$E:$E,Highlight!$X41,Realisasi!K:K)</f>
        <v>2154455892</v>
      </c>
      <c r="L41" s="19">
        <f>SUMIF(Realisasi!$E:$E,Highlight!$X41,Realisasi!L:L)</f>
        <v>7776514545</v>
      </c>
      <c r="M41" s="19">
        <f>SUMIF(Realisasi!$E:$E,Highlight!$X41,Realisasi!M:M)</f>
        <v>3198109908</v>
      </c>
      <c r="N41" s="19">
        <f>SUMIF(Realisasi!$E:$E,Highlight!$X41,Realisasi!N:N)</f>
        <v>830400</v>
      </c>
      <c r="O41" s="19">
        <f>SUMIF(Realisasi!$E:$E,Highlight!$X41,Realisasi!O:O)</f>
        <v>32626110</v>
      </c>
      <c r="P41" s="19">
        <f t="shared" si="19"/>
        <v>13162536855</v>
      </c>
      <c r="R41" s="19">
        <f>SUMIF(Realisasi!$E:$E,Highlight!$X41,Realisasi!P:P)</f>
        <v>3231681</v>
      </c>
      <c r="S41" s="19">
        <f>SUMIF(Realisasi!$E:$E,Highlight!$X41,Realisasi!Q:Q)</f>
        <v>77765146</v>
      </c>
      <c r="T41" s="19">
        <f>SUMIF(Realisasi!$E:$E,Highlight!$X41,Realisasi!R:R)</f>
        <v>57205672</v>
      </c>
      <c r="U41" s="19">
        <f>SUMIF(Realisasi!$E:$E,Highlight!$X41,Realisasi!S:S)</f>
        <v>2292</v>
      </c>
      <c r="V41" s="19">
        <f>SUMIF(Realisasi!$E:$E,Highlight!$X41,Realisasi!T:T)</f>
        <v>22489</v>
      </c>
      <c r="W41" s="19">
        <f t="shared" si="20"/>
        <v>138227280</v>
      </c>
      <c r="X41" s="11" t="str">
        <f t="shared" si="21"/>
        <v>ALFA GROUP202509</v>
      </c>
    </row>
    <row r="42" spans="1:24" s="9" customFormat="1" ht="15" customHeight="1" x14ac:dyDescent="0.25">
      <c r="A42" s="28" t="s">
        <v>39</v>
      </c>
      <c r="B42" s="16">
        <v>45931</v>
      </c>
      <c r="D42" s="19">
        <f>SUMIF(Realisasi!$E:$E,Highlight!$X42,Realisasi!F:F)</f>
        <v>22030</v>
      </c>
      <c r="E42" s="19">
        <f>SUMIF(Realisasi!$E:$E,Highlight!$X42,Realisasi!G:G)</f>
        <v>79746</v>
      </c>
      <c r="F42" s="19">
        <f>SUMIF(Realisasi!$E:$E,Highlight!$X42,Realisasi!H:H)</f>
        <v>23378</v>
      </c>
      <c r="G42" s="19">
        <f>SUMIF(Realisasi!$E:$E,Highlight!$X42,Realisasi!I:I)</f>
        <v>49</v>
      </c>
      <c r="H42" s="19">
        <f>SUMIF(Realisasi!$E:$E,Highlight!$X42,Realisasi!J:J)</f>
        <v>722</v>
      </c>
      <c r="I42" s="20">
        <f t="shared" si="18"/>
        <v>125925</v>
      </c>
      <c r="J42" s="22"/>
      <c r="K42" s="19">
        <f>SUMIF(Realisasi!$E:$E,Highlight!$X42,Realisasi!K:K)</f>
        <v>2173642012</v>
      </c>
      <c r="L42" s="19">
        <f>SUMIF(Realisasi!$E:$E,Highlight!$X42,Realisasi!L:L)</f>
        <v>8144251602</v>
      </c>
      <c r="M42" s="19">
        <f>SUMIF(Realisasi!$E:$E,Highlight!$X42,Realisasi!M:M)</f>
        <v>3275789835</v>
      </c>
      <c r="N42" s="19">
        <f>SUMIF(Realisasi!$E:$E,Highlight!$X42,Realisasi!N:N)</f>
        <v>2966859</v>
      </c>
      <c r="O42" s="19">
        <f>SUMIF(Realisasi!$E:$E,Highlight!$X42,Realisasi!O:O)</f>
        <v>40795900</v>
      </c>
      <c r="P42" s="19">
        <f t="shared" si="19"/>
        <v>13637446208</v>
      </c>
      <c r="R42" s="19">
        <f>SUMIF(Realisasi!$E:$E,Highlight!$X42,Realisasi!P:P)</f>
        <v>3260461</v>
      </c>
      <c r="S42" s="19">
        <f>SUMIF(Realisasi!$E:$E,Highlight!$X42,Realisasi!Q:Q)</f>
        <v>81442516</v>
      </c>
      <c r="T42" s="19">
        <f>SUMIF(Realisasi!$E:$E,Highlight!$X42,Realisasi!R:R)</f>
        <v>58536381</v>
      </c>
      <c r="U42" s="19">
        <f>SUMIF(Realisasi!$E:$E,Highlight!$X42,Realisasi!S:S)</f>
        <v>13890</v>
      </c>
      <c r="V42" s="19">
        <f>SUMIF(Realisasi!$E:$E,Highlight!$X42,Realisasi!T:T)</f>
        <v>39277</v>
      </c>
      <c r="W42" s="19">
        <f t="shared" si="20"/>
        <v>143292525</v>
      </c>
      <c r="X42" s="11" t="str">
        <f t="shared" si="21"/>
        <v>ALFA GROUP202510</v>
      </c>
    </row>
    <row r="43" spans="1:24" s="9" customFormat="1" ht="15" customHeight="1" x14ac:dyDescent="0.25">
      <c r="A43" s="28" t="s">
        <v>40</v>
      </c>
      <c r="B43" s="16">
        <v>45962</v>
      </c>
      <c r="D43" s="19">
        <f>SUMIF(Realisasi!$E:$E,Highlight!$X43,Realisasi!F:F)</f>
        <v>19369</v>
      </c>
      <c r="E43" s="19">
        <f>SUMIF(Realisasi!$E:$E,Highlight!$X43,Realisasi!G:G)</f>
        <v>76855</v>
      </c>
      <c r="F43" s="19">
        <f>SUMIF(Realisasi!$E:$E,Highlight!$X43,Realisasi!H:H)</f>
        <v>22321</v>
      </c>
      <c r="G43" s="19">
        <f>SUMIF(Realisasi!$E:$E,Highlight!$X43,Realisasi!I:I)</f>
        <v>32</v>
      </c>
      <c r="H43" s="19">
        <f>SUMIF(Realisasi!$E:$E,Highlight!$X43,Realisasi!J:J)</f>
        <v>615</v>
      </c>
      <c r="I43" s="20">
        <f t="shared" ref="I43" si="22">SUM(D43:H43)</f>
        <v>119192</v>
      </c>
      <c r="J43" s="22"/>
      <c r="K43" s="19">
        <f>SUMIF(Realisasi!$E:$E,Highlight!$X43,Realisasi!K:K)</f>
        <v>1986113055</v>
      </c>
      <c r="L43" s="19">
        <f>SUMIF(Realisasi!$E:$E,Highlight!$X43,Realisasi!L:L)</f>
        <v>8084066586</v>
      </c>
      <c r="M43" s="19">
        <f>SUMIF(Realisasi!$E:$E,Highlight!$X43,Realisasi!M:M)</f>
        <v>3284936912</v>
      </c>
      <c r="N43" s="19">
        <f>SUMIF(Realisasi!$E:$E,Highlight!$X43,Realisasi!N:N)</f>
        <v>1962395</v>
      </c>
      <c r="O43" s="19">
        <f>SUMIF(Realisasi!$E:$E,Highlight!$X43,Realisasi!O:O)</f>
        <v>38440500</v>
      </c>
      <c r="P43" s="19">
        <f t="shared" ref="P43" si="23">SUM(K43:O43)</f>
        <v>13395519448</v>
      </c>
      <c r="R43" s="19">
        <f>SUMIF(Realisasi!$E:$E,Highlight!$X43,Realisasi!P:P)</f>
        <v>2979167</v>
      </c>
      <c r="S43" s="19">
        <f>SUMIF(Realisasi!$E:$E,Highlight!$X43,Realisasi!Q:Q)</f>
        <v>80840666</v>
      </c>
      <c r="T43" s="19">
        <f>SUMIF(Realisasi!$E:$E,Highlight!$X43,Realisasi!R:R)</f>
        <v>58666547</v>
      </c>
      <c r="U43" s="19">
        <f>SUMIF(Realisasi!$E:$E,Highlight!$X43,Realisasi!S:S)</f>
        <v>4368</v>
      </c>
      <c r="V43" s="19">
        <f>SUMIF(Realisasi!$E:$E,Highlight!$X43,Realisasi!T:T)</f>
        <v>23500</v>
      </c>
      <c r="W43" s="19">
        <f t="shared" ref="W43" si="24">SUM(R43:V43)</f>
        <v>142514248</v>
      </c>
      <c r="X43" s="11" t="str">
        <f t="shared" si="21"/>
        <v>ALFA GROUP202511</v>
      </c>
    </row>
    <row r="44" spans="1:24" s="9" customFormat="1" ht="15" customHeight="1" x14ac:dyDescent="0.25">
      <c r="A44" s="28" t="s">
        <v>41</v>
      </c>
      <c r="B44" s="16">
        <v>45992</v>
      </c>
      <c r="D44" s="19">
        <f>SUMIF(Realisasi!$E:$E,Highlight!$X44,Realisasi!F:F)</f>
        <v>18786</v>
      </c>
      <c r="E44" s="19">
        <f>SUMIF(Realisasi!$E:$E,Highlight!$X44,Realisasi!G:G)</f>
        <v>75474</v>
      </c>
      <c r="F44" s="19">
        <f>SUMIF(Realisasi!$E:$E,Highlight!$X44,Realisasi!H:H)</f>
        <v>17527</v>
      </c>
      <c r="G44" s="19">
        <f>SUMIF(Realisasi!$E:$E,Highlight!$X44,Realisasi!I:I)</f>
        <v>41</v>
      </c>
      <c r="H44" s="19">
        <f>SUMIF(Realisasi!$E:$E,Highlight!$X44,Realisasi!J:J)</f>
        <v>601</v>
      </c>
      <c r="I44" s="20">
        <f t="shared" ref="I44" si="25">SUM(D44:H44)</f>
        <v>112429</v>
      </c>
      <c r="J44" s="22"/>
      <c r="K44" s="19">
        <f>SUMIF(Realisasi!$E:$E,Highlight!$X44,Realisasi!K:K)</f>
        <v>1958285299</v>
      </c>
      <c r="L44" s="19">
        <f>SUMIF(Realisasi!$E:$E,Highlight!$X44,Realisasi!L:L)</f>
        <v>8060809271</v>
      </c>
      <c r="M44" s="19">
        <f>SUMIF(Realisasi!$E:$E,Highlight!$X44,Realisasi!M:M)</f>
        <v>2770406138</v>
      </c>
      <c r="N44" s="19">
        <f>SUMIF(Realisasi!$E:$E,Highlight!$X44,Realisasi!N:N)</f>
        <v>2499281</v>
      </c>
      <c r="O44" s="19">
        <f>SUMIF(Realisasi!$E:$E,Highlight!$X44,Realisasi!O:O)</f>
        <v>40996094</v>
      </c>
      <c r="P44" s="19">
        <f t="shared" ref="P44" si="26">SUM(K44:O44)</f>
        <v>12832996083</v>
      </c>
      <c r="R44" s="19">
        <f>SUMIF(Realisasi!$E:$E,Highlight!$X44,Realisasi!P:P)</f>
        <v>2937426</v>
      </c>
      <c r="S44" s="19">
        <f>SUMIF(Realisasi!$E:$E,Highlight!$X44,Realisasi!Q:Q)</f>
        <v>80503906</v>
      </c>
      <c r="T44" s="19">
        <f>SUMIF(Realisasi!$E:$E,Highlight!$X44,Realisasi!R:R)</f>
        <v>49477828</v>
      </c>
      <c r="U44" s="19">
        <f>SUMIF(Realisasi!$E:$E,Highlight!$X44,Realisasi!S:S)</f>
        <v>10380</v>
      </c>
      <c r="V44" s="19">
        <f>SUMIF(Realisasi!$E:$E,Highlight!$X44,Realisasi!T:T)</f>
        <v>36386</v>
      </c>
      <c r="W44" s="19">
        <f t="shared" ref="W44" si="27">SUM(R44:V44)</f>
        <v>132965926</v>
      </c>
      <c r="X44" s="11" t="str">
        <f t="shared" si="21"/>
        <v>ALFA GROUP202512</v>
      </c>
    </row>
    <row r="45" spans="1:24" s="9" customFormat="1" ht="15" customHeight="1" x14ac:dyDescent="0.25">
      <c r="A45" s="7"/>
      <c r="B45" s="17" t="s">
        <v>42</v>
      </c>
      <c r="D45" s="23">
        <f>SUM(D33:D44)</f>
        <v>260333</v>
      </c>
      <c r="E45" s="23">
        <f t="shared" ref="E45" si="28">SUM(E33:E44)</f>
        <v>902661</v>
      </c>
      <c r="F45" s="23">
        <f t="shared" ref="F45" si="29">SUM(F33:F44)</f>
        <v>266428</v>
      </c>
      <c r="G45" s="23">
        <f>SUM(G33:G44)</f>
        <v>358</v>
      </c>
      <c r="H45" s="23">
        <f t="shared" ref="H45:I45" si="30">SUM(H33:H44)</f>
        <v>5616</v>
      </c>
      <c r="I45" s="23">
        <f t="shared" si="30"/>
        <v>1435396</v>
      </c>
      <c r="J45" s="22"/>
      <c r="K45" s="23">
        <f>SUM(K33:K44)</f>
        <v>26781498160</v>
      </c>
      <c r="L45" s="23">
        <f t="shared" ref="L45" si="31">SUM(L33:L44)</f>
        <v>95987662689</v>
      </c>
      <c r="M45" s="23">
        <f t="shared" ref="M45" si="32">SUM(M33:M44)</f>
        <v>39030117916</v>
      </c>
      <c r="N45" s="23">
        <f t="shared" ref="N45" si="33">SUM(N33:N44)</f>
        <v>19247493</v>
      </c>
      <c r="O45" s="23">
        <f t="shared" ref="O45" si="34">SUM(O33:O44)</f>
        <v>336887857</v>
      </c>
      <c r="P45" s="23">
        <f t="shared" ref="P45" si="35">SUM(P33:P44)</f>
        <v>162155414115</v>
      </c>
      <c r="R45" s="23">
        <f>SUM(R33:R44)</f>
        <v>40172213</v>
      </c>
      <c r="S45" s="23">
        <f t="shared" ref="S45" si="36">SUM(S33:S44)</f>
        <v>959772443</v>
      </c>
      <c r="T45" s="23">
        <f t="shared" ref="T45" si="37">SUM(T33:T44)</f>
        <v>698669069</v>
      </c>
      <c r="U45" s="23">
        <f t="shared" ref="U45" si="38">SUM(U33:U44)</f>
        <v>53433</v>
      </c>
      <c r="V45" s="23">
        <f t="shared" ref="V45" si="39">SUM(V33:V44)</f>
        <v>306628</v>
      </c>
      <c r="W45" s="23">
        <f t="shared" ref="W45" si="40">SUM(W33:W44)</f>
        <v>1698973786</v>
      </c>
      <c r="X45" s="7"/>
    </row>
    <row r="46" spans="1:24" s="9" customFormat="1" ht="15" customHeight="1" x14ac:dyDescent="0.25">
      <c r="A46" s="7"/>
      <c r="B46" s="12" t="s">
        <v>29</v>
      </c>
      <c r="C46" s="13"/>
      <c r="D46" s="24">
        <f>AVERAGE(D33:D44)</f>
        <v>21694.416666666668</v>
      </c>
      <c r="E46" s="24">
        <f t="shared" ref="E46:I46" si="41">AVERAGE(E33:E44)</f>
        <v>75221.75</v>
      </c>
      <c r="F46" s="24">
        <f t="shared" si="41"/>
        <v>22202.333333333332</v>
      </c>
      <c r="G46" s="24">
        <f>AVERAGE(G33:G44)</f>
        <v>29.833333333333332</v>
      </c>
      <c r="H46" s="24">
        <f t="shared" si="41"/>
        <v>468</v>
      </c>
      <c r="I46" s="24">
        <f t="shared" si="41"/>
        <v>119616.33333333333</v>
      </c>
      <c r="J46" s="25"/>
      <c r="K46" s="24">
        <f>AVERAGE(K33:K44)</f>
        <v>2231791513.3333335</v>
      </c>
      <c r="L46" s="24">
        <f t="shared" ref="L46:P46" si="42">AVERAGE(L33:L44)</f>
        <v>7998971890.75</v>
      </c>
      <c r="M46" s="24">
        <f t="shared" si="42"/>
        <v>3252509826.3333335</v>
      </c>
      <c r="N46" s="24">
        <f t="shared" si="42"/>
        <v>1603957.75</v>
      </c>
      <c r="O46" s="24">
        <f t="shared" si="42"/>
        <v>28073988.083333332</v>
      </c>
      <c r="P46" s="24">
        <f t="shared" si="42"/>
        <v>13512951176.25</v>
      </c>
      <c r="Q46" s="13"/>
      <c r="R46" s="24">
        <f>AVERAGE(R33:R44)</f>
        <v>3347684.4166666665</v>
      </c>
      <c r="S46" s="24">
        <f t="shared" ref="S46:W46" si="43">AVERAGE(S33:S44)</f>
        <v>79981036.916666672</v>
      </c>
      <c r="T46" s="24">
        <f t="shared" si="43"/>
        <v>58222422.416666664</v>
      </c>
      <c r="U46" s="24">
        <f t="shared" si="43"/>
        <v>4452.75</v>
      </c>
      <c r="V46" s="24">
        <f t="shared" si="43"/>
        <v>25552.333333333332</v>
      </c>
      <c r="W46" s="24">
        <f t="shared" si="43"/>
        <v>141581148.83333334</v>
      </c>
      <c r="X46" s="7"/>
    </row>
    <row r="47" spans="1:24" s="9" customFormat="1" ht="15" customHeight="1" x14ac:dyDescent="0.25">
      <c r="A47" s="28" t="s">
        <v>262</v>
      </c>
      <c r="B47" s="16">
        <v>46023</v>
      </c>
      <c r="D47" s="19">
        <f>SUMIF(Realisasi!$E:$E,Highlight!$X47,Realisasi!F:F)</f>
        <v>136015</v>
      </c>
      <c r="E47" s="19">
        <f>SUMIF(Realisasi!$E:$E,Highlight!$X47,Realisasi!G:G)</f>
        <v>145384</v>
      </c>
      <c r="F47" s="19">
        <f>SUMIF(Realisasi!$E:$E,Highlight!$X47,Realisasi!H:H)</f>
        <v>25813</v>
      </c>
      <c r="G47" s="19">
        <f>SUMIF(Realisasi!$E:$E,Highlight!$X47,Realisasi!I:I)</f>
        <v>14</v>
      </c>
      <c r="H47" s="19">
        <f>SUMIF(Realisasi!$E:$E,Highlight!$X47,Realisasi!J:J)</f>
        <v>466</v>
      </c>
      <c r="I47" s="20">
        <f t="shared" ref="I47:I57" si="44">SUM(D47:H47)</f>
        <v>307692</v>
      </c>
      <c r="J47" s="22"/>
      <c r="K47" s="19">
        <f>SUMIF(Realisasi!$E:$E,Highlight!$X47,Realisasi!K:K)</f>
        <v>14149202932</v>
      </c>
      <c r="L47" s="19">
        <f>SUMIF(Realisasi!$E:$E,Highlight!$X47,Realisasi!L:L)</f>
        <v>15416112510</v>
      </c>
      <c r="M47" s="19">
        <f>SUMIF(Realisasi!$E:$E,Highlight!$X47,Realisasi!M:M)</f>
        <v>4630609680</v>
      </c>
      <c r="N47" s="19">
        <f>SUMIF(Realisasi!$E:$E,Highlight!$X47,Realisasi!N:N)</f>
        <v>259800</v>
      </c>
      <c r="O47" s="19">
        <f>SUMIF(Realisasi!$E:$E,Highlight!$X47,Realisasi!O:O)</f>
        <v>16537200</v>
      </c>
      <c r="P47" s="19">
        <f t="shared" ref="P47:P57" si="45">SUM(K47:O47)</f>
        <v>34212722122</v>
      </c>
      <c r="R47" s="19">
        <f>SUMIF(Realisasi!$E:$E,Highlight!$X47,Realisasi!P:P)</f>
        <v>21223785</v>
      </c>
      <c r="S47" s="19">
        <f>SUMIF(Realisasi!$E:$E,Highlight!$X47,Realisasi!Q:Q)</f>
        <v>153893548</v>
      </c>
      <c r="T47" s="19">
        <f>SUMIF(Realisasi!$E:$E,Highlight!$X47,Realisasi!R:R)</f>
        <v>82212391</v>
      </c>
      <c r="U47" s="19">
        <f>SUMIF(Realisasi!$E:$E,Highlight!$X47,Realisasi!S:S)</f>
        <v>124</v>
      </c>
      <c r="V47" s="19">
        <f>SUMIF(Realisasi!$E:$E,Highlight!$X47,Realisasi!T:T)</f>
        <v>13472</v>
      </c>
      <c r="W47" s="19">
        <f t="shared" ref="W47:W57" si="46">SUM(R47:V47)</f>
        <v>257343320</v>
      </c>
      <c r="X47" s="11" t="str">
        <f>CONCATENATE(A$18,A47)</f>
        <v>ALFA GROUP202601</v>
      </c>
    </row>
    <row r="48" spans="1:24" s="9" customFormat="1" ht="15" customHeight="1" x14ac:dyDescent="0.25">
      <c r="A48" s="28" t="s">
        <v>264</v>
      </c>
      <c r="B48" s="16">
        <v>46054</v>
      </c>
      <c r="D48" s="19">
        <f>SUMIF(Realisasi!$E:$E,Highlight!$X48,Realisasi!F:F)</f>
        <v>251488</v>
      </c>
      <c r="E48" s="19">
        <f>SUMIF(Realisasi!$E:$E,Highlight!$X48,Realisasi!G:G)</f>
        <v>297658</v>
      </c>
      <c r="F48" s="19">
        <f>SUMIF(Realisasi!$E:$E,Highlight!$X48,Realisasi!H:H)</f>
        <v>69052</v>
      </c>
      <c r="G48" s="19">
        <f>SUMIF(Realisasi!$E:$E,Highlight!$X48,Realisasi!I:I)</f>
        <v>86</v>
      </c>
      <c r="H48" s="19">
        <f>SUMIF(Realisasi!$E:$E,Highlight!$X48,Realisasi!J:J)</f>
        <v>1248</v>
      </c>
      <c r="I48" s="20">
        <f t="shared" si="44"/>
        <v>619532</v>
      </c>
      <c r="J48" s="22"/>
      <c r="K48" s="19">
        <f>SUMIF(Realisasi!$E:$E,Highlight!$X48,Realisasi!K:K)</f>
        <v>28433656676</v>
      </c>
      <c r="L48" s="19">
        <f>SUMIF(Realisasi!$E:$E,Highlight!$X48,Realisasi!L:L)</f>
        <v>33400427620</v>
      </c>
      <c r="M48" s="19">
        <f>SUMIF(Realisasi!$E:$E,Highlight!$X48,Realisasi!M:M)</f>
        <v>10246175136</v>
      </c>
      <c r="N48" s="19">
        <f>SUMIF(Realisasi!$E:$E,Highlight!$X48,Realisasi!N:N)</f>
        <v>3140400</v>
      </c>
      <c r="O48" s="19">
        <f>SUMIF(Realisasi!$E:$E,Highlight!$X48,Realisasi!O:O)</f>
        <v>57018580</v>
      </c>
      <c r="P48" s="19">
        <f t="shared" si="45"/>
        <v>72140418412</v>
      </c>
      <c r="R48" s="19">
        <f>SUMIF(Realisasi!$E:$E,Highlight!$X48,Realisasi!P:P)</f>
        <v>42650452</v>
      </c>
      <c r="S48" s="19">
        <f>SUMIF(Realisasi!$E:$E,Highlight!$X48,Realisasi!Q:Q)</f>
        <v>332889065</v>
      </c>
      <c r="T48" s="19">
        <f>SUMIF(Realisasi!$E:$E,Highlight!$X48,Realisasi!R:R)</f>
        <v>182104947</v>
      </c>
      <c r="U48" s="19">
        <f>SUMIF(Realisasi!$E:$E,Highlight!$X48,Realisasi!S:S)</f>
        <v>3262</v>
      </c>
      <c r="V48" s="19">
        <f>SUMIF(Realisasi!$E:$E,Highlight!$X48,Realisasi!T:T)</f>
        <v>66054</v>
      </c>
      <c r="W48" s="19">
        <f t="shared" si="46"/>
        <v>557713780</v>
      </c>
      <c r="X48" s="11" t="str">
        <f>CONCATENATE(A$18,A48)</f>
        <v>ALFA GROUP202602</v>
      </c>
    </row>
    <row r="49" spans="1:24" s="9" customFormat="1" ht="15" customHeight="1" x14ac:dyDescent="0.25">
      <c r="A49" s="28" t="s">
        <v>265</v>
      </c>
      <c r="B49" s="16">
        <v>46082</v>
      </c>
      <c r="D49" s="19">
        <f>SUMIF(Realisasi!$E:$E,Highlight!$X49,Realisasi!F:F)</f>
        <v>0</v>
      </c>
      <c r="E49" s="19">
        <f>SUMIF(Realisasi!$E:$E,Highlight!$X49,Realisasi!G:G)</f>
        <v>41405</v>
      </c>
      <c r="F49" s="19">
        <f>SUMIF(Realisasi!$E:$E,Highlight!$X49,Realisasi!H:H)</f>
        <v>3505</v>
      </c>
      <c r="G49" s="19">
        <f>SUMIF(Realisasi!$E:$E,Highlight!$X49,Realisasi!I:I)</f>
        <v>19</v>
      </c>
      <c r="H49" s="19">
        <f>SUMIF(Realisasi!$E:$E,Highlight!$X49,Realisasi!J:J)</f>
        <v>356</v>
      </c>
      <c r="I49" s="20">
        <f t="shared" si="44"/>
        <v>45285</v>
      </c>
      <c r="J49" s="22"/>
      <c r="K49" s="19">
        <f>SUMIF(Realisasi!$E:$E,Highlight!$X49,Realisasi!K:K)</f>
        <v>0</v>
      </c>
      <c r="L49" s="19">
        <f>SUMIF(Realisasi!$E:$E,Highlight!$X49,Realisasi!L:L)</f>
        <v>5141479795</v>
      </c>
      <c r="M49" s="19">
        <f>SUMIF(Realisasi!$E:$E,Highlight!$X49,Realisasi!M:M)</f>
        <v>580373019</v>
      </c>
      <c r="N49" s="19">
        <f>SUMIF(Realisasi!$E:$E,Highlight!$X49,Realisasi!N:N)</f>
        <v>1721900</v>
      </c>
      <c r="O49" s="19">
        <f>SUMIF(Realisasi!$E:$E,Highlight!$X49,Realisasi!O:O)</f>
        <v>23423201</v>
      </c>
      <c r="P49" s="19">
        <f t="shared" si="45"/>
        <v>5746997915</v>
      </c>
      <c r="R49" s="19">
        <f>SUMIF(Realisasi!$E:$E,Highlight!$X49,Realisasi!P:P)</f>
        <v>0</v>
      </c>
      <c r="S49" s="19">
        <f>SUMIF(Realisasi!$E:$E,Highlight!$X49,Realisasi!Q:Q)</f>
        <v>51317247</v>
      </c>
      <c r="T49" s="19">
        <f>SUMIF(Realisasi!$E:$E,Highlight!$X49,Realisasi!R:R)</f>
        <v>10346704</v>
      </c>
      <c r="U49" s="19">
        <f>SUMIF(Realisasi!$E:$E,Highlight!$X49,Realisasi!S:S)</f>
        <v>3994</v>
      </c>
      <c r="V49" s="19">
        <f>SUMIF(Realisasi!$E:$E,Highlight!$X49,Realisasi!T:T)</f>
        <v>10666</v>
      </c>
      <c r="W49" s="19">
        <f t="shared" si="46"/>
        <v>61678611</v>
      </c>
      <c r="X49" s="11" t="str">
        <f t="shared" ref="X49:X58" si="47">CONCATENATE(A$18,A49)</f>
        <v>ALFA GROUP202603</v>
      </c>
    </row>
    <row r="50" spans="1:24" s="9" customFormat="1" ht="15" customHeight="1" x14ac:dyDescent="0.25">
      <c r="A50" s="28" t="s">
        <v>266</v>
      </c>
      <c r="B50" s="16">
        <v>46113</v>
      </c>
      <c r="D50" s="19">
        <f>SUMIF(Realisasi!$E:$E,Highlight!$X50,Realisasi!F:F)</f>
        <v>0</v>
      </c>
      <c r="E50" s="19">
        <f>SUMIF(Realisasi!$E:$E,Highlight!$X50,Realisasi!G:G)</f>
        <v>0</v>
      </c>
      <c r="F50" s="19">
        <f>SUMIF(Realisasi!$E:$E,Highlight!$X50,Realisasi!H:H)</f>
        <v>0</v>
      </c>
      <c r="G50" s="19">
        <f>SUMIF(Realisasi!$E:$E,Highlight!$X50,Realisasi!I:I)</f>
        <v>0</v>
      </c>
      <c r="H50" s="19">
        <f>SUMIF(Realisasi!$E:$E,Highlight!$X50,Realisasi!J:J)</f>
        <v>0</v>
      </c>
      <c r="I50" s="20">
        <f t="shared" si="44"/>
        <v>0</v>
      </c>
      <c r="J50" s="22"/>
      <c r="K50" s="19">
        <f>SUMIF(Realisasi!$E:$E,Highlight!$X50,Realisasi!K:K)</f>
        <v>0</v>
      </c>
      <c r="L50" s="19">
        <f>SUMIF(Realisasi!$E:$E,Highlight!$X50,Realisasi!L:L)</f>
        <v>0</v>
      </c>
      <c r="M50" s="19">
        <f>SUMIF(Realisasi!$E:$E,Highlight!$X50,Realisasi!M:M)</f>
        <v>0</v>
      </c>
      <c r="N50" s="19">
        <f>SUMIF(Realisasi!$E:$E,Highlight!$X50,Realisasi!N:N)</f>
        <v>0</v>
      </c>
      <c r="O50" s="19">
        <f>SUMIF(Realisasi!$E:$E,Highlight!$X50,Realisasi!O:O)</f>
        <v>0</v>
      </c>
      <c r="P50" s="19">
        <f t="shared" si="45"/>
        <v>0</v>
      </c>
      <c r="R50" s="19">
        <f>SUMIF(Realisasi!$E:$E,Highlight!$X50,Realisasi!P:P)</f>
        <v>0</v>
      </c>
      <c r="S50" s="19">
        <f>SUMIF(Realisasi!$E:$E,Highlight!$X50,Realisasi!Q:Q)</f>
        <v>0</v>
      </c>
      <c r="T50" s="19">
        <f>SUMIF(Realisasi!$E:$E,Highlight!$X50,Realisasi!R:R)</f>
        <v>0</v>
      </c>
      <c r="U50" s="19">
        <f>SUMIF(Realisasi!$E:$E,Highlight!$X50,Realisasi!S:S)</f>
        <v>0</v>
      </c>
      <c r="V50" s="19">
        <f>SUMIF(Realisasi!$E:$E,Highlight!$X50,Realisasi!T:T)</f>
        <v>0</v>
      </c>
      <c r="W50" s="19">
        <f t="shared" si="46"/>
        <v>0</v>
      </c>
      <c r="X50" s="11" t="str">
        <f t="shared" si="47"/>
        <v>ALFA GROUP202604</v>
      </c>
    </row>
    <row r="51" spans="1:24" s="9" customFormat="1" ht="15" customHeight="1" x14ac:dyDescent="0.25">
      <c r="A51" s="28" t="s">
        <v>267</v>
      </c>
      <c r="B51" s="16">
        <v>46143</v>
      </c>
      <c r="D51" s="19">
        <f>SUMIF(Realisasi!$E:$E,Highlight!$X51,Realisasi!F:F)</f>
        <v>0</v>
      </c>
      <c r="E51" s="19">
        <f>SUMIF(Realisasi!$E:$E,Highlight!$X51,Realisasi!G:G)</f>
        <v>0</v>
      </c>
      <c r="F51" s="19">
        <f>SUMIF(Realisasi!$E:$E,Highlight!$X51,Realisasi!H:H)</f>
        <v>0</v>
      </c>
      <c r="G51" s="19">
        <f>SUMIF(Realisasi!$E:$E,Highlight!$X51,Realisasi!I:I)</f>
        <v>0</v>
      </c>
      <c r="H51" s="19">
        <f>SUMIF(Realisasi!$E:$E,Highlight!$X51,Realisasi!J:J)</f>
        <v>0</v>
      </c>
      <c r="I51" s="20">
        <f t="shared" si="44"/>
        <v>0</v>
      </c>
      <c r="J51" s="22"/>
      <c r="K51" s="19">
        <f>SUMIF(Realisasi!$E:$E,Highlight!$X51,Realisasi!K:K)</f>
        <v>0</v>
      </c>
      <c r="L51" s="19">
        <f>SUMIF(Realisasi!$E:$E,Highlight!$X51,Realisasi!L:L)</f>
        <v>0</v>
      </c>
      <c r="M51" s="19">
        <f>SUMIF(Realisasi!$E:$E,Highlight!$X51,Realisasi!M:M)</f>
        <v>0</v>
      </c>
      <c r="N51" s="19">
        <f>SUMIF(Realisasi!$E:$E,Highlight!$X51,Realisasi!N:N)</f>
        <v>0</v>
      </c>
      <c r="O51" s="19">
        <f>SUMIF(Realisasi!$E:$E,Highlight!$X51,Realisasi!O:O)</f>
        <v>0</v>
      </c>
      <c r="P51" s="19">
        <f t="shared" si="45"/>
        <v>0</v>
      </c>
      <c r="R51" s="19">
        <f>SUMIF(Realisasi!$E:$E,Highlight!$X51,Realisasi!P:P)</f>
        <v>0</v>
      </c>
      <c r="S51" s="19">
        <f>SUMIF(Realisasi!$E:$E,Highlight!$X51,Realisasi!Q:Q)</f>
        <v>0</v>
      </c>
      <c r="T51" s="19">
        <f>SUMIF(Realisasi!$E:$E,Highlight!$X51,Realisasi!R:R)</f>
        <v>0</v>
      </c>
      <c r="U51" s="19">
        <f>SUMIF(Realisasi!$E:$E,Highlight!$X51,Realisasi!S:S)</f>
        <v>0</v>
      </c>
      <c r="V51" s="19">
        <f>SUMIF(Realisasi!$E:$E,Highlight!$X51,Realisasi!T:T)</f>
        <v>0</v>
      </c>
      <c r="W51" s="19">
        <f t="shared" si="46"/>
        <v>0</v>
      </c>
      <c r="X51" s="11" t="str">
        <f t="shared" si="47"/>
        <v>ALFA GROUP202605</v>
      </c>
    </row>
    <row r="52" spans="1:24" s="9" customFormat="1" ht="15" customHeight="1" x14ac:dyDescent="0.25">
      <c r="A52" s="28" t="s">
        <v>268</v>
      </c>
      <c r="B52" s="16">
        <v>46174</v>
      </c>
      <c r="D52" s="19">
        <f>SUMIF(Realisasi!$E:$E,Highlight!$X52,Realisasi!F:F)</f>
        <v>0</v>
      </c>
      <c r="E52" s="19">
        <f>SUMIF(Realisasi!$E:$E,Highlight!$X52,Realisasi!G:G)</f>
        <v>0</v>
      </c>
      <c r="F52" s="19">
        <f>SUMIF(Realisasi!$E:$E,Highlight!$X52,Realisasi!H:H)</f>
        <v>0</v>
      </c>
      <c r="G52" s="19">
        <f>SUMIF(Realisasi!$E:$E,Highlight!$X52,Realisasi!I:I)</f>
        <v>0</v>
      </c>
      <c r="H52" s="19">
        <f>SUMIF(Realisasi!$E:$E,Highlight!$X52,Realisasi!J:J)</f>
        <v>0</v>
      </c>
      <c r="I52" s="20">
        <f t="shared" si="44"/>
        <v>0</v>
      </c>
      <c r="J52" s="22"/>
      <c r="K52" s="19">
        <f>SUMIF(Realisasi!$E:$E,Highlight!$X52,Realisasi!K:K)</f>
        <v>0</v>
      </c>
      <c r="L52" s="19">
        <f>SUMIF(Realisasi!$E:$E,Highlight!$X52,Realisasi!L:L)</f>
        <v>0</v>
      </c>
      <c r="M52" s="19">
        <f>SUMIF(Realisasi!$E:$E,Highlight!$X52,Realisasi!M:M)</f>
        <v>0</v>
      </c>
      <c r="N52" s="19">
        <f>SUMIF(Realisasi!$E:$E,Highlight!$X52,Realisasi!N:N)</f>
        <v>0</v>
      </c>
      <c r="O52" s="19">
        <f>SUMIF(Realisasi!$E:$E,Highlight!$X52,Realisasi!O:O)</f>
        <v>0</v>
      </c>
      <c r="P52" s="19">
        <f t="shared" si="45"/>
        <v>0</v>
      </c>
      <c r="R52" s="19">
        <f>SUMIF(Realisasi!$E:$E,Highlight!$X52,Realisasi!P:P)</f>
        <v>0</v>
      </c>
      <c r="S52" s="19">
        <f>SUMIF(Realisasi!$E:$E,Highlight!$X52,Realisasi!Q:Q)</f>
        <v>0</v>
      </c>
      <c r="T52" s="19">
        <f>SUMIF(Realisasi!$E:$E,Highlight!$X52,Realisasi!R:R)</f>
        <v>0</v>
      </c>
      <c r="U52" s="19">
        <f>SUMIF(Realisasi!$E:$E,Highlight!$X52,Realisasi!S:S)</f>
        <v>0</v>
      </c>
      <c r="V52" s="19">
        <f>SUMIF(Realisasi!$E:$E,Highlight!$X52,Realisasi!T:T)</f>
        <v>0</v>
      </c>
      <c r="W52" s="19">
        <f t="shared" si="46"/>
        <v>0</v>
      </c>
      <c r="X52" s="11" t="str">
        <f t="shared" si="47"/>
        <v>ALFA GROUP202606</v>
      </c>
    </row>
    <row r="53" spans="1:24" s="9" customFormat="1" ht="15" customHeight="1" x14ac:dyDescent="0.25">
      <c r="A53" s="28" t="s">
        <v>269</v>
      </c>
      <c r="B53" s="16">
        <v>46204</v>
      </c>
      <c r="D53" s="19">
        <f>SUMIF(Realisasi!$E:$E,Highlight!$X53,Realisasi!F:F)</f>
        <v>0</v>
      </c>
      <c r="E53" s="19">
        <f>SUMIF(Realisasi!$E:$E,Highlight!$X53,Realisasi!G:G)</f>
        <v>0</v>
      </c>
      <c r="F53" s="19">
        <f>SUMIF(Realisasi!$E:$E,Highlight!$X53,Realisasi!H:H)</f>
        <v>0</v>
      </c>
      <c r="G53" s="19">
        <f>SUMIF(Realisasi!$E:$E,Highlight!$X53,Realisasi!I:I)</f>
        <v>0</v>
      </c>
      <c r="H53" s="19">
        <f>SUMIF(Realisasi!$E:$E,Highlight!$X53,Realisasi!J:J)</f>
        <v>0</v>
      </c>
      <c r="I53" s="20">
        <f t="shared" si="44"/>
        <v>0</v>
      </c>
      <c r="J53" s="22"/>
      <c r="K53" s="19">
        <f>SUMIF(Realisasi!$E:$E,Highlight!$X53,Realisasi!K:K)</f>
        <v>0</v>
      </c>
      <c r="L53" s="19">
        <f>SUMIF(Realisasi!$E:$E,Highlight!$X53,Realisasi!L:L)</f>
        <v>0</v>
      </c>
      <c r="M53" s="19">
        <f>SUMIF(Realisasi!$E:$E,Highlight!$X53,Realisasi!M:M)</f>
        <v>0</v>
      </c>
      <c r="N53" s="19">
        <f>SUMIF(Realisasi!$E:$E,Highlight!$X53,Realisasi!N:N)</f>
        <v>0</v>
      </c>
      <c r="O53" s="19">
        <f>SUMIF(Realisasi!$E:$E,Highlight!$X53,Realisasi!O:O)</f>
        <v>0</v>
      </c>
      <c r="P53" s="19">
        <f t="shared" si="45"/>
        <v>0</v>
      </c>
      <c r="R53" s="19">
        <f>SUMIF(Realisasi!$E:$E,Highlight!$X53,Realisasi!P:P)</f>
        <v>0</v>
      </c>
      <c r="S53" s="19">
        <f>SUMIF(Realisasi!$E:$E,Highlight!$X53,Realisasi!Q:Q)</f>
        <v>0</v>
      </c>
      <c r="T53" s="19">
        <f>SUMIF(Realisasi!$E:$E,Highlight!$X53,Realisasi!R:R)</f>
        <v>0</v>
      </c>
      <c r="U53" s="19">
        <f>SUMIF(Realisasi!$E:$E,Highlight!$X53,Realisasi!S:S)</f>
        <v>0</v>
      </c>
      <c r="V53" s="19">
        <f>SUMIF(Realisasi!$E:$E,Highlight!$X53,Realisasi!T:T)</f>
        <v>0</v>
      </c>
      <c r="W53" s="19">
        <f t="shared" si="46"/>
        <v>0</v>
      </c>
      <c r="X53" s="11" t="str">
        <f t="shared" si="47"/>
        <v>ALFA GROUP202607</v>
      </c>
    </row>
    <row r="54" spans="1:24" s="9" customFormat="1" ht="15" customHeight="1" x14ac:dyDescent="0.25">
      <c r="A54" s="28" t="s">
        <v>270</v>
      </c>
      <c r="B54" s="16">
        <v>46235</v>
      </c>
      <c r="D54" s="19">
        <f>SUMIF(Realisasi!$E:$E,Highlight!$X54,Realisasi!F:F)</f>
        <v>0</v>
      </c>
      <c r="E54" s="19">
        <f>SUMIF(Realisasi!$E:$E,Highlight!$X54,Realisasi!G:G)</f>
        <v>0</v>
      </c>
      <c r="F54" s="19">
        <f>SUMIF(Realisasi!$E:$E,Highlight!$X54,Realisasi!H:H)</f>
        <v>0</v>
      </c>
      <c r="G54" s="19">
        <f>SUMIF(Realisasi!$E:$E,Highlight!$X54,Realisasi!I:I)</f>
        <v>0</v>
      </c>
      <c r="H54" s="19">
        <f>SUMIF(Realisasi!$E:$E,Highlight!$X54,Realisasi!J:J)</f>
        <v>0</v>
      </c>
      <c r="I54" s="20">
        <f t="shared" si="44"/>
        <v>0</v>
      </c>
      <c r="J54" s="22"/>
      <c r="K54" s="19">
        <f>SUMIF(Realisasi!$E:$E,Highlight!$X54,Realisasi!K:K)</f>
        <v>0</v>
      </c>
      <c r="L54" s="19">
        <f>SUMIF(Realisasi!$E:$E,Highlight!$X54,Realisasi!L:L)</f>
        <v>0</v>
      </c>
      <c r="M54" s="19">
        <f>SUMIF(Realisasi!$E:$E,Highlight!$X54,Realisasi!M:M)</f>
        <v>0</v>
      </c>
      <c r="N54" s="19">
        <f>SUMIF(Realisasi!$E:$E,Highlight!$X54,Realisasi!N:N)</f>
        <v>0</v>
      </c>
      <c r="O54" s="19">
        <f>SUMIF(Realisasi!$E:$E,Highlight!$X54,Realisasi!O:O)</f>
        <v>0</v>
      </c>
      <c r="P54" s="19">
        <f t="shared" si="45"/>
        <v>0</v>
      </c>
      <c r="R54" s="19">
        <f>SUMIF(Realisasi!$E:$E,Highlight!$X54,Realisasi!P:P)</f>
        <v>0</v>
      </c>
      <c r="S54" s="19">
        <f>SUMIF(Realisasi!$E:$E,Highlight!$X54,Realisasi!Q:Q)</f>
        <v>0</v>
      </c>
      <c r="T54" s="19">
        <f>SUMIF(Realisasi!$E:$E,Highlight!$X54,Realisasi!R:R)</f>
        <v>0</v>
      </c>
      <c r="U54" s="19">
        <f>SUMIF(Realisasi!$E:$E,Highlight!$X54,Realisasi!S:S)</f>
        <v>0</v>
      </c>
      <c r="V54" s="19">
        <f>SUMIF(Realisasi!$E:$E,Highlight!$X54,Realisasi!T:T)</f>
        <v>0</v>
      </c>
      <c r="W54" s="19">
        <f t="shared" si="46"/>
        <v>0</v>
      </c>
      <c r="X54" s="11" t="str">
        <f t="shared" si="47"/>
        <v>ALFA GROUP202608</v>
      </c>
    </row>
    <row r="55" spans="1:24" s="9" customFormat="1" ht="15" customHeight="1" x14ac:dyDescent="0.25">
      <c r="A55" s="28" t="s">
        <v>271</v>
      </c>
      <c r="B55" s="16">
        <v>46266</v>
      </c>
      <c r="D55" s="19">
        <f>SUMIF(Realisasi!$E:$E,Highlight!$X55,Realisasi!F:F)</f>
        <v>0</v>
      </c>
      <c r="E55" s="19">
        <f>SUMIF(Realisasi!$E:$E,Highlight!$X55,Realisasi!G:G)</f>
        <v>0</v>
      </c>
      <c r="F55" s="19">
        <f>SUMIF(Realisasi!$E:$E,Highlight!$X55,Realisasi!H:H)</f>
        <v>0</v>
      </c>
      <c r="G55" s="19">
        <f>SUMIF(Realisasi!$E:$E,Highlight!$X55,Realisasi!I:I)</f>
        <v>0</v>
      </c>
      <c r="H55" s="19">
        <f>SUMIF(Realisasi!$E:$E,Highlight!$X55,Realisasi!J:J)</f>
        <v>0</v>
      </c>
      <c r="I55" s="20">
        <f t="shared" si="44"/>
        <v>0</v>
      </c>
      <c r="J55" s="22"/>
      <c r="K55" s="19">
        <f>SUMIF(Realisasi!$E:$E,Highlight!$X55,Realisasi!K:K)</f>
        <v>0</v>
      </c>
      <c r="L55" s="19">
        <f>SUMIF(Realisasi!$E:$E,Highlight!$X55,Realisasi!L:L)</f>
        <v>0</v>
      </c>
      <c r="M55" s="19">
        <f>SUMIF(Realisasi!$E:$E,Highlight!$X55,Realisasi!M:M)</f>
        <v>0</v>
      </c>
      <c r="N55" s="19">
        <f>SUMIF(Realisasi!$E:$E,Highlight!$X55,Realisasi!N:N)</f>
        <v>0</v>
      </c>
      <c r="O55" s="19">
        <f>SUMIF(Realisasi!$E:$E,Highlight!$X55,Realisasi!O:O)</f>
        <v>0</v>
      </c>
      <c r="P55" s="19">
        <f t="shared" si="45"/>
        <v>0</v>
      </c>
      <c r="R55" s="19">
        <f>SUMIF(Realisasi!$E:$E,Highlight!$X55,Realisasi!P:P)</f>
        <v>0</v>
      </c>
      <c r="S55" s="19">
        <f>SUMIF(Realisasi!$E:$E,Highlight!$X55,Realisasi!Q:Q)</f>
        <v>0</v>
      </c>
      <c r="T55" s="19">
        <f>SUMIF(Realisasi!$E:$E,Highlight!$X55,Realisasi!R:R)</f>
        <v>0</v>
      </c>
      <c r="U55" s="19">
        <f>SUMIF(Realisasi!$E:$E,Highlight!$X55,Realisasi!S:S)</f>
        <v>0</v>
      </c>
      <c r="V55" s="19">
        <f>SUMIF(Realisasi!$E:$E,Highlight!$X55,Realisasi!T:T)</f>
        <v>0</v>
      </c>
      <c r="W55" s="19">
        <f t="shared" si="46"/>
        <v>0</v>
      </c>
      <c r="X55" s="11" t="str">
        <f t="shared" si="47"/>
        <v>ALFA GROUP202609</v>
      </c>
    </row>
    <row r="56" spans="1:24" s="9" customFormat="1" ht="15" customHeight="1" x14ac:dyDescent="0.25">
      <c r="A56" s="28" t="s">
        <v>272</v>
      </c>
      <c r="B56" s="16">
        <v>46296</v>
      </c>
      <c r="D56" s="19">
        <f>SUMIF(Realisasi!$E:$E,Highlight!$X56,Realisasi!F:F)</f>
        <v>0</v>
      </c>
      <c r="E56" s="19">
        <f>SUMIF(Realisasi!$E:$E,Highlight!$X56,Realisasi!G:G)</f>
        <v>0</v>
      </c>
      <c r="F56" s="19">
        <f>SUMIF(Realisasi!$E:$E,Highlight!$X56,Realisasi!H:H)</f>
        <v>0</v>
      </c>
      <c r="G56" s="19">
        <f>SUMIF(Realisasi!$E:$E,Highlight!$X56,Realisasi!I:I)</f>
        <v>0</v>
      </c>
      <c r="H56" s="19">
        <f>SUMIF(Realisasi!$E:$E,Highlight!$X56,Realisasi!J:J)</f>
        <v>0</v>
      </c>
      <c r="I56" s="20">
        <f t="shared" si="44"/>
        <v>0</v>
      </c>
      <c r="J56" s="22"/>
      <c r="K56" s="19">
        <f>SUMIF(Realisasi!$E:$E,Highlight!$X56,Realisasi!K:K)</f>
        <v>0</v>
      </c>
      <c r="L56" s="19">
        <f>SUMIF(Realisasi!$E:$E,Highlight!$X56,Realisasi!L:L)</f>
        <v>0</v>
      </c>
      <c r="M56" s="19">
        <f>SUMIF(Realisasi!$E:$E,Highlight!$X56,Realisasi!M:M)</f>
        <v>0</v>
      </c>
      <c r="N56" s="19">
        <f>SUMIF(Realisasi!$E:$E,Highlight!$X56,Realisasi!N:N)</f>
        <v>0</v>
      </c>
      <c r="O56" s="19">
        <f>SUMIF(Realisasi!$E:$E,Highlight!$X56,Realisasi!O:O)</f>
        <v>0</v>
      </c>
      <c r="P56" s="19">
        <f t="shared" si="45"/>
        <v>0</v>
      </c>
      <c r="R56" s="19">
        <f>SUMIF(Realisasi!$E:$E,Highlight!$X56,Realisasi!P:P)</f>
        <v>0</v>
      </c>
      <c r="S56" s="19">
        <f>SUMIF(Realisasi!$E:$E,Highlight!$X56,Realisasi!Q:Q)</f>
        <v>0</v>
      </c>
      <c r="T56" s="19">
        <f>SUMIF(Realisasi!$E:$E,Highlight!$X56,Realisasi!R:R)</f>
        <v>0</v>
      </c>
      <c r="U56" s="19">
        <f>SUMIF(Realisasi!$E:$E,Highlight!$X56,Realisasi!S:S)</f>
        <v>0</v>
      </c>
      <c r="V56" s="19">
        <f>SUMIF(Realisasi!$E:$E,Highlight!$X56,Realisasi!T:T)</f>
        <v>0</v>
      </c>
      <c r="W56" s="19">
        <f t="shared" si="46"/>
        <v>0</v>
      </c>
      <c r="X56" s="11" t="str">
        <f t="shared" si="47"/>
        <v>ALFA GROUP202610</v>
      </c>
    </row>
    <row r="57" spans="1:24" s="9" customFormat="1" ht="15" customHeight="1" x14ac:dyDescent="0.25">
      <c r="A57" s="28" t="s">
        <v>273</v>
      </c>
      <c r="B57" s="16">
        <v>46327</v>
      </c>
      <c r="D57" s="19">
        <f>SUMIF(Realisasi!$E:$E,Highlight!$X57,Realisasi!F:F)</f>
        <v>0</v>
      </c>
      <c r="E57" s="19">
        <f>SUMIF(Realisasi!$E:$E,Highlight!$X57,Realisasi!G:G)</f>
        <v>0</v>
      </c>
      <c r="F57" s="19">
        <f>SUMIF(Realisasi!$E:$E,Highlight!$X57,Realisasi!H:H)</f>
        <v>0</v>
      </c>
      <c r="G57" s="19">
        <f>SUMIF(Realisasi!$E:$E,Highlight!$X57,Realisasi!I:I)</f>
        <v>0</v>
      </c>
      <c r="H57" s="19">
        <f>SUMIF(Realisasi!$E:$E,Highlight!$X57,Realisasi!J:J)</f>
        <v>0</v>
      </c>
      <c r="I57" s="20">
        <f t="shared" si="44"/>
        <v>0</v>
      </c>
      <c r="J57" s="22"/>
      <c r="K57" s="19">
        <f>SUMIF(Realisasi!$E:$E,Highlight!$X57,Realisasi!K:K)</f>
        <v>0</v>
      </c>
      <c r="L57" s="19">
        <f>SUMIF(Realisasi!$E:$E,Highlight!$X57,Realisasi!L:L)</f>
        <v>0</v>
      </c>
      <c r="M57" s="19">
        <f>SUMIF(Realisasi!$E:$E,Highlight!$X57,Realisasi!M:M)</f>
        <v>0</v>
      </c>
      <c r="N57" s="19">
        <f>SUMIF(Realisasi!$E:$E,Highlight!$X57,Realisasi!N:N)</f>
        <v>0</v>
      </c>
      <c r="O57" s="19">
        <f>SUMIF(Realisasi!$E:$E,Highlight!$X57,Realisasi!O:O)</f>
        <v>0</v>
      </c>
      <c r="P57" s="19">
        <f t="shared" si="45"/>
        <v>0</v>
      </c>
      <c r="R57" s="19">
        <f>SUMIF(Realisasi!$E:$E,Highlight!$X57,Realisasi!P:P)</f>
        <v>0</v>
      </c>
      <c r="S57" s="19">
        <f>SUMIF(Realisasi!$E:$E,Highlight!$X57,Realisasi!Q:Q)</f>
        <v>0</v>
      </c>
      <c r="T57" s="19">
        <f>SUMIF(Realisasi!$E:$E,Highlight!$X57,Realisasi!R:R)</f>
        <v>0</v>
      </c>
      <c r="U57" s="19">
        <f>SUMIF(Realisasi!$E:$E,Highlight!$X57,Realisasi!S:S)</f>
        <v>0</v>
      </c>
      <c r="V57" s="19">
        <f>SUMIF(Realisasi!$E:$E,Highlight!$X57,Realisasi!T:T)</f>
        <v>0</v>
      </c>
      <c r="W57" s="19">
        <f t="shared" si="46"/>
        <v>0</v>
      </c>
      <c r="X57" s="11" t="str">
        <f t="shared" si="47"/>
        <v>ALFA GROUP202611</v>
      </c>
    </row>
    <row r="58" spans="1:24" s="9" customFormat="1" ht="15" customHeight="1" x14ac:dyDescent="0.25">
      <c r="A58" s="28" t="s">
        <v>274</v>
      </c>
      <c r="B58" s="16">
        <v>46357</v>
      </c>
      <c r="D58" s="19">
        <f>SUMIF(Realisasi!$E:$E,Highlight!$X58,Realisasi!F:F)</f>
        <v>0</v>
      </c>
      <c r="E58" s="19">
        <f>SUMIF(Realisasi!$E:$E,Highlight!$X58,Realisasi!G:G)</f>
        <v>0</v>
      </c>
      <c r="F58" s="19">
        <f>SUMIF(Realisasi!$E:$E,Highlight!$X58,Realisasi!H:H)</f>
        <v>0</v>
      </c>
      <c r="G58" s="19">
        <f>SUMIF(Realisasi!$E:$E,Highlight!$X58,Realisasi!I:I)</f>
        <v>0</v>
      </c>
      <c r="H58" s="19">
        <f>SUMIF(Realisasi!$E:$E,Highlight!$X58,Realisasi!J:J)</f>
        <v>0</v>
      </c>
      <c r="I58" s="20">
        <f t="shared" ref="I58" si="48">SUM(D58:H58)</f>
        <v>0</v>
      </c>
      <c r="J58" s="22"/>
      <c r="K58" s="19">
        <f>SUMIF(Realisasi!$E:$E,Highlight!$X58,Realisasi!K:K)</f>
        <v>0</v>
      </c>
      <c r="L58" s="19">
        <f>SUMIF(Realisasi!$E:$E,Highlight!$X58,Realisasi!L:L)</f>
        <v>0</v>
      </c>
      <c r="M58" s="19">
        <f>SUMIF(Realisasi!$E:$E,Highlight!$X58,Realisasi!M:M)</f>
        <v>0</v>
      </c>
      <c r="N58" s="19">
        <f>SUMIF(Realisasi!$E:$E,Highlight!$X58,Realisasi!N:N)</f>
        <v>0</v>
      </c>
      <c r="O58" s="19">
        <f>SUMIF(Realisasi!$E:$E,Highlight!$X58,Realisasi!O:O)</f>
        <v>0</v>
      </c>
      <c r="P58" s="19">
        <f t="shared" ref="P58" si="49">SUM(K58:O58)</f>
        <v>0</v>
      </c>
      <c r="R58" s="19">
        <f>SUMIF(Realisasi!$E:$E,Highlight!$X58,Realisasi!P:P)</f>
        <v>0</v>
      </c>
      <c r="S58" s="19">
        <f>SUMIF(Realisasi!$E:$E,Highlight!$X58,Realisasi!Q:Q)</f>
        <v>0</v>
      </c>
      <c r="T58" s="19">
        <f>SUMIF(Realisasi!$E:$E,Highlight!$X58,Realisasi!R:R)</f>
        <v>0</v>
      </c>
      <c r="U58" s="19">
        <f>SUMIF(Realisasi!$E:$E,Highlight!$X58,Realisasi!S:S)</f>
        <v>0</v>
      </c>
      <c r="V58" s="19">
        <f>SUMIF(Realisasi!$E:$E,Highlight!$X58,Realisasi!T:T)</f>
        <v>0</v>
      </c>
      <c r="W58" s="19">
        <f t="shared" ref="W58" si="50">SUM(R58:V58)</f>
        <v>0</v>
      </c>
      <c r="X58" s="11" t="str">
        <f t="shared" si="47"/>
        <v>ALFA GROUP202612</v>
      </c>
    </row>
    <row r="59" spans="1:24" s="9" customFormat="1" ht="15" customHeight="1" x14ac:dyDescent="0.25">
      <c r="A59" s="7"/>
      <c r="B59" s="17" t="s">
        <v>261</v>
      </c>
      <c r="D59" s="23">
        <f>SUM(D47:D58)</f>
        <v>387503</v>
      </c>
      <c r="E59" s="23">
        <f t="shared" ref="E59:F59" si="51">SUM(E47:E58)</f>
        <v>484447</v>
      </c>
      <c r="F59" s="23">
        <f t="shared" si="51"/>
        <v>98370</v>
      </c>
      <c r="G59" s="23">
        <f>SUM(G47:G58)</f>
        <v>119</v>
      </c>
      <c r="H59" s="23">
        <f t="shared" ref="H59:I59" si="52">SUM(H47:H58)</f>
        <v>2070</v>
      </c>
      <c r="I59" s="23">
        <f t="shared" si="52"/>
        <v>972509</v>
      </c>
      <c r="J59" s="22"/>
      <c r="K59" s="23">
        <f>SUM(K47:K58)</f>
        <v>42582859608</v>
      </c>
      <c r="L59" s="23">
        <f t="shared" ref="L59:P59" si="53">SUM(L47:L58)</f>
        <v>53958019925</v>
      </c>
      <c r="M59" s="23">
        <f t="shared" si="53"/>
        <v>15457157835</v>
      </c>
      <c r="N59" s="23">
        <f t="shared" si="53"/>
        <v>5122100</v>
      </c>
      <c r="O59" s="23">
        <f t="shared" si="53"/>
        <v>96978981</v>
      </c>
      <c r="P59" s="23">
        <f t="shared" si="53"/>
        <v>112100138449</v>
      </c>
      <c r="R59" s="23">
        <f>SUM(R47:R58)</f>
        <v>63874237</v>
      </c>
      <c r="S59" s="23">
        <f t="shared" ref="S59:W59" si="54">SUM(S47:S58)</f>
        <v>538099860</v>
      </c>
      <c r="T59" s="23">
        <f t="shared" si="54"/>
        <v>274664042</v>
      </c>
      <c r="U59" s="23">
        <f t="shared" si="54"/>
        <v>7380</v>
      </c>
      <c r="V59" s="23">
        <f t="shared" si="54"/>
        <v>90192</v>
      </c>
      <c r="W59" s="23">
        <f t="shared" si="54"/>
        <v>876735711</v>
      </c>
      <c r="X59" s="7"/>
    </row>
    <row r="60" spans="1:24" s="9" customFormat="1" ht="15" customHeight="1" x14ac:dyDescent="0.25">
      <c r="A60" s="7"/>
      <c r="B60" s="12" t="s">
        <v>29</v>
      </c>
      <c r="C60" s="13"/>
      <c r="D60" s="24">
        <f>AVERAGE(D47:D58)</f>
        <v>32291.916666666668</v>
      </c>
      <c r="E60" s="24">
        <f t="shared" ref="E60:F60" si="55">AVERAGE(E47:E58)</f>
        <v>40370.583333333336</v>
      </c>
      <c r="F60" s="24">
        <f t="shared" si="55"/>
        <v>8197.5</v>
      </c>
      <c r="G60" s="24">
        <f>AVERAGE(G47:G58)</f>
        <v>9.9166666666666661</v>
      </c>
      <c r="H60" s="24">
        <f t="shared" ref="H60:I60" si="56">AVERAGE(H47:H58)</f>
        <v>172.5</v>
      </c>
      <c r="I60" s="24">
        <f t="shared" si="56"/>
        <v>81042.416666666672</v>
      </c>
      <c r="J60" s="25"/>
      <c r="K60" s="24">
        <f>AVERAGE(K47:K58)</f>
        <v>3548571634</v>
      </c>
      <c r="L60" s="24">
        <f t="shared" ref="L60:P60" si="57">AVERAGE(L47:L58)</f>
        <v>4496501660.416667</v>
      </c>
      <c r="M60" s="24">
        <f t="shared" si="57"/>
        <v>1288096486.25</v>
      </c>
      <c r="N60" s="24">
        <f t="shared" si="57"/>
        <v>426841.66666666669</v>
      </c>
      <c r="O60" s="24">
        <f t="shared" si="57"/>
        <v>8081581.75</v>
      </c>
      <c r="P60" s="24">
        <f t="shared" si="57"/>
        <v>9341678204.083334</v>
      </c>
      <c r="Q60" s="13"/>
      <c r="R60" s="24">
        <f>AVERAGE(R47:R58)</f>
        <v>5322853.083333333</v>
      </c>
      <c r="S60" s="24">
        <f t="shared" ref="S60:W60" si="58">AVERAGE(S47:S58)</f>
        <v>44841655</v>
      </c>
      <c r="T60" s="24">
        <f t="shared" si="58"/>
        <v>22888670.166666668</v>
      </c>
      <c r="U60" s="24">
        <f t="shared" si="58"/>
        <v>615</v>
      </c>
      <c r="V60" s="24">
        <f t="shared" si="58"/>
        <v>7516</v>
      </c>
      <c r="W60" s="24">
        <f t="shared" si="58"/>
        <v>73061309.25</v>
      </c>
      <c r="X60" s="7"/>
    </row>
    <row r="61" spans="1:24" x14ac:dyDescent="0.25">
      <c r="A61" s="2"/>
      <c r="X61" s="2"/>
    </row>
    <row r="62" spans="1:24" x14ac:dyDescent="0.25">
      <c r="A62" s="2"/>
      <c r="X62" s="2"/>
    </row>
    <row r="63" spans="1:24" x14ac:dyDescent="0.25">
      <c r="A63" s="2"/>
      <c r="X63" s="2"/>
    </row>
    <row r="64" spans="1:24" x14ac:dyDescent="0.25">
      <c r="A64" s="2"/>
      <c r="D64" s="2" t="s">
        <v>43</v>
      </c>
      <c r="E64" s="2" t="s">
        <v>44</v>
      </c>
      <c r="F64" s="2" t="s">
        <v>45</v>
      </c>
      <c r="G64" s="2" t="s">
        <v>46</v>
      </c>
      <c r="H64" s="2" t="s">
        <v>47</v>
      </c>
      <c r="I64" s="3" t="s">
        <v>48</v>
      </c>
      <c r="J64" s="2" t="s">
        <v>49</v>
      </c>
      <c r="K64" s="2" t="s">
        <v>50</v>
      </c>
      <c r="L64" s="2" t="s">
        <v>51</v>
      </c>
      <c r="M64" s="2" t="s">
        <v>52</v>
      </c>
      <c r="N64" s="2" t="s">
        <v>53</v>
      </c>
      <c r="O64" s="2" t="s">
        <v>54</v>
      </c>
      <c r="R64" s="49"/>
      <c r="S64" s="49"/>
      <c r="T64" s="49"/>
      <c r="W64" s="49"/>
      <c r="X64" s="2"/>
    </row>
    <row r="65" spans="2:23" s="2" customFormat="1" x14ac:dyDescent="0.25">
      <c r="D65" s="2" t="s">
        <v>55</v>
      </c>
      <c r="E65" s="2" t="s">
        <v>56</v>
      </c>
      <c r="F65" s="2" t="s">
        <v>57</v>
      </c>
      <c r="G65" s="2" t="s">
        <v>58</v>
      </c>
      <c r="H65" s="2" t="s">
        <v>59</v>
      </c>
      <c r="I65" s="3" t="s">
        <v>60</v>
      </c>
      <c r="J65" s="2" t="s">
        <v>61</v>
      </c>
      <c r="K65" s="2" t="s">
        <v>62</v>
      </c>
      <c r="L65" s="2" t="s">
        <v>63</v>
      </c>
      <c r="M65" s="2" t="s">
        <v>64</v>
      </c>
      <c r="N65" s="2" t="s">
        <v>65</v>
      </c>
      <c r="O65" s="2" t="s">
        <v>66</v>
      </c>
      <c r="P65" s="3"/>
      <c r="W65" s="3"/>
    </row>
    <row r="66" spans="2:23" s="2" customFormat="1" x14ac:dyDescent="0.25">
      <c r="B66" s="50">
        <v>2024</v>
      </c>
      <c r="D66" s="2">
        <f>IF(Portfolio!$S$1=1,Highlight!$I19,IF(Portfolio!$S$1=2,Highlight!$P19,Highlight!$W19))</f>
        <v>88573</v>
      </c>
      <c r="E66" s="2">
        <f>IF(Portfolio!$S$1=1,Highlight!$I20,IF(Portfolio!$S$1=2,Highlight!$P20,Highlight!$W20))</f>
        <v>96214</v>
      </c>
      <c r="F66" s="2">
        <f>IF(Portfolio!$S$1=1,Highlight!$I21,IF(Portfolio!$S$1=2,Highlight!$P21,Highlight!$W21))</f>
        <v>118714</v>
      </c>
      <c r="G66" s="2">
        <f>IF(Portfolio!$S$1=1,Highlight!$I22,IF(Portfolio!$S$1=2,Highlight!$P22,Highlight!$W22))</f>
        <v>117697</v>
      </c>
      <c r="H66" s="2">
        <f>IF(Portfolio!$S$1=1,Highlight!$I23,IF(Portfolio!$S$1=2,Highlight!$P23,Highlight!$W23))</f>
        <v>112613</v>
      </c>
      <c r="I66" s="3">
        <f>IF(Portfolio!$S$1=1,Highlight!$I24,IF(Portfolio!$S$1=2,Highlight!$P24,Highlight!$W24))</f>
        <v>113634</v>
      </c>
      <c r="J66" s="2">
        <f>IF(Portfolio!$S$1=1,Highlight!$I25,IF(Portfolio!$S$1=2,Highlight!$P25,Highlight!$W25))</f>
        <v>117755</v>
      </c>
      <c r="K66" s="2">
        <f>IF(Portfolio!$S$1=1,Highlight!$I26,IF(Portfolio!$S$1=2,Highlight!$P26,Highlight!$W26))</f>
        <v>122222</v>
      </c>
      <c r="L66" s="2">
        <f>IF(Portfolio!$S$1=1,Highlight!$I27,IF(Portfolio!$S$1=2,Highlight!$P27,Highlight!$W27))</f>
        <v>122761</v>
      </c>
      <c r="M66" s="2">
        <f>IF(Portfolio!$S$1=1,Highlight!$I28,IF(Portfolio!$S$1=2,Highlight!$P28,Highlight!$W28))</f>
        <v>121111</v>
      </c>
      <c r="N66" s="2">
        <f>IF(Portfolio!$S$1=1,Highlight!$I29,IF(Portfolio!$S$1=2,Highlight!$P29,Highlight!$W29))</f>
        <v>119291</v>
      </c>
      <c r="O66" s="2">
        <f>IF(Portfolio!$S$1=1,Highlight!$I30,IF(Portfolio!$S$1=2,Highlight!$P30,Highlight!$W30))</f>
        <v>116932</v>
      </c>
      <c r="P66" s="3"/>
      <c r="W66" s="3"/>
    </row>
    <row r="67" spans="2:23" s="2" customFormat="1" x14ac:dyDescent="0.25">
      <c r="B67" s="50">
        <v>2025</v>
      </c>
      <c r="D67" s="2">
        <f>IF(Portfolio!$S$1=1,Highlight!$I33,IF(Portfolio!$S$1=2,Highlight!$P33,Highlight!$W33))</f>
        <v>114246</v>
      </c>
      <c r="E67" s="2">
        <f>IF(Portfolio!$S$1=1,Highlight!$I34,IF(Portfolio!$S$1=2,Highlight!$P34,Highlight!$W34))</f>
        <v>110657</v>
      </c>
      <c r="F67" s="2">
        <f>IF(Portfolio!$S$1=1,Highlight!$I35,IF(Portfolio!$S$1=2,Highlight!$P35,Highlight!$W35))</f>
        <v>134610</v>
      </c>
      <c r="G67" s="2">
        <f>IF(Portfolio!$S$1=1,Highlight!$I36,IF(Portfolio!$S$1=2,Highlight!$P36,Highlight!$W36))</f>
        <v>114771</v>
      </c>
      <c r="H67" s="2">
        <f>IF(Portfolio!$S$1=1,Highlight!$I37,IF(Portfolio!$S$1=2,Highlight!$P37,Highlight!$W37))</f>
        <v>105083</v>
      </c>
      <c r="I67" s="3">
        <f>IF(Portfolio!$S$1=1,Highlight!$I38,IF(Portfolio!$S$1=2,Highlight!$P38,Highlight!$W38))</f>
        <v>126595</v>
      </c>
      <c r="J67" s="2">
        <f>IF(Portfolio!$S$1=1,Highlight!$I39,IF(Portfolio!$S$1=2,Highlight!$P39,Highlight!$W39))</f>
        <v>129641</v>
      </c>
      <c r="K67" s="2">
        <f>IF(Portfolio!$S$1=1,Highlight!$I40,IF(Portfolio!$S$1=2,Highlight!$P40,Highlight!$W40))</f>
        <v>120421</v>
      </c>
      <c r="L67" s="2">
        <f>IF(Portfolio!$S$1=1,Highlight!$I41,IF(Portfolio!$S$1=2,Highlight!$P41,Highlight!$W41))</f>
        <v>121826</v>
      </c>
      <c r="M67" s="2">
        <f>IF(Portfolio!$S$1=1,Highlight!$I42,IF(Portfolio!$S$1=2,Highlight!$P42,Highlight!$W42))</f>
        <v>125925</v>
      </c>
      <c r="N67" s="2">
        <f>IF(Portfolio!$S$1=1,Highlight!$I43,IF(Portfolio!$S$1=2,Highlight!$P43,Highlight!$W43))</f>
        <v>119192</v>
      </c>
      <c r="O67" s="2">
        <f>IF(Portfolio!$S$1=1,Highlight!$I44,IF(Portfolio!$S$1=2,Highlight!$P44,Highlight!$W44))</f>
        <v>112429</v>
      </c>
      <c r="P67" s="3"/>
      <c r="W67" s="3"/>
    </row>
    <row r="68" spans="2:23" s="2" customFormat="1" x14ac:dyDescent="0.25">
      <c r="B68" s="50">
        <v>2026</v>
      </c>
      <c r="D68" s="2">
        <f>IF(Portfolio!$S$1=1,Highlight!$I47,IF(Portfolio!$S$1=2,Highlight!$P47,Highlight!$W47))</f>
        <v>307692</v>
      </c>
      <c r="E68" s="2">
        <f>IF(Portfolio!$S$1=1,Highlight!$I48,IF(Portfolio!$S$1=2,Highlight!$P48,Highlight!$W48))</f>
        <v>619532</v>
      </c>
      <c r="F68" s="2">
        <f>IF(Portfolio!$S$1=1,Highlight!$I49,IF(Portfolio!$S$1=2,Highlight!$P49,Highlight!$W49))</f>
        <v>45285</v>
      </c>
      <c r="G68" s="2">
        <f>IF(Portfolio!$S$1=1,Highlight!$I50,IF(Portfolio!$S$1=2,Highlight!$P50,Highlight!$W50))</f>
        <v>0</v>
      </c>
      <c r="H68" s="2">
        <f>IF(Portfolio!$S$1=1,Highlight!$I51,IF(Portfolio!$S$1=2,Highlight!$P51,Highlight!$W51))</f>
        <v>0</v>
      </c>
      <c r="I68" s="3">
        <f>IF(Portfolio!$S$1=1,Highlight!$I52,IF(Portfolio!$S$1=2,Highlight!$P52,Highlight!$W52))</f>
        <v>0</v>
      </c>
      <c r="J68" s="2">
        <f>IF(Portfolio!$S$1=1,Highlight!$I53,IF(Portfolio!$S$1=2,Highlight!$P53,Highlight!$W53))</f>
        <v>0</v>
      </c>
      <c r="K68" s="2">
        <f>IF(Portfolio!$S$1=1,Highlight!$I54,IF(Portfolio!$S$1=2,Highlight!$P54,Highlight!$W54))</f>
        <v>0</v>
      </c>
      <c r="L68" s="2">
        <f>IF(Portfolio!$S$1=1,Highlight!$I55,IF(Portfolio!$S$1=2,Highlight!$P55,Highlight!$W55))</f>
        <v>0</v>
      </c>
      <c r="M68" s="2">
        <f>IF(Portfolio!$S$1=1,Highlight!$I56,IF(Portfolio!$S$1=2,Highlight!$P56,Highlight!$W56))</f>
        <v>0</v>
      </c>
      <c r="N68" s="2">
        <f>IF(Portfolio!$S$1=1,Highlight!$I57,IF(Portfolio!$S$1=2,Highlight!$P57,Highlight!$W57))</f>
        <v>0</v>
      </c>
      <c r="O68" s="2">
        <f>IF(Portfolio!$S$1=1,Highlight!$I58,IF(Portfolio!$S$1=2,Highlight!$P58,Highlight!$W58))</f>
        <v>0</v>
      </c>
      <c r="P68" s="3"/>
      <c r="W68" s="3"/>
    </row>
    <row r="69" spans="2:23" s="2" customFormat="1" x14ac:dyDescent="0.25">
      <c r="D69" s="2" t="s">
        <v>55</v>
      </c>
      <c r="E69" s="2" t="s">
        <v>56</v>
      </c>
      <c r="F69" s="2" t="s">
        <v>57</v>
      </c>
      <c r="G69" s="2" t="s">
        <v>58</v>
      </c>
      <c r="H69" s="2" t="s">
        <v>59</v>
      </c>
      <c r="I69" s="3" t="s">
        <v>60</v>
      </c>
      <c r="J69" s="2" t="s">
        <v>61</v>
      </c>
      <c r="K69" s="2" t="s">
        <v>62</v>
      </c>
      <c r="L69" s="2" t="s">
        <v>63</v>
      </c>
      <c r="M69" s="2" t="s">
        <v>64</v>
      </c>
      <c r="N69" s="2" t="s">
        <v>65</v>
      </c>
      <c r="O69" s="2" t="s">
        <v>66</v>
      </c>
      <c r="P69" s="3"/>
      <c r="W69" s="3"/>
    </row>
    <row r="70" spans="2:23" s="2" customFormat="1" x14ac:dyDescent="0.25">
      <c r="B70" s="50">
        <v>2024</v>
      </c>
      <c r="D70" s="51">
        <f>D66/Portfolio!$T$1</f>
        <v>88573</v>
      </c>
      <c r="E70" s="51">
        <f>E66/Portfolio!$T$1</f>
        <v>96214</v>
      </c>
      <c r="F70" s="51">
        <f>F66/Portfolio!$T$1</f>
        <v>118714</v>
      </c>
      <c r="G70" s="51">
        <f>G66/Portfolio!$T$1</f>
        <v>117697</v>
      </c>
      <c r="H70" s="51">
        <f>H66/Portfolio!$T$1</f>
        <v>112613</v>
      </c>
      <c r="I70" s="51">
        <f>I66/Portfolio!$T$1</f>
        <v>113634</v>
      </c>
      <c r="J70" s="51">
        <f>J66/Portfolio!$T$1</f>
        <v>117755</v>
      </c>
      <c r="K70" s="51">
        <f>K66/Portfolio!$T$1</f>
        <v>122222</v>
      </c>
      <c r="L70" s="51">
        <f>L66/Portfolio!$T$1</f>
        <v>122761</v>
      </c>
      <c r="M70" s="51">
        <f>M66/Portfolio!$T$1</f>
        <v>121111</v>
      </c>
      <c r="N70" s="51">
        <f>N66/Portfolio!$T$1</f>
        <v>119291</v>
      </c>
      <c r="O70" s="51">
        <f>O66/Portfolio!$T$1</f>
        <v>116932</v>
      </c>
      <c r="P70" s="3"/>
      <c r="W70" s="3"/>
    </row>
    <row r="71" spans="2:23" s="2" customFormat="1" x14ac:dyDescent="0.25">
      <c r="B71" s="50">
        <v>2025</v>
      </c>
      <c r="D71" s="51">
        <f>D67/Portfolio!$T$1</f>
        <v>114246</v>
      </c>
      <c r="E71" s="51">
        <f>E67/Portfolio!$T$1</f>
        <v>110657</v>
      </c>
      <c r="F71" s="51">
        <f>F67/Portfolio!$T$1</f>
        <v>134610</v>
      </c>
      <c r="G71" s="51">
        <f>G67/Portfolio!$T$1</f>
        <v>114771</v>
      </c>
      <c r="H71" s="51">
        <f>H67/Portfolio!$T$1</f>
        <v>105083</v>
      </c>
      <c r="I71" s="51">
        <f>I67/Portfolio!$T$1</f>
        <v>126595</v>
      </c>
      <c r="J71" s="51">
        <f>J67/Portfolio!$T$1</f>
        <v>129641</v>
      </c>
      <c r="K71" s="51">
        <f>K67/Portfolio!$T$1</f>
        <v>120421</v>
      </c>
      <c r="L71" s="51">
        <f>L67/Portfolio!$T$1</f>
        <v>121826</v>
      </c>
      <c r="M71" s="51">
        <f>M67/Portfolio!$T$1</f>
        <v>125925</v>
      </c>
      <c r="N71" s="51">
        <f>N67/Portfolio!$T$1</f>
        <v>119192</v>
      </c>
      <c r="O71" s="51">
        <f>O67/Portfolio!$T$1</f>
        <v>112429</v>
      </c>
      <c r="P71" s="3"/>
      <c r="W71" s="3"/>
    </row>
    <row r="72" spans="2:23" s="2" customFormat="1" x14ac:dyDescent="0.25">
      <c r="B72" s="50">
        <v>2026</v>
      </c>
      <c r="D72" s="51">
        <f>D68/Portfolio!$T$1</f>
        <v>307692</v>
      </c>
      <c r="E72" s="51">
        <f>E68/Portfolio!$T$1</f>
        <v>619532</v>
      </c>
      <c r="F72" s="51">
        <f>F68/Portfolio!$T$1</f>
        <v>45285</v>
      </c>
      <c r="G72" s="51">
        <f>G68/Portfolio!$T$1</f>
        <v>0</v>
      </c>
      <c r="H72" s="51">
        <f>H68/Portfolio!$T$1</f>
        <v>0</v>
      </c>
      <c r="I72" s="51">
        <f>I68/Portfolio!$T$1</f>
        <v>0</v>
      </c>
      <c r="J72" s="51">
        <f>J68/Portfolio!$T$1</f>
        <v>0</v>
      </c>
      <c r="K72" s="51">
        <f>K68/Portfolio!$T$1</f>
        <v>0</v>
      </c>
      <c r="L72" s="51">
        <f>L68/Portfolio!$T$1</f>
        <v>0</v>
      </c>
      <c r="M72" s="51">
        <f>M68/Portfolio!$T$1</f>
        <v>0</v>
      </c>
      <c r="N72" s="51">
        <f>N68/Portfolio!$T$1</f>
        <v>0</v>
      </c>
      <c r="O72" s="51">
        <f>O68/Portfolio!$T$1</f>
        <v>0</v>
      </c>
      <c r="P72" s="3"/>
      <c r="W72" s="3"/>
    </row>
    <row r="73" spans="2:23" s="2" customFormat="1" x14ac:dyDescent="0.25">
      <c r="I73" s="3"/>
      <c r="P73" s="3"/>
      <c r="W73" s="3"/>
    </row>
    <row r="74" spans="2:23" s="2" customFormat="1" x14ac:dyDescent="0.25">
      <c r="I74" s="3"/>
      <c r="P74" s="3"/>
      <c r="W74" s="3"/>
    </row>
    <row r="75" spans="2:23" s="2" customFormat="1" x14ac:dyDescent="0.25">
      <c r="I75" s="3"/>
      <c r="P75" s="3"/>
      <c r="W75" s="3"/>
    </row>
    <row r="76" spans="2:23" s="2" customFormat="1" x14ac:dyDescent="0.25">
      <c r="I76" s="3"/>
      <c r="P76" s="3"/>
      <c r="W76" s="3"/>
    </row>
    <row r="77" spans="2:23" s="2" customFormat="1" x14ac:dyDescent="0.25">
      <c r="I77" s="3"/>
      <c r="P77" s="3"/>
      <c r="W77" s="3"/>
    </row>
    <row r="78" spans="2:23" s="2" customFormat="1" x14ac:dyDescent="0.25">
      <c r="I78" s="3"/>
      <c r="P78" s="3"/>
      <c r="W78" s="3"/>
    </row>
    <row r="79" spans="2:23" s="2" customFormat="1" x14ac:dyDescent="0.25">
      <c r="I79" s="3"/>
      <c r="P79" s="3"/>
      <c r="W79" s="3"/>
    </row>
    <row r="80" spans="2:23" s="2" customFormat="1" x14ac:dyDescent="0.25">
      <c r="I80" s="3"/>
      <c r="P80" s="3"/>
      <c r="W80" s="3"/>
    </row>
    <row r="81" spans="9:23" s="2" customFormat="1" x14ac:dyDescent="0.25">
      <c r="I81" s="3"/>
      <c r="P81" s="3"/>
      <c r="W81" s="3"/>
    </row>
    <row r="82" spans="9:23" s="2" customFormat="1" x14ac:dyDescent="0.25">
      <c r="I82" s="3"/>
      <c r="P82" s="3"/>
      <c r="W82" s="3"/>
    </row>
  </sheetData>
  <mergeCells count="6">
    <mergeCell ref="E2:F2"/>
    <mergeCell ref="L2:M2"/>
    <mergeCell ref="S2:T2"/>
    <mergeCell ref="D17:I17"/>
    <mergeCell ref="K17:P17"/>
    <mergeCell ref="R17:W17"/>
  </mergeCells>
  <phoneticPr fontId="6" type="noConversion"/>
  <conditionalFormatting sqref="K19:P60">
    <cfRule type="cellIs" dxfId="0" priority="1" operator="greaterThan">
      <formula>0</formula>
    </cfRule>
  </conditionalFormatting>
  <pageMargins left="0.7" right="0.7" top="0.75" bottom="0.75" header="0.3" footer="0.3"/>
  <ignoredErrors>
    <ignoredError sqref="D64:O64" numberStoredAsText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rop Down 1">
              <controlPr defaultSize="0" autoLine="0" autoPict="0">
                <anchor moveWithCells="1">
                  <from>
                    <xdr:col>2</xdr:col>
                    <xdr:colOff>38100</xdr:colOff>
                    <xdr:row>0</xdr:row>
                    <xdr:rowOff>114300</xdr:rowOff>
                  </from>
                  <to>
                    <xdr:col>5</xdr:col>
                    <xdr:colOff>752475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4" name="Drop Down 5">
              <controlPr defaultSize="0" autoLine="0" autoPict="0">
                <anchor moveWithCells="1">
                  <from>
                    <xdr:col>7</xdr:col>
                    <xdr:colOff>723900</xdr:colOff>
                    <xdr:row>0</xdr:row>
                    <xdr:rowOff>114300</xdr:rowOff>
                  </from>
                  <to>
                    <xdr:col>12</xdr:col>
                    <xdr:colOff>333375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5" name="Drop Down 7">
              <controlPr defaultSize="0" autoLine="0" autoPict="0">
                <anchor moveWithCells="1">
                  <from>
                    <xdr:col>2</xdr:col>
                    <xdr:colOff>38100</xdr:colOff>
                    <xdr:row>2</xdr:row>
                    <xdr:rowOff>85725</xdr:rowOff>
                  </from>
                  <to>
                    <xdr:col>5</xdr:col>
                    <xdr:colOff>752475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D10E-D972-4A44-AADD-D47C0AB51B94}">
  <dimension ref="A1:U146"/>
  <sheetViews>
    <sheetView zoomScale="75" workbookViewId="0">
      <selection activeCell="L1" sqref="L1"/>
    </sheetView>
  </sheetViews>
  <sheetFormatPr defaultColWidth="24" defaultRowHeight="13.5" x14ac:dyDescent="0.25"/>
  <cols>
    <col min="1" max="1" width="23" style="2" bestFit="1" customWidth="1"/>
    <col min="2" max="2" width="2.875" style="2" bestFit="1" customWidth="1"/>
    <col min="3" max="3" width="25.875" style="2" customWidth="1"/>
    <col min="4" max="4" width="25.5" style="2" bestFit="1" customWidth="1"/>
    <col min="5" max="5" width="2.875" style="2" bestFit="1" customWidth="1"/>
    <col min="6" max="6" width="23" style="2" bestFit="1" customWidth="1"/>
    <col min="7" max="7" width="2.875" style="2" bestFit="1" customWidth="1"/>
    <col min="8" max="8" width="9.875" style="2" bestFit="1" customWidth="1"/>
    <col min="9" max="9" width="2.875" style="2" bestFit="1" customWidth="1"/>
    <col min="10" max="10" width="15" style="2" bestFit="1" customWidth="1"/>
    <col min="11" max="11" width="9.875" style="2" bestFit="1" customWidth="1"/>
    <col min="12" max="12" width="18.375" style="2" bestFit="1" customWidth="1"/>
    <col min="13" max="13" width="2" style="2" bestFit="1" customWidth="1"/>
    <col min="14" max="14" width="9.875" style="2" bestFit="1" customWidth="1"/>
    <col min="15" max="15" width="2" style="2" bestFit="1" customWidth="1"/>
    <col min="16" max="16" width="14.375" style="2" bestFit="1" customWidth="1"/>
    <col min="17" max="18" width="14.375" style="2" customWidth="1"/>
    <col min="19" max="19" width="2" style="2" bestFit="1" customWidth="1"/>
    <col min="20" max="20" width="7" style="2" bestFit="1" customWidth="1"/>
    <col min="21" max="16384" width="24" style="2"/>
  </cols>
  <sheetData>
    <row r="1" spans="1:21" x14ac:dyDescent="0.25">
      <c r="A1" s="2" t="s">
        <v>67</v>
      </c>
      <c r="B1" s="2">
        <v>1</v>
      </c>
      <c r="C1" s="2" t="str">
        <f>CONCATENATE(A1,B1)</f>
        <v>ALFA GROUP1</v>
      </c>
      <c r="D1" s="2" t="s">
        <v>68</v>
      </c>
      <c r="E1" s="15">
        <v>1</v>
      </c>
      <c r="F1" s="15" t="s">
        <v>67</v>
      </c>
      <c r="G1" s="15">
        <v>1</v>
      </c>
      <c r="H1" s="15" t="str">
        <f>VLOOKUP(G1,E:F,2,0)</f>
        <v>ALFA GROUP</v>
      </c>
      <c r="I1" s="15">
        <v>0</v>
      </c>
      <c r="J1" s="15" t="str">
        <f>_xlfn.CONCAT(H1,I1)</f>
        <v>ALFA GROUP0</v>
      </c>
      <c r="K1" s="15">
        <v>1</v>
      </c>
      <c r="L1" s="15" t="str">
        <f>H1</f>
        <v>ALFA GROUP</v>
      </c>
      <c r="M1" s="15">
        <v>1</v>
      </c>
      <c r="N1" s="15" t="str">
        <f>VLOOKUP(M1,K:L,2,0)</f>
        <v>ALFA GROUP</v>
      </c>
      <c r="O1" s="15">
        <v>1</v>
      </c>
      <c r="P1" s="15" t="s">
        <v>4</v>
      </c>
      <c r="Q1" s="15">
        <v>1</v>
      </c>
      <c r="R1" s="15"/>
      <c r="S1" s="15">
        <v>1</v>
      </c>
      <c r="T1" s="15">
        <f>VLOOKUP(S1,O1:Q3,3,0)</f>
        <v>1</v>
      </c>
      <c r="U1" s="2" t="str">
        <f>CONCATENATE(VLOOKUP(S1,O1:P3,2,0),"  - ",N1," ",T2)</f>
        <v>TRANSACTION  - ALFA GROUP 0</v>
      </c>
    </row>
    <row r="2" spans="1:21" x14ac:dyDescent="0.25">
      <c r="A2" s="2" t="s">
        <v>67</v>
      </c>
      <c r="B2" s="2">
        <f>IF(A2=A1,B1+1,1)</f>
        <v>2</v>
      </c>
      <c r="C2" s="2" t="str">
        <f t="shared" ref="C2:C65" si="0">CONCATENATE(A2,B2)</f>
        <v>ALFA GROUP2</v>
      </c>
      <c r="D2" s="2" t="s">
        <v>69</v>
      </c>
      <c r="E2" s="15">
        <f>E1+1</f>
        <v>2</v>
      </c>
      <c r="F2" s="15" t="s">
        <v>70</v>
      </c>
      <c r="G2" s="15"/>
      <c r="H2" s="15" t="str">
        <f>H1</f>
        <v>ALFA GROUP</v>
      </c>
      <c r="I2" s="15">
        <v>1</v>
      </c>
      <c r="J2" s="15" t="str">
        <f t="shared" ref="J2:J22" si="1">_xlfn.CONCAT(H2,I2)</f>
        <v>ALFA GROUP1</v>
      </c>
      <c r="K2" s="15">
        <f>K1+1</f>
        <v>2</v>
      </c>
      <c r="L2" s="15" t="str">
        <f>IFERROR(VLOOKUP(J2,C:D,2,0),"")</f>
        <v>ALFAMART</v>
      </c>
      <c r="M2" s="15"/>
      <c r="N2" s="15"/>
      <c r="O2" s="15">
        <v>2</v>
      </c>
      <c r="P2" s="15" t="s">
        <v>5</v>
      </c>
      <c r="Q2" s="15">
        <v>1000</v>
      </c>
      <c r="R2" s="15" t="s">
        <v>71</v>
      </c>
      <c r="S2" s="15"/>
      <c r="T2" s="15">
        <f>VLOOKUP(S1,O1:R3,4,0)</f>
        <v>0</v>
      </c>
    </row>
    <row r="3" spans="1:21" x14ac:dyDescent="0.25">
      <c r="A3" s="2" t="s">
        <v>67</v>
      </c>
      <c r="B3" s="2">
        <f t="shared" ref="B3:B66" si="2">IF(A3=A2,B2+1,1)</f>
        <v>3</v>
      </c>
      <c r="C3" s="2" t="str">
        <f t="shared" si="0"/>
        <v>ALFA GROUP3</v>
      </c>
      <c r="D3" s="2" t="s">
        <v>72</v>
      </c>
      <c r="E3" s="15">
        <f t="shared" ref="E3:E44" si="3">E2+1</f>
        <v>3</v>
      </c>
      <c r="F3" s="15" t="s">
        <v>73</v>
      </c>
      <c r="G3" s="15"/>
      <c r="H3" s="15" t="str">
        <f>H2</f>
        <v>ALFA GROUP</v>
      </c>
      <c r="I3" s="15">
        <f>I2+1</f>
        <v>2</v>
      </c>
      <c r="J3" s="15" t="str">
        <f t="shared" si="1"/>
        <v>ALFA GROUP2</v>
      </c>
      <c r="K3" s="15">
        <f t="shared" ref="K3:K61" si="4">K2+1</f>
        <v>3</v>
      </c>
      <c r="L3" s="15" t="str">
        <f t="shared" ref="L3:L22" si="5">IFERROR(VLOOKUP(J3,C:D,2,0),"")</f>
        <v>ALFAMIDI</v>
      </c>
      <c r="M3" s="15"/>
      <c r="N3" s="15"/>
      <c r="O3" s="15">
        <v>3</v>
      </c>
      <c r="P3" s="15" t="s">
        <v>6</v>
      </c>
      <c r="Q3" s="15">
        <v>1</v>
      </c>
      <c r="R3" s="15"/>
      <c r="S3" s="15"/>
      <c r="T3" s="15"/>
    </row>
    <row r="4" spans="1:21" x14ac:dyDescent="0.25">
      <c r="A4" s="2" t="s">
        <v>70</v>
      </c>
      <c r="B4" s="2">
        <f t="shared" si="2"/>
        <v>1</v>
      </c>
      <c r="C4" s="2" t="str">
        <f t="shared" si="0"/>
        <v>ANCOL1</v>
      </c>
      <c r="D4" s="2" t="s">
        <v>70</v>
      </c>
      <c r="E4" s="15">
        <f t="shared" si="3"/>
        <v>4</v>
      </c>
      <c r="F4" s="15" t="s">
        <v>74</v>
      </c>
      <c r="G4" s="15"/>
      <c r="H4" s="15" t="str">
        <f t="shared" ref="H4:H61" si="6">H3</f>
        <v>ALFA GROUP</v>
      </c>
      <c r="I4" s="15">
        <f t="shared" ref="I4:I61" si="7">I3+1</f>
        <v>3</v>
      </c>
      <c r="J4" s="15" t="str">
        <f t="shared" si="1"/>
        <v>ALFA GROUP3</v>
      </c>
      <c r="K4" s="15">
        <f t="shared" si="4"/>
        <v>4</v>
      </c>
      <c r="L4" s="29" t="str">
        <f t="shared" si="5"/>
        <v>DAN+DAN</v>
      </c>
      <c r="M4" s="29"/>
    </row>
    <row r="5" spans="1:21" x14ac:dyDescent="0.25">
      <c r="A5" s="2" t="s">
        <v>73</v>
      </c>
      <c r="B5" s="2">
        <f t="shared" si="2"/>
        <v>1</v>
      </c>
      <c r="C5" s="2" t="str">
        <f t="shared" si="0"/>
        <v>BANBAN TEA1</v>
      </c>
      <c r="D5" s="2" t="s">
        <v>73</v>
      </c>
      <c r="E5" s="15">
        <f t="shared" si="3"/>
        <v>5</v>
      </c>
      <c r="F5" s="15" t="s">
        <v>75</v>
      </c>
      <c r="G5" s="15"/>
      <c r="H5" s="15" t="str">
        <f t="shared" si="6"/>
        <v>ALFA GROUP</v>
      </c>
      <c r="I5" s="15">
        <f t="shared" si="7"/>
        <v>4</v>
      </c>
      <c r="J5" s="15" t="str">
        <f t="shared" si="1"/>
        <v>ALFA GROUP4</v>
      </c>
      <c r="K5" s="15">
        <f t="shared" si="4"/>
        <v>5</v>
      </c>
      <c r="L5" s="15" t="str">
        <f t="shared" si="5"/>
        <v/>
      </c>
      <c r="M5" s="15"/>
    </row>
    <row r="6" spans="1:21" x14ac:dyDescent="0.25">
      <c r="A6" s="2" t="s">
        <v>74</v>
      </c>
      <c r="B6" s="2">
        <f t="shared" si="2"/>
        <v>1</v>
      </c>
      <c r="C6" s="2" t="str">
        <f t="shared" si="0"/>
        <v>BEARD PAPA1</v>
      </c>
      <c r="D6" s="2" t="s">
        <v>74</v>
      </c>
      <c r="E6" s="15">
        <f t="shared" si="3"/>
        <v>6</v>
      </c>
      <c r="F6" s="15" t="s">
        <v>76</v>
      </c>
      <c r="G6" s="15"/>
      <c r="H6" s="15" t="str">
        <f t="shared" si="6"/>
        <v>ALFA GROUP</v>
      </c>
      <c r="I6" s="15">
        <f t="shared" si="7"/>
        <v>5</v>
      </c>
      <c r="J6" s="15" t="str">
        <f t="shared" si="1"/>
        <v>ALFA GROUP5</v>
      </c>
      <c r="K6" s="15">
        <f t="shared" si="4"/>
        <v>6</v>
      </c>
      <c r="L6" s="15" t="str">
        <f t="shared" si="5"/>
        <v/>
      </c>
      <c r="M6" s="15"/>
    </row>
    <row r="7" spans="1:21" x14ac:dyDescent="0.25">
      <c r="A7" s="2" t="s">
        <v>75</v>
      </c>
      <c r="B7" s="2">
        <f t="shared" si="2"/>
        <v>1</v>
      </c>
      <c r="C7" s="2" t="str">
        <f t="shared" si="0"/>
        <v>CHAMP RESTO1</v>
      </c>
      <c r="D7" s="2" t="s">
        <v>77</v>
      </c>
      <c r="E7" s="15">
        <f t="shared" si="3"/>
        <v>7</v>
      </c>
      <c r="F7" s="15" t="s">
        <v>78</v>
      </c>
      <c r="G7" s="15"/>
      <c r="H7" s="15" t="str">
        <f t="shared" si="6"/>
        <v>ALFA GROUP</v>
      </c>
      <c r="I7" s="15">
        <f t="shared" si="7"/>
        <v>6</v>
      </c>
      <c r="J7" s="15" t="str">
        <f t="shared" si="1"/>
        <v>ALFA GROUP6</v>
      </c>
      <c r="K7" s="15">
        <f t="shared" si="4"/>
        <v>7</v>
      </c>
      <c r="L7" s="15" t="str">
        <f t="shared" si="5"/>
        <v/>
      </c>
      <c r="M7" s="15"/>
    </row>
    <row r="8" spans="1:21" x14ac:dyDescent="0.25">
      <c r="A8" s="2" t="s">
        <v>75</v>
      </c>
      <c r="B8" s="2">
        <f t="shared" si="2"/>
        <v>2</v>
      </c>
      <c r="C8" s="2" t="str">
        <f t="shared" si="0"/>
        <v>CHAMP RESTO2</v>
      </c>
      <c r="D8" s="2" t="s">
        <v>79</v>
      </c>
      <c r="E8" s="15">
        <f t="shared" si="3"/>
        <v>8</v>
      </c>
      <c r="F8" s="15" t="s">
        <v>80</v>
      </c>
      <c r="G8" s="15"/>
      <c r="H8" s="15" t="str">
        <f t="shared" si="6"/>
        <v>ALFA GROUP</v>
      </c>
      <c r="I8" s="15">
        <f t="shared" si="7"/>
        <v>7</v>
      </c>
      <c r="J8" s="15" t="str">
        <f t="shared" si="1"/>
        <v>ALFA GROUP7</v>
      </c>
      <c r="K8" s="15">
        <f t="shared" si="4"/>
        <v>8</v>
      </c>
      <c r="L8" s="15" t="str">
        <f t="shared" si="5"/>
        <v/>
      </c>
      <c r="M8" s="15"/>
    </row>
    <row r="9" spans="1:21" x14ac:dyDescent="0.25">
      <c r="A9" s="2" t="s">
        <v>75</v>
      </c>
      <c r="B9" s="2">
        <f t="shared" si="2"/>
        <v>3</v>
      </c>
      <c r="C9" s="2" t="str">
        <f t="shared" si="0"/>
        <v>CHAMP RESTO3</v>
      </c>
      <c r="D9" s="2" t="s">
        <v>81</v>
      </c>
      <c r="E9" s="15">
        <f t="shared" si="3"/>
        <v>9</v>
      </c>
      <c r="F9" s="15" t="s">
        <v>82</v>
      </c>
      <c r="G9" s="15"/>
      <c r="H9" s="15" t="str">
        <f t="shared" si="6"/>
        <v>ALFA GROUP</v>
      </c>
      <c r="I9" s="15">
        <f t="shared" si="7"/>
        <v>8</v>
      </c>
      <c r="J9" s="15" t="str">
        <f t="shared" si="1"/>
        <v>ALFA GROUP8</v>
      </c>
      <c r="K9" s="15">
        <f t="shared" si="4"/>
        <v>9</v>
      </c>
      <c r="L9" s="15" t="str">
        <f t="shared" si="5"/>
        <v/>
      </c>
      <c r="M9" s="15"/>
    </row>
    <row r="10" spans="1:21" x14ac:dyDescent="0.25">
      <c r="A10" s="2" t="s">
        <v>75</v>
      </c>
      <c r="B10" s="2">
        <f t="shared" si="2"/>
        <v>4</v>
      </c>
      <c r="C10" s="2" t="str">
        <f t="shared" si="0"/>
        <v>CHAMP RESTO4</v>
      </c>
      <c r="D10" s="2" t="s">
        <v>83</v>
      </c>
      <c r="E10" s="15">
        <f t="shared" si="3"/>
        <v>10</v>
      </c>
      <c r="F10" s="15" t="s">
        <v>84</v>
      </c>
      <c r="G10" s="15"/>
      <c r="H10" s="15" t="str">
        <f t="shared" si="6"/>
        <v>ALFA GROUP</v>
      </c>
      <c r="I10" s="15">
        <f t="shared" si="7"/>
        <v>9</v>
      </c>
      <c r="J10" s="15" t="str">
        <f t="shared" si="1"/>
        <v>ALFA GROUP9</v>
      </c>
      <c r="K10" s="15">
        <f t="shared" si="4"/>
        <v>10</v>
      </c>
      <c r="L10" s="15" t="str">
        <f t="shared" si="5"/>
        <v/>
      </c>
      <c r="M10" s="15"/>
    </row>
    <row r="11" spans="1:21" x14ac:dyDescent="0.25">
      <c r="A11" s="2" t="s">
        <v>75</v>
      </c>
      <c r="B11" s="2">
        <f t="shared" si="2"/>
        <v>5</v>
      </c>
      <c r="C11" s="2" t="str">
        <f t="shared" si="0"/>
        <v>CHAMP RESTO5</v>
      </c>
      <c r="D11" s="2" t="s">
        <v>85</v>
      </c>
      <c r="E11" s="15">
        <f t="shared" si="3"/>
        <v>11</v>
      </c>
      <c r="F11" s="15" t="s">
        <v>86</v>
      </c>
      <c r="G11" s="15"/>
      <c r="H11" s="15" t="str">
        <f t="shared" si="6"/>
        <v>ALFA GROUP</v>
      </c>
      <c r="I11" s="15">
        <f t="shared" si="7"/>
        <v>10</v>
      </c>
      <c r="J11" s="15" t="str">
        <f t="shared" si="1"/>
        <v>ALFA GROUP10</v>
      </c>
      <c r="K11" s="15">
        <f t="shared" si="4"/>
        <v>11</v>
      </c>
      <c r="L11" s="15" t="str">
        <f t="shared" si="5"/>
        <v/>
      </c>
      <c r="M11" s="15"/>
    </row>
    <row r="12" spans="1:21" x14ac:dyDescent="0.25">
      <c r="A12" s="2" t="s">
        <v>75</v>
      </c>
      <c r="B12" s="2">
        <f t="shared" si="2"/>
        <v>6</v>
      </c>
      <c r="C12" s="2" t="str">
        <f t="shared" si="0"/>
        <v>CHAMP RESTO6</v>
      </c>
      <c r="D12" s="2" t="s">
        <v>87</v>
      </c>
      <c r="E12" s="15">
        <f t="shared" si="3"/>
        <v>12</v>
      </c>
      <c r="F12" s="15" t="s">
        <v>88</v>
      </c>
      <c r="G12" s="15"/>
      <c r="H12" s="15" t="str">
        <f t="shared" si="6"/>
        <v>ALFA GROUP</v>
      </c>
      <c r="I12" s="15">
        <f t="shared" si="7"/>
        <v>11</v>
      </c>
      <c r="J12" s="15" t="str">
        <f t="shared" si="1"/>
        <v>ALFA GROUP11</v>
      </c>
      <c r="K12" s="15">
        <f t="shared" si="4"/>
        <v>12</v>
      </c>
      <c r="L12" s="15" t="str">
        <f t="shared" si="5"/>
        <v/>
      </c>
      <c r="M12" s="15"/>
    </row>
    <row r="13" spans="1:21" x14ac:dyDescent="0.25">
      <c r="A13" s="2" t="s">
        <v>75</v>
      </c>
      <c r="B13" s="2">
        <f t="shared" si="2"/>
        <v>7</v>
      </c>
      <c r="C13" s="2" t="str">
        <f t="shared" si="0"/>
        <v>CHAMP RESTO7</v>
      </c>
      <c r="D13" s="2" t="s">
        <v>89</v>
      </c>
      <c r="E13" s="15">
        <f t="shared" si="3"/>
        <v>13</v>
      </c>
      <c r="F13" s="15" t="s">
        <v>90</v>
      </c>
      <c r="G13" s="15"/>
      <c r="H13" s="15" t="str">
        <f t="shared" si="6"/>
        <v>ALFA GROUP</v>
      </c>
      <c r="I13" s="15">
        <f t="shared" si="7"/>
        <v>12</v>
      </c>
      <c r="J13" s="15" t="str">
        <f t="shared" si="1"/>
        <v>ALFA GROUP12</v>
      </c>
      <c r="K13" s="15">
        <f t="shared" si="4"/>
        <v>13</v>
      </c>
      <c r="L13" s="15" t="str">
        <f t="shared" si="5"/>
        <v/>
      </c>
      <c r="M13" s="15"/>
    </row>
    <row r="14" spans="1:21" x14ac:dyDescent="0.25">
      <c r="A14" s="2" t="s">
        <v>75</v>
      </c>
      <c r="B14" s="2">
        <f t="shared" si="2"/>
        <v>8</v>
      </c>
      <c r="C14" s="2" t="str">
        <f t="shared" si="0"/>
        <v>CHAMP RESTO8</v>
      </c>
      <c r="D14" s="2" t="s">
        <v>91</v>
      </c>
      <c r="E14" s="15">
        <f t="shared" si="3"/>
        <v>14</v>
      </c>
      <c r="F14" s="15" t="s">
        <v>92</v>
      </c>
      <c r="G14" s="15"/>
      <c r="H14" s="15" t="str">
        <f t="shared" si="6"/>
        <v>ALFA GROUP</v>
      </c>
      <c r="I14" s="15">
        <f t="shared" si="7"/>
        <v>13</v>
      </c>
      <c r="J14" s="15" t="str">
        <f t="shared" si="1"/>
        <v>ALFA GROUP13</v>
      </c>
      <c r="K14" s="15">
        <f t="shared" si="4"/>
        <v>14</v>
      </c>
      <c r="L14" s="15" t="str">
        <f t="shared" si="5"/>
        <v/>
      </c>
      <c r="M14" s="15"/>
    </row>
    <row r="15" spans="1:21" x14ac:dyDescent="0.25">
      <c r="A15" s="2" t="s">
        <v>75</v>
      </c>
      <c r="B15" s="2">
        <f t="shared" si="2"/>
        <v>9</v>
      </c>
      <c r="C15" s="2" t="str">
        <f t="shared" si="0"/>
        <v>CHAMP RESTO9</v>
      </c>
      <c r="D15" s="2" t="s">
        <v>93</v>
      </c>
      <c r="E15" s="15">
        <f t="shared" si="3"/>
        <v>15</v>
      </c>
      <c r="F15" s="15" t="s">
        <v>94</v>
      </c>
      <c r="G15" s="15"/>
      <c r="H15" s="15" t="str">
        <f t="shared" si="6"/>
        <v>ALFA GROUP</v>
      </c>
      <c r="I15" s="15">
        <f t="shared" si="7"/>
        <v>14</v>
      </c>
      <c r="J15" s="15" t="str">
        <f t="shared" si="1"/>
        <v>ALFA GROUP14</v>
      </c>
      <c r="K15" s="15">
        <f t="shared" si="4"/>
        <v>15</v>
      </c>
      <c r="L15" s="15" t="str">
        <f t="shared" si="5"/>
        <v/>
      </c>
      <c r="M15" s="15"/>
    </row>
    <row r="16" spans="1:21" x14ac:dyDescent="0.25">
      <c r="A16" s="2" t="s">
        <v>75</v>
      </c>
      <c r="B16" s="2">
        <f t="shared" si="2"/>
        <v>10</v>
      </c>
      <c r="C16" s="2" t="str">
        <f t="shared" si="0"/>
        <v>CHAMP RESTO10</v>
      </c>
      <c r="D16" s="2" t="s">
        <v>95</v>
      </c>
      <c r="E16" s="15">
        <f t="shared" si="3"/>
        <v>16</v>
      </c>
      <c r="F16" s="29" t="s">
        <v>96</v>
      </c>
      <c r="G16" s="15"/>
      <c r="H16" s="15" t="str">
        <f t="shared" si="6"/>
        <v>ALFA GROUP</v>
      </c>
      <c r="I16" s="15">
        <f t="shared" si="7"/>
        <v>15</v>
      </c>
      <c r="J16" s="15" t="str">
        <f t="shared" si="1"/>
        <v>ALFA GROUP15</v>
      </c>
      <c r="K16" s="15">
        <f t="shared" si="4"/>
        <v>16</v>
      </c>
      <c r="L16" s="15" t="str">
        <f t="shared" si="5"/>
        <v/>
      </c>
      <c r="M16" s="15"/>
    </row>
    <row r="17" spans="1:13" x14ac:dyDescent="0.25">
      <c r="A17" s="2" t="s">
        <v>76</v>
      </c>
      <c r="B17" s="2">
        <f t="shared" si="2"/>
        <v>1</v>
      </c>
      <c r="C17" s="2" t="str">
        <f t="shared" si="0"/>
        <v>DAMRI1</v>
      </c>
      <c r="D17" s="2" t="s">
        <v>76</v>
      </c>
      <c r="E17" s="15">
        <f t="shared" si="3"/>
        <v>17</v>
      </c>
      <c r="F17" s="15" t="s">
        <v>97</v>
      </c>
      <c r="G17" s="15"/>
      <c r="H17" s="15" t="str">
        <f t="shared" si="6"/>
        <v>ALFA GROUP</v>
      </c>
      <c r="I17" s="15">
        <f t="shared" si="7"/>
        <v>16</v>
      </c>
      <c r="J17" s="15" t="str">
        <f t="shared" si="1"/>
        <v>ALFA GROUP16</v>
      </c>
      <c r="K17" s="15">
        <f t="shared" si="4"/>
        <v>17</v>
      </c>
      <c r="L17" s="15" t="str">
        <f t="shared" si="5"/>
        <v/>
      </c>
      <c r="M17" s="15"/>
    </row>
    <row r="18" spans="1:13" x14ac:dyDescent="0.25">
      <c r="A18" s="2" t="s">
        <v>78</v>
      </c>
      <c r="B18" s="2">
        <f t="shared" si="2"/>
        <v>1</v>
      </c>
      <c r="C18" s="2" t="str">
        <f t="shared" si="0"/>
        <v>DELTA WIBAWA BERSAMA1</v>
      </c>
      <c r="D18" s="2" t="s">
        <v>98</v>
      </c>
      <c r="E18" s="15">
        <f t="shared" si="3"/>
        <v>18</v>
      </c>
      <c r="F18" s="15" t="s">
        <v>99</v>
      </c>
      <c r="G18" s="15"/>
      <c r="H18" s="15" t="str">
        <f t="shared" si="6"/>
        <v>ALFA GROUP</v>
      </c>
      <c r="I18" s="15">
        <f t="shared" si="7"/>
        <v>17</v>
      </c>
      <c r="J18" s="15" t="str">
        <f t="shared" si="1"/>
        <v>ALFA GROUP17</v>
      </c>
      <c r="K18" s="15">
        <f t="shared" si="4"/>
        <v>18</v>
      </c>
      <c r="L18" s="15" t="str">
        <f t="shared" si="5"/>
        <v/>
      </c>
      <c r="M18" s="15"/>
    </row>
    <row r="19" spans="1:13" x14ac:dyDescent="0.25">
      <c r="A19" s="2" t="s">
        <v>78</v>
      </c>
      <c r="B19" s="2">
        <f t="shared" si="2"/>
        <v>2</v>
      </c>
      <c r="C19" s="2" t="str">
        <f t="shared" si="0"/>
        <v>DELTA WIBAWA BERSAMA2</v>
      </c>
      <c r="D19" s="2" t="s">
        <v>100</v>
      </c>
      <c r="E19" s="15">
        <f t="shared" si="3"/>
        <v>19</v>
      </c>
      <c r="F19" s="15" t="s">
        <v>101</v>
      </c>
      <c r="G19" s="15"/>
      <c r="H19" s="15" t="str">
        <f t="shared" si="6"/>
        <v>ALFA GROUP</v>
      </c>
      <c r="I19" s="15">
        <f t="shared" si="7"/>
        <v>18</v>
      </c>
      <c r="J19" s="15" t="str">
        <f t="shared" si="1"/>
        <v>ALFA GROUP18</v>
      </c>
      <c r="K19" s="15">
        <f t="shared" si="4"/>
        <v>19</v>
      </c>
      <c r="L19" s="15" t="str">
        <f t="shared" si="5"/>
        <v/>
      </c>
      <c r="M19" s="15"/>
    </row>
    <row r="20" spans="1:13" x14ac:dyDescent="0.25">
      <c r="A20" s="2" t="s">
        <v>80</v>
      </c>
      <c r="B20" s="2">
        <f t="shared" si="2"/>
        <v>1</v>
      </c>
      <c r="C20" s="2" t="str">
        <f t="shared" si="0"/>
        <v>DWIDAYA1</v>
      </c>
      <c r="D20" s="2" t="s">
        <v>80</v>
      </c>
      <c r="E20" s="15">
        <f t="shared" si="3"/>
        <v>20</v>
      </c>
      <c r="F20" s="15" t="s">
        <v>102</v>
      </c>
      <c r="G20" s="15"/>
      <c r="H20" s="15" t="str">
        <f t="shared" si="6"/>
        <v>ALFA GROUP</v>
      </c>
      <c r="I20" s="15">
        <f t="shared" si="7"/>
        <v>19</v>
      </c>
      <c r="J20" s="15" t="str">
        <f t="shared" si="1"/>
        <v>ALFA GROUP19</v>
      </c>
      <c r="K20" s="15">
        <f t="shared" si="4"/>
        <v>20</v>
      </c>
      <c r="L20" s="15" t="str">
        <f t="shared" si="5"/>
        <v/>
      </c>
      <c r="M20" s="15"/>
    </row>
    <row r="21" spans="1:13" x14ac:dyDescent="0.25">
      <c r="A21" s="2" t="s">
        <v>82</v>
      </c>
      <c r="B21" s="2">
        <f t="shared" si="2"/>
        <v>1</v>
      </c>
      <c r="C21" s="2" t="str">
        <f t="shared" si="0"/>
        <v>EKA HOSPITAL1</v>
      </c>
      <c r="D21" s="2" t="s">
        <v>82</v>
      </c>
      <c r="E21" s="15">
        <f t="shared" si="3"/>
        <v>21</v>
      </c>
      <c r="F21" s="15" t="s">
        <v>103</v>
      </c>
      <c r="G21" s="15"/>
      <c r="H21" s="15" t="str">
        <f t="shared" si="6"/>
        <v>ALFA GROUP</v>
      </c>
      <c r="I21" s="15">
        <f t="shared" si="7"/>
        <v>20</v>
      </c>
      <c r="J21" s="15" t="str">
        <f t="shared" si="1"/>
        <v>ALFA GROUP20</v>
      </c>
      <c r="K21" s="15">
        <f t="shared" si="4"/>
        <v>21</v>
      </c>
      <c r="L21" s="15" t="str">
        <f t="shared" si="5"/>
        <v/>
      </c>
      <c r="M21" s="15"/>
    </row>
    <row r="22" spans="1:13" x14ac:dyDescent="0.25">
      <c r="A22" s="2" t="s">
        <v>84</v>
      </c>
      <c r="B22" s="2">
        <f t="shared" si="2"/>
        <v>1</v>
      </c>
      <c r="C22" s="2" t="str">
        <f t="shared" si="0"/>
        <v>ES TELLER 771</v>
      </c>
      <c r="D22" s="2" t="s">
        <v>84</v>
      </c>
      <c r="E22" s="15">
        <f t="shared" si="3"/>
        <v>22</v>
      </c>
      <c r="F22" s="15" t="s">
        <v>104</v>
      </c>
      <c r="G22" s="15"/>
      <c r="H22" s="15" t="str">
        <f t="shared" si="6"/>
        <v>ALFA GROUP</v>
      </c>
      <c r="I22" s="15">
        <f t="shared" si="7"/>
        <v>21</v>
      </c>
      <c r="J22" s="15" t="str">
        <f t="shared" si="1"/>
        <v>ALFA GROUP21</v>
      </c>
      <c r="K22" s="15">
        <f t="shared" si="4"/>
        <v>22</v>
      </c>
      <c r="L22" s="15" t="str">
        <f t="shared" si="5"/>
        <v/>
      </c>
      <c r="M22" s="15"/>
    </row>
    <row r="23" spans="1:13" x14ac:dyDescent="0.25">
      <c r="A23" s="2" t="s">
        <v>86</v>
      </c>
      <c r="B23" s="2">
        <f t="shared" si="2"/>
        <v>1</v>
      </c>
      <c r="C23" s="2" t="str">
        <f t="shared" si="0"/>
        <v>GRAMEDIA1</v>
      </c>
      <c r="D23" s="2" t="s">
        <v>86</v>
      </c>
      <c r="E23" s="15">
        <f t="shared" si="3"/>
        <v>23</v>
      </c>
      <c r="F23" s="15" t="s">
        <v>105</v>
      </c>
      <c r="H23" s="15" t="str">
        <f t="shared" si="6"/>
        <v>ALFA GROUP</v>
      </c>
      <c r="I23" s="15">
        <f t="shared" si="7"/>
        <v>22</v>
      </c>
      <c r="J23" s="15" t="str">
        <f t="shared" ref="J23:J41" si="8">_xlfn.CONCAT(H23,I23)</f>
        <v>ALFA GROUP22</v>
      </c>
      <c r="K23" s="15">
        <f t="shared" si="4"/>
        <v>23</v>
      </c>
      <c r="L23" s="15" t="str">
        <f t="shared" ref="L23:L40" si="9">IFERROR(VLOOKUP(J23,C:D,2,0),"")</f>
        <v/>
      </c>
      <c r="M23" s="15"/>
    </row>
    <row r="24" spans="1:13" x14ac:dyDescent="0.25">
      <c r="A24" s="2" t="s">
        <v>88</v>
      </c>
      <c r="B24" s="2">
        <f t="shared" si="2"/>
        <v>1</v>
      </c>
      <c r="C24" s="2" t="str">
        <f t="shared" si="0"/>
        <v>HAUS1</v>
      </c>
      <c r="D24" s="2" t="s">
        <v>88</v>
      </c>
      <c r="E24" s="15">
        <f t="shared" si="3"/>
        <v>24</v>
      </c>
      <c r="F24" s="15" t="s">
        <v>106</v>
      </c>
      <c r="H24" s="15" t="str">
        <f t="shared" si="6"/>
        <v>ALFA GROUP</v>
      </c>
      <c r="I24" s="15">
        <f t="shared" si="7"/>
        <v>23</v>
      </c>
      <c r="J24" s="15" t="str">
        <f t="shared" si="8"/>
        <v>ALFA GROUP23</v>
      </c>
      <c r="K24" s="15">
        <f t="shared" si="4"/>
        <v>24</v>
      </c>
      <c r="L24" s="15" t="str">
        <f t="shared" si="9"/>
        <v/>
      </c>
      <c r="M24" s="15"/>
    </row>
    <row r="25" spans="1:13" x14ac:dyDescent="0.25">
      <c r="A25" s="2" t="s">
        <v>90</v>
      </c>
      <c r="B25" s="2">
        <f t="shared" si="2"/>
        <v>1</v>
      </c>
      <c r="C25" s="2" t="str">
        <f t="shared" si="0"/>
        <v>HEAVENLY WANG1</v>
      </c>
      <c r="D25" s="2" t="s">
        <v>90</v>
      </c>
      <c r="E25" s="15">
        <f t="shared" si="3"/>
        <v>25</v>
      </c>
      <c r="F25" s="15" t="s">
        <v>107</v>
      </c>
      <c r="H25" s="15" t="str">
        <f t="shared" si="6"/>
        <v>ALFA GROUP</v>
      </c>
      <c r="I25" s="15">
        <f t="shared" si="7"/>
        <v>24</v>
      </c>
      <c r="J25" s="15" t="str">
        <f t="shared" si="8"/>
        <v>ALFA GROUP24</v>
      </c>
      <c r="K25" s="15">
        <f t="shared" si="4"/>
        <v>25</v>
      </c>
      <c r="L25" s="15" t="str">
        <f t="shared" si="9"/>
        <v/>
      </c>
      <c r="M25" s="15"/>
    </row>
    <row r="26" spans="1:13" x14ac:dyDescent="0.25">
      <c r="A26" s="2" t="s">
        <v>92</v>
      </c>
      <c r="B26" s="2">
        <f t="shared" si="2"/>
        <v>1</v>
      </c>
      <c r="C26" s="2" t="str">
        <f t="shared" si="0"/>
        <v>HERO GROUP1</v>
      </c>
      <c r="D26" s="2" t="s">
        <v>108</v>
      </c>
      <c r="E26" s="15">
        <f t="shared" si="3"/>
        <v>26</v>
      </c>
      <c r="F26" s="15" t="s">
        <v>109</v>
      </c>
      <c r="H26" s="15" t="str">
        <f t="shared" si="6"/>
        <v>ALFA GROUP</v>
      </c>
      <c r="I26" s="15">
        <f t="shared" si="7"/>
        <v>25</v>
      </c>
      <c r="J26" s="15" t="str">
        <f t="shared" si="8"/>
        <v>ALFA GROUP25</v>
      </c>
      <c r="K26" s="15">
        <f t="shared" si="4"/>
        <v>26</v>
      </c>
      <c r="L26" s="15" t="str">
        <f t="shared" si="9"/>
        <v/>
      </c>
      <c r="M26" s="15"/>
    </row>
    <row r="27" spans="1:13" x14ac:dyDescent="0.25">
      <c r="A27" s="2" t="s">
        <v>94</v>
      </c>
      <c r="B27" s="2">
        <f t="shared" si="2"/>
        <v>1</v>
      </c>
      <c r="C27" s="2" t="str">
        <f t="shared" si="0"/>
        <v>HOKBEN1</v>
      </c>
      <c r="D27" s="2" t="s">
        <v>94</v>
      </c>
      <c r="E27" s="15">
        <f t="shared" si="3"/>
        <v>27</v>
      </c>
      <c r="F27" s="15" t="s">
        <v>110</v>
      </c>
      <c r="H27" s="15" t="str">
        <f t="shared" si="6"/>
        <v>ALFA GROUP</v>
      </c>
      <c r="I27" s="15">
        <f t="shared" si="7"/>
        <v>26</v>
      </c>
      <c r="J27" s="15" t="str">
        <f t="shared" si="8"/>
        <v>ALFA GROUP26</v>
      </c>
      <c r="K27" s="15">
        <f t="shared" si="4"/>
        <v>27</v>
      </c>
      <c r="L27" s="15" t="str">
        <f t="shared" si="9"/>
        <v/>
      </c>
      <c r="M27" s="15"/>
    </row>
    <row r="28" spans="1:13" x14ac:dyDescent="0.25">
      <c r="A28" s="2" t="s">
        <v>96</v>
      </c>
      <c r="B28" s="2">
        <f t="shared" si="2"/>
        <v>1</v>
      </c>
      <c r="C28" s="2" t="str">
        <f t="shared" si="0"/>
        <v>HOKKAIDO BAKED CHEESE1</v>
      </c>
      <c r="D28" s="2" t="s">
        <v>96</v>
      </c>
      <c r="E28" s="15">
        <f t="shared" si="3"/>
        <v>28</v>
      </c>
      <c r="F28" s="15" t="s">
        <v>111</v>
      </c>
      <c r="H28" s="15" t="str">
        <f t="shared" si="6"/>
        <v>ALFA GROUP</v>
      </c>
      <c r="I28" s="15">
        <f t="shared" si="7"/>
        <v>27</v>
      </c>
      <c r="J28" s="15" t="str">
        <f t="shared" si="8"/>
        <v>ALFA GROUP27</v>
      </c>
      <c r="K28" s="15">
        <f t="shared" si="4"/>
        <v>28</v>
      </c>
      <c r="L28" s="15" t="str">
        <f t="shared" si="9"/>
        <v/>
      </c>
      <c r="M28" s="15"/>
    </row>
    <row r="29" spans="1:13" x14ac:dyDescent="0.25">
      <c r="A29" s="2" t="s">
        <v>97</v>
      </c>
      <c r="B29" s="2">
        <f t="shared" si="2"/>
        <v>1</v>
      </c>
      <c r="C29" s="2" t="str">
        <f t="shared" si="0"/>
        <v>HOP HOP1</v>
      </c>
      <c r="D29" s="2" t="s">
        <v>97</v>
      </c>
      <c r="E29" s="15">
        <f t="shared" si="3"/>
        <v>29</v>
      </c>
      <c r="F29" s="15" t="s">
        <v>112</v>
      </c>
      <c r="H29" s="15" t="str">
        <f t="shared" si="6"/>
        <v>ALFA GROUP</v>
      </c>
      <c r="I29" s="15">
        <f t="shared" si="7"/>
        <v>28</v>
      </c>
      <c r="J29" s="15" t="str">
        <f t="shared" si="8"/>
        <v>ALFA GROUP28</v>
      </c>
      <c r="K29" s="15">
        <f t="shared" si="4"/>
        <v>29</v>
      </c>
      <c r="L29" s="15" t="str">
        <f t="shared" si="9"/>
        <v/>
      </c>
      <c r="M29" s="15"/>
    </row>
    <row r="30" spans="1:13" x14ac:dyDescent="0.25">
      <c r="A30" s="2" t="s">
        <v>97</v>
      </c>
      <c r="B30" s="2">
        <f t="shared" si="2"/>
        <v>2</v>
      </c>
      <c r="C30" s="2" t="str">
        <f t="shared" si="0"/>
        <v>HOP HOP2</v>
      </c>
      <c r="D30" s="2" t="s">
        <v>113</v>
      </c>
      <c r="E30" s="15">
        <f t="shared" si="3"/>
        <v>30</v>
      </c>
      <c r="F30" s="15" t="s">
        <v>114</v>
      </c>
      <c r="H30" s="15" t="str">
        <f t="shared" si="6"/>
        <v>ALFA GROUP</v>
      </c>
      <c r="I30" s="15">
        <f t="shared" si="7"/>
        <v>29</v>
      </c>
      <c r="J30" s="15" t="str">
        <f t="shared" si="8"/>
        <v>ALFA GROUP29</v>
      </c>
      <c r="K30" s="15">
        <f t="shared" si="4"/>
        <v>30</v>
      </c>
      <c r="L30" s="15" t="str">
        <f t="shared" si="9"/>
        <v/>
      </c>
      <c r="M30" s="15"/>
    </row>
    <row r="31" spans="1:13" x14ac:dyDescent="0.25">
      <c r="A31" s="2" t="s">
        <v>99</v>
      </c>
      <c r="B31" s="2">
        <f t="shared" si="2"/>
        <v>1</v>
      </c>
      <c r="C31" s="2" t="str">
        <f t="shared" si="0"/>
        <v>IKEA1</v>
      </c>
      <c r="D31" s="2" t="s">
        <v>99</v>
      </c>
      <c r="E31" s="15">
        <f t="shared" si="3"/>
        <v>31</v>
      </c>
      <c r="F31" s="15" t="s">
        <v>115</v>
      </c>
      <c r="H31" s="15" t="str">
        <f t="shared" si="6"/>
        <v>ALFA GROUP</v>
      </c>
      <c r="I31" s="15">
        <f t="shared" si="7"/>
        <v>30</v>
      </c>
      <c r="J31" s="15" t="str">
        <f t="shared" si="8"/>
        <v>ALFA GROUP30</v>
      </c>
      <c r="K31" s="15">
        <f t="shared" si="4"/>
        <v>31</v>
      </c>
      <c r="L31" s="15" t="str">
        <f t="shared" si="9"/>
        <v/>
      </c>
      <c r="M31" s="15"/>
    </row>
    <row r="32" spans="1:13" x14ac:dyDescent="0.25">
      <c r="A32" s="2" t="s">
        <v>101</v>
      </c>
      <c r="B32" s="2">
        <f t="shared" si="2"/>
        <v>1</v>
      </c>
      <c r="C32" s="2" t="str">
        <f t="shared" si="0"/>
        <v>INDOMARET1</v>
      </c>
      <c r="D32" s="2" t="s">
        <v>101</v>
      </c>
      <c r="E32" s="15">
        <f t="shared" si="3"/>
        <v>32</v>
      </c>
      <c r="F32" s="15" t="s">
        <v>116</v>
      </c>
      <c r="H32" s="15" t="str">
        <f t="shared" si="6"/>
        <v>ALFA GROUP</v>
      </c>
      <c r="I32" s="15">
        <f t="shared" si="7"/>
        <v>31</v>
      </c>
      <c r="J32" s="15" t="str">
        <f t="shared" si="8"/>
        <v>ALFA GROUP31</v>
      </c>
      <c r="K32" s="15">
        <f t="shared" si="4"/>
        <v>32</v>
      </c>
      <c r="L32" s="15" t="str">
        <f t="shared" si="9"/>
        <v/>
      </c>
      <c r="M32" s="15"/>
    </row>
    <row r="33" spans="1:13" x14ac:dyDescent="0.25">
      <c r="A33" s="2" t="s">
        <v>101</v>
      </c>
      <c r="B33" s="2">
        <f t="shared" si="2"/>
        <v>2</v>
      </c>
      <c r="C33" s="2" t="str">
        <f t="shared" si="0"/>
        <v>INDOMARET2</v>
      </c>
      <c r="D33" s="2" t="s">
        <v>117</v>
      </c>
      <c r="E33" s="15">
        <f t="shared" si="3"/>
        <v>33</v>
      </c>
      <c r="F33" s="15" t="s">
        <v>118</v>
      </c>
      <c r="H33" s="15" t="str">
        <f t="shared" si="6"/>
        <v>ALFA GROUP</v>
      </c>
      <c r="I33" s="15">
        <f t="shared" si="7"/>
        <v>32</v>
      </c>
      <c r="J33" s="15" t="str">
        <f t="shared" si="8"/>
        <v>ALFA GROUP32</v>
      </c>
      <c r="K33" s="15">
        <f t="shared" si="4"/>
        <v>33</v>
      </c>
      <c r="L33" s="15" t="str">
        <f t="shared" si="9"/>
        <v/>
      </c>
      <c r="M33" s="15"/>
    </row>
    <row r="34" spans="1:13" x14ac:dyDescent="0.25">
      <c r="A34" s="2" t="s">
        <v>102</v>
      </c>
      <c r="B34" s="2">
        <f t="shared" si="2"/>
        <v>1</v>
      </c>
      <c r="C34" s="2" t="str">
        <f t="shared" si="0"/>
        <v>KAWAN LAMA1</v>
      </c>
      <c r="D34" s="2" t="s">
        <v>119</v>
      </c>
      <c r="E34" s="15">
        <f t="shared" si="3"/>
        <v>34</v>
      </c>
      <c r="F34" s="15" t="s">
        <v>120</v>
      </c>
      <c r="H34" s="15" t="str">
        <f t="shared" si="6"/>
        <v>ALFA GROUP</v>
      </c>
      <c r="I34" s="15">
        <f t="shared" si="7"/>
        <v>33</v>
      </c>
      <c r="J34" s="15" t="str">
        <f t="shared" si="8"/>
        <v>ALFA GROUP33</v>
      </c>
      <c r="K34" s="15">
        <f t="shared" si="4"/>
        <v>34</v>
      </c>
      <c r="L34" s="15" t="str">
        <f t="shared" si="9"/>
        <v/>
      </c>
      <c r="M34" s="15"/>
    </row>
    <row r="35" spans="1:13" x14ac:dyDescent="0.25">
      <c r="A35" s="2" t="s">
        <v>102</v>
      </c>
      <c r="B35" s="2">
        <f t="shared" si="2"/>
        <v>2</v>
      </c>
      <c r="C35" s="2" t="str">
        <f t="shared" si="0"/>
        <v>KAWAN LAMA2</v>
      </c>
      <c r="D35" s="2" t="s">
        <v>121</v>
      </c>
      <c r="E35" s="15">
        <f t="shared" si="3"/>
        <v>35</v>
      </c>
      <c r="F35" s="15" t="s">
        <v>122</v>
      </c>
      <c r="H35" s="15" t="str">
        <f t="shared" si="6"/>
        <v>ALFA GROUP</v>
      </c>
      <c r="I35" s="15">
        <f t="shared" si="7"/>
        <v>34</v>
      </c>
      <c r="J35" s="15" t="str">
        <f t="shared" si="8"/>
        <v>ALFA GROUP34</v>
      </c>
      <c r="K35" s="15">
        <f t="shared" si="4"/>
        <v>35</v>
      </c>
      <c r="L35" s="15" t="str">
        <f t="shared" si="9"/>
        <v/>
      </c>
      <c r="M35" s="15"/>
    </row>
    <row r="36" spans="1:13" x14ac:dyDescent="0.25">
      <c r="A36" s="2" t="s">
        <v>102</v>
      </c>
      <c r="B36" s="2">
        <f t="shared" si="2"/>
        <v>3</v>
      </c>
      <c r="C36" s="2" t="str">
        <f t="shared" si="0"/>
        <v>KAWAN LAMA3</v>
      </c>
      <c r="D36" s="2" t="s">
        <v>123</v>
      </c>
      <c r="E36" s="15">
        <f t="shared" si="3"/>
        <v>36</v>
      </c>
      <c r="F36" s="15" t="s">
        <v>124</v>
      </c>
      <c r="H36" s="15" t="str">
        <f t="shared" si="6"/>
        <v>ALFA GROUP</v>
      </c>
      <c r="I36" s="15">
        <f t="shared" si="7"/>
        <v>35</v>
      </c>
      <c r="J36" s="15" t="str">
        <f t="shared" si="8"/>
        <v>ALFA GROUP35</v>
      </c>
      <c r="K36" s="15">
        <f t="shared" si="4"/>
        <v>36</v>
      </c>
      <c r="L36" s="15" t="str">
        <f t="shared" si="9"/>
        <v/>
      </c>
      <c r="M36" s="15"/>
    </row>
    <row r="37" spans="1:13" x14ac:dyDescent="0.25">
      <c r="A37" s="2" t="s">
        <v>102</v>
      </c>
      <c r="B37" s="2">
        <f t="shared" si="2"/>
        <v>4</v>
      </c>
      <c r="C37" s="2" t="str">
        <f t="shared" si="0"/>
        <v>KAWAN LAMA4</v>
      </c>
      <c r="D37" s="2" t="s">
        <v>125</v>
      </c>
      <c r="E37" s="15">
        <f t="shared" si="3"/>
        <v>37</v>
      </c>
      <c r="F37" s="15" t="s">
        <v>126</v>
      </c>
      <c r="H37" s="15" t="str">
        <f t="shared" si="6"/>
        <v>ALFA GROUP</v>
      </c>
      <c r="I37" s="15">
        <f t="shared" si="7"/>
        <v>36</v>
      </c>
      <c r="J37" s="15" t="str">
        <f t="shared" si="8"/>
        <v>ALFA GROUP36</v>
      </c>
      <c r="K37" s="15">
        <f t="shared" si="4"/>
        <v>37</v>
      </c>
      <c r="L37" s="15" t="str">
        <f t="shared" si="9"/>
        <v/>
      </c>
      <c r="M37" s="15"/>
    </row>
    <row r="38" spans="1:13" x14ac:dyDescent="0.25">
      <c r="A38" s="2" t="s">
        <v>102</v>
      </c>
      <c r="B38" s="2">
        <f t="shared" si="2"/>
        <v>5</v>
      </c>
      <c r="C38" s="2" t="str">
        <f t="shared" si="0"/>
        <v>KAWAN LAMA5</v>
      </c>
      <c r="D38" s="2" t="s">
        <v>127</v>
      </c>
      <c r="E38" s="15">
        <f t="shared" si="3"/>
        <v>38</v>
      </c>
      <c r="F38" s="15" t="s">
        <v>128</v>
      </c>
      <c r="H38" s="15" t="str">
        <f t="shared" si="6"/>
        <v>ALFA GROUP</v>
      </c>
      <c r="I38" s="15">
        <f t="shared" si="7"/>
        <v>37</v>
      </c>
      <c r="J38" s="15" t="str">
        <f t="shared" si="8"/>
        <v>ALFA GROUP37</v>
      </c>
      <c r="K38" s="15">
        <f t="shared" si="4"/>
        <v>38</v>
      </c>
      <c r="L38" s="15" t="str">
        <f t="shared" si="9"/>
        <v/>
      </c>
      <c r="M38" s="15"/>
    </row>
    <row r="39" spans="1:13" x14ac:dyDescent="0.25">
      <c r="A39" s="2" t="s">
        <v>102</v>
      </c>
      <c r="B39" s="2">
        <f t="shared" si="2"/>
        <v>6</v>
      </c>
      <c r="C39" s="2" t="str">
        <f t="shared" si="0"/>
        <v>KAWAN LAMA6</v>
      </c>
      <c r="D39" s="2" t="s">
        <v>129</v>
      </c>
      <c r="E39" s="15">
        <f t="shared" si="3"/>
        <v>39</v>
      </c>
      <c r="F39" s="15" t="s">
        <v>130</v>
      </c>
      <c r="H39" s="15" t="str">
        <f t="shared" si="6"/>
        <v>ALFA GROUP</v>
      </c>
      <c r="I39" s="15">
        <f t="shared" si="7"/>
        <v>38</v>
      </c>
      <c r="J39" s="15" t="str">
        <f t="shared" si="8"/>
        <v>ALFA GROUP38</v>
      </c>
      <c r="K39" s="15">
        <f t="shared" si="4"/>
        <v>39</v>
      </c>
      <c r="L39" s="15" t="str">
        <f t="shared" si="9"/>
        <v/>
      </c>
      <c r="M39" s="15"/>
    </row>
    <row r="40" spans="1:13" x14ac:dyDescent="0.25">
      <c r="A40" s="2" t="s">
        <v>102</v>
      </c>
      <c r="B40" s="2">
        <f t="shared" si="2"/>
        <v>7</v>
      </c>
      <c r="C40" s="2" t="str">
        <f t="shared" si="0"/>
        <v>KAWAN LAMA7</v>
      </c>
      <c r="D40" s="2" t="s">
        <v>131</v>
      </c>
      <c r="E40" s="15">
        <f t="shared" si="3"/>
        <v>40</v>
      </c>
      <c r="F40" s="15" t="s">
        <v>132</v>
      </c>
      <c r="H40" s="15" t="str">
        <f t="shared" si="6"/>
        <v>ALFA GROUP</v>
      </c>
      <c r="I40" s="15">
        <f t="shared" si="7"/>
        <v>39</v>
      </c>
      <c r="J40" s="15" t="str">
        <f t="shared" si="8"/>
        <v>ALFA GROUP39</v>
      </c>
      <c r="K40" s="15">
        <f t="shared" si="4"/>
        <v>40</v>
      </c>
      <c r="L40" s="15" t="str">
        <f t="shared" si="9"/>
        <v/>
      </c>
      <c r="M40" s="15"/>
    </row>
    <row r="41" spans="1:13" x14ac:dyDescent="0.25">
      <c r="A41" s="2" t="s">
        <v>102</v>
      </c>
      <c r="B41" s="2">
        <f t="shared" si="2"/>
        <v>8</v>
      </c>
      <c r="C41" s="2" t="str">
        <f t="shared" si="0"/>
        <v>KAWAN LAMA8</v>
      </c>
      <c r="D41" s="2" t="s">
        <v>133</v>
      </c>
      <c r="E41" s="15">
        <f t="shared" si="3"/>
        <v>41</v>
      </c>
      <c r="F41" s="15" t="s">
        <v>134</v>
      </c>
      <c r="H41" s="15" t="str">
        <f t="shared" si="6"/>
        <v>ALFA GROUP</v>
      </c>
      <c r="I41" s="15">
        <f t="shared" si="7"/>
        <v>40</v>
      </c>
      <c r="J41" s="15" t="str">
        <f t="shared" si="8"/>
        <v>ALFA GROUP40</v>
      </c>
      <c r="K41" s="15">
        <f t="shared" si="4"/>
        <v>41</v>
      </c>
      <c r="L41" s="15" t="str">
        <f>IFERROR(VLOOKUP(J41,C:D,2,0),"")</f>
        <v/>
      </c>
      <c r="M41" s="15"/>
    </row>
    <row r="42" spans="1:13" x14ac:dyDescent="0.25">
      <c r="A42" s="2" t="s">
        <v>102</v>
      </c>
      <c r="B42" s="2">
        <f t="shared" si="2"/>
        <v>9</v>
      </c>
      <c r="C42" s="2" t="str">
        <f t="shared" si="0"/>
        <v>KAWAN LAMA9</v>
      </c>
      <c r="D42" s="2" t="s">
        <v>135</v>
      </c>
      <c r="E42" s="15">
        <f t="shared" si="3"/>
        <v>42</v>
      </c>
      <c r="F42" s="15" t="s">
        <v>136</v>
      </c>
      <c r="H42" s="15" t="str">
        <f t="shared" si="6"/>
        <v>ALFA GROUP</v>
      </c>
      <c r="I42" s="15">
        <f t="shared" si="7"/>
        <v>41</v>
      </c>
      <c r="J42" s="15" t="str">
        <f t="shared" ref="J42:J49" si="10">_xlfn.CONCAT(H42,I42)</f>
        <v>ALFA GROUP41</v>
      </c>
      <c r="K42" s="15">
        <f t="shared" si="4"/>
        <v>42</v>
      </c>
      <c r="L42" s="15" t="str">
        <f t="shared" ref="L42:L49" si="11">IFERROR(VLOOKUP(J42,C:D,2,0),"")</f>
        <v/>
      </c>
      <c r="M42" s="15"/>
    </row>
    <row r="43" spans="1:13" x14ac:dyDescent="0.25">
      <c r="A43" s="2" t="s">
        <v>102</v>
      </c>
      <c r="B43" s="2">
        <f t="shared" si="2"/>
        <v>10</v>
      </c>
      <c r="C43" s="2" t="str">
        <f t="shared" si="0"/>
        <v>KAWAN LAMA10</v>
      </c>
      <c r="D43" s="2" t="s">
        <v>137</v>
      </c>
      <c r="E43" s="15">
        <f t="shared" si="3"/>
        <v>43</v>
      </c>
      <c r="F43" s="15" t="s">
        <v>138</v>
      </c>
      <c r="H43" s="15" t="str">
        <f t="shared" si="6"/>
        <v>ALFA GROUP</v>
      </c>
      <c r="I43" s="15">
        <f t="shared" si="7"/>
        <v>42</v>
      </c>
      <c r="J43" s="15" t="str">
        <f t="shared" si="10"/>
        <v>ALFA GROUP42</v>
      </c>
      <c r="K43" s="15">
        <f t="shared" si="4"/>
        <v>43</v>
      </c>
      <c r="L43" s="15" t="str">
        <f t="shared" si="11"/>
        <v/>
      </c>
      <c r="M43" s="15"/>
    </row>
    <row r="44" spans="1:13" x14ac:dyDescent="0.25">
      <c r="A44" s="2" t="s">
        <v>102</v>
      </c>
      <c r="B44" s="2">
        <f t="shared" si="2"/>
        <v>11</v>
      </c>
      <c r="C44" s="2" t="str">
        <f t="shared" si="0"/>
        <v>KAWAN LAMA11</v>
      </c>
      <c r="D44" s="2" t="s">
        <v>139</v>
      </c>
      <c r="E44" s="15">
        <f t="shared" si="3"/>
        <v>44</v>
      </c>
      <c r="F44" s="15" t="s">
        <v>140</v>
      </c>
      <c r="H44" s="15" t="str">
        <f t="shared" si="6"/>
        <v>ALFA GROUP</v>
      </c>
      <c r="I44" s="15">
        <f t="shared" si="7"/>
        <v>43</v>
      </c>
      <c r="J44" s="15" t="str">
        <f t="shared" si="10"/>
        <v>ALFA GROUP43</v>
      </c>
      <c r="K44" s="15">
        <f t="shared" si="4"/>
        <v>44</v>
      </c>
      <c r="L44" s="15" t="str">
        <f t="shared" si="11"/>
        <v/>
      </c>
      <c r="M44" s="15"/>
    </row>
    <row r="45" spans="1:13" x14ac:dyDescent="0.25">
      <c r="A45" s="2" t="s">
        <v>102</v>
      </c>
      <c r="B45" s="2">
        <f t="shared" si="2"/>
        <v>12</v>
      </c>
      <c r="C45" s="2" t="str">
        <f t="shared" si="0"/>
        <v>KAWAN LAMA12</v>
      </c>
      <c r="D45" s="2" t="s">
        <v>141</v>
      </c>
      <c r="H45" s="15" t="str">
        <f t="shared" si="6"/>
        <v>ALFA GROUP</v>
      </c>
      <c r="I45" s="15">
        <f t="shared" si="7"/>
        <v>44</v>
      </c>
      <c r="J45" s="15" t="str">
        <f t="shared" si="10"/>
        <v>ALFA GROUP44</v>
      </c>
      <c r="K45" s="15">
        <f t="shared" si="4"/>
        <v>45</v>
      </c>
      <c r="L45" s="15" t="str">
        <f t="shared" si="11"/>
        <v/>
      </c>
      <c r="M45" s="15"/>
    </row>
    <row r="46" spans="1:13" x14ac:dyDescent="0.25">
      <c r="A46" s="2" t="s">
        <v>102</v>
      </c>
      <c r="B46" s="2">
        <f t="shared" si="2"/>
        <v>13</v>
      </c>
      <c r="C46" s="2" t="str">
        <f t="shared" si="0"/>
        <v>KAWAN LAMA13</v>
      </c>
      <c r="D46" s="2" t="s">
        <v>142</v>
      </c>
      <c r="H46" s="15" t="str">
        <f t="shared" si="6"/>
        <v>ALFA GROUP</v>
      </c>
      <c r="I46" s="15">
        <f t="shared" si="7"/>
        <v>45</v>
      </c>
      <c r="J46" s="15" t="str">
        <f t="shared" si="10"/>
        <v>ALFA GROUP45</v>
      </c>
      <c r="K46" s="15">
        <f t="shared" si="4"/>
        <v>46</v>
      </c>
      <c r="L46" s="15" t="str">
        <f t="shared" si="11"/>
        <v/>
      </c>
      <c r="M46" s="15"/>
    </row>
    <row r="47" spans="1:13" x14ac:dyDescent="0.25">
      <c r="A47" s="2" t="s">
        <v>102</v>
      </c>
      <c r="B47" s="2">
        <f t="shared" si="2"/>
        <v>14</v>
      </c>
      <c r="C47" s="2" t="str">
        <f t="shared" si="0"/>
        <v>KAWAN LAMA14</v>
      </c>
      <c r="D47" s="2" t="s">
        <v>143</v>
      </c>
      <c r="H47" s="15" t="str">
        <f t="shared" si="6"/>
        <v>ALFA GROUP</v>
      </c>
      <c r="I47" s="15">
        <f t="shared" si="7"/>
        <v>46</v>
      </c>
      <c r="J47" s="15" t="str">
        <f t="shared" si="10"/>
        <v>ALFA GROUP46</v>
      </c>
      <c r="K47" s="15">
        <f t="shared" si="4"/>
        <v>47</v>
      </c>
      <c r="L47" s="15" t="str">
        <f t="shared" si="11"/>
        <v/>
      </c>
      <c r="M47" s="15"/>
    </row>
    <row r="48" spans="1:13" x14ac:dyDescent="0.25">
      <c r="A48" s="2" t="s">
        <v>102</v>
      </c>
      <c r="B48" s="2">
        <f t="shared" si="2"/>
        <v>15</v>
      </c>
      <c r="C48" s="2" t="str">
        <f t="shared" si="0"/>
        <v>KAWAN LAMA15</v>
      </c>
      <c r="D48" s="2" t="s">
        <v>144</v>
      </c>
      <c r="H48" s="15" t="str">
        <f t="shared" si="6"/>
        <v>ALFA GROUP</v>
      </c>
      <c r="I48" s="15">
        <f t="shared" si="7"/>
        <v>47</v>
      </c>
      <c r="J48" s="15" t="str">
        <f t="shared" si="10"/>
        <v>ALFA GROUP47</v>
      </c>
      <c r="K48" s="15">
        <f t="shared" si="4"/>
        <v>48</v>
      </c>
      <c r="L48" s="15" t="str">
        <f t="shared" si="11"/>
        <v/>
      </c>
      <c r="M48" s="15"/>
    </row>
    <row r="49" spans="1:13" x14ac:dyDescent="0.25">
      <c r="A49" s="2" t="s">
        <v>102</v>
      </c>
      <c r="B49" s="2">
        <f t="shared" si="2"/>
        <v>16</v>
      </c>
      <c r="C49" s="2" t="str">
        <f t="shared" si="0"/>
        <v>KAWAN LAMA16</v>
      </c>
      <c r="D49" s="2" t="s">
        <v>145</v>
      </c>
      <c r="H49" s="15" t="str">
        <f t="shared" si="6"/>
        <v>ALFA GROUP</v>
      </c>
      <c r="I49" s="15">
        <f t="shared" si="7"/>
        <v>48</v>
      </c>
      <c r="J49" s="15" t="str">
        <f t="shared" si="10"/>
        <v>ALFA GROUP48</v>
      </c>
      <c r="K49" s="15">
        <f t="shared" si="4"/>
        <v>49</v>
      </c>
      <c r="L49" s="15" t="str">
        <f t="shared" si="11"/>
        <v/>
      </c>
      <c r="M49" s="15"/>
    </row>
    <row r="50" spans="1:13" x14ac:dyDescent="0.25">
      <c r="A50" s="2" t="s">
        <v>103</v>
      </c>
      <c r="B50" s="2">
        <f t="shared" si="2"/>
        <v>1</v>
      </c>
      <c r="C50" s="2" t="str">
        <f t="shared" si="0"/>
        <v>KCIC1</v>
      </c>
      <c r="D50" s="2" t="s">
        <v>146</v>
      </c>
      <c r="H50" s="15" t="str">
        <f t="shared" si="6"/>
        <v>ALFA GROUP</v>
      </c>
      <c r="I50" s="15">
        <f t="shared" si="7"/>
        <v>49</v>
      </c>
      <c r="J50" s="15" t="str">
        <f t="shared" ref="J50:J51" si="12">_xlfn.CONCAT(H50,I50)</f>
        <v>ALFA GROUP49</v>
      </c>
      <c r="K50" s="15">
        <f t="shared" si="4"/>
        <v>50</v>
      </c>
      <c r="L50" s="15" t="str">
        <f t="shared" ref="L50:L51" si="13">IFERROR(VLOOKUP(J50,C:D,2,0),"")</f>
        <v/>
      </c>
      <c r="M50" s="15"/>
    </row>
    <row r="51" spans="1:13" x14ac:dyDescent="0.25">
      <c r="A51" s="2" t="s">
        <v>104</v>
      </c>
      <c r="B51" s="2">
        <f t="shared" si="2"/>
        <v>1</v>
      </c>
      <c r="C51" s="2" t="str">
        <f t="shared" si="0"/>
        <v>KIMIA FARMA1</v>
      </c>
      <c r="D51" s="2" t="s">
        <v>147</v>
      </c>
      <c r="H51" s="15" t="str">
        <f t="shared" si="6"/>
        <v>ALFA GROUP</v>
      </c>
      <c r="I51" s="15">
        <f t="shared" si="7"/>
        <v>50</v>
      </c>
      <c r="J51" s="15" t="str">
        <f t="shared" si="12"/>
        <v>ALFA GROUP50</v>
      </c>
      <c r="K51" s="15">
        <f t="shared" si="4"/>
        <v>51</v>
      </c>
      <c r="L51" s="15" t="str">
        <f t="shared" si="13"/>
        <v/>
      </c>
      <c r="M51" s="15"/>
    </row>
    <row r="52" spans="1:13" x14ac:dyDescent="0.25">
      <c r="A52" s="2" t="s">
        <v>105</v>
      </c>
      <c r="B52" s="2">
        <f t="shared" si="2"/>
        <v>1</v>
      </c>
      <c r="C52" s="2" t="str">
        <f t="shared" si="0"/>
        <v>LOTTE GROUP1</v>
      </c>
      <c r="D52" s="2" t="s">
        <v>148</v>
      </c>
      <c r="H52" s="15" t="str">
        <f t="shared" si="6"/>
        <v>ALFA GROUP</v>
      </c>
      <c r="I52" s="15">
        <f t="shared" si="7"/>
        <v>51</v>
      </c>
      <c r="J52" s="15" t="str">
        <f t="shared" ref="J52:J54" si="14">_xlfn.CONCAT(H52,I52)</f>
        <v>ALFA GROUP51</v>
      </c>
      <c r="K52" s="15">
        <f t="shared" si="4"/>
        <v>52</v>
      </c>
      <c r="L52" s="15" t="str">
        <f t="shared" ref="L52:L54" si="15">IFERROR(VLOOKUP(J52,C:D,2,0),"")</f>
        <v/>
      </c>
      <c r="M52" s="15"/>
    </row>
    <row r="53" spans="1:13" x14ac:dyDescent="0.25">
      <c r="A53" s="2" t="s">
        <v>105</v>
      </c>
      <c r="B53" s="2">
        <f t="shared" si="2"/>
        <v>2</v>
      </c>
      <c r="C53" s="2" t="str">
        <f t="shared" si="0"/>
        <v>LOTTE GROUP2</v>
      </c>
      <c r="D53" s="2" t="s">
        <v>149</v>
      </c>
      <c r="H53" s="15" t="str">
        <f t="shared" si="6"/>
        <v>ALFA GROUP</v>
      </c>
      <c r="I53" s="15">
        <f t="shared" si="7"/>
        <v>52</v>
      </c>
      <c r="J53" s="15" t="str">
        <f t="shared" si="14"/>
        <v>ALFA GROUP52</v>
      </c>
      <c r="K53" s="15">
        <f t="shared" si="4"/>
        <v>53</v>
      </c>
      <c r="L53" s="15" t="str">
        <f t="shared" si="15"/>
        <v/>
      </c>
      <c r="M53" s="15"/>
    </row>
    <row r="54" spans="1:13" x14ac:dyDescent="0.25">
      <c r="A54" s="2" t="s">
        <v>106</v>
      </c>
      <c r="B54" s="2">
        <f t="shared" si="2"/>
        <v>1</v>
      </c>
      <c r="C54" s="2" t="str">
        <f t="shared" si="0"/>
        <v>MAMA ROZ1</v>
      </c>
      <c r="D54" s="2" t="s">
        <v>106</v>
      </c>
      <c r="H54" s="15" t="str">
        <f t="shared" si="6"/>
        <v>ALFA GROUP</v>
      </c>
      <c r="I54" s="15">
        <f t="shared" si="7"/>
        <v>53</v>
      </c>
      <c r="J54" s="15" t="str">
        <f t="shared" si="14"/>
        <v>ALFA GROUP53</v>
      </c>
      <c r="K54" s="15">
        <f t="shared" si="4"/>
        <v>54</v>
      </c>
      <c r="L54" s="15" t="str">
        <f t="shared" si="15"/>
        <v/>
      </c>
      <c r="M54" s="15"/>
    </row>
    <row r="55" spans="1:13" x14ac:dyDescent="0.25">
      <c r="A55" s="2" t="s">
        <v>107</v>
      </c>
      <c r="B55" s="2">
        <f t="shared" si="2"/>
        <v>1</v>
      </c>
      <c r="C55" s="2" t="str">
        <f t="shared" si="0"/>
        <v>MAP GROUP1</v>
      </c>
      <c r="D55" s="2" t="s">
        <v>150</v>
      </c>
      <c r="H55" s="15" t="str">
        <f t="shared" si="6"/>
        <v>ALFA GROUP</v>
      </c>
      <c r="I55" s="15">
        <f t="shared" si="7"/>
        <v>54</v>
      </c>
      <c r="J55" s="15" t="str">
        <f t="shared" ref="J55:J57" si="16">_xlfn.CONCAT(H55,I55)</f>
        <v>ALFA GROUP54</v>
      </c>
      <c r="K55" s="15">
        <f t="shared" si="4"/>
        <v>55</v>
      </c>
      <c r="L55" s="15" t="str">
        <f t="shared" ref="L55:L57" si="17">IFERROR(VLOOKUP(J55,C:D,2,0),"")</f>
        <v/>
      </c>
      <c r="M55" s="15"/>
    </row>
    <row r="56" spans="1:13" x14ac:dyDescent="0.25">
      <c r="A56" s="2" t="s">
        <v>107</v>
      </c>
      <c r="B56" s="2">
        <f t="shared" si="2"/>
        <v>2</v>
      </c>
      <c r="C56" s="2" t="str">
        <f t="shared" si="0"/>
        <v>MAP GROUP2</v>
      </c>
      <c r="D56" s="2" t="s">
        <v>151</v>
      </c>
      <c r="H56" s="15" t="str">
        <f t="shared" si="6"/>
        <v>ALFA GROUP</v>
      </c>
      <c r="I56" s="15">
        <f t="shared" si="7"/>
        <v>55</v>
      </c>
      <c r="J56" s="15" t="str">
        <f t="shared" si="16"/>
        <v>ALFA GROUP55</v>
      </c>
      <c r="K56" s="15">
        <f t="shared" si="4"/>
        <v>56</v>
      </c>
      <c r="L56" s="15" t="str">
        <f t="shared" si="17"/>
        <v/>
      </c>
      <c r="M56" s="15"/>
    </row>
    <row r="57" spans="1:13" x14ac:dyDescent="0.25">
      <c r="A57" s="2" t="s">
        <v>107</v>
      </c>
      <c r="B57" s="2">
        <f t="shared" si="2"/>
        <v>3</v>
      </c>
      <c r="C57" s="2" t="str">
        <f t="shared" si="0"/>
        <v>MAP GROUP3</v>
      </c>
      <c r="D57" s="2" t="s">
        <v>152</v>
      </c>
      <c r="H57" s="15" t="str">
        <f t="shared" si="6"/>
        <v>ALFA GROUP</v>
      </c>
      <c r="I57" s="15">
        <f t="shared" si="7"/>
        <v>56</v>
      </c>
      <c r="J57" s="15" t="str">
        <f t="shared" si="16"/>
        <v>ALFA GROUP56</v>
      </c>
      <c r="K57" s="15">
        <f t="shared" si="4"/>
        <v>57</v>
      </c>
      <c r="L57" s="15" t="str">
        <f t="shared" si="17"/>
        <v/>
      </c>
      <c r="M57" s="15"/>
    </row>
    <row r="58" spans="1:13" x14ac:dyDescent="0.25">
      <c r="A58" s="2" t="s">
        <v>107</v>
      </c>
      <c r="B58" s="2">
        <f t="shared" si="2"/>
        <v>4</v>
      </c>
      <c r="C58" s="2" t="str">
        <f t="shared" si="0"/>
        <v>MAP GROUP4</v>
      </c>
      <c r="D58" s="2" t="s">
        <v>153</v>
      </c>
      <c r="H58" s="15" t="str">
        <f t="shared" si="6"/>
        <v>ALFA GROUP</v>
      </c>
      <c r="I58" s="15">
        <f t="shared" si="7"/>
        <v>57</v>
      </c>
      <c r="J58" s="15" t="str">
        <f t="shared" ref="J58:J59" si="18">_xlfn.CONCAT(H58,I58)</f>
        <v>ALFA GROUP57</v>
      </c>
      <c r="K58" s="15">
        <f t="shared" si="4"/>
        <v>58</v>
      </c>
      <c r="L58" s="15" t="str">
        <f t="shared" ref="L58:L59" si="19">IFERROR(VLOOKUP(J58,C:D,2,0),"")</f>
        <v/>
      </c>
      <c r="M58" s="15"/>
    </row>
    <row r="59" spans="1:13" x14ac:dyDescent="0.25">
      <c r="A59" s="2" t="s">
        <v>107</v>
      </c>
      <c r="B59" s="2">
        <f t="shared" si="2"/>
        <v>5</v>
      </c>
      <c r="C59" s="2" t="str">
        <f t="shared" si="0"/>
        <v>MAP GROUP5</v>
      </c>
      <c r="D59" s="2" t="s">
        <v>154</v>
      </c>
      <c r="H59" s="15" t="str">
        <f t="shared" si="6"/>
        <v>ALFA GROUP</v>
      </c>
      <c r="I59" s="15">
        <f t="shared" si="7"/>
        <v>58</v>
      </c>
      <c r="J59" s="15" t="str">
        <f t="shared" si="18"/>
        <v>ALFA GROUP58</v>
      </c>
      <c r="K59" s="15">
        <f t="shared" si="4"/>
        <v>59</v>
      </c>
      <c r="L59" s="15" t="str">
        <f t="shared" si="19"/>
        <v/>
      </c>
      <c r="M59" s="15"/>
    </row>
    <row r="60" spans="1:13" x14ac:dyDescent="0.25">
      <c r="A60" s="2" t="s">
        <v>107</v>
      </c>
      <c r="B60" s="2">
        <f t="shared" si="2"/>
        <v>6</v>
      </c>
      <c r="C60" s="2" t="str">
        <f t="shared" si="0"/>
        <v>MAP GROUP6</v>
      </c>
      <c r="D60" s="2" t="s">
        <v>155</v>
      </c>
      <c r="H60" s="15" t="str">
        <f t="shared" si="6"/>
        <v>ALFA GROUP</v>
      </c>
      <c r="I60" s="15">
        <f t="shared" si="7"/>
        <v>59</v>
      </c>
      <c r="J60" s="15" t="str">
        <f t="shared" ref="J60:J61" si="20">_xlfn.CONCAT(H60,I60)</f>
        <v>ALFA GROUP59</v>
      </c>
      <c r="K60" s="15">
        <f t="shared" si="4"/>
        <v>60</v>
      </c>
      <c r="L60" s="15" t="str">
        <f t="shared" ref="L60:L61" si="21">IFERROR(VLOOKUP(J60,C:D,2,0),"")</f>
        <v/>
      </c>
      <c r="M60" s="15"/>
    </row>
    <row r="61" spans="1:13" x14ac:dyDescent="0.25">
      <c r="A61" s="2" t="s">
        <v>107</v>
      </c>
      <c r="B61" s="2">
        <f t="shared" si="2"/>
        <v>7</v>
      </c>
      <c r="C61" s="2" t="str">
        <f t="shared" si="0"/>
        <v>MAP GROUP7</v>
      </c>
      <c r="D61" s="2" t="s">
        <v>156</v>
      </c>
      <c r="H61" s="15" t="str">
        <f t="shared" si="6"/>
        <v>ALFA GROUP</v>
      </c>
      <c r="I61" s="15">
        <f t="shared" si="7"/>
        <v>60</v>
      </c>
      <c r="J61" s="15" t="str">
        <f t="shared" si="20"/>
        <v>ALFA GROUP60</v>
      </c>
      <c r="K61" s="15">
        <f t="shared" si="4"/>
        <v>61</v>
      </c>
      <c r="L61" s="15" t="str">
        <f t="shared" si="21"/>
        <v/>
      </c>
      <c r="M61" s="15"/>
    </row>
    <row r="62" spans="1:13" x14ac:dyDescent="0.25">
      <c r="A62" s="2" t="s">
        <v>107</v>
      </c>
      <c r="B62" s="2">
        <f t="shared" si="2"/>
        <v>8</v>
      </c>
      <c r="C62" s="2" t="str">
        <f t="shared" si="0"/>
        <v>MAP GROUP8</v>
      </c>
      <c r="D62" s="2" t="s">
        <v>157</v>
      </c>
    </row>
    <row r="63" spans="1:13" x14ac:dyDescent="0.25">
      <c r="A63" s="2" t="s">
        <v>107</v>
      </c>
      <c r="B63" s="2">
        <f t="shared" si="2"/>
        <v>9</v>
      </c>
      <c r="C63" s="2" t="str">
        <f t="shared" si="0"/>
        <v>MAP GROUP9</v>
      </c>
      <c r="D63" s="2" t="s">
        <v>158</v>
      </c>
    </row>
    <row r="64" spans="1:13" x14ac:dyDescent="0.25">
      <c r="A64" s="2" t="s">
        <v>107</v>
      </c>
      <c r="B64" s="2">
        <f t="shared" si="2"/>
        <v>10</v>
      </c>
      <c r="C64" s="2" t="str">
        <f t="shared" si="0"/>
        <v>MAP GROUP10</v>
      </c>
      <c r="D64" s="2" t="s">
        <v>159</v>
      </c>
    </row>
    <row r="65" spans="1:4" x14ac:dyDescent="0.25">
      <c r="A65" s="2" t="s">
        <v>107</v>
      </c>
      <c r="B65" s="2">
        <f t="shared" si="2"/>
        <v>11</v>
      </c>
      <c r="C65" s="2" t="str">
        <f t="shared" si="0"/>
        <v>MAP GROUP11</v>
      </c>
      <c r="D65" s="2" t="s">
        <v>160</v>
      </c>
    </row>
    <row r="66" spans="1:4" x14ac:dyDescent="0.25">
      <c r="A66" s="2" t="s">
        <v>107</v>
      </c>
      <c r="B66" s="2">
        <f t="shared" si="2"/>
        <v>12</v>
      </c>
      <c r="C66" s="2" t="str">
        <f t="shared" ref="C66:C129" si="22">CONCATENATE(A66,B66)</f>
        <v>MAP GROUP12</v>
      </c>
      <c r="D66" s="2" t="s">
        <v>161</v>
      </c>
    </row>
    <row r="67" spans="1:4" x14ac:dyDescent="0.25">
      <c r="A67" s="2" t="s">
        <v>107</v>
      </c>
      <c r="B67" s="2">
        <f t="shared" ref="B67:B130" si="23">IF(A67=A66,B66+1,1)</f>
        <v>13</v>
      </c>
      <c r="C67" s="2" t="str">
        <f t="shared" si="22"/>
        <v>MAP GROUP13</v>
      </c>
      <c r="D67" s="2" t="s">
        <v>162</v>
      </c>
    </row>
    <row r="68" spans="1:4" x14ac:dyDescent="0.25">
      <c r="A68" s="2" t="s">
        <v>107</v>
      </c>
      <c r="B68" s="2">
        <f t="shared" si="23"/>
        <v>14</v>
      </c>
      <c r="C68" s="2" t="str">
        <f t="shared" si="22"/>
        <v>MAP GROUP14</v>
      </c>
      <c r="D68" s="2" t="s">
        <v>163</v>
      </c>
    </row>
    <row r="69" spans="1:4" x14ac:dyDescent="0.25">
      <c r="A69" s="2" t="s">
        <v>107</v>
      </c>
      <c r="B69" s="2">
        <f t="shared" si="23"/>
        <v>15</v>
      </c>
      <c r="C69" s="2" t="str">
        <f t="shared" si="22"/>
        <v>MAP GROUP15</v>
      </c>
      <c r="D69" s="2" t="s">
        <v>164</v>
      </c>
    </row>
    <row r="70" spans="1:4" x14ac:dyDescent="0.25">
      <c r="A70" s="2" t="s">
        <v>107</v>
      </c>
      <c r="B70" s="2">
        <f t="shared" si="23"/>
        <v>16</v>
      </c>
      <c r="C70" s="2" t="str">
        <f t="shared" si="22"/>
        <v>MAP GROUP16</v>
      </c>
      <c r="D70" s="2" t="s">
        <v>165</v>
      </c>
    </row>
    <row r="71" spans="1:4" x14ac:dyDescent="0.25">
      <c r="A71" s="2" t="s">
        <v>107</v>
      </c>
      <c r="B71" s="2">
        <f t="shared" si="23"/>
        <v>17</v>
      </c>
      <c r="C71" s="2" t="str">
        <f t="shared" si="22"/>
        <v>MAP GROUP17</v>
      </c>
      <c r="D71" s="2" t="s">
        <v>166</v>
      </c>
    </row>
    <row r="72" spans="1:4" x14ac:dyDescent="0.25">
      <c r="A72" s="2" t="s">
        <v>107</v>
      </c>
      <c r="B72" s="2">
        <f t="shared" si="23"/>
        <v>18</v>
      </c>
      <c r="C72" s="2" t="str">
        <f t="shared" si="22"/>
        <v>MAP GROUP18</v>
      </c>
      <c r="D72" s="2" t="s">
        <v>167</v>
      </c>
    </row>
    <row r="73" spans="1:4" x14ac:dyDescent="0.25">
      <c r="A73" s="2" t="s">
        <v>107</v>
      </c>
      <c r="B73" s="2">
        <f t="shared" si="23"/>
        <v>19</v>
      </c>
      <c r="C73" s="2" t="str">
        <f t="shared" si="22"/>
        <v>MAP GROUP19</v>
      </c>
      <c r="D73" s="2" t="s">
        <v>168</v>
      </c>
    </row>
    <row r="74" spans="1:4" x14ac:dyDescent="0.25">
      <c r="A74" s="2" t="s">
        <v>107</v>
      </c>
      <c r="B74" s="2">
        <f t="shared" si="23"/>
        <v>20</v>
      </c>
      <c r="C74" s="2" t="str">
        <f t="shared" si="22"/>
        <v>MAP GROUP20</v>
      </c>
      <c r="D74" s="2" t="s">
        <v>169</v>
      </c>
    </row>
    <row r="75" spans="1:4" x14ac:dyDescent="0.25">
      <c r="A75" s="2" t="s">
        <v>107</v>
      </c>
      <c r="B75" s="2">
        <f t="shared" si="23"/>
        <v>21</v>
      </c>
      <c r="C75" s="2" t="str">
        <f t="shared" si="22"/>
        <v>MAP GROUP21</v>
      </c>
      <c r="D75" s="2" t="s">
        <v>170</v>
      </c>
    </row>
    <row r="76" spans="1:4" x14ac:dyDescent="0.25">
      <c r="A76" s="2" t="s">
        <v>107</v>
      </c>
      <c r="B76" s="2">
        <f t="shared" si="23"/>
        <v>22</v>
      </c>
      <c r="C76" s="2" t="str">
        <f t="shared" si="22"/>
        <v>MAP GROUP22</v>
      </c>
      <c r="D76" s="2" t="s">
        <v>171</v>
      </c>
    </row>
    <row r="77" spans="1:4" x14ac:dyDescent="0.25">
      <c r="A77" s="2" t="s">
        <v>107</v>
      </c>
      <c r="B77" s="2">
        <f t="shared" si="23"/>
        <v>23</v>
      </c>
      <c r="C77" s="2" t="str">
        <f t="shared" si="22"/>
        <v>MAP GROUP23</v>
      </c>
      <c r="D77" s="2" t="s">
        <v>172</v>
      </c>
    </row>
    <row r="78" spans="1:4" x14ac:dyDescent="0.25">
      <c r="A78" s="2" t="s">
        <v>107</v>
      </c>
      <c r="B78" s="2">
        <f t="shared" si="23"/>
        <v>24</v>
      </c>
      <c r="C78" s="2" t="str">
        <f t="shared" si="22"/>
        <v>MAP GROUP24</v>
      </c>
      <c r="D78" s="2" t="s">
        <v>173</v>
      </c>
    </row>
    <row r="79" spans="1:4" x14ac:dyDescent="0.25">
      <c r="A79" s="2" t="s">
        <v>107</v>
      </c>
      <c r="B79" s="2">
        <f t="shared" si="23"/>
        <v>25</v>
      </c>
      <c r="C79" s="2" t="str">
        <f t="shared" si="22"/>
        <v>MAP GROUP25</v>
      </c>
      <c r="D79" s="2" t="s">
        <v>174</v>
      </c>
    </row>
    <row r="80" spans="1:4" x14ac:dyDescent="0.25">
      <c r="A80" s="2" t="s">
        <v>107</v>
      </c>
      <c r="B80" s="2">
        <f t="shared" si="23"/>
        <v>26</v>
      </c>
      <c r="C80" s="2" t="str">
        <f t="shared" si="22"/>
        <v>MAP GROUP26</v>
      </c>
      <c r="D80" s="2" t="s">
        <v>175</v>
      </c>
    </row>
    <row r="81" spans="1:4" x14ac:dyDescent="0.25">
      <c r="A81" s="2" t="s">
        <v>107</v>
      </c>
      <c r="B81" s="2">
        <f t="shared" si="23"/>
        <v>27</v>
      </c>
      <c r="C81" s="2" t="str">
        <f t="shared" si="22"/>
        <v>MAP GROUP27</v>
      </c>
      <c r="D81" s="2" t="s">
        <v>176</v>
      </c>
    </row>
    <row r="82" spans="1:4" x14ac:dyDescent="0.25">
      <c r="A82" s="2" t="s">
        <v>107</v>
      </c>
      <c r="B82" s="2">
        <f t="shared" si="23"/>
        <v>28</v>
      </c>
      <c r="C82" s="2" t="str">
        <f t="shared" si="22"/>
        <v>MAP GROUP28</v>
      </c>
      <c r="D82" s="2" t="s">
        <v>177</v>
      </c>
    </row>
    <row r="83" spans="1:4" x14ac:dyDescent="0.25">
      <c r="A83" s="2" t="s">
        <v>107</v>
      </c>
      <c r="B83" s="2">
        <f t="shared" si="23"/>
        <v>29</v>
      </c>
      <c r="C83" s="2" t="str">
        <f t="shared" si="22"/>
        <v>MAP GROUP29</v>
      </c>
      <c r="D83" s="2" t="s">
        <v>178</v>
      </c>
    </row>
    <row r="84" spans="1:4" x14ac:dyDescent="0.25">
      <c r="A84" s="2" t="s">
        <v>107</v>
      </c>
      <c r="B84" s="2">
        <f t="shared" si="23"/>
        <v>30</v>
      </c>
      <c r="C84" s="2" t="str">
        <f t="shared" si="22"/>
        <v>MAP GROUP30</v>
      </c>
      <c r="D84" s="2" t="s">
        <v>179</v>
      </c>
    </row>
    <row r="85" spans="1:4" x14ac:dyDescent="0.25">
      <c r="A85" s="2" t="s">
        <v>107</v>
      </c>
      <c r="B85" s="2">
        <f t="shared" si="23"/>
        <v>31</v>
      </c>
      <c r="C85" s="2" t="str">
        <f t="shared" si="22"/>
        <v>MAP GROUP31</v>
      </c>
      <c r="D85" s="2" t="s">
        <v>180</v>
      </c>
    </row>
    <row r="86" spans="1:4" x14ac:dyDescent="0.25">
      <c r="A86" s="2" t="s">
        <v>107</v>
      </c>
      <c r="B86" s="2">
        <f t="shared" si="23"/>
        <v>32</v>
      </c>
      <c r="C86" s="2" t="str">
        <f t="shared" si="22"/>
        <v>MAP GROUP32</v>
      </c>
      <c r="D86" s="2" t="s">
        <v>181</v>
      </c>
    </row>
    <row r="87" spans="1:4" x14ac:dyDescent="0.25">
      <c r="A87" s="2" t="s">
        <v>107</v>
      </c>
      <c r="B87" s="2">
        <f t="shared" si="23"/>
        <v>33</v>
      </c>
      <c r="C87" s="2" t="str">
        <f t="shared" si="22"/>
        <v>MAP GROUP33</v>
      </c>
      <c r="D87" s="2" t="s">
        <v>182</v>
      </c>
    </row>
    <row r="88" spans="1:4" x14ac:dyDescent="0.25">
      <c r="A88" s="2" t="s">
        <v>107</v>
      </c>
      <c r="B88" s="2">
        <f t="shared" si="23"/>
        <v>34</v>
      </c>
      <c r="C88" s="2" t="str">
        <f t="shared" si="22"/>
        <v>MAP GROUP34</v>
      </c>
      <c r="D88" s="2" t="s">
        <v>183</v>
      </c>
    </row>
    <row r="89" spans="1:4" x14ac:dyDescent="0.25">
      <c r="A89" s="2" t="s">
        <v>107</v>
      </c>
      <c r="B89" s="2">
        <f t="shared" si="23"/>
        <v>35</v>
      </c>
      <c r="C89" s="2" t="str">
        <f t="shared" si="22"/>
        <v>MAP GROUP35</v>
      </c>
      <c r="D89" s="2" t="s">
        <v>184</v>
      </c>
    </row>
    <row r="90" spans="1:4" x14ac:dyDescent="0.25">
      <c r="A90" s="2" t="s">
        <v>107</v>
      </c>
      <c r="B90" s="2">
        <f t="shared" si="23"/>
        <v>36</v>
      </c>
      <c r="C90" s="2" t="str">
        <f t="shared" si="22"/>
        <v>MAP GROUP36</v>
      </c>
      <c r="D90" s="2" t="s">
        <v>185</v>
      </c>
    </row>
    <row r="91" spans="1:4" x14ac:dyDescent="0.25">
      <c r="A91" s="2" t="s">
        <v>107</v>
      </c>
      <c r="B91" s="2">
        <f t="shared" si="23"/>
        <v>37</v>
      </c>
      <c r="C91" s="2" t="str">
        <f t="shared" si="22"/>
        <v>MAP GROUP37</v>
      </c>
      <c r="D91" s="2" t="s">
        <v>186</v>
      </c>
    </row>
    <row r="92" spans="1:4" x14ac:dyDescent="0.25">
      <c r="A92" s="2" t="s">
        <v>107</v>
      </c>
      <c r="B92" s="2">
        <f t="shared" si="23"/>
        <v>38</v>
      </c>
      <c r="C92" s="2" t="str">
        <f t="shared" si="22"/>
        <v>MAP GROUP38</v>
      </c>
      <c r="D92" s="2" t="s">
        <v>187</v>
      </c>
    </row>
    <row r="93" spans="1:4" x14ac:dyDescent="0.25">
      <c r="A93" s="2" t="s">
        <v>107</v>
      </c>
      <c r="B93" s="2">
        <f t="shared" si="23"/>
        <v>39</v>
      </c>
      <c r="C93" s="2" t="str">
        <f t="shared" si="22"/>
        <v>MAP GROUP39</v>
      </c>
      <c r="D93" s="2" t="s">
        <v>188</v>
      </c>
    </row>
    <row r="94" spans="1:4" x14ac:dyDescent="0.25">
      <c r="A94" s="2" t="s">
        <v>107</v>
      </c>
      <c r="B94" s="2">
        <f t="shared" si="23"/>
        <v>40</v>
      </c>
      <c r="C94" s="2" t="str">
        <f t="shared" si="22"/>
        <v>MAP GROUP40</v>
      </c>
      <c r="D94" s="2" t="s">
        <v>189</v>
      </c>
    </row>
    <row r="95" spans="1:4" x14ac:dyDescent="0.25">
      <c r="A95" s="2" t="s">
        <v>107</v>
      </c>
      <c r="B95" s="2">
        <f t="shared" si="23"/>
        <v>41</v>
      </c>
      <c r="C95" s="2" t="str">
        <f t="shared" si="22"/>
        <v>MAP GROUP41</v>
      </c>
      <c r="D95" s="2" t="s">
        <v>190</v>
      </c>
    </row>
    <row r="96" spans="1:4" x14ac:dyDescent="0.25">
      <c r="A96" s="2" t="s">
        <v>107</v>
      </c>
      <c r="B96" s="2">
        <f t="shared" si="23"/>
        <v>42</v>
      </c>
      <c r="C96" s="2" t="str">
        <f t="shared" si="22"/>
        <v>MAP GROUP42</v>
      </c>
      <c r="D96" s="2" t="s">
        <v>191</v>
      </c>
    </row>
    <row r="97" spans="1:4" x14ac:dyDescent="0.25">
      <c r="A97" s="2" t="s">
        <v>107</v>
      </c>
      <c r="B97" s="2">
        <f t="shared" si="23"/>
        <v>43</v>
      </c>
      <c r="C97" s="2" t="str">
        <f t="shared" si="22"/>
        <v>MAP GROUP43</v>
      </c>
      <c r="D97" s="2" t="s">
        <v>192</v>
      </c>
    </row>
    <row r="98" spans="1:4" x14ac:dyDescent="0.25">
      <c r="A98" s="2" t="s">
        <v>107</v>
      </c>
      <c r="B98" s="2">
        <f t="shared" si="23"/>
        <v>44</v>
      </c>
      <c r="C98" s="2" t="str">
        <f t="shared" si="22"/>
        <v>MAP GROUP44</v>
      </c>
      <c r="D98" s="2" t="s">
        <v>193</v>
      </c>
    </row>
    <row r="99" spans="1:4" x14ac:dyDescent="0.25">
      <c r="A99" s="2" t="s">
        <v>107</v>
      </c>
      <c r="B99" s="2">
        <f t="shared" si="23"/>
        <v>45</v>
      </c>
      <c r="C99" s="2" t="str">
        <f t="shared" si="22"/>
        <v>MAP GROUP45</v>
      </c>
      <c r="D99" s="2" t="s">
        <v>194</v>
      </c>
    </row>
    <row r="100" spans="1:4" x14ac:dyDescent="0.25">
      <c r="A100" s="2" t="s">
        <v>107</v>
      </c>
      <c r="B100" s="2">
        <f t="shared" si="23"/>
        <v>46</v>
      </c>
      <c r="C100" s="2" t="str">
        <f t="shared" si="22"/>
        <v>MAP GROUP46</v>
      </c>
      <c r="D100" s="2" t="s">
        <v>195</v>
      </c>
    </row>
    <row r="101" spans="1:4" x14ac:dyDescent="0.25">
      <c r="A101" s="2" t="s">
        <v>107</v>
      </c>
      <c r="B101" s="2">
        <f t="shared" si="23"/>
        <v>47</v>
      </c>
      <c r="C101" s="2" t="str">
        <f t="shared" si="22"/>
        <v>MAP GROUP47</v>
      </c>
      <c r="D101" s="2" t="s">
        <v>196</v>
      </c>
    </row>
    <row r="102" spans="1:4" x14ac:dyDescent="0.25">
      <c r="A102" s="2" t="s">
        <v>107</v>
      </c>
      <c r="B102" s="2">
        <f t="shared" si="23"/>
        <v>48</v>
      </c>
      <c r="C102" s="2" t="str">
        <f t="shared" si="22"/>
        <v>MAP GROUP48</v>
      </c>
      <c r="D102" s="2" t="s">
        <v>197</v>
      </c>
    </row>
    <row r="103" spans="1:4" x14ac:dyDescent="0.25">
      <c r="A103" s="2" t="s">
        <v>107</v>
      </c>
      <c r="B103" s="2">
        <f t="shared" si="23"/>
        <v>49</v>
      </c>
      <c r="C103" s="2" t="str">
        <f t="shared" si="22"/>
        <v>MAP GROUP49</v>
      </c>
      <c r="D103" s="2" t="s">
        <v>198</v>
      </c>
    </row>
    <row r="104" spans="1:4" x14ac:dyDescent="0.25">
      <c r="A104" s="2" t="s">
        <v>107</v>
      </c>
      <c r="B104" s="2">
        <f t="shared" si="23"/>
        <v>50</v>
      </c>
      <c r="C104" s="2" t="str">
        <f t="shared" si="22"/>
        <v>MAP GROUP50</v>
      </c>
      <c r="D104" s="2" t="s">
        <v>199</v>
      </c>
    </row>
    <row r="105" spans="1:4" x14ac:dyDescent="0.25">
      <c r="A105" s="2" t="s">
        <v>107</v>
      </c>
      <c r="B105" s="2">
        <f t="shared" si="23"/>
        <v>51</v>
      </c>
      <c r="C105" s="2" t="str">
        <f t="shared" si="22"/>
        <v>MAP GROUP51</v>
      </c>
      <c r="D105" s="2" t="s">
        <v>200</v>
      </c>
    </row>
    <row r="106" spans="1:4" x14ac:dyDescent="0.25">
      <c r="A106" s="2" t="s">
        <v>107</v>
      </c>
      <c r="B106" s="2">
        <f t="shared" si="23"/>
        <v>52</v>
      </c>
      <c r="C106" s="2" t="str">
        <f t="shared" si="22"/>
        <v>MAP GROUP52</v>
      </c>
      <c r="D106" s="2" t="s">
        <v>201</v>
      </c>
    </row>
    <row r="107" spans="1:4" x14ac:dyDescent="0.25">
      <c r="A107" s="2" t="s">
        <v>107</v>
      </c>
      <c r="B107" s="2">
        <f t="shared" si="23"/>
        <v>53</v>
      </c>
      <c r="C107" s="2" t="str">
        <f t="shared" si="22"/>
        <v>MAP GROUP53</v>
      </c>
      <c r="D107" s="2" t="s">
        <v>202</v>
      </c>
    </row>
    <row r="108" spans="1:4" x14ac:dyDescent="0.25">
      <c r="A108" s="2" t="s">
        <v>107</v>
      </c>
      <c r="B108" s="2">
        <f t="shared" si="23"/>
        <v>54</v>
      </c>
      <c r="C108" s="2" t="str">
        <f t="shared" si="22"/>
        <v>MAP GROUP54</v>
      </c>
      <c r="D108" s="2" t="s">
        <v>203</v>
      </c>
    </row>
    <row r="109" spans="1:4" x14ac:dyDescent="0.25">
      <c r="A109" s="2" t="s">
        <v>107</v>
      </c>
      <c r="B109" s="2">
        <f t="shared" si="23"/>
        <v>55</v>
      </c>
      <c r="C109" s="2" t="str">
        <f t="shared" si="22"/>
        <v>MAP GROUP55</v>
      </c>
      <c r="D109" s="2" t="s">
        <v>204</v>
      </c>
    </row>
    <row r="110" spans="1:4" x14ac:dyDescent="0.25">
      <c r="A110" s="2" t="s">
        <v>107</v>
      </c>
      <c r="B110" s="2">
        <f t="shared" si="23"/>
        <v>56</v>
      </c>
      <c r="C110" s="2" t="str">
        <f t="shared" si="22"/>
        <v>MAP GROUP56</v>
      </c>
      <c r="D110" s="2" t="s">
        <v>205</v>
      </c>
    </row>
    <row r="111" spans="1:4" x14ac:dyDescent="0.25">
      <c r="A111" s="2" t="s">
        <v>107</v>
      </c>
      <c r="B111" s="2">
        <f t="shared" si="23"/>
        <v>57</v>
      </c>
      <c r="C111" s="2" t="str">
        <f t="shared" si="22"/>
        <v>MAP GROUP57</v>
      </c>
      <c r="D111" s="2" t="s">
        <v>206</v>
      </c>
    </row>
    <row r="112" spans="1:4" x14ac:dyDescent="0.25">
      <c r="A112" s="2" t="s">
        <v>107</v>
      </c>
      <c r="B112" s="2">
        <f t="shared" si="23"/>
        <v>58</v>
      </c>
      <c r="C112" s="2" t="str">
        <f t="shared" si="22"/>
        <v>MAP GROUP58</v>
      </c>
      <c r="D112" s="2" t="s">
        <v>207</v>
      </c>
    </row>
    <row r="113" spans="1:4" x14ac:dyDescent="0.25">
      <c r="A113" s="2" t="s">
        <v>107</v>
      </c>
      <c r="B113" s="2">
        <f t="shared" si="23"/>
        <v>59</v>
      </c>
      <c r="C113" s="2" t="str">
        <f t="shared" si="22"/>
        <v>MAP GROUP59</v>
      </c>
      <c r="D113" s="2" t="s">
        <v>208</v>
      </c>
    </row>
    <row r="114" spans="1:4" x14ac:dyDescent="0.25">
      <c r="A114" s="2" t="s">
        <v>107</v>
      </c>
      <c r="B114" s="2">
        <f t="shared" si="23"/>
        <v>60</v>
      </c>
      <c r="C114" s="2" t="str">
        <f t="shared" si="22"/>
        <v>MAP GROUP60</v>
      </c>
      <c r="D114" s="2" t="s">
        <v>209</v>
      </c>
    </row>
    <row r="115" spans="1:4" x14ac:dyDescent="0.25">
      <c r="A115" s="2" t="s">
        <v>109</v>
      </c>
      <c r="B115" s="2">
        <f t="shared" si="23"/>
        <v>1</v>
      </c>
      <c r="C115" s="2" t="str">
        <f t="shared" si="22"/>
        <v>MITRA101</v>
      </c>
      <c r="D115" s="2" t="s">
        <v>109</v>
      </c>
    </row>
    <row r="116" spans="1:4" x14ac:dyDescent="0.25">
      <c r="A116" s="2" t="s">
        <v>110</v>
      </c>
      <c r="B116" s="2">
        <f t="shared" si="23"/>
        <v>1</v>
      </c>
      <c r="C116" s="2" t="str">
        <f t="shared" si="22"/>
        <v>OPTIK MELAWAI1</v>
      </c>
      <c r="D116" s="2" t="s">
        <v>110</v>
      </c>
    </row>
    <row r="117" spans="1:4" x14ac:dyDescent="0.25">
      <c r="A117" s="2" t="s">
        <v>111</v>
      </c>
      <c r="B117" s="2">
        <f t="shared" si="23"/>
        <v>1</v>
      </c>
      <c r="C117" s="2" t="str">
        <f t="shared" si="22"/>
        <v>PATRA JASA1</v>
      </c>
      <c r="D117" s="2" t="s">
        <v>210</v>
      </c>
    </row>
    <row r="118" spans="1:4" x14ac:dyDescent="0.25">
      <c r="A118" s="2" t="s">
        <v>111</v>
      </c>
      <c r="B118" s="2">
        <f t="shared" si="23"/>
        <v>2</v>
      </c>
      <c r="C118" s="2" t="str">
        <f t="shared" si="22"/>
        <v>PATRA JASA2</v>
      </c>
      <c r="D118" s="2" t="s">
        <v>211</v>
      </c>
    </row>
    <row r="119" spans="1:4" x14ac:dyDescent="0.25">
      <c r="A119" s="2" t="s">
        <v>111</v>
      </c>
      <c r="B119" s="2">
        <f t="shared" si="23"/>
        <v>3</v>
      </c>
      <c r="C119" s="2" t="str">
        <f t="shared" si="22"/>
        <v>PATRA JASA3</v>
      </c>
      <c r="D119" s="2" t="s">
        <v>212</v>
      </c>
    </row>
    <row r="120" spans="1:4" x14ac:dyDescent="0.25">
      <c r="A120" s="2" t="s">
        <v>111</v>
      </c>
      <c r="B120" s="2">
        <f t="shared" si="23"/>
        <v>4</v>
      </c>
      <c r="C120" s="2" t="str">
        <f t="shared" si="22"/>
        <v>PATRA JASA4</v>
      </c>
      <c r="D120" s="2" t="s">
        <v>213</v>
      </c>
    </row>
    <row r="121" spans="1:4" x14ac:dyDescent="0.25">
      <c r="A121" s="2" t="s">
        <v>111</v>
      </c>
      <c r="B121" s="2">
        <f t="shared" si="23"/>
        <v>5</v>
      </c>
      <c r="C121" s="2" t="str">
        <f t="shared" si="22"/>
        <v>PATRA JASA5</v>
      </c>
      <c r="D121" s="2" t="s">
        <v>214</v>
      </c>
    </row>
    <row r="122" spans="1:4" x14ac:dyDescent="0.25">
      <c r="A122" s="2" t="s">
        <v>112</v>
      </c>
      <c r="B122" s="2">
        <f t="shared" si="23"/>
        <v>1</v>
      </c>
      <c r="C122" s="2" t="str">
        <f t="shared" si="22"/>
        <v>PERTAMINA RETAIL1</v>
      </c>
      <c r="D122" s="2" t="s">
        <v>215</v>
      </c>
    </row>
    <row r="123" spans="1:4" x14ac:dyDescent="0.25">
      <c r="A123" s="2" t="s">
        <v>112</v>
      </c>
      <c r="B123" s="2">
        <f t="shared" si="23"/>
        <v>2</v>
      </c>
      <c r="C123" s="2" t="str">
        <f t="shared" si="22"/>
        <v>PERTAMINA RETAIL2</v>
      </c>
      <c r="D123" s="2" t="s">
        <v>216</v>
      </c>
    </row>
    <row r="124" spans="1:4" x14ac:dyDescent="0.25">
      <c r="A124" s="2" t="s">
        <v>114</v>
      </c>
      <c r="B124" s="2">
        <f t="shared" si="23"/>
        <v>1</v>
      </c>
      <c r="C124" s="2" t="str">
        <f t="shared" si="22"/>
        <v>PIZZA HUT1</v>
      </c>
      <c r="D124" s="2" t="s">
        <v>217</v>
      </c>
    </row>
    <row r="125" spans="1:4" x14ac:dyDescent="0.25">
      <c r="A125" s="2" t="s">
        <v>114</v>
      </c>
      <c r="B125" s="2">
        <f t="shared" si="23"/>
        <v>2</v>
      </c>
      <c r="C125" s="2" t="str">
        <f t="shared" si="22"/>
        <v>PIZZA HUT2</v>
      </c>
      <c r="D125" s="2" t="s">
        <v>218</v>
      </c>
    </row>
    <row r="126" spans="1:4" x14ac:dyDescent="0.25">
      <c r="A126" s="2" t="s">
        <v>115</v>
      </c>
      <c r="B126" s="2">
        <f t="shared" si="23"/>
        <v>1</v>
      </c>
      <c r="C126" s="2" t="str">
        <f t="shared" si="22"/>
        <v>PLATINUM CINEPLEX1</v>
      </c>
      <c r="D126" s="2" t="s">
        <v>115</v>
      </c>
    </row>
    <row r="127" spans="1:4" x14ac:dyDescent="0.25">
      <c r="A127" s="2" t="s">
        <v>116</v>
      </c>
      <c r="B127" s="2">
        <f t="shared" si="23"/>
        <v>1</v>
      </c>
      <c r="C127" s="2" t="str">
        <f t="shared" si="22"/>
        <v>POPEYES1</v>
      </c>
      <c r="D127" s="2" t="s">
        <v>116</v>
      </c>
    </row>
    <row r="128" spans="1:4" x14ac:dyDescent="0.25">
      <c r="A128" s="2" t="s">
        <v>118</v>
      </c>
      <c r="B128" s="2">
        <f t="shared" si="23"/>
        <v>1</v>
      </c>
      <c r="C128" s="2" t="str">
        <f t="shared" si="22"/>
        <v>SARINAH1</v>
      </c>
      <c r="D128" s="2" t="s">
        <v>118</v>
      </c>
    </row>
    <row r="129" spans="1:4" x14ac:dyDescent="0.25">
      <c r="A129" s="2" t="s">
        <v>120</v>
      </c>
      <c r="B129" s="2">
        <f t="shared" si="23"/>
        <v>1</v>
      </c>
      <c r="C129" s="2" t="str">
        <f t="shared" si="22"/>
        <v>SHIHLIN1</v>
      </c>
      <c r="D129" s="2" t="s">
        <v>120</v>
      </c>
    </row>
    <row r="130" spans="1:4" x14ac:dyDescent="0.25">
      <c r="A130" s="2" t="s">
        <v>122</v>
      </c>
      <c r="B130" s="2">
        <f t="shared" si="23"/>
        <v>1</v>
      </c>
      <c r="C130" s="2" t="str">
        <f t="shared" ref="C130:C146" si="24">CONCATENATE(A130,B130)</f>
        <v>SOLARIA1</v>
      </c>
      <c r="D130" s="2" t="s">
        <v>122</v>
      </c>
    </row>
    <row r="131" spans="1:4" x14ac:dyDescent="0.25">
      <c r="A131" s="2" t="s">
        <v>124</v>
      </c>
      <c r="B131" s="2">
        <f t="shared" ref="B131:B146" si="25">IF(A131=A130,B130+1,1)</f>
        <v>1</v>
      </c>
      <c r="C131" s="2" t="str">
        <f t="shared" si="24"/>
        <v>SOUR SALLY1</v>
      </c>
      <c r="D131" s="2" t="s">
        <v>124</v>
      </c>
    </row>
    <row r="132" spans="1:4" x14ac:dyDescent="0.25">
      <c r="A132" s="2" t="s">
        <v>126</v>
      </c>
      <c r="B132" s="2">
        <f t="shared" si="25"/>
        <v>1</v>
      </c>
      <c r="C132" s="2" t="str">
        <f t="shared" si="24"/>
        <v>STEVEN GROUP1</v>
      </c>
      <c r="D132" s="2" t="s">
        <v>219</v>
      </c>
    </row>
    <row r="133" spans="1:4" x14ac:dyDescent="0.25">
      <c r="A133" s="2" t="s">
        <v>126</v>
      </c>
      <c r="B133" s="2">
        <f t="shared" si="25"/>
        <v>2</v>
      </c>
      <c r="C133" s="2" t="str">
        <f t="shared" si="24"/>
        <v>STEVEN GROUP2</v>
      </c>
      <c r="D133" s="2" t="s">
        <v>220</v>
      </c>
    </row>
    <row r="134" spans="1:4" x14ac:dyDescent="0.25">
      <c r="A134" s="2" t="s">
        <v>126</v>
      </c>
      <c r="B134" s="2">
        <f t="shared" si="25"/>
        <v>3</v>
      </c>
      <c r="C134" s="2" t="str">
        <f t="shared" si="24"/>
        <v>STEVEN GROUP3</v>
      </c>
      <c r="D134" s="2" t="s">
        <v>221</v>
      </c>
    </row>
    <row r="135" spans="1:4" x14ac:dyDescent="0.25">
      <c r="A135" s="2" t="s">
        <v>126</v>
      </c>
      <c r="B135" s="2">
        <f t="shared" si="25"/>
        <v>4</v>
      </c>
      <c r="C135" s="2" t="str">
        <f t="shared" si="24"/>
        <v>STEVEN GROUP4</v>
      </c>
      <c r="D135" s="2" t="s">
        <v>222</v>
      </c>
    </row>
    <row r="136" spans="1:4" x14ac:dyDescent="0.25">
      <c r="A136" s="2" t="s">
        <v>126</v>
      </c>
      <c r="B136" s="2">
        <f t="shared" si="25"/>
        <v>5</v>
      </c>
      <c r="C136" s="2" t="str">
        <f t="shared" si="24"/>
        <v>STEVEN GROUP5</v>
      </c>
      <c r="D136" s="2" t="s">
        <v>223</v>
      </c>
    </row>
    <row r="137" spans="1:4" x14ac:dyDescent="0.25">
      <c r="A137" s="2" t="s">
        <v>126</v>
      </c>
      <c r="B137" s="2">
        <f t="shared" si="25"/>
        <v>6</v>
      </c>
      <c r="C137" s="2" t="str">
        <f t="shared" si="24"/>
        <v>STEVEN GROUP6</v>
      </c>
      <c r="D137" s="2" t="s">
        <v>224</v>
      </c>
    </row>
    <row r="138" spans="1:4" x14ac:dyDescent="0.25">
      <c r="A138" s="2" t="s">
        <v>126</v>
      </c>
      <c r="B138" s="2">
        <f t="shared" si="25"/>
        <v>7</v>
      </c>
      <c r="C138" s="2" t="str">
        <f t="shared" si="24"/>
        <v>STEVEN GROUP7</v>
      </c>
      <c r="D138" s="2" t="s">
        <v>225</v>
      </c>
    </row>
    <row r="139" spans="1:4" x14ac:dyDescent="0.25">
      <c r="A139" s="2" t="s">
        <v>128</v>
      </c>
      <c r="B139" s="2">
        <f t="shared" si="25"/>
        <v>1</v>
      </c>
      <c r="C139" s="2" t="str">
        <f t="shared" si="24"/>
        <v>SUPRA BOGA LESTARI1</v>
      </c>
      <c r="D139" s="2" t="s">
        <v>226</v>
      </c>
    </row>
    <row r="140" spans="1:4" x14ac:dyDescent="0.25">
      <c r="A140" s="2" t="s">
        <v>130</v>
      </c>
      <c r="B140" s="2">
        <f t="shared" si="25"/>
        <v>1</v>
      </c>
      <c r="C140" s="2" t="str">
        <f t="shared" si="24"/>
        <v>SURYA BUMI RETAILINDO1</v>
      </c>
      <c r="D140" s="2" t="s">
        <v>227</v>
      </c>
    </row>
    <row r="141" spans="1:4" x14ac:dyDescent="0.25">
      <c r="A141" s="2" t="s">
        <v>132</v>
      </c>
      <c r="B141" s="2">
        <f t="shared" si="25"/>
        <v>1</v>
      </c>
      <c r="C141" s="2" t="str">
        <f t="shared" si="24"/>
        <v>SUSHI TEI1</v>
      </c>
      <c r="D141" s="2" t="s">
        <v>132</v>
      </c>
    </row>
    <row r="142" spans="1:4" x14ac:dyDescent="0.25">
      <c r="A142" s="2" t="s">
        <v>134</v>
      </c>
      <c r="B142" s="2">
        <f t="shared" si="25"/>
        <v>1</v>
      </c>
      <c r="C142" s="2" t="str">
        <f t="shared" si="24"/>
        <v>TAMANI1</v>
      </c>
      <c r="D142" s="2" t="s">
        <v>134</v>
      </c>
    </row>
    <row r="143" spans="1:4" x14ac:dyDescent="0.25">
      <c r="A143" s="2" t="s">
        <v>136</v>
      </c>
      <c r="B143" s="2">
        <f t="shared" si="25"/>
        <v>1</v>
      </c>
      <c r="C143" s="2" t="str">
        <f t="shared" si="24"/>
        <v>YOGURT REPUBLIC1</v>
      </c>
      <c r="D143" s="2" t="s">
        <v>228</v>
      </c>
    </row>
    <row r="144" spans="1:4" x14ac:dyDescent="0.25">
      <c r="A144" s="2" t="s">
        <v>136</v>
      </c>
      <c r="B144" s="2">
        <f t="shared" si="25"/>
        <v>2</v>
      </c>
      <c r="C144" s="2" t="str">
        <f t="shared" si="24"/>
        <v>YOGURT REPUBLIC2</v>
      </c>
      <c r="D144" s="2" t="s">
        <v>136</v>
      </c>
    </row>
    <row r="145" spans="1:4" x14ac:dyDescent="0.25">
      <c r="A145" s="2" t="s">
        <v>138</v>
      </c>
      <c r="B145" s="2">
        <f t="shared" si="25"/>
        <v>1</v>
      </c>
      <c r="C145" s="2" t="str">
        <f t="shared" si="24"/>
        <v>YOSHINOYA1</v>
      </c>
      <c r="D145" s="2" t="s">
        <v>138</v>
      </c>
    </row>
    <row r="146" spans="1:4" x14ac:dyDescent="0.25">
      <c r="A146" s="2" t="s">
        <v>140</v>
      </c>
      <c r="B146" s="2">
        <f t="shared" si="25"/>
        <v>1</v>
      </c>
      <c r="C146" s="2" t="str">
        <f t="shared" si="24"/>
        <v>ZENBU1</v>
      </c>
      <c r="D146" s="2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CC85-939B-DE48-B057-20BC6478421D}">
  <dimension ref="B2:L54"/>
  <sheetViews>
    <sheetView showGridLines="0" topLeftCell="A12" zoomScale="82" workbookViewId="0">
      <selection activeCell="B43" sqref="B43:B44"/>
    </sheetView>
  </sheetViews>
  <sheetFormatPr defaultColWidth="10.5" defaultRowHeight="15.75" x14ac:dyDescent="0.25"/>
  <cols>
    <col min="2" max="2" width="36.875" customWidth="1"/>
    <col min="3" max="7" width="17.875" customWidth="1"/>
  </cols>
  <sheetData>
    <row r="2" spans="2:12" x14ac:dyDescent="0.25">
      <c r="B2" s="81" t="s">
        <v>229</v>
      </c>
      <c r="C2" s="83">
        <v>45658</v>
      </c>
      <c r="D2" s="85" t="s">
        <v>230</v>
      </c>
      <c r="E2" s="83">
        <v>46023</v>
      </c>
      <c r="F2" s="86" t="s">
        <v>231</v>
      </c>
      <c r="G2" s="87"/>
    </row>
    <row r="3" spans="2:12" x14ac:dyDescent="0.25">
      <c r="B3" s="82"/>
      <c r="C3" s="84"/>
      <c r="D3" s="84"/>
      <c r="E3" s="84"/>
      <c r="F3" s="36" t="s">
        <v>232</v>
      </c>
      <c r="G3" s="36" t="s">
        <v>233</v>
      </c>
    </row>
    <row r="4" spans="2:12" ht="16.5" x14ac:dyDescent="0.3">
      <c r="B4" s="40" t="s">
        <v>107</v>
      </c>
      <c r="C4" s="41">
        <v>113701561</v>
      </c>
      <c r="D4" s="41">
        <v>211099634852</v>
      </c>
      <c r="E4" s="41">
        <v>43103381103</v>
      </c>
      <c r="F4" s="54">
        <f t="shared" ref="F4:F13" si="0">E4/C4-1</f>
        <v>378.09225452938153</v>
      </c>
      <c r="G4" s="42">
        <v>42989679542</v>
      </c>
    </row>
    <row r="5" spans="2:12" ht="16.5" x14ac:dyDescent="0.3">
      <c r="B5" s="43" t="s">
        <v>102</v>
      </c>
      <c r="C5" s="52">
        <v>3244703067</v>
      </c>
      <c r="D5" s="52">
        <v>38898630141</v>
      </c>
      <c r="E5" s="52">
        <v>11270015986</v>
      </c>
      <c r="F5" s="55">
        <f t="shared" si="0"/>
        <v>2.4733581943509164</v>
      </c>
      <c r="G5" s="53">
        <v>8025312919</v>
      </c>
    </row>
    <row r="6" spans="2:12" ht="16.5" x14ac:dyDescent="0.3">
      <c r="B6" s="40" t="s">
        <v>70</v>
      </c>
      <c r="C6" s="41">
        <v>5981200</v>
      </c>
      <c r="D6" s="41">
        <v>13151058840</v>
      </c>
      <c r="E6" s="41">
        <v>6677986906</v>
      </c>
      <c r="F6" s="54">
        <f t="shared" si="0"/>
        <v>1115.4961723399986</v>
      </c>
      <c r="G6" s="42">
        <v>6672005706</v>
      </c>
      <c r="J6" s="88" t="s">
        <v>234</v>
      </c>
      <c r="K6" s="88"/>
      <c r="L6" s="88"/>
    </row>
    <row r="7" spans="2:12" ht="16.5" x14ac:dyDescent="0.3">
      <c r="B7" s="43" t="s">
        <v>101</v>
      </c>
      <c r="C7" s="52">
        <v>12752570497</v>
      </c>
      <c r="D7" s="52">
        <v>150669116830</v>
      </c>
      <c r="E7" s="52">
        <v>18822659759</v>
      </c>
      <c r="F7" s="55">
        <f t="shared" si="0"/>
        <v>0.47598946921547847</v>
      </c>
      <c r="G7" s="53">
        <v>6070089262</v>
      </c>
      <c r="J7" s="37" t="s">
        <v>235</v>
      </c>
      <c r="K7" s="38" t="s">
        <v>236</v>
      </c>
      <c r="L7" s="39" t="s">
        <v>236</v>
      </c>
    </row>
    <row r="8" spans="2:12" ht="16.5" x14ac:dyDescent="0.3">
      <c r="B8" s="40" t="s">
        <v>67</v>
      </c>
      <c r="C8" s="41">
        <v>13076198406</v>
      </c>
      <c r="D8" s="41">
        <v>162155414115</v>
      </c>
      <c r="E8" s="41">
        <v>17114430511</v>
      </c>
      <c r="F8" s="54">
        <f t="shared" si="0"/>
        <v>0.30882309824444554</v>
      </c>
      <c r="G8" s="42">
        <v>4038232105</v>
      </c>
      <c r="J8" s="33">
        <f>[1]Parameter!J4</f>
        <v>0</v>
      </c>
      <c r="K8" s="34">
        <f>J8</f>
        <v>0</v>
      </c>
      <c r="L8" s="35">
        <v>45627</v>
      </c>
    </row>
    <row r="9" spans="2:12" ht="16.5" x14ac:dyDescent="0.3">
      <c r="B9" s="43" t="s">
        <v>105</v>
      </c>
      <c r="C9" s="52">
        <v>5922000</v>
      </c>
      <c r="D9" s="52">
        <v>3361841770</v>
      </c>
      <c r="E9" s="52">
        <v>2962380698</v>
      </c>
      <c r="F9" s="55">
        <f t="shared" si="0"/>
        <v>499.23314724755153</v>
      </c>
      <c r="G9" s="53">
        <v>2956458698</v>
      </c>
    </row>
    <row r="10" spans="2:12" ht="16.5" x14ac:dyDescent="0.3">
      <c r="B10" s="40" t="s">
        <v>109</v>
      </c>
      <c r="C10" s="41">
        <v>1013916445</v>
      </c>
      <c r="D10" s="41">
        <v>12538438120</v>
      </c>
      <c r="E10" s="41">
        <v>3807233949</v>
      </c>
      <c r="F10" s="54">
        <f t="shared" si="0"/>
        <v>2.7549780041293244</v>
      </c>
      <c r="G10" s="42">
        <v>2793317504</v>
      </c>
    </row>
    <row r="11" spans="2:12" ht="16.5" x14ac:dyDescent="0.3">
      <c r="B11" s="43" t="s">
        <v>80</v>
      </c>
      <c r="C11" s="52">
        <v>97993006</v>
      </c>
      <c r="D11" s="52">
        <v>5284101260</v>
      </c>
      <c r="E11" s="52">
        <v>1667471081</v>
      </c>
      <c r="F11" s="55">
        <f t="shared" si="0"/>
        <v>16.016225433476343</v>
      </c>
      <c r="G11" s="53">
        <v>1569478075</v>
      </c>
    </row>
    <row r="12" spans="2:12" ht="16.5" x14ac:dyDescent="0.3">
      <c r="B12" s="40" t="s">
        <v>112</v>
      </c>
      <c r="C12" s="41">
        <v>184255851</v>
      </c>
      <c r="D12" s="41">
        <v>1002287788</v>
      </c>
      <c r="E12" s="41">
        <v>1364382292</v>
      </c>
      <c r="F12" s="54">
        <f t="shared" si="0"/>
        <v>6.4048247835559913</v>
      </c>
      <c r="G12" s="42">
        <v>1180126441</v>
      </c>
    </row>
    <row r="13" spans="2:12" ht="16.5" x14ac:dyDescent="0.3">
      <c r="B13" s="43" t="s">
        <v>103</v>
      </c>
      <c r="C13" s="52">
        <v>1756925000</v>
      </c>
      <c r="D13" s="52">
        <v>27322724008</v>
      </c>
      <c r="E13" s="52">
        <v>1746345000</v>
      </c>
      <c r="F13" s="55">
        <f t="shared" si="0"/>
        <v>-6.0218848271839098E-3</v>
      </c>
      <c r="G13" s="53">
        <v>-10580000</v>
      </c>
    </row>
    <row r="14" spans="2:12" ht="16.5" x14ac:dyDescent="0.3">
      <c r="B14" s="43"/>
      <c r="C14" s="44"/>
      <c r="D14" s="44"/>
      <c r="E14" s="44"/>
      <c r="F14" s="44"/>
      <c r="G14" s="45"/>
    </row>
    <row r="15" spans="2:12" x14ac:dyDescent="0.25">
      <c r="B15" s="81" t="s">
        <v>237</v>
      </c>
      <c r="C15" s="83">
        <v>45658</v>
      </c>
      <c r="D15" s="85" t="s">
        <v>230</v>
      </c>
      <c r="E15" s="83">
        <v>46023</v>
      </c>
      <c r="F15" s="86" t="s">
        <v>231</v>
      </c>
      <c r="G15" s="87"/>
    </row>
    <row r="16" spans="2:12" x14ac:dyDescent="0.25">
      <c r="B16" s="82"/>
      <c r="C16" s="84"/>
      <c r="D16" s="84"/>
      <c r="E16" s="84"/>
      <c r="F16" s="36" t="s">
        <v>232</v>
      </c>
      <c r="G16" s="36" t="s">
        <v>233</v>
      </c>
    </row>
    <row r="17" spans="2:7" ht="16.5" x14ac:dyDescent="0.3">
      <c r="B17" s="40" t="s">
        <v>110</v>
      </c>
      <c r="C17" s="41">
        <v>4619945199</v>
      </c>
      <c r="D17" s="41">
        <v>8081418711</v>
      </c>
      <c r="E17" s="41">
        <v>336854000</v>
      </c>
      <c r="F17" s="56">
        <f t="shared" ref="F17:F26" si="1">E17/C17-1</f>
        <v>-0.92708701391676396</v>
      </c>
      <c r="G17" s="46">
        <v>-4283091199</v>
      </c>
    </row>
    <row r="18" spans="2:7" ht="16.5" x14ac:dyDescent="0.3">
      <c r="B18" s="43" t="s">
        <v>88</v>
      </c>
      <c r="C18" s="52">
        <v>2410806978</v>
      </c>
      <c r="D18" s="52">
        <v>8887740957</v>
      </c>
      <c r="E18" s="52">
        <v>6183000</v>
      </c>
      <c r="F18" s="57">
        <f t="shared" si="1"/>
        <v>-0.99743529861311031</v>
      </c>
      <c r="G18" s="58">
        <v>-2404623978</v>
      </c>
    </row>
    <row r="19" spans="2:7" ht="16.5" x14ac:dyDescent="0.3">
      <c r="B19" s="40" t="s">
        <v>138</v>
      </c>
      <c r="C19" s="41">
        <v>2170435300</v>
      </c>
      <c r="D19" s="41">
        <v>162885884420</v>
      </c>
      <c r="E19" s="41">
        <v>738229005</v>
      </c>
      <c r="F19" s="56">
        <f t="shared" si="1"/>
        <v>-0.65987053150121544</v>
      </c>
      <c r="G19" s="46">
        <v>-1432206295</v>
      </c>
    </row>
    <row r="20" spans="2:7" ht="16.5" x14ac:dyDescent="0.3">
      <c r="B20" s="43" t="s">
        <v>118</v>
      </c>
      <c r="C20" s="52">
        <v>812665629</v>
      </c>
      <c r="D20" s="52">
        <v>7858189536</v>
      </c>
      <c r="E20" s="52">
        <v>96872196</v>
      </c>
      <c r="F20" s="57">
        <f t="shared" si="1"/>
        <v>-0.88079698150984553</v>
      </c>
      <c r="G20" s="58">
        <v>-715793433</v>
      </c>
    </row>
    <row r="21" spans="2:7" ht="16.5" x14ac:dyDescent="0.3">
      <c r="B21" s="40" t="s">
        <v>136</v>
      </c>
      <c r="C21" s="41">
        <v>399582063</v>
      </c>
      <c r="D21" s="41">
        <v>4856996073</v>
      </c>
      <c r="E21" s="41">
        <v>128108800</v>
      </c>
      <c r="F21" s="56">
        <f t="shared" si="1"/>
        <v>-0.67939301619752634</v>
      </c>
      <c r="G21" s="46">
        <v>-271473263</v>
      </c>
    </row>
    <row r="22" spans="2:7" ht="16.5" x14ac:dyDescent="0.3">
      <c r="B22" s="43" t="s">
        <v>115</v>
      </c>
      <c r="C22" s="52">
        <v>263415000</v>
      </c>
      <c r="D22" s="52">
        <v>2427049250</v>
      </c>
      <c r="E22" s="52">
        <v>2000000</v>
      </c>
      <c r="F22" s="57">
        <f t="shared" si="1"/>
        <v>-0.9924074179526603</v>
      </c>
      <c r="G22" s="58">
        <v>-261415000</v>
      </c>
    </row>
    <row r="23" spans="2:7" ht="16.5" x14ac:dyDescent="0.3">
      <c r="B23" s="40" t="s">
        <v>124</v>
      </c>
      <c r="C23" s="41">
        <v>196027608</v>
      </c>
      <c r="D23" s="41">
        <v>945709040</v>
      </c>
      <c r="E23" s="41">
        <v>14184990</v>
      </c>
      <c r="F23" s="56">
        <f t="shared" si="1"/>
        <v>-0.92763779477429531</v>
      </c>
      <c r="G23" s="46">
        <v>-181842618</v>
      </c>
    </row>
    <row r="24" spans="2:7" ht="16.5" x14ac:dyDescent="0.3">
      <c r="B24" s="43" t="s">
        <v>96</v>
      </c>
      <c r="C24" s="52">
        <v>115737747</v>
      </c>
      <c r="D24" s="52">
        <v>2228970911</v>
      </c>
      <c r="E24" s="52">
        <v>16327984</v>
      </c>
      <c r="F24" s="57">
        <f t="shared" si="1"/>
        <v>-0.85892256914245957</v>
      </c>
      <c r="G24" s="58">
        <v>-99409763</v>
      </c>
    </row>
    <row r="25" spans="2:7" ht="16.5" x14ac:dyDescent="0.3">
      <c r="B25" s="40" t="s">
        <v>126</v>
      </c>
      <c r="C25" s="41">
        <v>100397002</v>
      </c>
      <c r="D25" s="41">
        <v>924829882</v>
      </c>
      <c r="E25" s="41">
        <v>49474443</v>
      </c>
      <c r="F25" s="56">
        <f t="shared" si="1"/>
        <v>-0.50721194842053152</v>
      </c>
      <c r="G25" s="46">
        <v>-50922559</v>
      </c>
    </row>
    <row r="26" spans="2:7" ht="16.5" x14ac:dyDescent="0.3">
      <c r="B26" s="43" t="s">
        <v>130</v>
      </c>
      <c r="C26" s="52">
        <v>31210300</v>
      </c>
      <c r="D26" s="52">
        <v>64378300</v>
      </c>
      <c r="E26" s="52">
        <v>0</v>
      </c>
      <c r="F26" s="57">
        <f t="shared" si="1"/>
        <v>-1</v>
      </c>
      <c r="G26" s="58">
        <v>-31210300</v>
      </c>
    </row>
    <row r="29" spans="2:7" x14ac:dyDescent="0.25">
      <c r="B29" s="75" t="s">
        <v>278</v>
      </c>
      <c r="C29" s="77" t="s">
        <v>275</v>
      </c>
      <c r="D29" s="77" t="s">
        <v>230</v>
      </c>
      <c r="E29" s="77" t="s">
        <v>276</v>
      </c>
      <c r="F29" s="79" t="s">
        <v>231</v>
      </c>
      <c r="G29" s="80"/>
    </row>
    <row r="30" spans="2:7" x14ac:dyDescent="0.25">
      <c r="B30" s="76"/>
      <c r="C30" s="78"/>
      <c r="D30" s="78"/>
      <c r="E30" s="78"/>
      <c r="F30" s="59" t="s">
        <v>232</v>
      </c>
      <c r="G30" s="60" t="s">
        <v>233</v>
      </c>
    </row>
    <row r="31" spans="2:7" ht="16.5" x14ac:dyDescent="0.3">
      <c r="B31" s="61" t="s">
        <v>107</v>
      </c>
      <c r="C31" s="67">
        <v>836</v>
      </c>
      <c r="D31" s="67">
        <v>230006</v>
      </c>
      <c r="E31" s="67">
        <v>53930</v>
      </c>
      <c r="F31" s="62">
        <f t="shared" ref="F31:F40" si="2">E31/C31-1</f>
        <v>63.509569377990431</v>
      </c>
      <c r="G31" s="68">
        <v>53094</v>
      </c>
    </row>
    <row r="32" spans="2:7" ht="16.5" x14ac:dyDescent="0.3">
      <c r="B32" s="63" t="s">
        <v>101</v>
      </c>
      <c r="C32" s="69">
        <v>123472</v>
      </c>
      <c r="D32" s="69">
        <v>1445227</v>
      </c>
      <c r="E32" s="69">
        <v>170234</v>
      </c>
      <c r="F32" s="64">
        <f t="shared" si="2"/>
        <v>0.37872554101334721</v>
      </c>
      <c r="G32" s="70">
        <v>46762</v>
      </c>
    </row>
    <row r="33" spans="2:7" ht="16.5" x14ac:dyDescent="0.3">
      <c r="B33" s="61" t="s">
        <v>67</v>
      </c>
      <c r="C33" s="67">
        <v>114246</v>
      </c>
      <c r="D33" s="67">
        <v>1435396</v>
      </c>
      <c r="E33" s="67">
        <v>153844</v>
      </c>
      <c r="F33" s="62">
        <f t="shared" si="2"/>
        <v>0.34660294452322171</v>
      </c>
      <c r="G33" s="68">
        <v>39598</v>
      </c>
    </row>
    <row r="34" spans="2:7" ht="16.5" x14ac:dyDescent="0.3">
      <c r="B34" s="63" t="s">
        <v>70</v>
      </c>
      <c r="C34" s="69">
        <v>49</v>
      </c>
      <c r="D34" s="69">
        <v>31385</v>
      </c>
      <c r="E34" s="69">
        <v>6630</v>
      </c>
      <c r="F34" s="64">
        <f t="shared" si="2"/>
        <v>134.30612244897958</v>
      </c>
      <c r="G34" s="70">
        <v>6581</v>
      </c>
    </row>
    <row r="35" spans="2:7" ht="16.5" x14ac:dyDescent="0.3">
      <c r="B35" s="61" t="s">
        <v>112</v>
      </c>
      <c r="C35" s="67">
        <v>797</v>
      </c>
      <c r="D35" s="67">
        <v>6468</v>
      </c>
      <c r="E35" s="67">
        <v>7327</v>
      </c>
      <c r="F35" s="62">
        <f t="shared" si="2"/>
        <v>8.1932245922208278</v>
      </c>
      <c r="G35" s="68">
        <v>6530</v>
      </c>
    </row>
    <row r="36" spans="2:7" ht="16.5" x14ac:dyDescent="0.3">
      <c r="B36" s="63" t="s">
        <v>102</v>
      </c>
      <c r="C36" s="69">
        <v>2555</v>
      </c>
      <c r="D36" s="69">
        <v>54628</v>
      </c>
      <c r="E36" s="69">
        <v>7076</v>
      </c>
      <c r="F36" s="64">
        <f t="shared" si="2"/>
        <v>1.7694716242661448</v>
      </c>
      <c r="G36" s="70">
        <v>4521</v>
      </c>
    </row>
    <row r="37" spans="2:7" ht="16.5" x14ac:dyDescent="0.3">
      <c r="B37" s="61" t="s">
        <v>105</v>
      </c>
      <c r="C37" s="67">
        <v>18</v>
      </c>
      <c r="D37" s="67">
        <v>6098</v>
      </c>
      <c r="E37" s="67">
        <v>4218</v>
      </c>
      <c r="F37" s="62">
        <f t="shared" si="2"/>
        <v>233.33333333333334</v>
      </c>
      <c r="G37" s="68">
        <v>4200</v>
      </c>
    </row>
    <row r="38" spans="2:7" ht="16.5" x14ac:dyDescent="0.3">
      <c r="B38" s="63" t="s">
        <v>122</v>
      </c>
      <c r="C38" s="69">
        <v>1839</v>
      </c>
      <c r="D38" s="69">
        <v>26110</v>
      </c>
      <c r="E38" s="69">
        <v>4459</v>
      </c>
      <c r="F38" s="64">
        <f t="shared" si="2"/>
        <v>1.4246873300706904</v>
      </c>
      <c r="G38" s="70">
        <v>2620</v>
      </c>
    </row>
    <row r="39" spans="2:7" ht="16.5" x14ac:dyDescent="0.3">
      <c r="B39" s="61" t="s">
        <v>109</v>
      </c>
      <c r="C39" s="67">
        <v>533</v>
      </c>
      <c r="D39" s="67">
        <v>5801</v>
      </c>
      <c r="E39" s="67">
        <v>1745</v>
      </c>
      <c r="F39" s="62">
        <f t="shared" si="2"/>
        <v>2.2739212007504692</v>
      </c>
      <c r="G39" s="68">
        <v>1212</v>
      </c>
    </row>
    <row r="40" spans="2:7" ht="16.5" x14ac:dyDescent="0.3">
      <c r="B40" s="63" t="s">
        <v>97</v>
      </c>
      <c r="C40" s="69">
        <v>517</v>
      </c>
      <c r="D40" s="69">
        <v>137370</v>
      </c>
      <c r="E40" s="69">
        <v>1210</v>
      </c>
      <c r="F40" s="64">
        <f t="shared" si="2"/>
        <v>1.3404255319148937</v>
      </c>
      <c r="G40" s="70">
        <v>693</v>
      </c>
    </row>
    <row r="43" spans="2:7" x14ac:dyDescent="0.25">
      <c r="B43" s="75" t="s">
        <v>277</v>
      </c>
      <c r="C43" s="77" t="s">
        <v>275</v>
      </c>
      <c r="D43" s="77" t="s">
        <v>230</v>
      </c>
      <c r="E43" s="77" t="s">
        <v>276</v>
      </c>
      <c r="F43" s="79" t="s">
        <v>231</v>
      </c>
      <c r="G43" s="80"/>
    </row>
    <row r="44" spans="2:7" x14ac:dyDescent="0.25">
      <c r="B44" s="76"/>
      <c r="C44" s="78"/>
      <c r="D44" s="78"/>
      <c r="E44" s="78"/>
      <c r="F44" s="59" t="s">
        <v>232</v>
      </c>
      <c r="G44" s="60" t="s">
        <v>233</v>
      </c>
    </row>
    <row r="45" spans="2:7" ht="16.5" x14ac:dyDescent="0.3">
      <c r="B45" s="61" t="s">
        <v>88</v>
      </c>
      <c r="C45" s="67">
        <v>59404</v>
      </c>
      <c r="D45" s="67">
        <v>210783</v>
      </c>
      <c r="E45" s="67">
        <v>89</v>
      </c>
      <c r="F45" s="65">
        <f t="shared" ref="F45:F54" si="3">E45/C45-1</f>
        <v>-0.99850178439162351</v>
      </c>
      <c r="G45" s="71">
        <v>-59315</v>
      </c>
    </row>
    <row r="46" spans="2:7" ht="16.5" x14ac:dyDescent="0.3">
      <c r="B46" s="63" t="s">
        <v>138</v>
      </c>
      <c r="C46" s="69">
        <v>13806</v>
      </c>
      <c r="D46" s="69">
        <v>8769872</v>
      </c>
      <c r="E46" s="69">
        <v>2217</v>
      </c>
      <c r="F46" s="66">
        <f t="shared" si="3"/>
        <v>-0.8394176445023902</v>
      </c>
      <c r="G46" s="72">
        <v>-11589</v>
      </c>
    </row>
    <row r="47" spans="2:7" ht="16.5" x14ac:dyDescent="0.3">
      <c r="B47" s="61" t="s">
        <v>136</v>
      </c>
      <c r="C47" s="67">
        <v>5708</v>
      </c>
      <c r="D47" s="67">
        <v>69774</v>
      </c>
      <c r="E47" s="67">
        <v>603</v>
      </c>
      <c r="F47" s="65">
        <f t="shared" si="3"/>
        <v>-0.89435879467414159</v>
      </c>
      <c r="G47" s="71">
        <v>-5105</v>
      </c>
    </row>
    <row r="48" spans="2:7" ht="16.5" x14ac:dyDescent="0.3">
      <c r="B48" s="63" t="s">
        <v>110</v>
      </c>
      <c r="C48" s="69">
        <v>5274</v>
      </c>
      <c r="D48" s="69">
        <v>8271</v>
      </c>
      <c r="E48" s="69">
        <v>188</v>
      </c>
      <c r="F48" s="66">
        <f t="shared" si="3"/>
        <v>-0.96435343193022371</v>
      </c>
      <c r="G48" s="72">
        <v>-5086</v>
      </c>
    </row>
    <row r="49" spans="2:7" ht="16.5" x14ac:dyDescent="0.3">
      <c r="B49" s="61" t="s">
        <v>124</v>
      </c>
      <c r="C49" s="67">
        <v>2469</v>
      </c>
      <c r="D49" s="67">
        <v>12217</v>
      </c>
      <c r="E49" s="67">
        <v>103</v>
      </c>
      <c r="F49" s="65">
        <f t="shared" si="3"/>
        <v>-0.95828270554880524</v>
      </c>
      <c r="G49" s="71">
        <v>-2366</v>
      </c>
    </row>
    <row r="50" spans="2:7" ht="16.5" x14ac:dyDescent="0.3">
      <c r="B50" s="63" t="s">
        <v>115</v>
      </c>
      <c r="C50" s="69">
        <v>2336</v>
      </c>
      <c r="D50" s="69">
        <v>21840</v>
      </c>
      <c r="E50" s="69">
        <v>21</v>
      </c>
      <c r="F50" s="66">
        <f t="shared" si="3"/>
        <v>-0.99101027397260277</v>
      </c>
      <c r="G50" s="72">
        <v>-2315</v>
      </c>
    </row>
    <row r="51" spans="2:7" ht="16.5" x14ac:dyDescent="0.3">
      <c r="B51" s="61" t="s">
        <v>118</v>
      </c>
      <c r="C51" s="67">
        <v>1488</v>
      </c>
      <c r="D51" s="67">
        <v>13115</v>
      </c>
      <c r="E51" s="67">
        <v>89</v>
      </c>
      <c r="F51" s="65">
        <f t="shared" si="3"/>
        <v>-0.94018817204301075</v>
      </c>
      <c r="G51" s="71">
        <v>-1399</v>
      </c>
    </row>
    <row r="52" spans="2:7" ht="16.5" x14ac:dyDescent="0.3">
      <c r="B52" s="63" t="s">
        <v>120</v>
      </c>
      <c r="C52" s="69">
        <v>1609</v>
      </c>
      <c r="D52" s="69">
        <v>26131</v>
      </c>
      <c r="E52" s="69">
        <v>308</v>
      </c>
      <c r="F52" s="66">
        <f t="shared" si="3"/>
        <v>-0.8085767557489123</v>
      </c>
      <c r="G52" s="72">
        <v>-1301</v>
      </c>
    </row>
    <row r="53" spans="2:7" ht="16.5" x14ac:dyDescent="0.3">
      <c r="B53" s="61" t="s">
        <v>96</v>
      </c>
      <c r="C53" s="67">
        <v>1374</v>
      </c>
      <c r="D53" s="67">
        <v>33507</v>
      </c>
      <c r="E53" s="67">
        <v>221</v>
      </c>
      <c r="F53" s="65">
        <f t="shared" si="3"/>
        <v>-0.83915574963609896</v>
      </c>
      <c r="G53" s="71">
        <v>-1153</v>
      </c>
    </row>
    <row r="54" spans="2:7" ht="16.5" x14ac:dyDescent="0.3">
      <c r="B54" s="63" t="s">
        <v>103</v>
      </c>
      <c r="C54" s="69">
        <v>2590</v>
      </c>
      <c r="D54" s="69">
        <v>39572</v>
      </c>
      <c r="E54" s="69">
        <v>1889</v>
      </c>
      <c r="F54" s="66">
        <f t="shared" si="3"/>
        <v>-0.2706563706563706</v>
      </c>
      <c r="G54" s="72">
        <v>-701</v>
      </c>
    </row>
  </sheetData>
  <mergeCells count="21">
    <mergeCell ref="J6:L6"/>
    <mergeCell ref="B2:B3"/>
    <mergeCell ref="C2:C3"/>
    <mergeCell ref="D2:D3"/>
    <mergeCell ref="E2:E3"/>
    <mergeCell ref="F2:G2"/>
    <mergeCell ref="B15:B16"/>
    <mergeCell ref="C15:C16"/>
    <mergeCell ref="D15:D16"/>
    <mergeCell ref="E15:E16"/>
    <mergeCell ref="F15:G15"/>
    <mergeCell ref="B29:B30"/>
    <mergeCell ref="C29:C30"/>
    <mergeCell ref="D29:D30"/>
    <mergeCell ref="E29:E30"/>
    <mergeCell ref="F29:G29"/>
    <mergeCell ref="B43:B44"/>
    <mergeCell ref="C43:C44"/>
    <mergeCell ref="D43:D44"/>
    <mergeCell ref="E43:E44"/>
    <mergeCell ref="F43:G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ED07-D45B-DD48-9448-5B070D4E57EE}">
  <dimension ref="A3:B151"/>
  <sheetViews>
    <sheetView zoomScale="96" workbookViewId="0">
      <selection activeCell="D25" sqref="D25"/>
    </sheetView>
  </sheetViews>
  <sheetFormatPr defaultColWidth="11" defaultRowHeight="15.75" x14ac:dyDescent="0.25"/>
  <cols>
    <col min="1" max="1" width="34.375" bestFit="1" customWidth="1"/>
    <col min="2" max="2" width="31" bestFit="1" customWidth="1"/>
  </cols>
  <sheetData>
    <row r="3" spans="1:2" x14ac:dyDescent="0.25">
      <c r="A3" s="48" t="s">
        <v>238</v>
      </c>
      <c r="B3" s="48" t="s">
        <v>239</v>
      </c>
    </row>
    <row r="4" spans="1:2" x14ac:dyDescent="0.25">
      <c r="A4" t="s">
        <v>67</v>
      </c>
      <c r="B4" t="s">
        <v>68</v>
      </c>
    </row>
    <row r="5" spans="1:2" x14ac:dyDescent="0.25">
      <c r="A5" t="s">
        <v>67</v>
      </c>
      <c r="B5" t="s">
        <v>69</v>
      </c>
    </row>
    <row r="6" spans="1:2" x14ac:dyDescent="0.25">
      <c r="A6" t="s">
        <v>67</v>
      </c>
      <c r="B6" t="s">
        <v>72</v>
      </c>
    </row>
    <row r="7" spans="1:2" x14ac:dyDescent="0.25">
      <c r="A7" t="s">
        <v>70</v>
      </c>
      <c r="B7" t="s">
        <v>70</v>
      </c>
    </row>
    <row r="8" spans="1:2" x14ac:dyDescent="0.25">
      <c r="A8" t="s">
        <v>73</v>
      </c>
      <c r="B8" t="s">
        <v>73</v>
      </c>
    </row>
    <row r="9" spans="1:2" x14ac:dyDescent="0.25">
      <c r="A9" t="s">
        <v>74</v>
      </c>
      <c r="B9" t="s">
        <v>74</v>
      </c>
    </row>
    <row r="10" spans="1:2" x14ac:dyDescent="0.25">
      <c r="A10" t="s">
        <v>75</v>
      </c>
      <c r="B10" t="s">
        <v>77</v>
      </c>
    </row>
    <row r="11" spans="1:2" x14ac:dyDescent="0.25">
      <c r="A11" t="s">
        <v>75</v>
      </c>
      <c r="B11" t="s">
        <v>79</v>
      </c>
    </row>
    <row r="12" spans="1:2" x14ac:dyDescent="0.25">
      <c r="A12" t="s">
        <v>75</v>
      </c>
      <c r="B12" t="s">
        <v>81</v>
      </c>
    </row>
    <row r="13" spans="1:2" x14ac:dyDescent="0.25">
      <c r="A13" t="s">
        <v>75</v>
      </c>
      <c r="B13" t="s">
        <v>83</v>
      </c>
    </row>
    <row r="14" spans="1:2" x14ac:dyDescent="0.25">
      <c r="A14" t="s">
        <v>75</v>
      </c>
      <c r="B14" t="s">
        <v>85</v>
      </c>
    </row>
    <row r="15" spans="1:2" x14ac:dyDescent="0.25">
      <c r="A15" t="s">
        <v>75</v>
      </c>
      <c r="B15" t="s">
        <v>87</v>
      </c>
    </row>
    <row r="16" spans="1:2" x14ac:dyDescent="0.25">
      <c r="A16" t="s">
        <v>75</v>
      </c>
      <c r="B16" t="s">
        <v>89</v>
      </c>
    </row>
    <row r="17" spans="1:2" x14ac:dyDescent="0.25">
      <c r="A17" t="s">
        <v>75</v>
      </c>
      <c r="B17" t="s">
        <v>91</v>
      </c>
    </row>
    <row r="18" spans="1:2" x14ac:dyDescent="0.25">
      <c r="A18" t="s">
        <v>75</v>
      </c>
      <c r="B18" t="s">
        <v>93</v>
      </c>
    </row>
    <row r="19" spans="1:2" x14ac:dyDescent="0.25">
      <c r="A19" t="s">
        <v>75</v>
      </c>
      <c r="B19" t="s">
        <v>95</v>
      </c>
    </row>
    <row r="20" spans="1:2" x14ac:dyDescent="0.25">
      <c r="A20" t="s">
        <v>76</v>
      </c>
      <c r="B20" t="s">
        <v>76</v>
      </c>
    </row>
    <row r="21" spans="1:2" x14ac:dyDescent="0.25">
      <c r="A21" t="s">
        <v>78</v>
      </c>
      <c r="B21" t="s">
        <v>98</v>
      </c>
    </row>
    <row r="22" spans="1:2" x14ac:dyDescent="0.25">
      <c r="A22" t="s">
        <v>78</v>
      </c>
      <c r="B22" t="s">
        <v>100</v>
      </c>
    </row>
    <row r="23" spans="1:2" x14ac:dyDescent="0.25">
      <c r="A23" t="s">
        <v>80</v>
      </c>
      <c r="B23" t="s">
        <v>80</v>
      </c>
    </row>
    <row r="24" spans="1:2" x14ac:dyDescent="0.25">
      <c r="A24" t="s">
        <v>82</v>
      </c>
      <c r="B24" t="s">
        <v>82</v>
      </c>
    </row>
    <row r="25" spans="1:2" x14ac:dyDescent="0.25">
      <c r="A25" t="s">
        <v>84</v>
      </c>
      <c r="B25" t="s">
        <v>84</v>
      </c>
    </row>
    <row r="26" spans="1:2" x14ac:dyDescent="0.25">
      <c r="A26" t="s">
        <v>86</v>
      </c>
      <c r="B26" t="s">
        <v>86</v>
      </c>
    </row>
    <row r="27" spans="1:2" x14ac:dyDescent="0.25">
      <c r="A27" t="s">
        <v>88</v>
      </c>
      <c r="B27" t="s">
        <v>88</v>
      </c>
    </row>
    <row r="28" spans="1:2" x14ac:dyDescent="0.25">
      <c r="A28" t="s">
        <v>90</v>
      </c>
      <c r="B28" t="s">
        <v>90</v>
      </c>
    </row>
    <row r="29" spans="1:2" x14ac:dyDescent="0.25">
      <c r="A29" t="s">
        <v>92</v>
      </c>
      <c r="B29" t="s">
        <v>108</v>
      </c>
    </row>
    <row r="30" spans="1:2" x14ac:dyDescent="0.25">
      <c r="A30" t="s">
        <v>94</v>
      </c>
      <c r="B30" t="s">
        <v>94</v>
      </c>
    </row>
    <row r="31" spans="1:2" x14ac:dyDescent="0.25">
      <c r="A31" t="s">
        <v>96</v>
      </c>
      <c r="B31" t="s">
        <v>96</v>
      </c>
    </row>
    <row r="32" spans="1:2" x14ac:dyDescent="0.25">
      <c r="A32" t="s">
        <v>97</v>
      </c>
      <c r="B32" t="s">
        <v>97</v>
      </c>
    </row>
    <row r="33" spans="1:2" x14ac:dyDescent="0.25">
      <c r="A33" t="s">
        <v>97</v>
      </c>
      <c r="B33" t="s">
        <v>113</v>
      </c>
    </row>
    <row r="34" spans="1:2" x14ac:dyDescent="0.25">
      <c r="A34" t="s">
        <v>99</v>
      </c>
      <c r="B34" t="s">
        <v>99</v>
      </c>
    </row>
    <row r="35" spans="1:2" x14ac:dyDescent="0.25">
      <c r="A35" t="s">
        <v>101</v>
      </c>
      <c r="B35" t="s">
        <v>101</v>
      </c>
    </row>
    <row r="36" spans="1:2" x14ac:dyDescent="0.25">
      <c r="A36" t="s">
        <v>101</v>
      </c>
      <c r="B36" t="s">
        <v>117</v>
      </c>
    </row>
    <row r="37" spans="1:2" x14ac:dyDescent="0.25">
      <c r="A37" t="s">
        <v>102</v>
      </c>
      <c r="B37" t="s">
        <v>119</v>
      </c>
    </row>
    <row r="38" spans="1:2" x14ac:dyDescent="0.25">
      <c r="A38" t="s">
        <v>102</v>
      </c>
      <c r="B38" t="s">
        <v>121</v>
      </c>
    </row>
    <row r="39" spans="1:2" x14ac:dyDescent="0.25">
      <c r="A39" t="s">
        <v>102</v>
      </c>
      <c r="B39" t="s">
        <v>123</v>
      </c>
    </row>
    <row r="40" spans="1:2" x14ac:dyDescent="0.25">
      <c r="A40" t="s">
        <v>102</v>
      </c>
      <c r="B40" t="s">
        <v>125</v>
      </c>
    </row>
    <row r="41" spans="1:2" x14ac:dyDescent="0.25">
      <c r="A41" t="s">
        <v>102</v>
      </c>
      <c r="B41" t="s">
        <v>127</v>
      </c>
    </row>
    <row r="42" spans="1:2" x14ac:dyDescent="0.25">
      <c r="A42" t="s">
        <v>102</v>
      </c>
      <c r="B42" t="s">
        <v>129</v>
      </c>
    </row>
    <row r="43" spans="1:2" x14ac:dyDescent="0.25">
      <c r="A43" t="s">
        <v>102</v>
      </c>
      <c r="B43" t="s">
        <v>131</v>
      </c>
    </row>
    <row r="44" spans="1:2" x14ac:dyDescent="0.25">
      <c r="A44" t="s">
        <v>102</v>
      </c>
      <c r="B44" t="s">
        <v>133</v>
      </c>
    </row>
    <row r="45" spans="1:2" x14ac:dyDescent="0.25">
      <c r="A45" t="s">
        <v>102</v>
      </c>
      <c r="B45" t="s">
        <v>135</v>
      </c>
    </row>
    <row r="46" spans="1:2" x14ac:dyDescent="0.25">
      <c r="A46" t="s">
        <v>102</v>
      </c>
      <c r="B46" t="s">
        <v>137</v>
      </c>
    </row>
    <row r="47" spans="1:2" x14ac:dyDescent="0.25">
      <c r="A47" t="s">
        <v>102</v>
      </c>
      <c r="B47" t="s">
        <v>139</v>
      </c>
    </row>
    <row r="48" spans="1:2" x14ac:dyDescent="0.25">
      <c r="A48" t="s">
        <v>102</v>
      </c>
      <c r="B48" t="s">
        <v>141</v>
      </c>
    </row>
    <row r="49" spans="1:2" x14ac:dyDescent="0.25">
      <c r="A49" t="s">
        <v>102</v>
      </c>
      <c r="B49" t="s">
        <v>142</v>
      </c>
    </row>
    <row r="50" spans="1:2" x14ac:dyDescent="0.25">
      <c r="A50" t="s">
        <v>102</v>
      </c>
      <c r="B50" t="s">
        <v>143</v>
      </c>
    </row>
    <row r="51" spans="1:2" x14ac:dyDescent="0.25">
      <c r="A51" t="s">
        <v>102</v>
      </c>
      <c r="B51" t="s">
        <v>144</v>
      </c>
    </row>
    <row r="52" spans="1:2" x14ac:dyDescent="0.25">
      <c r="A52" t="s">
        <v>102</v>
      </c>
      <c r="B52" t="s">
        <v>145</v>
      </c>
    </row>
    <row r="53" spans="1:2" x14ac:dyDescent="0.25">
      <c r="A53" t="s">
        <v>103</v>
      </c>
      <c r="B53" t="s">
        <v>146</v>
      </c>
    </row>
    <row r="54" spans="1:2" x14ac:dyDescent="0.25">
      <c r="A54" t="s">
        <v>104</v>
      </c>
      <c r="B54" t="s">
        <v>147</v>
      </c>
    </row>
    <row r="55" spans="1:2" x14ac:dyDescent="0.25">
      <c r="A55" t="s">
        <v>105</v>
      </c>
      <c r="B55" t="s">
        <v>148</v>
      </c>
    </row>
    <row r="56" spans="1:2" x14ac:dyDescent="0.25">
      <c r="A56" t="s">
        <v>105</v>
      </c>
      <c r="B56" t="s">
        <v>149</v>
      </c>
    </row>
    <row r="57" spans="1:2" x14ac:dyDescent="0.25">
      <c r="A57" t="s">
        <v>106</v>
      </c>
      <c r="B57" t="s">
        <v>106</v>
      </c>
    </row>
    <row r="58" spans="1:2" x14ac:dyDescent="0.25">
      <c r="A58" t="s">
        <v>107</v>
      </c>
      <c r="B58" t="s">
        <v>150</v>
      </c>
    </row>
    <row r="59" spans="1:2" x14ac:dyDescent="0.25">
      <c r="A59" t="s">
        <v>107</v>
      </c>
      <c r="B59" t="s">
        <v>151</v>
      </c>
    </row>
    <row r="60" spans="1:2" x14ac:dyDescent="0.25">
      <c r="A60" t="s">
        <v>107</v>
      </c>
      <c r="B60" t="s">
        <v>152</v>
      </c>
    </row>
    <row r="61" spans="1:2" x14ac:dyDescent="0.25">
      <c r="A61" t="s">
        <v>107</v>
      </c>
      <c r="B61" t="s">
        <v>153</v>
      </c>
    </row>
    <row r="62" spans="1:2" x14ac:dyDescent="0.25">
      <c r="A62" t="s">
        <v>107</v>
      </c>
      <c r="B62" t="s">
        <v>154</v>
      </c>
    </row>
    <row r="63" spans="1:2" x14ac:dyDescent="0.25">
      <c r="A63" t="s">
        <v>107</v>
      </c>
      <c r="B63" t="s">
        <v>155</v>
      </c>
    </row>
    <row r="64" spans="1:2" x14ac:dyDescent="0.25">
      <c r="A64" t="s">
        <v>107</v>
      </c>
      <c r="B64" t="s">
        <v>156</v>
      </c>
    </row>
    <row r="65" spans="1:2" x14ac:dyDescent="0.25">
      <c r="A65" t="s">
        <v>107</v>
      </c>
      <c r="B65" t="s">
        <v>157</v>
      </c>
    </row>
    <row r="66" spans="1:2" x14ac:dyDescent="0.25">
      <c r="A66" t="s">
        <v>107</v>
      </c>
      <c r="B66" t="s">
        <v>158</v>
      </c>
    </row>
    <row r="67" spans="1:2" x14ac:dyDescent="0.25">
      <c r="A67" t="s">
        <v>107</v>
      </c>
      <c r="B67" t="s">
        <v>159</v>
      </c>
    </row>
    <row r="68" spans="1:2" x14ac:dyDescent="0.25">
      <c r="A68" t="s">
        <v>107</v>
      </c>
      <c r="B68" t="s">
        <v>160</v>
      </c>
    </row>
    <row r="69" spans="1:2" x14ac:dyDescent="0.25">
      <c r="A69" t="s">
        <v>107</v>
      </c>
      <c r="B69" t="s">
        <v>161</v>
      </c>
    </row>
    <row r="70" spans="1:2" x14ac:dyDescent="0.25">
      <c r="A70" t="s">
        <v>107</v>
      </c>
      <c r="B70" t="s">
        <v>162</v>
      </c>
    </row>
    <row r="71" spans="1:2" x14ac:dyDescent="0.25">
      <c r="A71" t="s">
        <v>107</v>
      </c>
      <c r="B71" t="s">
        <v>163</v>
      </c>
    </row>
    <row r="72" spans="1:2" x14ac:dyDescent="0.25">
      <c r="A72" t="s">
        <v>107</v>
      </c>
      <c r="B72" t="s">
        <v>164</v>
      </c>
    </row>
    <row r="73" spans="1:2" x14ac:dyDescent="0.25">
      <c r="A73" t="s">
        <v>107</v>
      </c>
      <c r="B73" t="s">
        <v>165</v>
      </c>
    </row>
    <row r="74" spans="1:2" x14ac:dyDescent="0.25">
      <c r="A74" t="s">
        <v>107</v>
      </c>
      <c r="B74" t="s">
        <v>166</v>
      </c>
    </row>
    <row r="75" spans="1:2" x14ac:dyDescent="0.25">
      <c r="A75" t="s">
        <v>107</v>
      </c>
      <c r="B75" t="s">
        <v>167</v>
      </c>
    </row>
    <row r="76" spans="1:2" x14ac:dyDescent="0.25">
      <c r="A76" t="s">
        <v>107</v>
      </c>
      <c r="B76" t="s">
        <v>168</v>
      </c>
    </row>
    <row r="77" spans="1:2" x14ac:dyDescent="0.25">
      <c r="A77" t="s">
        <v>107</v>
      </c>
      <c r="B77" t="s">
        <v>169</v>
      </c>
    </row>
    <row r="78" spans="1:2" x14ac:dyDescent="0.25">
      <c r="A78" t="s">
        <v>107</v>
      </c>
      <c r="B78" t="s">
        <v>170</v>
      </c>
    </row>
    <row r="79" spans="1:2" x14ac:dyDescent="0.25">
      <c r="A79" t="s">
        <v>107</v>
      </c>
      <c r="B79" t="s">
        <v>171</v>
      </c>
    </row>
    <row r="80" spans="1:2" x14ac:dyDescent="0.25">
      <c r="A80" t="s">
        <v>107</v>
      </c>
      <c r="B80" t="s">
        <v>172</v>
      </c>
    </row>
    <row r="81" spans="1:2" x14ac:dyDescent="0.25">
      <c r="A81" t="s">
        <v>107</v>
      </c>
      <c r="B81" t="s">
        <v>173</v>
      </c>
    </row>
    <row r="82" spans="1:2" x14ac:dyDescent="0.25">
      <c r="A82" t="s">
        <v>107</v>
      </c>
      <c r="B82" t="s">
        <v>174</v>
      </c>
    </row>
    <row r="83" spans="1:2" x14ac:dyDescent="0.25">
      <c r="A83" t="s">
        <v>107</v>
      </c>
      <c r="B83" t="s">
        <v>175</v>
      </c>
    </row>
    <row r="84" spans="1:2" x14ac:dyDescent="0.25">
      <c r="A84" t="s">
        <v>107</v>
      </c>
      <c r="B84" t="s">
        <v>176</v>
      </c>
    </row>
    <row r="85" spans="1:2" x14ac:dyDescent="0.25">
      <c r="A85" t="s">
        <v>107</v>
      </c>
      <c r="B85" t="s">
        <v>177</v>
      </c>
    </row>
    <row r="86" spans="1:2" x14ac:dyDescent="0.25">
      <c r="A86" t="s">
        <v>107</v>
      </c>
      <c r="B86" t="s">
        <v>178</v>
      </c>
    </row>
    <row r="87" spans="1:2" x14ac:dyDescent="0.25">
      <c r="A87" t="s">
        <v>107</v>
      </c>
      <c r="B87" t="s">
        <v>179</v>
      </c>
    </row>
    <row r="88" spans="1:2" x14ac:dyDescent="0.25">
      <c r="A88" t="s">
        <v>107</v>
      </c>
      <c r="B88" t="s">
        <v>180</v>
      </c>
    </row>
    <row r="89" spans="1:2" x14ac:dyDescent="0.25">
      <c r="A89" t="s">
        <v>107</v>
      </c>
      <c r="B89" t="s">
        <v>181</v>
      </c>
    </row>
    <row r="90" spans="1:2" x14ac:dyDescent="0.25">
      <c r="A90" t="s">
        <v>107</v>
      </c>
      <c r="B90" t="s">
        <v>182</v>
      </c>
    </row>
    <row r="91" spans="1:2" x14ac:dyDescent="0.25">
      <c r="A91" t="s">
        <v>107</v>
      </c>
      <c r="B91" t="s">
        <v>183</v>
      </c>
    </row>
    <row r="92" spans="1:2" x14ac:dyDescent="0.25">
      <c r="A92" t="s">
        <v>107</v>
      </c>
      <c r="B92" t="s">
        <v>184</v>
      </c>
    </row>
    <row r="93" spans="1:2" x14ac:dyDescent="0.25">
      <c r="A93" t="s">
        <v>107</v>
      </c>
      <c r="B93" t="s">
        <v>185</v>
      </c>
    </row>
    <row r="94" spans="1:2" x14ac:dyDescent="0.25">
      <c r="A94" t="s">
        <v>107</v>
      </c>
      <c r="B94" t="s">
        <v>186</v>
      </c>
    </row>
    <row r="95" spans="1:2" x14ac:dyDescent="0.25">
      <c r="A95" t="s">
        <v>107</v>
      </c>
      <c r="B95" t="s">
        <v>187</v>
      </c>
    </row>
    <row r="96" spans="1:2" x14ac:dyDescent="0.25">
      <c r="A96" t="s">
        <v>107</v>
      </c>
      <c r="B96" t="s">
        <v>188</v>
      </c>
    </row>
    <row r="97" spans="1:2" x14ac:dyDescent="0.25">
      <c r="A97" t="s">
        <v>107</v>
      </c>
      <c r="B97" t="s">
        <v>189</v>
      </c>
    </row>
    <row r="98" spans="1:2" x14ac:dyDescent="0.25">
      <c r="A98" t="s">
        <v>107</v>
      </c>
      <c r="B98" t="s">
        <v>190</v>
      </c>
    </row>
    <row r="99" spans="1:2" x14ac:dyDescent="0.25">
      <c r="A99" t="s">
        <v>107</v>
      </c>
      <c r="B99" t="s">
        <v>191</v>
      </c>
    </row>
    <row r="100" spans="1:2" x14ac:dyDescent="0.25">
      <c r="A100" t="s">
        <v>107</v>
      </c>
      <c r="B100" t="s">
        <v>192</v>
      </c>
    </row>
    <row r="101" spans="1:2" x14ac:dyDescent="0.25">
      <c r="A101" t="s">
        <v>107</v>
      </c>
      <c r="B101" t="s">
        <v>193</v>
      </c>
    </row>
    <row r="102" spans="1:2" x14ac:dyDescent="0.25">
      <c r="A102" t="s">
        <v>107</v>
      </c>
      <c r="B102" t="s">
        <v>194</v>
      </c>
    </row>
    <row r="103" spans="1:2" x14ac:dyDescent="0.25">
      <c r="A103" t="s">
        <v>107</v>
      </c>
      <c r="B103" t="s">
        <v>195</v>
      </c>
    </row>
    <row r="104" spans="1:2" x14ac:dyDescent="0.25">
      <c r="A104" t="s">
        <v>107</v>
      </c>
      <c r="B104" t="s">
        <v>196</v>
      </c>
    </row>
    <row r="105" spans="1:2" x14ac:dyDescent="0.25">
      <c r="A105" t="s">
        <v>107</v>
      </c>
      <c r="B105" t="s">
        <v>197</v>
      </c>
    </row>
    <row r="106" spans="1:2" x14ac:dyDescent="0.25">
      <c r="A106" t="s">
        <v>107</v>
      </c>
      <c r="B106" t="s">
        <v>198</v>
      </c>
    </row>
    <row r="107" spans="1:2" x14ac:dyDescent="0.25">
      <c r="A107" t="s">
        <v>107</v>
      </c>
      <c r="B107" t="s">
        <v>199</v>
      </c>
    </row>
    <row r="108" spans="1:2" x14ac:dyDescent="0.25">
      <c r="A108" t="s">
        <v>107</v>
      </c>
      <c r="B108" t="s">
        <v>200</v>
      </c>
    </row>
    <row r="109" spans="1:2" x14ac:dyDescent="0.25">
      <c r="A109" t="s">
        <v>107</v>
      </c>
      <c r="B109" t="s">
        <v>201</v>
      </c>
    </row>
    <row r="110" spans="1:2" x14ac:dyDescent="0.25">
      <c r="A110" t="s">
        <v>107</v>
      </c>
      <c r="B110" t="s">
        <v>202</v>
      </c>
    </row>
    <row r="111" spans="1:2" x14ac:dyDescent="0.25">
      <c r="A111" t="s">
        <v>107</v>
      </c>
      <c r="B111" t="s">
        <v>203</v>
      </c>
    </row>
    <row r="112" spans="1:2" x14ac:dyDescent="0.25">
      <c r="A112" t="s">
        <v>107</v>
      </c>
      <c r="B112" t="s">
        <v>204</v>
      </c>
    </row>
    <row r="113" spans="1:2" x14ac:dyDescent="0.25">
      <c r="A113" t="s">
        <v>107</v>
      </c>
      <c r="B113" t="s">
        <v>205</v>
      </c>
    </row>
    <row r="114" spans="1:2" x14ac:dyDescent="0.25">
      <c r="A114" t="s">
        <v>107</v>
      </c>
      <c r="B114" t="s">
        <v>206</v>
      </c>
    </row>
    <row r="115" spans="1:2" x14ac:dyDescent="0.25">
      <c r="A115" t="s">
        <v>107</v>
      </c>
      <c r="B115" t="s">
        <v>207</v>
      </c>
    </row>
    <row r="116" spans="1:2" x14ac:dyDescent="0.25">
      <c r="A116" t="s">
        <v>107</v>
      </c>
      <c r="B116" t="s">
        <v>208</v>
      </c>
    </row>
    <row r="117" spans="1:2" x14ac:dyDescent="0.25">
      <c r="A117" t="s">
        <v>107</v>
      </c>
      <c r="B117" t="s">
        <v>209</v>
      </c>
    </row>
    <row r="118" spans="1:2" x14ac:dyDescent="0.25">
      <c r="A118" t="s">
        <v>109</v>
      </c>
      <c r="B118" t="s">
        <v>109</v>
      </c>
    </row>
    <row r="119" spans="1:2" x14ac:dyDescent="0.25">
      <c r="A119" t="s">
        <v>110</v>
      </c>
      <c r="B119" t="s">
        <v>110</v>
      </c>
    </row>
    <row r="120" spans="1:2" x14ac:dyDescent="0.25">
      <c r="A120" t="s">
        <v>111</v>
      </c>
      <c r="B120" t="s">
        <v>210</v>
      </c>
    </row>
    <row r="121" spans="1:2" x14ac:dyDescent="0.25">
      <c r="A121" t="s">
        <v>111</v>
      </c>
      <c r="B121" t="s">
        <v>211</v>
      </c>
    </row>
    <row r="122" spans="1:2" x14ac:dyDescent="0.25">
      <c r="A122" t="s">
        <v>111</v>
      </c>
      <c r="B122" t="s">
        <v>212</v>
      </c>
    </row>
    <row r="123" spans="1:2" x14ac:dyDescent="0.25">
      <c r="A123" t="s">
        <v>111</v>
      </c>
      <c r="B123" t="s">
        <v>213</v>
      </c>
    </row>
    <row r="124" spans="1:2" x14ac:dyDescent="0.25">
      <c r="A124" t="s">
        <v>111</v>
      </c>
      <c r="B124" t="s">
        <v>214</v>
      </c>
    </row>
    <row r="125" spans="1:2" x14ac:dyDescent="0.25">
      <c r="A125" t="s">
        <v>112</v>
      </c>
      <c r="B125" t="s">
        <v>215</v>
      </c>
    </row>
    <row r="126" spans="1:2" x14ac:dyDescent="0.25">
      <c r="A126" t="s">
        <v>112</v>
      </c>
      <c r="B126" t="s">
        <v>216</v>
      </c>
    </row>
    <row r="127" spans="1:2" x14ac:dyDescent="0.25">
      <c r="A127" t="s">
        <v>114</v>
      </c>
      <c r="B127" t="s">
        <v>217</v>
      </c>
    </row>
    <row r="128" spans="1:2" x14ac:dyDescent="0.25">
      <c r="A128" t="s">
        <v>114</v>
      </c>
      <c r="B128" t="s">
        <v>218</v>
      </c>
    </row>
    <row r="129" spans="1:2" x14ac:dyDescent="0.25">
      <c r="A129" t="s">
        <v>115</v>
      </c>
      <c r="B129" t="s">
        <v>115</v>
      </c>
    </row>
    <row r="130" spans="1:2" x14ac:dyDescent="0.25">
      <c r="A130" t="s">
        <v>116</v>
      </c>
      <c r="B130" t="s">
        <v>116</v>
      </c>
    </row>
    <row r="131" spans="1:2" x14ac:dyDescent="0.25">
      <c r="A131" t="s">
        <v>118</v>
      </c>
      <c r="B131" t="s">
        <v>118</v>
      </c>
    </row>
    <row r="132" spans="1:2" x14ac:dyDescent="0.25">
      <c r="A132" t="s">
        <v>120</v>
      </c>
      <c r="B132" t="s">
        <v>120</v>
      </c>
    </row>
    <row r="133" spans="1:2" x14ac:dyDescent="0.25">
      <c r="A133" t="s">
        <v>122</v>
      </c>
      <c r="B133" t="s">
        <v>122</v>
      </c>
    </row>
    <row r="134" spans="1:2" x14ac:dyDescent="0.25">
      <c r="A134" t="s">
        <v>124</v>
      </c>
      <c r="B134" t="s">
        <v>124</v>
      </c>
    </row>
    <row r="135" spans="1:2" x14ac:dyDescent="0.25">
      <c r="A135" t="s">
        <v>126</v>
      </c>
      <c r="B135" t="s">
        <v>219</v>
      </c>
    </row>
    <row r="136" spans="1:2" x14ac:dyDescent="0.25">
      <c r="A136" t="s">
        <v>126</v>
      </c>
      <c r="B136" t="s">
        <v>220</v>
      </c>
    </row>
    <row r="137" spans="1:2" x14ac:dyDescent="0.25">
      <c r="A137" t="s">
        <v>126</v>
      </c>
      <c r="B137" t="s">
        <v>221</v>
      </c>
    </row>
    <row r="138" spans="1:2" x14ac:dyDescent="0.25">
      <c r="A138" t="s">
        <v>126</v>
      </c>
      <c r="B138" t="s">
        <v>222</v>
      </c>
    </row>
    <row r="139" spans="1:2" x14ac:dyDescent="0.25">
      <c r="A139" t="s">
        <v>126</v>
      </c>
      <c r="B139" t="s">
        <v>223</v>
      </c>
    </row>
    <row r="140" spans="1:2" x14ac:dyDescent="0.25">
      <c r="A140" t="s">
        <v>126</v>
      </c>
      <c r="B140" t="s">
        <v>224</v>
      </c>
    </row>
    <row r="141" spans="1:2" x14ac:dyDescent="0.25">
      <c r="A141" t="s">
        <v>126</v>
      </c>
      <c r="B141" t="s">
        <v>225</v>
      </c>
    </row>
    <row r="142" spans="1:2" x14ac:dyDescent="0.25">
      <c r="A142" t="s">
        <v>128</v>
      </c>
      <c r="B142" t="s">
        <v>226</v>
      </c>
    </row>
    <row r="143" spans="1:2" x14ac:dyDescent="0.25">
      <c r="A143" t="s">
        <v>130</v>
      </c>
      <c r="B143" t="s">
        <v>227</v>
      </c>
    </row>
    <row r="144" spans="1:2" x14ac:dyDescent="0.25">
      <c r="A144" t="s">
        <v>132</v>
      </c>
      <c r="B144" t="s">
        <v>132</v>
      </c>
    </row>
    <row r="145" spans="1:2" x14ac:dyDescent="0.25">
      <c r="A145" t="s">
        <v>134</v>
      </c>
      <c r="B145" t="s">
        <v>134</v>
      </c>
    </row>
    <row r="146" spans="1:2" x14ac:dyDescent="0.25">
      <c r="A146" t="s">
        <v>136</v>
      </c>
      <c r="B146" t="s">
        <v>228</v>
      </c>
    </row>
    <row r="147" spans="1:2" x14ac:dyDescent="0.25">
      <c r="A147" t="s">
        <v>136</v>
      </c>
      <c r="B147" t="s">
        <v>136</v>
      </c>
    </row>
    <row r="148" spans="1:2" x14ac:dyDescent="0.25">
      <c r="A148" t="s">
        <v>138</v>
      </c>
      <c r="B148" t="s">
        <v>138</v>
      </c>
    </row>
    <row r="149" spans="1:2" x14ac:dyDescent="0.25">
      <c r="A149" t="s">
        <v>140</v>
      </c>
      <c r="B149" t="s">
        <v>140</v>
      </c>
    </row>
    <row r="150" spans="1:2" x14ac:dyDescent="0.25">
      <c r="A150" t="s">
        <v>240</v>
      </c>
      <c r="B150" t="s">
        <v>240</v>
      </c>
    </row>
    <row r="151" spans="1:2" x14ac:dyDescent="0.25">
      <c r="A151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0042-3F89-8745-AFAE-300190E10C50}">
  <dimension ref="A1:T2224"/>
  <sheetViews>
    <sheetView zoomScale="61" zoomScaleNormal="79" workbookViewId="0">
      <pane ySplit="1" topLeftCell="A2189" activePane="bottomLeft" state="frozen"/>
      <selection pane="bottomLeft" activeCell="D2221" sqref="D2221"/>
    </sheetView>
  </sheetViews>
  <sheetFormatPr defaultColWidth="10.5" defaultRowHeight="15.75" x14ac:dyDescent="0.25"/>
  <cols>
    <col min="1" max="1" width="30.625" bestFit="1" customWidth="1"/>
    <col min="2" max="2" width="42.625" bestFit="1" customWidth="1"/>
    <col min="3" max="3" width="15.25" bestFit="1" customWidth="1"/>
    <col min="4" max="4" width="7.625" bestFit="1" customWidth="1"/>
    <col min="5" max="5" width="38.125" bestFit="1" customWidth="1"/>
    <col min="6" max="6" width="23" style="32" bestFit="1" customWidth="1"/>
    <col min="7" max="7" width="24.125" style="32" bestFit="1" customWidth="1"/>
    <col min="8" max="8" width="25.625" style="32" bestFit="1" customWidth="1"/>
    <col min="9" max="9" width="21.5" style="32" bestFit="1" customWidth="1"/>
    <col min="10" max="10" width="22.5" style="32" bestFit="1" customWidth="1"/>
    <col min="11" max="11" width="21.25" style="32" bestFit="1" customWidth="1"/>
    <col min="12" max="12" width="22.25" style="32" bestFit="1" customWidth="1"/>
    <col min="13" max="13" width="24.125" style="32" bestFit="1" customWidth="1"/>
    <col min="14" max="14" width="19.875" style="32" bestFit="1" customWidth="1"/>
    <col min="15" max="15" width="21" style="32" bestFit="1" customWidth="1"/>
    <col min="16" max="16" width="21.75" style="32" bestFit="1" customWidth="1"/>
    <col min="17" max="17" width="23" style="32" bestFit="1" customWidth="1"/>
    <col min="18" max="18" width="24.625" style="32" bestFit="1" customWidth="1"/>
    <col min="19" max="19" width="20.5" style="32" bestFit="1" customWidth="1"/>
    <col min="20" max="20" width="21.5" style="32" bestFit="1" customWidth="1"/>
  </cols>
  <sheetData>
    <row r="1" spans="1:20" x14ac:dyDescent="0.25">
      <c r="A1" s="14" t="s">
        <v>238</v>
      </c>
      <c r="B1" s="14" t="s">
        <v>239</v>
      </c>
      <c r="C1" s="14" t="s">
        <v>242</v>
      </c>
      <c r="D1" t="s">
        <v>243</v>
      </c>
      <c r="E1" t="s">
        <v>244</v>
      </c>
      <c r="F1" s="32" t="s">
        <v>245</v>
      </c>
      <c r="G1" s="32" t="s">
        <v>246</v>
      </c>
      <c r="H1" s="32" t="s">
        <v>247</v>
      </c>
      <c r="I1" s="32" t="s">
        <v>248</v>
      </c>
      <c r="J1" s="32" t="s">
        <v>249</v>
      </c>
      <c r="K1" s="32" t="s">
        <v>250</v>
      </c>
      <c r="L1" s="32" t="s">
        <v>251</v>
      </c>
      <c r="M1" s="32" t="s">
        <v>252</v>
      </c>
      <c r="N1" s="32" t="s">
        <v>253</v>
      </c>
      <c r="O1" s="32" t="s">
        <v>254</v>
      </c>
      <c r="P1" s="32" t="s">
        <v>255</v>
      </c>
      <c r="Q1" s="32" t="s">
        <v>256</v>
      </c>
      <c r="R1" s="32" t="s">
        <v>257</v>
      </c>
      <c r="S1" s="32" t="s">
        <v>258</v>
      </c>
      <c r="T1" s="32" t="s">
        <v>259</v>
      </c>
    </row>
    <row r="2" spans="1:20" x14ac:dyDescent="0.25">
      <c r="A2" t="s">
        <v>67</v>
      </c>
      <c r="B2" t="s">
        <v>68</v>
      </c>
      <c r="C2">
        <v>202401</v>
      </c>
      <c r="D2" s="47" t="str">
        <f>MID(C2,1,4)</f>
        <v>2024</v>
      </c>
      <c r="E2" t="str">
        <f>IF(Portfolio!$M$1=1,CONCATENATE(A2,C2),CONCATENATE(B2,C2))</f>
        <v>ALFA GROUP202401</v>
      </c>
      <c r="F2">
        <v>15991</v>
      </c>
      <c r="G2">
        <v>59542</v>
      </c>
      <c r="H2">
        <v>11685</v>
      </c>
      <c r="I2">
        <v>0</v>
      </c>
      <c r="J2">
        <v>1</v>
      </c>
      <c r="K2">
        <v>1665490406</v>
      </c>
      <c r="L2">
        <v>6336019727</v>
      </c>
      <c r="M2">
        <v>1852964987</v>
      </c>
      <c r="N2">
        <v>0</v>
      </c>
      <c r="O2">
        <v>130000</v>
      </c>
      <c r="P2">
        <v>2498234</v>
      </c>
      <c r="Q2">
        <v>55387878</v>
      </c>
      <c r="R2">
        <v>33312779</v>
      </c>
      <c r="S2">
        <v>0</v>
      </c>
      <c r="T2">
        <v>390</v>
      </c>
    </row>
    <row r="3" spans="1:20" x14ac:dyDescent="0.25">
      <c r="A3" t="s">
        <v>67</v>
      </c>
      <c r="B3" t="s">
        <v>69</v>
      </c>
      <c r="C3">
        <v>202401</v>
      </c>
      <c r="D3" s="47" t="str">
        <f>MID(C3,1,4)</f>
        <v>2024</v>
      </c>
      <c r="E3" t="str">
        <f>IF(Portfolio!$M$1=1,CONCATENATE(A3,C3),CONCATENATE(B3,C3))</f>
        <v>ALFA GROUP202401</v>
      </c>
      <c r="F3">
        <v>11</v>
      </c>
      <c r="G3">
        <v>59</v>
      </c>
      <c r="H3">
        <v>16</v>
      </c>
      <c r="I3">
        <v>0</v>
      </c>
      <c r="J3">
        <v>0</v>
      </c>
      <c r="K3">
        <v>1886347</v>
      </c>
      <c r="L3">
        <v>9226450</v>
      </c>
      <c r="M3">
        <v>3169885</v>
      </c>
      <c r="N3">
        <v>0</v>
      </c>
      <c r="O3">
        <v>0</v>
      </c>
      <c r="P3">
        <v>2830</v>
      </c>
      <c r="Q3">
        <v>82511</v>
      </c>
      <c r="R3">
        <v>57058</v>
      </c>
      <c r="S3">
        <v>0</v>
      </c>
      <c r="T3">
        <v>0</v>
      </c>
    </row>
    <row r="4" spans="1:20" x14ac:dyDescent="0.25">
      <c r="A4" t="s">
        <v>67</v>
      </c>
      <c r="B4" t="s">
        <v>72</v>
      </c>
      <c r="C4">
        <v>202401</v>
      </c>
      <c r="D4" s="47" t="str">
        <f>MID(C4,1,4)</f>
        <v>2024</v>
      </c>
      <c r="E4" t="str">
        <f>IF(Portfolio!$M$1=1,CONCATENATE(A4,C4),CONCATENATE(B4,C4))</f>
        <v>ALFA GROUP202401</v>
      </c>
      <c r="F4">
        <v>260</v>
      </c>
      <c r="G4">
        <v>890</v>
      </c>
      <c r="H4">
        <v>118</v>
      </c>
      <c r="I4">
        <v>0</v>
      </c>
      <c r="J4">
        <v>0</v>
      </c>
      <c r="K4">
        <v>44369337</v>
      </c>
      <c r="L4">
        <v>137731658</v>
      </c>
      <c r="M4">
        <v>26234200</v>
      </c>
      <c r="N4">
        <v>0</v>
      </c>
      <c r="O4">
        <v>0</v>
      </c>
      <c r="P4">
        <v>66554</v>
      </c>
      <c r="Q4">
        <v>1275079</v>
      </c>
      <c r="R4">
        <v>470290</v>
      </c>
      <c r="S4">
        <v>0</v>
      </c>
      <c r="T4">
        <v>0</v>
      </c>
    </row>
    <row r="5" spans="1:20" x14ac:dyDescent="0.25">
      <c r="A5" t="s">
        <v>70</v>
      </c>
      <c r="B5" t="s">
        <v>70</v>
      </c>
      <c r="C5">
        <v>202401</v>
      </c>
      <c r="D5" s="47" t="str">
        <f>MID(C5,1,4)</f>
        <v>2024</v>
      </c>
      <c r="E5" t="str">
        <f>IF(Portfolio!$M$1=1,CONCATENATE(A5,C5),CONCATENATE(B5,C5))</f>
        <v>ANCOL202401</v>
      </c>
      <c r="F5">
        <v>2</v>
      </c>
      <c r="G5">
        <v>5</v>
      </c>
      <c r="H5">
        <v>0</v>
      </c>
      <c r="I5">
        <v>0</v>
      </c>
      <c r="J5">
        <v>0</v>
      </c>
      <c r="K5">
        <v>1881000</v>
      </c>
      <c r="L5">
        <v>1966100</v>
      </c>
      <c r="M5">
        <v>0</v>
      </c>
      <c r="N5">
        <v>0</v>
      </c>
      <c r="O5">
        <v>0</v>
      </c>
      <c r="P5">
        <v>2822</v>
      </c>
      <c r="Q5">
        <v>19661</v>
      </c>
      <c r="R5">
        <v>0</v>
      </c>
      <c r="S5">
        <v>0</v>
      </c>
      <c r="T5">
        <v>0</v>
      </c>
    </row>
    <row r="6" spans="1:20" x14ac:dyDescent="0.25">
      <c r="A6" t="s">
        <v>75</v>
      </c>
      <c r="B6" t="s">
        <v>81</v>
      </c>
      <c r="C6">
        <v>202401</v>
      </c>
      <c r="D6" s="47" t="str">
        <f>MID(C6,1,4)</f>
        <v>2024</v>
      </c>
      <c r="E6" t="str">
        <f>IF(Portfolio!$M$1=1,CONCATENATE(A6,C6),CONCATENATE(B6,C6))</f>
        <v>CHAMP RESTO202401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315727</v>
      </c>
      <c r="M6">
        <v>0</v>
      </c>
      <c r="N6">
        <v>0</v>
      </c>
      <c r="O6">
        <v>0</v>
      </c>
      <c r="P6">
        <v>0</v>
      </c>
      <c r="Q6">
        <v>3157</v>
      </c>
      <c r="R6">
        <v>0</v>
      </c>
      <c r="S6">
        <v>0</v>
      </c>
      <c r="T6">
        <v>0</v>
      </c>
    </row>
    <row r="7" spans="1:20" x14ac:dyDescent="0.25">
      <c r="A7" t="s">
        <v>75</v>
      </c>
      <c r="B7" t="s">
        <v>83</v>
      </c>
      <c r="C7">
        <v>202401</v>
      </c>
      <c r="D7" s="47" t="str">
        <f>MID(C7,1,4)</f>
        <v>2024</v>
      </c>
      <c r="E7" t="str">
        <f>IF(Portfolio!$M$1=1,CONCATENATE(A7,C7),CONCATENATE(B7,C7))</f>
        <v>CHAMP RESTO202401</v>
      </c>
      <c r="F7">
        <v>1</v>
      </c>
      <c r="G7">
        <v>79</v>
      </c>
      <c r="H7">
        <v>14</v>
      </c>
      <c r="I7">
        <v>1</v>
      </c>
      <c r="J7">
        <v>1</v>
      </c>
      <c r="K7">
        <v>60225</v>
      </c>
      <c r="L7">
        <v>18196685</v>
      </c>
      <c r="M7">
        <v>2543600</v>
      </c>
      <c r="N7">
        <v>23000</v>
      </c>
      <c r="O7">
        <v>180000</v>
      </c>
      <c r="P7">
        <v>90</v>
      </c>
      <c r="Q7">
        <v>170355</v>
      </c>
      <c r="R7">
        <v>50872</v>
      </c>
      <c r="S7">
        <v>161</v>
      </c>
      <c r="T7">
        <v>1260</v>
      </c>
    </row>
    <row r="8" spans="1:20" x14ac:dyDescent="0.25">
      <c r="A8" t="s">
        <v>75</v>
      </c>
      <c r="B8" t="s">
        <v>85</v>
      </c>
      <c r="C8">
        <v>202401</v>
      </c>
      <c r="D8" s="47" t="str">
        <f>MID(C8,1,4)</f>
        <v>2024</v>
      </c>
      <c r="E8" t="str">
        <f>IF(Portfolio!$M$1=1,CONCATENATE(A8,C8),CONCATENATE(B8,C8))</f>
        <v>CHAMP RESTO202401</v>
      </c>
      <c r="F8">
        <v>14</v>
      </c>
      <c r="G8">
        <v>167</v>
      </c>
      <c r="H8">
        <v>0</v>
      </c>
      <c r="I8">
        <v>0</v>
      </c>
      <c r="J8">
        <v>0</v>
      </c>
      <c r="K8">
        <v>2569997</v>
      </c>
      <c r="L8">
        <v>29616842</v>
      </c>
      <c r="M8">
        <v>0</v>
      </c>
      <c r="N8">
        <v>0</v>
      </c>
      <c r="O8">
        <v>0</v>
      </c>
      <c r="P8">
        <v>3855</v>
      </c>
      <c r="Q8">
        <v>296168</v>
      </c>
      <c r="R8">
        <v>0</v>
      </c>
      <c r="S8">
        <v>0</v>
      </c>
      <c r="T8">
        <v>0</v>
      </c>
    </row>
    <row r="9" spans="1:20" x14ac:dyDescent="0.25">
      <c r="A9" t="s">
        <v>75</v>
      </c>
      <c r="B9" t="s">
        <v>91</v>
      </c>
      <c r="C9">
        <v>202401</v>
      </c>
      <c r="D9" s="47" t="str">
        <f>MID(C9,1,4)</f>
        <v>2024</v>
      </c>
      <c r="E9" t="str">
        <f>IF(Portfolio!$M$1=1,CONCATENATE(A9,C9),CONCATENATE(B9,C9))</f>
        <v>CHAMP RESTO202401</v>
      </c>
      <c r="F9">
        <v>0</v>
      </c>
      <c r="G9">
        <v>4</v>
      </c>
      <c r="H9">
        <v>0</v>
      </c>
      <c r="I9">
        <v>0</v>
      </c>
      <c r="J9">
        <v>0</v>
      </c>
      <c r="K9">
        <v>0</v>
      </c>
      <c r="L9">
        <v>1717677</v>
      </c>
      <c r="M9">
        <v>0</v>
      </c>
      <c r="N9">
        <v>0</v>
      </c>
      <c r="O9">
        <v>0</v>
      </c>
      <c r="P9">
        <v>0</v>
      </c>
      <c r="Q9">
        <v>17177</v>
      </c>
      <c r="R9">
        <v>0</v>
      </c>
      <c r="S9">
        <v>0</v>
      </c>
      <c r="T9">
        <v>0</v>
      </c>
    </row>
    <row r="10" spans="1:20" x14ac:dyDescent="0.25">
      <c r="A10" t="s">
        <v>75</v>
      </c>
      <c r="B10" t="s">
        <v>93</v>
      </c>
      <c r="C10">
        <v>202401</v>
      </c>
      <c r="D10" s="47" t="str">
        <f>MID(C10,1,4)</f>
        <v>2024</v>
      </c>
      <c r="E10" t="str">
        <f>IF(Portfolio!$M$1=1,CONCATENATE(A10,C10),CONCATENATE(B10,C10))</f>
        <v>CHAMP RESTO202401</v>
      </c>
      <c r="F10">
        <v>6</v>
      </c>
      <c r="G10">
        <v>3</v>
      </c>
      <c r="H10">
        <v>0</v>
      </c>
      <c r="I10">
        <v>0</v>
      </c>
      <c r="J10">
        <v>0</v>
      </c>
      <c r="K10">
        <v>3637000</v>
      </c>
      <c r="L10">
        <v>1834497</v>
      </c>
      <c r="M10">
        <v>0</v>
      </c>
      <c r="N10">
        <v>0</v>
      </c>
      <c r="O10">
        <v>0</v>
      </c>
      <c r="P10">
        <v>5456</v>
      </c>
      <c r="Q10">
        <v>18345</v>
      </c>
      <c r="R10">
        <v>0</v>
      </c>
      <c r="S10">
        <v>0</v>
      </c>
      <c r="T10">
        <v>0</v>
      </c>
    </row>
    <row r="11" spans="1:20" x14ac:dyDescent="0.25">
      <c r="A11" t="s">
        <v>75</v>
      </c>
      <c r="B11" t="s">
        <v>95</v>
      </c>
      <c r="C11">
        <v>202401</v>
      </c>
      <c r="D11" s="47" t="str">
        <f>MID(C11,1,4)</f>
        <v>2024</v>
      </c>
      <c r="E11" t="str">
        <f>IF(Portfolio!$M$1=1,CONCATENATE(A11,C11),CONCATENATE(B11,C11))</f>
        <v>CHAMP RESTO202401</v>
      </c>
      <c r="F11">
        <v>3</v>
      </c>
      <c r="G11">
        <v>4</v>
      </c>
      <c r="H11">
        <v>0</v>
      </c>
      <c r="I11">
        <v>0</v>
      </c>
      <c r="J11">
        <v>0</v>
      </c>
      <c r="K11">
        <v>1052000</v>
      </c>
      <c r="L11">
        <v>1004008</v>
      </c>
      <c r="M11">
        <v>0</v>
      </c>
      <c r="N11">
        <v>0</v>
      </c>
      <c r="O11">
        <v>0</v>
      </c>
      <c r="P11">
        <v>1578</v>
      </c>
      <c r="Q11">
        <v>10040</v>
      </c>
      <c r="R11">
        <v>0</v>
      </c>
      <c r="S11">
        <v>0</v>
      </c>
      <c r="T11">
        <v>0</v>
      </c>
    </row>
    <row r="12" spans="1:20" x14ac:dyDescent="0.25">
      <c r="A12" t="s">
        <v>84</v>
      </c>
      <c r="B12" t="s">
        <v>84</v>
      </c>
      <c r="C12">
        <v>202401</v>
      </c>
      <c r="D12" s="47" t="str">
        <f>MID(C12,1,4)</f>
        <v>2024</v>
      </c>
      <c r="E12" t="str">
        <f>IF(Portfolio!$M$1=1,CONCATENATE(A12,C12),CONCATENATE(B12,C12))</f>
        <v>ES TELLER 77202401</v>
      </c>
      <c r="F12">
        <v>89</v>
      </c>
      <c r="G12">
        <v>146</v>
      </c>
      <c r="H12">
        <v>1</v>
      </c>
      <c r="I12">
        <v>0</v>
      </c>
      <c r="J12">
        <v>0</v>
      </c>
      <c r="K12">
        <v>10858000</v>
      </c>
      <c r="L12">
        <v>19020700</v>
      </c>
      <c r="M12">
        <v>152000</v>
      </c>
      <c r="N12">
        <v>0</v>
      </c>
      <c r="O12">
        <v>0</v>
      </c>
      <c r="P12">
        <v>16287</v>
      </c>
      <c r="Q12">
        <v>190207</v>
      </c>
      <c r="R12">
        <v>2736</v>
      </c>
      <c r="S12">
        <v>0</v>
      </c>
      <c r="T12">
        <v>0</v>
      </c>
    </row>
    <row r="13" spans="1:20" x14ac:dyDescent="0.25">
      <c r="A13" t="s">
        <v>86</v>
      </c>
      <c r="B13" t="s">
        <v>86</v>
      </c>
      <c r="C13">
        <v>202401</v>
      </c>
      <c r="D13" s="47" t="str">
        <f>MID(C13,1,4)</f>
        <v>2024</v>
      </c>
      <c r="E13" t="str">
        <f>IF(Portfolio!$M$1=1,CONCATENATE(A13,C13),CONCATENATE(B13,C13))</f>
        <v>GRAMEDIA202401</v>
      </c>
      <c r="F13">
        <v>12</v>
      </c>
      <c r="G13">
        <v>0</v>
      </c>
      <c r="H13">
        <v>0</v>
      </c>
      <c r="I13">
        <v>0</v>
      </c>
      <c r="J13">
        <v>8</v>
      </c>
      <c r="K13">
        <v>4823800</v>
      </c>
      <c r="L13">
        <v>0</v>
      </c>
      <c r="M13">
        <v>0</v>
      </c>
      <c r="N13">
        <v>0</v>
      </c>
      <c r="O13">
        <v>202000</v>
      </c>
      <c r="P13">
        <v>7236</v>
      </c>
      <c r="Q13">
        <v>0</v>
      </c>
      <c r="R13">
        <v>0</v>
      </c>
      <c r="S13">
        <v>0</v>
      </c>
      <c r="T13">
        <v>1414</v>
      </c>
    </row>
    <row r="14" spans="1:20" x14ac:dyDescent="0.25">
      <c r="A14" t="s">
        <v>88</v>
      </c>
      <c r="B14" t="s">
        <v>88</v>
      </c>
      <c r="C14">
        <v>202401</v>
      </c>
      <c r="D14" s="47" t="str">
        <f>MID(C14,1,4)</f>
        <v>2024</v>
      </c>
      <c r="E14" t="str">
        <f>IF(Portfolio!$M$1=1,CONCATENATE(A14,C14),CONCATENATE(B14,C14))</f>
        <v>HAUS202401</v>
      </c>
      <c r="F14">
        <v>0</v>
      </c>
      <c r="G14">
        <v>36</v>
      </c>
      <c r="H14">
        <v>0</v>
      </c>
      <c r="I14">
        <v>0</v>
      </c>
      <c r="J14">
        <v>0</v>
      </c>
      <c r="K14">
        <v>0</v>
      </c>
      <c r="L14">
        <v>1417993</v>
      </c>
      <c r="M14">
        <v>0</v>
      </c>
      <c r="N14">
        <v>0</v>
      </c>
      <c r="O14">
        <v>0</v>
      </c>
      <c r="P14">
        <v>0</v>
      </c>
      <c r="Q14">
        <v>14180</v>
      </c>
      <c r="R14">
        <v>0</v>
      </c>
      <c r="S14">
        <v>0</v>
      </c>
      <c r="T14">
        <v>0</v>
      </c>
    </row>
    <row r="15" spans="1:20" x14ac:dyDescent="0.25">
      <c r="A15" t="s">
        <v>92</v>
      </c>
      <c r="B15" t="s">
        <v>108</v>
      </c>
      <c r="C15">
        <v>202401</v>
      </c>
      <c r="D15" s="47" t="str">
        <f>MID(C15,1,4)</f>
        <v>2024</v>
      </c>
      <c r="E15" t="str">
        <f>IF(Portfolio!$M$1=1,CONCATENATE(A15,C15),CONCATENATE(B15,C15))</f>
        <v>HERO GROUP202401</v>
      </c>
      <c r="F15">
        <v>51</v>
      </c>
      <c r="G15">
        <v>64</v>
      </c>
      <c r="H15">
        <v>7</v>
      </c>
      <c r="I15">
        <v>0</v>
      </c>
      <c r="J15">
        <v>0</v>
      </c>
      <c r="K15">
        <v>29599696</v>
      </c>
      <c r="L15">
        <v>34560861</v>
      </c>
      <c r="M15">
        <v>2392023</v>
      </c>
      <c r="N15">
        <v>0</v>
      </c>
      <c r="O15">
        <v>0</v>
      </c>
      <c r="P15">
        <v>44399</v>
      </c>
      <c r="Q15">
        <v>337161</v>
      </c>
      <c r="R15">
        <v>47840</v>
      </c>
      <c r="S15">
        <v>0</v>
      </c>
      <c r="T15">
        <v>0</v>
      </c>
    </row>
    <row r="16" spans="1:20" x14ac:dyDescent="0.25">
      <c r="A16" t="s">
        <v>97</v>
      </c>
      <c r="B16" t="s">
        <v>97</v>
      </c>
      <c r="C16">
        <v>202401</v>
      </c>
      <c r="D16" s="47" t="str">
        <f>MID(C16,1,4)</f>
        <v>2024</v>
      </c>
      <c r="E16" t="str">
        <f>IF(Portfolio!$M$1=1,CONCATENATE(A16,C16),CONCATENATE(B16,C16))</f>
        <v>HOP HOP202401</v>
      </c>
      <c r="F16">
        <v>0</v>
      </c>
      <c r="G16">
        <v>0</v>
      </c>
      <c r="H16">
        <v>0</v>
      </c>
      <c r="I16">
        <v>17</v>
      </c>
      <c r="J16">
        <v>3258</v>
      </c>
      <c r="K16">
        <v>0</v>
      </c>
      <c r="L16">
        <v>0</v>
      </c>
      <c r="M16">
        <v>0</v>
      </c>
      <c r="N16">
        <v>797000</v>
      </c>
      <c r="O16">
        <v>109010805</v>
      </c>
      <c r="P16">
        <v>0</v>
      </c>
      <c r="Q16">
        <v>0</v>
      </c>
      <c r="R16">
        <v>0</v>
      </c>
      <c r="S16">
        <v>5579</v>
      </c>
      <c r="T16">
        <v>763074</v>
      </c>
    </row>
    <row r="17" spans="1:20" x14ac:dyDescent="0.25">
      <c r="A17" t="s">
        <v>99</v>
      </c>
      <c r="B17" t="s">
        <v>99</v>
      </c>
      <c r="C17">
        <v>202401</v>
      </c>
      <c r="D17" s="47" t="str">
        <f>MID(C17,1,4)</f>
        <v>2024</v>
      </c>
      <c r="E17" t="str">
        <f>IF(Portfolio!$M$1=1,CONCATENATE(A17,C17),CONCATENATE(B17,C17))</f>
        <v>IKEA202401</v>
      </c>
      <c r="F17">
        <v>5</v>
      </c>
      <c r="G17">
        <v>0</v>
      </c>
      <c r="H17">
        <v>0</v>
      </c>
      <c r="I17">
        <v>0</v>
      </c>
      <c r="J17">
        <v>0</v>
      </c>
      <c r="K17">
        <v>3799800</v>
      </c>
      <c r="L17">
        <v>0</v>
      </c>
      <c r="M17">
        <v>0</v>
      </c>
      <c r="N17">
        <v>0</v>
      </c>
      <c r="O17">
        <v>0</v>
      </c>
      <c r="P17">
        <v>5700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101</v>
      </c>
      <c r="B18" t="s">
        <v>101</v>
      </c>
      <c r="C18">
        <v>202401</v>
      </c>
      <c r="D18" s="47" t="str">
        <f>MID(C18,1,4)</f>
        <v>2024</v>
      </c>
      <c r="E18" t="str">
        <f>IF(Portfolio!$M$1=1,CONCATENATE(A18,C18),CONCATENATE(B18,C18))</f>
        <v>INDOMARET202401</v>
      </c>
      <c r="F18">
        <v>31488</v>
      </c>
      <c r="G18">
        <v>79480</v>
      </c>
      <c r="H18">
        <v>2192</v>
      </c>
      <c r="I18">
        <v>0</v>
      </c>
      <c r="J18">
        <v>17</v>
      </c>
      <c r="K18">
        <v>3132730189</v>
      </c>
      <c r="L18">
        <v>7076345977</v>
      </c>
      <c r="M18">
        <v>291010550</v>
      </c>
      <c r="N18">
        <v>0</v>
      </c>
      <c r="O18">
        <v>713000</v>
      </c>
      <c r="P18">
        <v>4699093</v>
      </c>
      <c r="Q18">
        <v>69887157</v>
      </c>
      <c r="R18">
        <v>5109944</v>
      </c>
      <c r="S18">
        <v>0</v>
      </c>
      <c r="T18">
        <v>2139</v>
      </c>
    </row>
    <row r="19" spans="1:20" x14ac:dyDescent="0.25">
      <c r="A19" t="s">
        <v>101</v>
      </c>
      <c r="B19" t="s">
        <v>117</v>
      </c>
      <c r="C19">
        <v>202401</v>
      </c>
      <c r="D19" s="47" t="str">
        <f>MID(C19,1,4)</f>
        <v>2024</v>
      </c>
      <c r="E19" t="str">
        <f>IF(Portfolio!$M$1=1,CONCATENATE(A19,C19),CONCATENATE(B19,C19))</f>
        <v>INDOMARET202401</v>
      </c>
      <c r="F19">
        <v>119</v>
      </c>
      <c r="G19">
        <v>357</v>
      </c>
      <c r="H19">
        <v>9</v>
      </c>
      <c r="I19">
        <v>0</v>
      </c>
      <c r="J19">
        <v>0</v>
      </c>
      <c r="K19">
        <v>6917293</v>
      </c>
      <c r="L19">
        <v>25580100</v>
      </c>
      <c r="M19">
        <v>313400</v>
      </c>
      <c r="N19">
        <v>0</v>
      </c>
      <c r="O19">
        <v>0</v>
      </c>
      <c r="P19">
        <v>10376</v>
      </c>
      <c r="Q19">
        <v>255801</v>
      </c>
      <c r="R19">
        <v>5171</v>
      </c>
      <c r="S19">
        <v>0</v>
      </c>
      <c r="T19">
        <v>0</v>
      </c>
    </row>
    <row r="20" spans="1:20" x14ac:dyDescent="0.25">
      <c r="A20" t="s">
        <v>102</v>
      </c>
      <c r="B20" t="s">
        <v>123</v>
      </c>
      <c r="C20">
        <v>202401</v>
      </c>
      <c r="D20" s="47" t="str">
        <f>MID(C20,1,4)</f>
        <v>2024</v>
      </c>
      <c r="E20" t="str">
        <f>IF(Portfolio!$M$1=1,CONCATENATE(A20,C20),CONCATENATE(B20,C20))</f>
        <v>KAWAN LAMA202401</v>
      </c>
      <c r="F20">
        <v>1658</v>
      </c>
      <c r="G20">
        <v>0</v>
      </c>
      <c r="H20">
        <v>0</v>
      </c>
      <c r="I20">
        <v>0</v>
      </c>
      <c r="J20">
        <v>0</v>
      </c>
      <c r="K20">
        <v>1656771370</v>
      </c>
      <c r="L20">
        <v>0</v>
      </c>
      <c r="M20">
        <v>0</v>
      </c>
      <c r="N20">
        <v>0</v>
      </c>
      <c r="O20">
        <v>0</v>
      </c>
      <c r="P20">
        <v>2485154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 t="s">
        <v>102</v>
      </c>
      <c r="B21" t="s">
        <v>125</v>
      </c>
      <c r="C21">
        <v>202401</v>
      </c>
      <c r="D21" s="47" t="str">
        <f>MID(C21,1,4)</f>
        <v>2024</v>
      </c>
      <c r="E21" t="str">
        <f>IF(Portfolio!$M$1=1,CONCATENATE(A21,C21),CONCATENATE(B21,C21))</f>
        <v>KAWAN LAMA202401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 t="s">
        <v>102</v>
      </c>
      <c r="B22" t="s">
        <v>135</v>
      </c>
      <c r="C22">
        <v>202401</v>
      </c>
      <c r="D22" s="47" t="str">
        <f>MID(C22,1,4)</f>
        <v>2024</v>
      </c>
      <c r="E22" t="str">
        <f>IF(Portfolio!$M$1=1,CONCATENATE(A22,C22),CONCATENATE(B22,C22))</f>
        <v>KAWAN LAMA202401</v>
      </c>
      <c r="F22">
        <v>493</v>
      </c>
      <c r="G22">
        <v>0</v>
      </c>
      <c r="H22">
        <v>0</v>
      </c>
      <c r="I22">
        <v>0</v>
      </c>
      <c r="J22">
        <v>0</v>
      </c>
      <c r="K22">
        <v>1589830717</v>
      </c>
      <c r="L22">
        <v>0</v>
      </c>
      <c r="M22">
        <v>0</v>
      </c>
      <c r="N22">
        <v>0</v>
      </c>
      <c r="O22">
        <v>0</v>
      </c>
      <c r="P22">
        <v>2384746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 t="s">
        <v>102</v>
      </c>
      <c r="B23" t="s">
        <v>137</v>
      </c>
      <c r="C23">
        <v>202401</v>
      </c>
      <c r="D23" s="47" t="str">
        <f>MID(C23,1,4)</f>
        <v>2024</v>
      </c>
      <c r="E23" t="str">
        <f>IF(Portfolio!$M$1=1,CONCATENATE(A23,C23),CONCATENATE(B23,C23))</f>
        <v>KAWAN LAMA202401</v>
      </c>
      <c r="F23">
        <v>14</v>
      </c>
      <c r="G23">
        <v>0</v>
      </c>
      <c r="H23">
        <v>0</v>
      </c>
      <c r="I23">
        <v>0</v>
      </c>
      <c r="J23">
        <v>0</v>
      </c>
      <c r="K23">
        <v>38592350</v>
      </c>
      <c r="L23">
        <v>0</v>
      </c>
      <c r="M23">
        <v>0</v>
      </c>
      <c r="N23">
        <v>0</v>
      </c>
      <c r="O23">
        <v>0</v>
      </c>
      <c r="P23">
        <v>57888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t="s">
        <v>102</v>
      </c>
      <c r="B24" t="s">
        <v>142</v>
      </c>
      <c r="C24">
        <v>202401</v>
      </c>
      <c r="D24" s="47" t="str">
        <f>MID(C24,1,4)</f>
        <v>2024</v>
      </c>
      <c r="E24" t="str">
        <f>IF(Portfolio!$M$1=1,CONCATENATE(A24,C24),CONCATENATE(B24,C24))</f>
        <v>KAWAN LAMA202401</v>
      </c>
      <c r="F24">
        <v>1</v>
      </c>
      <c r="G24">
        <v>0</v>
      </c>
      <c r="H24">
        <v>0</v>
      </c>
      <c r="I24">
        <v>0</v>
      </c>
      <c r="J24">
        <v>0</v>
      </c>
      <c r="K24">
        <v>245000</v>
      </c>
      <c r="L24">
        <v>0</v>
      </c>
      <c r="M24">
        <v>0</v>
      </c>
      <c r="N24">
        <v>0</v>
      </c>
      <c r="O24">
        <v>0</v>
      </c>
      <c r="P24">
        <v>368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t="s">
        <v>103</v>
      </c>
      <c r="B25" t="s">
        <v>146</v>
      </c>
      <c r="C25">
        <v>202401</v>
      </c>
      <c r="D25" s="47" t="str">
        <f>MID(C25,1,4)</f>
        <v>2024</v>
      </c>
      <c r="E25" t="str">
        <f>IF(Portfolio!$M$1=1,CONCATENATE(A25,C25),CONCATENATE(B25,C25))</f>
        <v>KCIC202401</v>
      </c>
      <c r="F25">
        <v>41</v>
      </c>
      <c r="G25">
        <v>1013</v>
      </c>
      <c r="H25">
        <v>256</v>
      </c>
      <c r="I25">
        <v>0</v>
      </c>
      <c r="J25">
        <v>0</v>
      </c>
      <c r="K25">
        <v>20400000</v>
      </c>
      <c r="L25">
        <v>582100000</v>
      </c>
      <c r="M25">
        <v>287750000</v>
      </c>
      <c r="N25">
        <v>0</v>
      </c>
      <c r="O25">
        <v>0</v>
      </c>
      <c r="P25">
        <v>30600</v>
      </c>
      <c r="Q25">
        <v>5211500</v>
      </c>
      <c r="R25">
        <v>5179500</v>
      </c>
      <c r="S25">
        <v>0</v>
      </c>
      <c r="T25">
        <v>0</v>
      </c>
    </row>
    <row r="26" spans="1:20" x14ac:dyDescent="0.25">
      <c r="A26" t="s">
        <v>104</v>
      </c>
      <c r="B26" t="s">
        <v>147</v>
      </c>
      <c r="C26">
        <v>202401</v>
      </c>
      <c r="D26" s="47" t="str">
        <f>MID(C26,1,4)</f>
        <v>2024</v>
      </c>
      <c r="E26" t="str">
        <f>IF(Portfolio!$M$1=1,CONCATENATE(A26,C26),CONCATENATE(B26,C26))</f>
        <v>KIMIA FARMA202401</v>
      </c>
      <c r="F26">
        <v>91</v>
      </c>
      <c r="G26">
        <v>1131</v>
      </c>
      <c r="H26">
        <v>129</v>
      </c>
      <c r="I26">
        <v>0</v>
      </c>
      <c r="J26">
        <v>0</v>
      </c>
      <c r="K26">
        <v>22601302</v>
      </c>
      <c r="L26">
        <v>307712474</v>
      </c>
      <c r="M26">
        <v>40696674</v>
      </c>
      <c r="N26">
        <v>0</v>
      </c>
      <c r="O26">
        <v>0</v>
      </c>
      <c r="P26">
        <v>33902</v>
      </c>
      <c r="Q26">
        <v>2817475</v>
      </c>
      <c r="R26">
        <v>732540</v>
      </c>
      <c r="S26">
        <v>0</v>
      </c>
      <c r="T26">
        <v>0</v>
      </c>
    </row>
    <row r="27" spans="1:20" x14ac:dyDescent="0.25">
      <c r="A27" t="s">
        <v>105</v>
      </c>
      <c r="B27" t="s">
        <v>149</v>
      </c>
      <c r="C27">
        <v>202401</v>
      </c>
      <c r="D27" s="47" t="str">
        <f>MID(C27,1,4)</f>
        <v>2024</v>
      </c>
      <c r="E27" t="str">
        <f>IF(Portfolio!$M$1=1,CONCATENATE(A27,C27),CONCATENATE(B27,C27))</f>
        <v>LOTTE GROUP202401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985000</v>
      </c>
      <c r="M27">
        <v>0</v>
      </c>
      <c r="N27">
        <v>0</v>
      </c>
      <c r="O27">
        <v>0</v>
      </c>
      <c r="P27">
        <v>0</v>
      </c>
      <c r="Q27">
        <v>9850</v>
      </c>
      <c r="R27">
        <v>0</v>
      </c>
      <c r="S27">
        <v>0</v>
      </c>
      <c r="T27">
        <v>0</v>
      </c>
    </row>
    <row r="28" spans="1:20" x14ac:dyDescent="0.25">
      <c r="A28" t="s">
        <v>107</v>
      </c>
      <c r="B28" t="s">
        <v>178</v>
      </c>
      <c r="C28">
        <v>202401</v>
      </c>
      <c r="D28" s="47" t="str">
        <f>MID(C28,1,4)</f>
        <v>2024</v>
      </c>
      <c r="E28" t="str">
        <f>IF(Portfolio!$M$1=1,CONCATENATE(A28,C28),CONCATENATE(B28,C28))</f>
        <v>MAP GROUP202401</v>
      </c>
      <c r="F28">
        <v>0</v>
      </c>
      <c r="G28">
        <v>3</v>
      </c>
      <c r="H28">
        <v>0</v>
      </c>
      <c r="I28">
        <v>0</v>
      </c>
      <c r="J28">
        <v>0</v>
      </c>
      <c r="K28">
        <v>0</v>
      </c>
      <c r="L28">
        <v>1008100</v>
      </c>
      <c r="M28">
        <v>0</v>
      </c>
      <c r="N28">
        <v>0</v>
      </c>
      <c r="O28">
        <v>0</v>
      </c>
      <c r="P28">
        <v>0</v>
      </c>
      <c r="Q28">
        <v>10081</v>
      </c>
      <c r="R28">
        <v>0</v>
      </c>
      <c r="S28">
        <v>0</v>
      </c>
      <c r="T28">
        <v>0</v>
      </c>
    </row>
    <row r="29" spans="1:20" x14ac:dyDescent="0.25">
      <c r="A29" t="s">
        <v>107</v>
      </c>
      <c r="B29" t="s">
        <v>208</v>
      </c>
      <c r="C29">
        <v>202401</v>
      </c>
      <c r="D29" s="47" t="str">
        <f>MID(C29,1,4)</f>
        <v>2024</v>
      </c>
      <c r="E29" t="str">
        <f>IF(Portfolio!$M$1=1,CONCATENATE(A29,C29),CONCATENATE(B29,C29))</f>
        <v>MAP GROUP202401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216140</v>
      </c>
      <c r="M29">
        <v>0</v>
      </c>
      <c r="N29">
        <v>0</v>
      </c>
      <c r="O29">
        <v>0</v>
      </c>
      <c r="P29">
        <v>0</v>
      </c>
      <c r="Q29">
        <v>2161</v>
      </c>
      <c r="R29">
        <v>0</v>
      </c>
      <c r="S29">
        <v>0</v>
      </c>
      <c r="T29">
        <v>0</v>
      </c>
    </row>
    <row r="30" spans="1:20" x14ac:dyDescent="0.25">
      <c r="A30" t="s">
        <v>109</v>
      </c>
      <c r="B30" t="s">
        <v>109</v>
      </c>
      <c r="C30">
        <v>202401</v>
      </c>
      <c r="D30" s="47" t="str">
        <f>MID(C30,1,4)</f>
        <v>2024</v>
      </c>
      <c r="E30" t="str">
        <f>IF(Portfolio!$M$1=1,CONCATENATE(A30,C30),CONCATENATE(B30,C30))</f>
        <v>MITRA10202401</v>
      </c>
      <c r="F30">
        <v>688</v>
      </c>
      <c r="G30">
        <v>3</v>
      </c>
      <c r="H30">
        <v>1</v>
      </c>
      <c r="I30">
        <v>0</v>
      </c>
      <c r="J30">
        <v>0</v>
      </c>
      <c r="K30">
        <v>1383659021</v>
      </c>
      <c r="L30">
        <v>3101723</v>
      </c>
      <c r="M30">
        <v>1003550</v>
      </c>
      <c r="N30">
        <v>0</v>
      </c>
      <c r="O30">
        <v>0</v>
      </c>
      <c r="P30">
        <v>2075487</v>
      </c>
      <c r="Q30">
        <v>31017</v>
      </c>
      <c r="R30">
        <v>20071</v>
      </c>
      <c r="S30">
        <v>0</v>
      </c>
      <c r="T30">
        <v>0</v>
      </c>
    </row>
    <row r="31" spans="1:20" x14ac:dyDescent="0.25">
      <c r="A31" t="s">
        <v>110</v>
      </c>
      <c r="B31" t="s">
        <v>110</v>
      </c>
      <c r="C31">
        <v>202401</v>
      </c>
      <c r="D31" s="47" t="str">
        <f>MID(C31,1,4)</f>
        <v>2024</v>
      </c>
      <c r="E31" t="str">
        <f>IF(Portfolio!$M$1=1,CONCATENATE(A31,C31),CONCATENATE(B31,C31))</f>
        <v>OPTIK MELAWAI202401</v>
      </c>
      <c r="F31">
        <v>34</v>
      </c>
      <c r="G31">
        <v>167</v>
      </c>
      <c r="H31">
        <v>2</v>
      </c>
      <c r="I31">
        <v>0</v>
      </c>
      <c r="J31">
        <v>0</v>
      </c>
      <c r="K31">
        <v>44608500</v>
      </c>
      <c r="L31">
        <v>268724500</v>
      </c>
      <c r="M31">
        <v>1012000</v>
      </c>
      <c r="N31">
        <v>0</v>
      </c>
      <c r="O31">
        <v>0</v>
      </c>
      <c r="P31">
        <v>66913</v>
      </c>
      <c r="Q31">
        <v>2687245</v>
      </c>
      <c r="R31">
        <v>18216</v>
      </c>
      <c r="S31">
        <v>0</v>
      </c>
      <c r="T31">
        <v>0</v>
      </c>
    </row>
    <row r="32" spans="1:20" x14ac:dyDescent="0.25">
      <c r="A32" t="s">
        <v>111</v>
      </c>
      <c r="B32" t="s">
        <v>214</v>
      </c>
      <c r="C32">
        <v>202401</v>
      </c>
      <c r="D32" s="47" t="str">
        <f>MID(C32,1,4)</f>
        <v>2024</v>
      </c>
      <c r="E32" t="str">
        <f>IF(Portfolio!$M$1=1,CONCATENATE(A32,C32),CONCATENATE(B32,C32))</f>
        <v>PATRA JASA202401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1050000</v>
      </c>
      <c r="M32">
        <v>0</v>
      </c>
      <c r="N32">
        <v>0</v>
      </c>
      <c r="O32">
        <v>0</v>
      </c>
      <c r="P32">
        <v>0</v>
      </c>
      <c r="Q32">
        <v>10500</v>
      </c>
      <c r="R32">
        <v>0</v>
      </c>
      <c r="S32">
        <v>0</v>
      </c>
      <c r="T32">
        <v>0</v>
      </c>
    </row>
    <row r="33" spans="1:20" x14ac:dyDescent="0.25">
      <c r="A33" t="s">
        <v>112</v>
      </c>
      <c r="B33" t="s">
        <v>215</v>
      </c>
      <c r="C33">
        <v>202401</v>
      </c>
      <c r="D33" s="47" t="str">
        <f>MID(C33,1,4)</f>
        <v>2024</v>
      </c>
      <c r="E33" t="str">
        <f>IF(Portfolio!$M$1=1,CONCATENATE(A33,C33),CONCATENATE(B33,C33))</f>
        <v>PERTAMINA RETAIL202401</v>
      </c>
      <c r="F33">
        <v>15</v>
      </c>
      <c r="G33">
        <v>5584</v>
      </c>
      <c r="H33">
        <v>101</v>
      </c>
      <c r="I33">
        <v>0</v>
      </c>
      <c r="J33">
        <v>0</v>
      </c>
      <c r="K33">
        <v>685500</v>
      </c>
      <c r="L33">
        <v>711987096</v>
      </c>
      <c r="M33">
        <v>28536250</v>
      </c>
      <c r="N33">
        <v>0</v>
      </c>
      <c r="O33">
        <v>0</v>
      </c>
      <c r="P33">
        <v>1028</v>
      </c>
      <c r="Q33">
        <v>6994621</v>
      </c>
      <c r="R33">
        <v>513652</v>
      </c>
      <c r="S33">
        <v>0</v>
      </c>
      <c r="T33">
        <v>0</v>
      </c>
    </row>
    <row r="34" spans="1:20" x14ac:dyDescent="0.25">
      <c r="A34" t="s">
        <v>112</v>
      </c>
      <c r="B34" t="s">
        <v>216</v>
      </c>
      <c r="C34">
        <v>202401</v>
      </c>
      <c r="D34" s="47" t="str">
        <f>MID(C34,1,4)</f>
        <v>2024</v>
      </c>
      <c r="E34" t="str">
        <f>IF(Portfolio!$M$1=1,CONCATENATE(A34,C34),CONCATENATE(B34,C34))</f>
        <v>PERTAMINA RETAIL202401</v>
      </c>
      <c r="F34">
        <v>1036</v>
      </c>
      <c r="G34">
        <v>193628</v>
      </c>
      <c r="H34">
        <v>258</v>
      </c>
      <c r="I34">
        <v>14</v>
      </c>
      <c r="J34">
        <v>441</v>
      </c>
      <c r="K34">
        <v>231850517</v>
      </c>
      <c r="L34">
        <v>42945266564</v>
      </c>
      <c r="M34">
        <v>117101126</v>
      </c>
      <c r="N34">
        <v>2015900</v>
      </c>
      <c r="O34">
        <v>32697895</v>
      </c>
      <c r="P34">
        <v>347775</v>
      </c>
      <c r="Q34">
        <v>207970750</v>
      </c>
      <c r="R34">
        <v>2107820</v>
      </c>
      <c r="S34">
        <v>8064</v>
      </c>
      <c r="T34">
        <v>130790</v>
      </c>
    </row>
    <row r="35" spans="1:20" x14ac:dyDescent="0.25">
      <c r="A35" t="s">
        <v>114</v>
      </c>
      <c r="B35" t="s">
        <v>217</v>
      </c>
      <c r="C35">
        <v>202401</v>
      </c>
      <c r="D35" s="47" t="str">
        <f>MID(C35,1,4)</f>
        <v>2024</v>
      </c>
      <c r="E35" t="str">
        <f>IF(Portfolio!$M$1=1,CONCATENATE(A35,C35),CONCATENATE(B35,C35))</f>
        <v>PIZZA HUT202401</v>
      </c>
      <c r="F35">
        <v>47</v>
      </c>
      <c r="G35">
        <v>0</v>
      </c>
      <c r="H35">
        <v>0</v>
      </c>
      <c r="I35">
        <v>0</v>
      </c>
      <c r="J35">
        <v>0</v>
      </c>
      <c r="K35">
        <v>9210269</v>
      </c>
      <c r="L35">
        <v>0</v>
      </c>
      <c r="M35">
        <v>0</v>
      </c>
      <c r="N35">
        <v>0</v>
      </c>
      <c r="O35">
        <v>0</v>
      </c>
      <c r="P35">
        <v>13815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 t="s">
        <v>114</v>
      </c>
      <c r="B36" t="s">
        <v>218</v>
      </c>
      <c r="C36">
        <v>202401</v>
      </c>
      <c r="D36" s="47" t="str">
        <f>MID(C36,1,4)</f>
        <v>2024</v>
      </c>
      <c r="E36" t="str">
        <f>IF(Portfolio!$M$1=1,CONCATENATE(A36,C36),CONCATENATE(B36,C36))</f>
        <v>PIZZA HUT202401</v>
      </c>
      <c r="F36">
        <v>530</v>
      </c>
      <c r="G36">
        <v>1</v>
      </c>
      <c r="H36">
        <v>0</v>
      </c>
      <c r="I36">
        <v>2</v>
      </c>
      <c r="J36">
        <v>2</v>
      </c>
      <c r="K36">
        <v>165076795</v>
      </c>
      <c r="L36">
        <v>73000</v>
      </c>
      <c r="M36">
        <v>0</v>
      </c>
      <c r="N36">
        <v>2</v>
      </c>
      <c r="O36">
        <v>2</v>
      </c>
      <c r="P36">
        <v>247613</v>
      </c>
      <c r="Q36">
        <v>730</v>
      </c>
      <c r="R36">
        <v>0</v>
      </c>
      <c r="S36">
        <v>0</v>
      </c>
      <c r="T36">
        <v>0</v>
      </c>
    </row>
    <row r="37" spans="1:20" x14ac:dyDescent="0.25">
      <c r="A37" t="s">
        <v>115</v>
      </c>
      <c r="B37" t="s">
        <v>115</v>
      </c>
      <c r="C37">
        <v>202401</v>
      </c>
      <c r="D37" s="47" t="str">
        <f>MID(C37,1,4)</f>
        <v>2024</v>
      </c>
      <c r="E37" t="str">
        <f>IF(Portfolio!$M$1=1,CONCATENATE(A37,C37),CONCATENATE(B37,C37))</f>
        <v>PLATINUM CINEPLEX202401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200000</v>
      </c>
      <c r="M37">
        <v>0</v>
      </c>
      <c r="N37">
        <v>0</v>
      </c>
      <c r="O37">
        <v>0</v>
      </c>
      <c r="P37">
        <v>0</v>
      </c>
      <c r="Q37">
        <v>2000</v>
      </c>
      <c r="R37">
        <v>0</v>
      </c>
      <c r="S37">
        <v>0</v>
      </c>
      <c r="T37">
        <v>0</v>
      </c>
    </row>
    <row r="38" spans="1:20" x14ac:dyDescent="0.25">
      <c r="A38" t="s">
        <v>118</v>
      </c>
      <c r="B38" t="s">
        <v>118</v>
      </c>
      <c r="C38">
        <v>202401</v>
      </c>
      <c r="D38" s="47" t="str">
        <f>MID(C38,1,4)</f>
        <v>2024</v>
      </c>
      <c r="E38" t="str">
        <f>IF(Portfolio!$M$1=1,CONCATENATE(A38,C38),CONCATENATE(B38,C38))</f>
        <v>SARINAH202401</v>
      </c>
      <c r="F38">
        <v>15</v>
      </c>
      <c r="G38">
        <v>424</v>
      </c>
      <c r="H38">
        <v>329</v>
      </c>
      <c r="I38">
        <v>0</v>
      </c>
      <c r="J38">
        <v>0</v>
      </c>
      <c r="K38">
        <v>5612000</v>
      </c>
      <c r="L38">
        <v>320095521</v>
      </c>
      <c r="M38">
        <v>408956523</v>
      </c>
      <c r="N38">
        <v>0</v>
      </c>
      <c r="O38">
        <v>0</v>
      </c>
      <c r="P38">
        <v>8418</v>
      </c>
      <c r="Q38">
        <v>2385759</v>
      </c>
      <c r="R38">
        <v>7361217</v>
      </c>
      <c r="S38">
        <v>0</v>
      </c>
      <c r="T38">
        <v>0</v>
      </c>
    </row>
    <row r="39" spans="1:20" x14ac:dyDescent="0.25">
      <c r="A39" t="s">
        <v>120</v>
      </c>
      <c r="B39" t="s">
        <v>120</v>
      </c>
      <c r="C39">
        <v>202401</v>
      </c>
      <c r="D39" s="47" t="str">
        <f>MID(C39,1,4)</f>
        <v>2024</v>
      </c>
      <c r="E39" t="str">
        <f>IF(Portfolio!$M$1=1,CONCATENATE(A39,C39),CONCATENATE(B39,C39))</f>
        <v>SHIHLIN202401</v>
      </c>
      <c r="F39">
        <v>494</v>
      </c>
      <c r="G39">
        <v>10</v>
      </c>
      <c r="H39">
        <v>0</v>
      </c>
      <c r="I39">
        <v>2</v>
      </c>
      <c r="J39">
        <v>6</v>
      </c>
      <c r="K39">
        <v>43513000</v>
      </c>
      <c r="L39">
        <v>686000</v>
      </c>
      <c r="M39">
        <v>0</v>
      </c>
      <c r="N39">
        <v>127000</v>
      </c>
      <c r="O39">
        <v>376400</v>
      </c>
      <c r="P39">
        <v>65270</v>
      </c>
      <c r="Q39">
        <v>6860</v>
      </c>
      <c r="R39">
        <v>0</v>
      </c>
      <c r="S39">
        <v>889</v>
      </c>
      <c r="T39">
        <v>2635</v>
      </c>
    </row>
    <row r="40" spans="1:20" x14ac:dyDescent="0.25">
      <c r="A40" t="s">
        <v>122</v>
      </c>
      <c r="B40" t="s">
        <v>122</v>
      </c>
      <c r="C40">
        <v>202401</v>
      </c>
      <c r="D40" s="47" t="str">
        <f>MID(C40,1,4)</f>
        <v>2024</v>
      </c>
      <c r="E40" t="str">
        <f>IF(Portfolio!$M$1=1,CONCATENATE(A40,C40),CONCATENATE(B40,C40))</f>
        <v>SOLARIA202401</v>
      </c>
      <c r="F40">
        <v>2284</v>
      </c>
      <c r="G40">
        <v>1</v>
      </c>
      <c r="H40">
        <v>0</v>
      </c>
      <c r="I40">
        <v>0</v>
      </c>
      <c r="J40">
        <v>0</v>
      </c>
      <c r="K40">
        <v>408426800</v>
      </c>
      <c r="L40">
        <v>111000</v>
      </c>
      <c r="M40">
        <v>0</v>
      </c>
      <c r="N40">
        <v>0</v>
      </c>
      <c r="O40">
        <v>0</v>
      </c>
      <c r="P40">
        <v>612640</v>
      </c>
      <c r="Q40">
        <v>1110</v>
      </c>
      <c r="R40">
        <v>0</v>
      </c>
      <c r="S40">
        <v>0</v>
      </c>
      <c r="T40">
        <v>0</v>
      </c>
    </row>
    <row r="41" spans="1:20" x14ac:dyDescent="0.25">
      <c r="A41" t="s">
        <v>124</v>
      </c>
      <c r="B41" t="s">
        <v>124</v>
      </c>
      <c r="C41">
        <v>202401</v>
      </c>
      <c r="D41" s="47" t="str">
        <f>MID(C41,1,4)</f>
        <v>2024</v>
      </c>
      <c r="E41" t="str">
        <f>IF(Portfolio!$M$1=1,CONCATENATE(A41,C41),CONCATENATE(B41,C41))</f>
        <v>SOUR SALLY202401</v>
      </c>
      <c r="F41">
        <v>200</v>
      </c>
      <c r="G41">
        <v>16</v>
      </c>
      <c r="H41">
        <v>0</v>
      </c>
      <c r="I41">
        <v>0</v>
      </c>
      <c r="J41">
        <v>0</v>
      </c>
      <c r="K41">
        <v>12368300</v>
      </c>
      <c r="L41">
        <v>1460000</v>
      </c>
      <c r="M41">
        <v>0</v>
      </c>
      <c r="N41">
        <v>0</v>
      </c>
      <c r="O41">
        <v>0</v>
      </c>
      <c r="P41">
        <v>18552</v>
      </c>
      <c r="Q41">
        <v>14600</v>
      </c>
      <c r="R41">
        <v>0</v>
      </c>
      <c r="S41">
        <v>0</v>
      </c>
      <c r="T41">
        <v>0</v>
      </c>
    </row>
    <row r="42" spans="1:20" x14ac:dyDescent="0.25">
      <c r="A42" t="s">
        <v>126</v>
      </c>
      <c r="B42" t="s">
        <v>224</v>
      </c>
      <c r="C42">
        <v>202401</v>
      </c>
      <c r="D42" s="47" t="str">
        <f>MID(C42,1,4)</f>
        <v>2024</v>
      </c>
      <c r="E42" t="str">
        <f>IF(Portfolio!$M$1=1,CONCATENATE(A42,C42),CONCATENATE(B42,C42))</f>
        <v>STEVEN GROUP202401</v>
      </c>
      <c r="F42">
        <v>0</v>
      </c>
      <c r="G42">
        <v>6</v>
      </c>
      <c r="H42">
        <v>0</v>
      </c>
      <c r="I42">
        <v>0</v>
      </c>
      <c r="J42">
        <v>0</v>
      </c>
      <c r="K42">
        <v>0</v>
      </c>
      <c r="L42">
        <v>7735000</v>
      </c>
      <c r="M42">
        <v>0</v>
      </c>
      <c r="N42">
        <v>0</v>
      </c>
      <c r="O42">
        <v>0</v>
      </c>
      <c r="P42">
        <v>0</v>
      </c>
      <c r="Q42">
        <v>60350</v>
      </c>
      <c r="R42">
        <v>0</v>
      </c>
      <c r="S42">
        <v>0</v>
      </c>
      <c r="T42">
        <v>0</v>
      </c>
    </row>
    <row r="43" spans="1:20" x14ac:dyDescent="0.25">
      <c r="A43" t="s">
        <v>67</v>
      </c>
      <c r="B43" t="s">
        <v>68</v>
      </c>
      <c r="C43">
        <v>202402</v>
      </c>
      <c r="D43" s="47" t="str">
        <f>MID(C43,1,4)</f>
        <v>2024</v>
      </c>
      <c r="E43" t="str">
        <f>IF(Portfolio!$M$1=1,CONCATENATE(A43,C43),CONCATENATE(B43,C43))</f>
        <v>ALFA GROUP202402</v>
      </c>
      <c r="F43">
        <v>18711</v>
      </c>
      <c r="G43">
        <v>69672</v>
      </c>
      <c r="H43">
        <v>6467</v>
      </c>
      <c r="I43">
        <v>0</v>
      </c>
      <c r="J43">
        <v>0</v>
      </c>
      <c r="K43">
        <v>1834226830</v>
      </c>
      <c r="L43">
        <v>7534741654</v>
      </c>
      <c r="M43">
        <v>1007979531</v>
      </c>
      <c r="N43">
        <v>0</v>
      </c>
      <c r="O43">
        <v>0</v>
      </c>
      <c r="P43">
        <v>2751338</v>
      </c>
      <c r="Q43">
        <v>75041769</v>
      </c>
      <c r="R43">
        <v>18127681</v>
      </c>
      <c r="S43">
        <v>0</v>
      </c>
      <c r="T43">
        <v>0</v>
      </c>
    </row>
    <row r="44" spans="1:20" x14ac:dyDescent="0.25">
      <c r="A44" t="s">
        <v>67</v>
      </c>
      <c r="B44" t="s">
        <v>69</v>
      </c>
      <c r="C44">
        <v>202402</v>
      </c>
      <c r="D44" s="47" t="str">
        <f>MID(C44,1,4)</f>
        <v>2024</v>
      </c>
      <c r="E44" t="str">
        <f>IF(Portfolio!$M$1=1,CONCATENATE(A44,C44),CONCATENATE(B44,C44))</f>
        <v>ALFA GROUP202402</v>
      </c>
      <c r="F44">
        <v>20</v>
      </c>
      <c r="G44">
        <v>87</v>
      </c>
      <c r="H44">
        <v>9</v>
      </c>
      <c r="I44">
        <v>0</v>
      </c>
      <c r="J44">
        <v>0</v>
      </c>
      <c r="K44">
        <v>3020277</v>
      </c>
      <c r="L44">
        <v>12257675</v>
      </c>
      <c r="M44">
        <v>3035829</v>
      </c>
      <c r="N44">
        <v>0</v>
      </c>
      <c r="O44">
        <v>0</v>
      </c>
      <c r="P44">
        <v>4530</v>
      </c>
      <c r="Q44">
        <v>117438</v>
      </c>
      <c r="R44">
        <v>54645</v>
      </c>
      <c r="S44">
        <v>0</v>
      </c>
      <c r="T44">
        <v>0</v>
      </c>
    </row>
    <row r="45" spans="1:20" x14ac:dyDescent="0.25">
      <c r="A45" t="s">
        <v>67</v>
      </c>
      <c r="B45" t="s">
        <v>72</v>
      </c>
      <c r="C45">
        <v>202402</v>
      </c>
      <c r="D45" s="47" t="str">
        <f>MID(C45,1,4)</f>
        <v>2024</v>
      </c>
      <c r="E45" t="str">
        <f>IF(Portfolio!$M$1=1,CONCATENATE(A45,C45),CONCATENATE(B45,C45))</f>
        <v>ALFA GROUP202402</v>
      </c>
      <c r="F45">
        <v>269</v>
      </c>
      <c r="G45">
        <v>922</v>
      </c>
      <c r="H45">
        <v>57</v>
      </c>
      <c r="I45">
        <v>0</v>
      </c>
      <c r="J45">
        <v>0</v>
      </c>
      <c r="K45">
        <v>43390401</v>
      </c>
      <c r="L45">
        <v>147615575</v>
      </c>
      <c r="M45">
        <v>12998700</v>
      </c>
      <c r="N45">
        <v>0</v>
      </c>
      <c r="O45">
        <v>0</v>
      </c>
      <c r="P45">
        <v>65086</v>
      </c>
      <c r="Q45">
        <v>1463539</v>
      </c>
      <c r="R45">
        <v>233431</v>
      </c>
      <c r="S45">
        <v>0</v>
      </c>
      <c r="T45">
        <v>0</v>
      </c>
    </row>
    <row r="46" spans="1:20" x14ac:dyDescent="0.25">
      <c r="A46" t="s">
        <v>70</v>
      </c>
      <c r="B46" t="s">
        <v>70</v>
      </c>
      <c r="C46">
        <v>202402</v>
      </c>
      <c r="D46" s="47" t="str">
        <f>MID(C46,1,4)</f>
        <v>2024</v>
      </c>
      <c r="E46" t="str">
        <f>IF(Portfolio!$M$1=1,CONCATENATE(A46,C46),CONCATENATE(B46,C46))</f>
        <v>ANCOL202402</v>
      </c>
      <c r="F46">
        <v>16</v>
      </c>
      <c r="G46">
        <v>2</v>
      </c>
      <c r="H46">
        <v>0</v>
      </c>
      <c r="I46">
        <v>0</v>
      </c>
      <c r="J46">
        <v>0</v>
      </c>
      <c r="K46">
        <v>367400</v>
      </c>
      <c r="L46">
        <v>500600</v>
      </c>
      <c r="M46">
        <v>0</v>
      </c>
      <c r="N46">
        <v>0</v>
      </c>
      <c r="O46">
        <v>0</v>
      </c>
      <c r="P46">
        <v>551</v>
      </c>
      <c r="Q46">
        <v>5006</v>
      </c>
      <c r="R46">
        <v>0</v>
      </c>
      <c r="S46">
        <v>0</v>
      </c>
      <c r="T46">
        <v>0</v>
      </c>
    </row>
    <row r="47" spans="1:20" x14ac:dyDescent="0.25">
      <c r="A47" t="s">
        <v>73</v>
      </c>
      <c r="B47" t="s">
        <v>73</v>
      </c>
      <c r="C47">
        <v>202402</v>
      </c>
      <c r="D47" s="47" t="str">
        <f>MID(C47,1,4)</f>
        <v>2024</v>
      </c>
      <c r="E47" t="str">
        <f>IF(Portfolio!$M$1=1,CONCATENATE(A47,C47),CONCATENATE(B47,C47))</f>
        <v>BANBAN TEA202402</v>
      </c>
      <c r="F47">
        <v>307</v>
      </c>
      <c r="G47">
        <v>0</v>
      </c>
      <c r="H47">
        <v>0</v>
      </c>
      <c r="I47">
        <v>0</v>
      </c>
      <c r="J47">
        <v>0</v>
      </c>
      <c r="K47">
        <v>15172642</v>
      </c>
      <c r="L47">
        <v>0</v>
      </c>
      <c r="M47">
        <v>0</v>
      </c>
      <c r="N47">
        <v>0</v>
      </c>
      <c r="O47">
        <v>0</v>
      </c>
      <c r="P47">
        <v>22758</v>
      </c>
      <c r="Q47">
        <v>0</v>
      </c>
      <c r="R47">
        <v>0</v>
      </c>
      <c r="S47">
        <v>0</v>
      </c>
      <c r="T47">
        <v>0</v>
      </c>
    </row>
    <row r="48" spans="1:20" x14ac:dyDescent="0.25">
      <c r="A48" t="s">
        <v>74</v>
      </c>
      <c r="B48" t="s">
        <v>74</v>
      </c>
      <c r="C48">
        <v>202402</v>
      </c>
      <c r="D48" s="47" t="str">
        <f>MID(C48,1,4)</f>
        <v>2024</v>
      </c>
      <c r="E48" t="str">
        <f>IF(Portfolio!$M$1=1,CONCATENATE(A48,C48),CONCATENATE(B48,C48))</f>
        <v>BEARD PAPA202402</v>
      </c>
      <c r="F48">
        <v>3</v>
      </c>
      <c r="G48">
        <v>0</v>
      </c>
      <c r="H48">
        <v>0</v>
      </c>
      <c r="I48">
        <v>0</v>
      </c>
      <c r="J48">
        <v>0</v>
      </c>
      <c r="K48">
        <v>124000</v>
      </c>
      <c r="L48">
        <v>0</v>
      </c>
      <c r="M48">
        <v>0</v>
      </c>
      <c r="N48">
        <v>0</v>
      </c>
      <c r="O48">
        <v>0</v>
      </c>
      <c r="P48">
        <v>186</v>
      </c>
      <c r="Q48">
        <v>0</v>
      </c>
      <c r="R48">
        <v>0</v>
      </c>
      <c r="S48">
        <v>0</v>
      </c>
      <c r="T48">
        <v>0</v>
      </c>
    </row>
    <row r="49" spans="1:20" x14ac:dyDescent="0.25">
      <c r="A49" t="s">
        <v>75</v>
      </c>
      <c r="B49" t="s">
        <v>77</v>
      </c>
      <c r="C49">
        <v>202402</v>
      </c>
      <c r="D49" s="47" t="str">
        <f>MID(C49,1,4)</f>
        <v>2024</v>
      </c>
      <c r="E49" t="str">
        <f>IF(Portfolio!$M$1=1,CONCATENATE(A49,C49),CONCATENATE(B49,C49))</f>
        <v>CHAMP RESTO202402</v>
      </c>
      <c r="F49">
        <v>29</v>
      </c>
      <c r="G49">
        <v>0</v>
      </c>
      <c r="H49">
        <v>0</v>
      </c>
      <c r="I49">
        <v>0</v>
      </c>
      <c r="J49">
        <v>0</v>
      </c>
      <c r="K49">
        <v>504800</v>
      </c>
      <c r="L49">
        <v>0</v>
      </c>
      <c r="M49">
        <v>0</v>
      </c>
      <c r="N49">
        <v>0</v>
      </c>
      <c r="O49">
        <v>0</v>
      </c>
      <c r="P49">
        <v>757</v>
      </c>
      <c r="Q49">
        <v>0</v>
      </c>
      <c r="R49">
        <v>0</v>
      </c>
      <c r="S49">
        <v>0</v>
      </c>
      <c r="T49">
        <v>0</v>
      </c>
    </row>
    <row r="50" spans="1:20" x14ac:dyDescent="0.25">
      <c r="A50" t="s">
        <v>75</v>
      </c>
      <c r="B50" t="s">
        <v>79</v>
      </c>
      <c r="C50">
        <v>202402</v>
      </c>
      <c r="D50" s="47" t="str">
        <f>MID(C50,1,4)</f>
        <v>2024</v>
      </c>
      <c r="E50" t="str">
        <f>IF(Portfolio!$M$1=1,CONCATENATE(A50,C50),CONCATENATE(B50,C50))</f>
        <v>CHAMP RESTO202402</v>
      </c>
      <c r="F50">
        <v>1</v>
      </c>
      <c r="G50">
        <v>0</v>
      </c>
      <c r="H50">
        <v>0</v>
      </c>
      <c r="I50">
        <v>0</v>
      </c>
      <c r="J50">
        <v>0</v>
      </c>
      <c r="K50">
        <v>254947</v>
      </c>
      <c r="L50">
        <v>0</v>
      </c>
      <c r="M50">
        <v>0</v>
      </c>
      <c r="N50">
        <v>0</v>
      </c>
      <c r="O50">
        <v>0</v>
      </c>
      <c r="P50">
        <v>382</v>
      </c>
      <c r="Q50">
        <v>0</v>
      </c>
      <c r="R50">
        <v>0</v>
      </c>
      <c r="S50">
        <v>0</v>
      </c>
      <c r="T50">
        <v>0</v>
      </c>
    </row>
    <row r="51" spans="1:20" x14ac:dyDescent="0.25">
      <c r="A51" t="s">
        <v>75</v>
      </c>
      <c r="B51" t="s">
        <v>81</v>
      </c>
      <c r="C51">
        <v>202402</v>
      </c>
      <c r="D51" s="47" t="str">
        <f>MID(C51,1,4)</f>
        <v>2024</v>
      </c>
      <c r="E51" t="str">
        <f>IF(Portfolio!$M$1=1,CONCATENATE(A51,C51),CONCATENATE(B51,C51))</f>
        <v>CHAMP RESTO202402</v>
      </c>
      <c r="F51">
        <v>9</v>
      </c>
      <c r="G51">
        <v>0</v>
      </c>
      <c r="H51">
        <v>0</v>
      </c>
      <c r="I51">
        <v>0</v>
      </c>
      <c r="J51">
        <v>0</v>
      </c>
      <c r="K51">
        <v>989097</v>
      </c>
      <c r="L51">
        <v>0</v>
      </c>
      <c r="M51">
        <v>0</v>
      </c>
      <c r="N51">
        <v>0</v>
      </c>
      <c r="O51">
        <v>0</v>
      </c>
      <c r="P51">
        <v>1484</v>
      </c>
      <c r="Q51">
        <v>0</v>
      </c>
      <c r="R51">
        <v>0</v>
      </c>
      <c r="S51">
        <v>0</v>
      </c>
      <c r="T51">
        <v>0</v>
      </c>
    </row>
    <row r="52" spans="1:20" x14ac:dyDescent="0.25">
      <c r="A52" t="s">
        <v>75</v>
      </c>
      <c r="B52" t="s">
        <v>83</v>
      </c>
      <c r="C52">
        <v>202402</v>
      </c>
      <c r="D52" s="47" t="str">
        <f>MID(C52,1,4)</f>
        <v>2024</v>
      </c>
      <c r="E52" t="str">
        <f>IF(Portfolio!$M$1=1,CONCATENATE(A52,C52),CONCATENATE(B52,C52))</f>
        <v>CHAMP RESTO202402</v>
      </c>
      <c r="F52">
        <v>0</v>
      </c>
      <c r="G52">
        <v>64</v>
      </c>
      <c r="H52">
        <v>3</v>
      </c>
      <c r="I52">
        <v>0</v>
      </c>
      <c r="J52">
        <v>1</v>
      </c>
      <c r="K52">
        <v>0</v>
      </c>
      <c r="L52">
        <v>9890750</v>
      </c>
      <c r="M52">
        <v>623550</v>
      </c>
      <c r="N52">
        <v>0</v>
      </c>
      <c r="O52">
        <v>250000</v>
      </c>
      <c r="P52">
        <v>0</v>
      </c>
      <c r="Q52">
        <v>93419</v>
      </c>
      <c r="R52">
        <v>12471</v>
      </c>
      <c r="S52">
        <v>0</v>
      </c>
      <c r="T52">
        <v>1750</v>
      </c>
    </row>
    <row r="53" spans="1:20" x14ac:dyDescent="0.25">
      <c r="A53" t="s">
        <v>75</v>
      </c>
      <c r="B53" t="s">
        <v>85</v>
      </c>
      <c r="C53">
        <v>202402</v>
      </c>
      <c r="D53" s="47" t="str">
        <f>MID(C53,1,4)</f>
        <v>2024</v>
      </c>
      <c r="E53" t="str">
        <f>IF(Portfolio!$M$1=1,CONCATENATE(A53,C53),CONCATENATE(B53,C53))</f>
        <v>CHAMP RESTO202402</v>
      </c>
      <c r="F53">
        <v>4678</v>
      </c>
      <c r="G53">
        <v>162</v>
      </c>
      <c r="H53">
        <v>1</v>
      </c>
      <c r="I53">
        <v>0</v>
      </c>
      <c r="J53">
        <v>0</v>
      </c>
      <c r="K53">
        <v>60360267</v>
      </c>
      <c r="L53">
        <v>27171774</v>
      </c>
      <c r="M53">
        <v>157680</v>
      </c>
      <c r="N53">
        <v>0</v>
      </c>
      <c r="O53">
        <v>0</v>
      </c>
      <c r="P53">
        <v>90540</v>
      </c>
      <c r="Q53">
        <v>272678</v>
      </c>
      <c r="R53">
        <v>2838</v>
      </c>
      <c r="S53">
        <v>0</v>
      </c>
      <c r="T53">
        <v>0</v>
      </c>
    </row>
    <row r="54" spans="1:20" x14ac:dyDescent="0.25">
      <c r="A54" t="s">
        <v>75</v>
      </c>
      <c r="B54" t="s">
        <v>91</v>
      </c>
      <c r="C54">
        <v>202402</v>
      </c>
      <c r="D54" s="47" t="str">
        <f>MID(C54,1,4)</f>
        <v>2024</v>
      </c>
      <c r="E54" t="str">
        <f>IF(Portfolio!$M$1=1,CONCATENATE(A54,C54),CONCATENATE(B54,C54))</f>
        <v>CHAMP RESTO202402</v>
      </c>
      <c r="F54">
        <v>6</v>
      </c>
      <c r="G54">
        <v>1</v>
      </c>
      <c r="H54">
        <v>0</v>
      </c>
      <c r="I54">
        <v>0</v>
      </c>
      <c r="J54">
        <v>0</v>
      </c>
      <c r="K54">
        <v>298142</v>
      </c>
      <c r="L54">
        <v>209302</v>
      </c>
      <c r="M54">
        <v>0</v>
      </c>
      <c r="N54">
        <v>0</v>
      </c>
      <c r="O54">
        <v>0</v>
      </c>
      <c r="P54">
        <v>447</v>
      </c>
      <c r="Q54">
        <v>2093</v>
      </c>
      <c r="R54">
        <v>0</v>
      </c>
      <c r="S54">
        <v>0</v>
      </c>
      <c r="T54">
        <v>0</v>
      </c>
    </row>
    <row r="55" spans="1:20" x14ac:dyDescent="0.25">
      <c r="A55" t="s">
        <v>75</v>
      </c>
      <c r="B55" t="s">
        <v>93</v>
      </c>
      <c r="C55">
        <v>202402</v>
      </c>
      <c r="D55" s="47" t="str">
        <f>MID(C55,1,4)</f>
        <v>2024</v>
      </c>
      <c r="E55" t="str">
        <f>IF(Portfolio!$M$1=1,CONCATENATE(A55,C55),CONCATENATE(B55,C55))</f>
        <v>CHAMP RESTO202402</v>
      </c>
      <c r="F55">
        <v>496</v>
      </c>
      <c r="G55">
        <v>3</v>
      </c>
      <c r="H55">
        <v>0</v>
      </c>
      <c r="I55">
        <v>0</v>
      </c>
      <c r="J55">
        <v>0</v>
      </c>
      <c r="K55">
        <v>10624600</v>
      </c>
      <c r="L55">
        <v>1609800</v>
      </c>
      <c r="M55">
        <v>0</v>
      </c>
      <c r="N55">
        <v>0</v>
      </c>
      <c r="O55">
        <v>0</v>
      </c>
      <c r="P55">
        <v>15937</v>
      </c>
      <c r="Q55">
        <v>16098</v>
      </c>
      <c r="R55">
        <v>0</v>
      </c>
      <c r="S55">
        <v>0</v>
      </c>
      <c r="T55">
        <v>0</v>
      </c>
    </row>
    <row r="56" spans="1:20" x14ac:dyDescent="0.25">
      <c r="A56" t="s">
        <v>75</v>
      </c>
      <c r="B56" t="s">
        <v>95</v>
      </c>
      <c r="C56">
        <v>202402</v>
      </c>
      <c r="D56" s="47" t="str">
        <f>MID(C56,1,4)</f>
        <v>2024</v>
      </c>
      <c r="E56" t="str">
        <f>IF(Portfolio!$M$1=1,CONCATENATE(A56,C56),CONCATENATE(B56,C56))</f>
        <v>CHAMP RESTO202402</v>
      </c>
      <c r="F56">
        <v>1614</v>
      </c>
      <c r="G56">
        <v>28</v>
      </c>
      <c r="H56">
        <v>0</v>
      </c>
      <c r="I56">
        <v>0</v>
      </c>
      <c r="J56">
        <v>0</v>
      </c>
      <c r="K56">
        <v>45568823</v>
      </c>
      <c r="L56">
        <v>7678230</v>
      </c>
      <c r="M56">
        <v>0</v>
      </c>
      <c r="N56">
        <v>0</v>
      </c>
      <c r="O56">
        <v>0</v>
      </c>
      <c r="P56">
        <v>68353</v>
      </c>
      <c r="Q56">
        <v>76782</v>
      </c>
      <c r="R56">
        <v>0</v>
      </c>
      <c r="S56">
        <v>0</v>
      </c>
      <c r="T56">
        <v>0</v>
      </c>
    </row>
    <row r="57" spans="1:20" x14ac:dyDescent="0.25">
      <c r="A57" t="s">
        <v>84</v>
      </c>
      <c r="B57" t="s">
        <v>84</v>
      </c>
      <c r="C57">
        <v>202402</v>
      </c>
      <c r="D57" s="47" t="str">
        <f>MID(C57,1,4)</f>
        <v>2024</v>
      </c>
      <c r="E57" t="str">
        <f>IF(Portfolio!$M$1=1,CONCATENATE(A57,C57),CONCATENATE(B57,C57))</f>
        <v>ES TELLER 77202402</v>
      </c>
      <c r="F57">
        <v>123</v>
      </c>
      <c r="G57">
        <v>122</v>
      </c>
      <c r="H57">
        <v>0</v>
      </c>
      <c r="I57">
        <v>1692</v>
      </c>
      <c r="J57">
        <v>32</v>
      </c>
      <c r="K57">
        <v>14506100</v>
      </c>
      <c r="L57">
        <v>15987500</v>
      </c>
      <c r="M57">
        <v>0</v>
      </c>
      <c r="N57">
        <v>13547028</v>
      </c>
      <c r="O57">
        <v>3889098</v>
      </c>
      <c r="P57">
        <v>21759</v>
      </c>
      <c r="Q57">
        <v>159875</v>
      </c>
      <c r="R57">
        <v>0</v>
      </c>
      <c r="S57">
        <v>94818</v>
      </c>
      <c r="T57">
        <v>27224</v>
      </c>
    </row>
    <row r="58" spans="1:20" x14ac:dyDescent="0.25">
      <c r="A58" t="s">
        <v>86</v>
      </c>
      <c r="B58" t="s">
        <v>86</v>
      </c>
      <c r="C58">
        <v>202402</v>
      </c>
      <c r="D58" s="47" t="str">
        <f>MID(C58,1,4)</f>
        <v>2024</v>
      </c>
      <c r="E58" t="str">
        <f>IF(Portfolio!$M$1=1,CONCATENATE(A58,C58),CONCATENATE(B58,C58))</f>
        <v>GRAMEDIA202402</v>
      </c>
      <c r="F58">
        <v>114</v>
      </c>
      <c r="G58">
        <v>1185</v>
      </c>
      <c r="H58">
        <v>22</v>
      </c>
      <c r="I58">
        <v>91</v>
      </c>
      <c r="J58">
        <v>5569</v>
      </c>
      <c r="K58">
        <v>27021475</v>
      </c>
      <c r="L58">
        <v>342137245</v>
      </c>
      <c r="M58">
        <v>10483700</v>
      </c>
      <c r="N58">
        <v>17268200</v>
      </c>
      <c r="O58">
        <v>977659396</v>
      </c>
      <c r="P58">
        <v>40532</v>
      </c>
      <c r="Q58">
        <v>3557633</v>
      </c>
      <c r="R58">
        <v>188707</v>
      </c>
      <c r="S58">
        <v>120877</v>
      </c>
      <c r="T58">
        <v>6843606</v>
      </c>
    </row>
    <row r="59" spans="1:20" x14ac:dyDescent="0.25">
      <c r="A59" t="s">
        <v>88</v>
      </c>
      <c r="B59" t="s">
        <v>88</v>
      </c>
      <c r="C59">
        <v>202402</v>
      </c>
      <c r="D59" s="47" t="str">
        <f>MID(C59,1,4)</f>
        <v>2024</v>
      </c>
      <c r="E59" t="str">
        <f>IF(Portfolio!$M$1=1,CONCATENATE(A59,C59),CONCATENATE(B59,C59))</f>
        <v>HAUS202402</v>
      </c>
      <c r="F59">
        <v>0</v>
      </c>
      <c r="G59">
        <v>23</v>
      </c>
      <c r="H59">
        <v>0</v>
      </c>
      <c r="I59">
        <v>0</v>
      </c>
      <c r="J59">
        <v>0</v>
      </c>
      <c r="K59">
        <v>0</v>
      </c>
      <c r="L59">
        <v>972994</v>
      </c>
      <c r="M59">
        <v>0</v>
      </c>
      <c r="N59">
        <v>0</v>
      </c>
      <c r="O59">
        <v>0</v>
      </c>
      <c r="P59">
        <v>0</v>
      </c>
      <c r="Q59">
        <v>10114</v>
      </c>
      <c r="R59">
        <v>0</v>
      </c>
      <c r="S59">
        <v>0</v>
      </c>
      <c r="T59">
        <v>0</v>
      </c>
    </row>
    <row r="60" spans="1:20" x14ac:dyDescent="0.25">
      <c r="A60" t="s">
        <v>92</v>
      </c>
      <c r="B60" t="s">
        <v>108</v>
      </c>
      <c r="C60">
        <v>202402</v>
      </c>
      <c r="D60" s="47" t="str">
        <f>MID(C60,1,4)</f>
        <v>2024</v>
      </c>
      <c r="E60" t="str">
        <f>IF(Portfolio!$M$1=1,CONCATENATE(A60,C60),CONCATENATE(B60,C60))</f>
        <v>HERO GROUP202402</v>
      </c>
      <c r="F60">
        <v>99</v>
      </c>
      <c r="G60">
        <v>119</v>
      </c>
      <c r="H60">
        <v>5</v>
      </c>
      <c r="I60">
        <v>0</v>
      </c>
      <c r="J60">
        <v>0</v>
      </c>
      <c r="K60">
        <v>34574478</v>
      </c>
      <c r="L60">
        <v>54495353</v>
      </c>
      <c r="M60">
        <v>1756746</v>
      </c>
      <c r="N60">
        <v>0</v>
      </c>
      <c r="O60">
        <v>0</v>
      </c>
      <c r="P60">
        <v>51862</v>
      </c>
      <c r="Q60">
        <v>540033</v>
      </c>
      <c r="R60">
        <v>35135</v>
      </c>
      <c r="S60">
        <v>0</v>
      </c>
      <c r="T60">
        <v>0</v>
      </c>
    </row>
    <row r="61" spans="1:20" x14ac:dyDescent="0.25">
      <c r="A61" t="s">
        <v>97</v>
      </c>
      <c r="B61" t="s">
        <v>97</v>
      </c>
      <c r="C61">
        <v>202402</v>
      </c>
      <c r="D61" s="47" t="str">
        <f>MID(C61,1,4)</f>
        <v>2024</v>
      </c>
      <c r="E61" t="str">
        <f>IF(Portfolio!$M$1=1,CONCATENATE(A61,C61),CONCATENATE(B61,C61))</f>
        <v>HOP HOP202402</v>
      </c>
      <c r="F61">
        <v>0</v>
      </c>
      <c r="G61">
        <v>0</v>
      </c>
      <c r="H61">
        <v>0</v>
      </c>
      <c r="I61">
        <v>22</v>
      </c>
      <c r="J61">
        <v>2984</v>
      </c>
      <c r="K61">
        <v>0</v>
      </c>
      <c r="L61">
        <v>0</v>
      </c>
      <c r="M61">
        <v>0</v>
      </c>
      <c r="N61">
        <v>716000</v>
      </c>
      <c r="O61">
        <v>100204200</v>
      </c>
      <c r="P61">
        <v>0</v>
      </c>
      <c r="Q61">
        <v>0</v>
      </c>
      <c r="R61">
        <v>0</v>
      </c>
      <c r="S61">
        <v>5012</v>
      </c>
      <c r="T61">
        <v>701429</v>
      </c>
    </row>
    <row r="62" spans="1:20" x14ac:dyDescent="0.25">
      <c r="A62" t="s">
        <v>99</v>
      </c>
      <c r="B62" t="s">
        <v>99</v>
      </c>
      <c r="C62">
        <v>202402</v>
      </c>
      <c r="D62" s="47" t="str">
        <f>MID(C62,1,4)</f>
        <v>2024</v>
      </c>
      <c r="E62" t="str">
        <f>IF(Portfolio!$M$1=1,CONCATENATE(A62,C62),CONCATENATE(B62,C62))</f>
        <v>IKEA202402</v>
      </c>
      <c r="F62">
        <v>17</v>
      </c>
      <c r="G62">
        <v>0</v>
      </c>
      <c r="H62">
        <v>0</v>
      </c>
      <c r="I62">
        <v>0</v>
      </c>
      <c r="J62">
        <v>0</v>
      </c>
      <c r="K62">
        <v>4269300</v>
      </c>
      <c r="L62">
        <v>0</v>
      </c>
      <c r="M62">
        <v>0</v>
      </c>
      <c r="N62">
        <v>0</v>
      </c>
      <c r="O62">
        <v>0</v>
      </c>
      <c r="P62">
        <v>6404</v>
      </c>
      <c r="Q62">
        <v>0</v>
      </c>
      <c r="R62">
        <v>0</v>
      </c>
      <c r="S62">
        <v>0</v>
      </c>
      <c r="T62">
        <v>0</v>
      </c>
    </row>
    <row r="63" spans="1:20" x14ac:dyDescent="0.25">
      <c r="A63" t="s">
        <v>101</v>
      </c>
      <c r="B63" t="s">
        <v>101</v>
      </c>
      <c r="C63">
        <v>202402</v>
      </c>
      <c r="D63" s="47" t="str">
        <f>MID(C63,1,4)</f>
        <v>2024</v>
      </c>
      <c r="E63" t="str">
        <f>IF(Portfolio!$M$1=1,CONCATENATE(A63,C63),CONCATENATE(B63,C63))</f>
        <v>INDOMARET202402</v>
      </c>
      <c r="F63">
        <v>148425</v>
      </c>
      <c r="G63">
        <v>75453</v>
      </c>
      <c r="H63">
        <v>1586</v>
      </c>
      <c r="I63">
        <v>0</v>
      </c>
      <c r="J63">
        <v>25</v>
      </c>
      <c r="K63">
        <v>5577567229</v>
      </c>
      <c r="L63">
        <v>6620210309</v>
      </c>
      <c r="M63">
        <v>174314500</v>
      </c>
      <c r="N63">
        <v>0</v>
      </c>
      <c r="O63">
        <v>907000</v>
      </c>
      <c r="P63">
        <v>8366348</v>
      </c>
      <c r="Q63">
        <v>66241429</v>
      </c>
      <c r="R63">
        <v>3010647</v>
      </c>
      <c r="S63">
        <v>0</v>
      </c>
      <c r="T63">
        <v>2721</v>
      </c>
    </row>
    <row r="64" spans="1:20" x14ac:dyDescent="0.25">
      <c r="A64" t="s">
        <v>101</v>
      </c>
      <c r="B64" t="s">
        <v>117</v>
      </c>
      <c r="C64">
        <v>202402</v>
      </c>
      <c r="D64" s="47" t="str">
        <f>MID(C64,1,4)</f>
        <v>2024</v>
      </c>
      <c r="E64" t="str">
        <f>IF(Portfolio!$M$1=1,CONCATENATE(A64,C64),CONCATENATE(B64,C64))</f>
        <v>INDOMARET202402</v>
      </c>
      <c r="F64">
        <v>261</v>
      </c>
      <c r="G64">
        <v>406</v>
      </c>
      <c r="H64">
        <v>7</v>
      </c>
      <c r="I64">
        <v>0</v>
      </c>
      <c r="J64">
        <v>0</v>
      </c>
      <c r="K64">
        <v>13149221</v>
      </c>
      <c r="L64">
        <v>30550350</v>
      </c>
      <c r="M64">
        <v>386700</v>
      </c>
      <c r="N64">
        <v>0</v>
      </c>
      <c r="O64">
        <v>0</v>
      </c>
      <c r="P64">
        <v>19724</v>
      </c>
      <c r="Q64">
        <v>306231</v>
      </c>
      <c r="R64">
        <v>6381</v>
      </c>
      <c r="S64">
        <v>0</v>
      </c>
      <c r="T64">
        <v>0</v>
      </c>
    </row>
    <row r="65" spans="1:20" x14ac:dyDescent="0.25">
      <c r="A65" t="s">
        <v>102</v>
      </c>
      <c r="B65" t="s">
        <v>121</v>
      </c>
      <c r="C65">
        <v>202402</v>
      </c>
      <c r="D65" s="47" t="str">
        <f>MID(C65,1,4)</f>
        <v>2024</v>
      </c>
      <c r="E65" t="str">
        <f>IF(Portfolio!$M$1=1,CONCATENATE(A65,C65),CONCATENATE(B65,C65))</f>
        <v>KAWAN LAMA202402</v>
      </c>
      <c r="F65">
        <v>4</v>
      </c>
      <c r="G65">
        <v>0</v>
      </c>
      <c r="H65">
        <v>0</v>
      </c>
      <c r="I65">
        <v>0</v>
      </c>
      <c r="J65">
        <v>0</v>
      </c>
      <c r="K65">
        <v>374000</v>
      </c>
      <c r="L65">
        <v>0</v>
      </c>
      <c r="M65">
        <v>0</v>
      </c>
      <c r="N65">
        <v>0</v>
      </c>
      <c r="O65">
        <v>0</v>
      </c>
      <c r="P65">
        <v>561</v>
      </c>
      <c r="Q65">
        <v>0</v>
      </c>
      <c r="R65">
        <v>0</v>
      </c>
      <c r="S65">
        <v>0</v>
      </c>
      <c r="T65">
        <v>0</v>
      </c>
    </row>
    <row r="66" spans="1:20" x14ac:dyDescent="0.25">
      <c r="A66" t="s">
        <v>102</v>
      </c>
      <c r="B66" t="s">
        <v>123</v>
      </c>
      <c r="C66">
        <v>202402</v>
      </c>
      <c r="D66" s="47" t="str">
        <f>MID(C66,1,4)</f>
        <v>2024</v>
      </c>
      <c r="E66" t="str">
        <f>IF(Portfolio!$M$1=1,CONCATENATE(A66,C66),CONCATENATE(B66,C66))</f>
        <v>KAWAN LAMA202402</v>
      </c>
      <c r="F66">
        <v>2155</v>
      </c>
      <c r="G66">
        <v>0</v>
      </c>
      <c r="H66">
        <v>0</v>
      </c>
      <c r="I66">
        <v>0</v>
      </c>
      <c r="J66">
        <v>0</v>
      </c>
      <c r="K66">
        <v>1754679789</v>
      </c>
      <c r="L66">
        <v>0</v>
      </c>
      <c r="M66">
        <v>0</v>
      </c>
      <c r="N66">
        <v>0</v>
      </c>
      <c r="O66">
        <v>0</v>
      </c>
      <c r="P66">
        <v>2632016</v>
      </c>
      <c r="Q66">
        <v>0</v>
      </c>
      <c r="R66">
        <v>0</v>
      </c>
      <c r="S66">
        <v>0</v>
      </c>
      <c r="T66">
        <v>0</v>
      </c>
    </row>
    <row r="67" spans="1:20" x14ac:dyDescent="0.25">
      <c r="A67" t="s">
        <v>102</v>
      </c>
      <c r="B67" t="s">
        <v>125</v>
      </c>
      <c r="C67">
        <v>202402</v>
      </c>
      <c r="D67" s="47" t="str">
        <f>MID(C67,1,4)</f>
        <v>2024</v>
      </c>
      <c r="E67" t="str">
        <f>IF(Portfolio!$M$1=1,CONCATENATE(A67,C67),CONCATENATE(B67,C67))</f>
        <v>KAWAN LAMA202402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25">
      <c r="A68" t="s">
        <v>102</v>
      </c>
      <c r="B68" t="s">
        <v>135</v>
      </c>
      <c r="C68">
        <v>202402</v>
      </c>
      <c r="D68" s="47" t="str">
        <f>MID(C68,1,4)</f>
        <v>2024</v>
      </c>
      <c r="E68" t="str">
        <f>IF(Portfolio!$M$1=1,CONCATENATE(A68,C68),CONCATENATE(B68,C68))</f>
        <v>KAWAN LAMA202402</v>
      </c>
      <c r="F68">
        <v>615</v>
      </c>
      <c r="G68">
        <v>0</v>
      </c>
      <c r="H68">
        <v>0</v>
      </c>
      <c r="I68">
        <v>0</v>
      </c>
      <c r="J68">
        <v>0</v>
      </c>
      <c r="K68">
        <v>1560367135</v>
      </c>
      <c r="L68">
        <v>0</v>
      </c>
      <c r="M68">
        <v>0</v>
      </c>
      <c r="N68">
        <v>0</v>
      </c>
      <c r="O68">
        <v>0</v>
      </c>
      <c r="P68">
        <v>2340550</v>
      </c>
      <c r="Q68">
        <v>0</v>
      </c>
      <c r="R68">
        <v>0</v>
      </c>
      <c r="S68">
        <v>0</v>
      </c>
      <c r="T68">
        <v>0</v>
      </c>
    </row>
    <row r="69" spans="1:20" x14ac:dyDescent="0.25">
      <c r="A69" t="s">
        <v>102</v>
      </c>
      <c r="B69" t="s">
        <v>137</v>
      </c>
      <c r="C69">
        <v>202402</v>
      </c>
      <c r="D69" s="47" t="str">
        <f>MID(C69,1,4)</f>
        <v>2024</v>
      </c>
      <c r="E69" t="str">
        <f>IF(Portfolio!$M$1=1,CONCATENATE(A69,C69),CONCATENATE(B69,C69))</f>
        <v>KAWAN LAMA202402</v>
      </c>
      <c r="F69">
        <v>22</v>
      </c>
      <c r="G69">
        <v>0</v>
      </c>
      <c r="H69">
        <v>0</v>
      </c>
      <c r="I69">
        <v>0</v>
      </c>
      <c r="J69">
        <v>0</v>
      </c>
      <c r="K69">
        <v>91729310</v>
      </c>
      <c r="L69">
        <v>0</v>
      </c>
      <c r="M69">
        <v>0</v>
      </c>
      <c r="N69">
        <v>0</v>
      </c>
      <c r="O69">
        <v>0</v>
      </c>
      <c r="P69">
        <v>137594</v>
      </c>
      <c r="Q69">
        <v>0</v>
      </c>
      <c r="R69">
        <v>0</v>
      </c>
      <c r="S69">
        <v>0</v>
      </c>
      <c r="T69">
        <v>0</v>
      </c>
    </row>
    <row r="70" spans="1:20" x14ac:dyDescent="0.25">
      <c r="A70" t="s">
        <v>102</v>
      </c>
      <c r="B70" t="s">
        <v>142</v>
      </c>
      <c r="C70">
        <v>202402</v>
      </c>
      <c r="D70" s="47" t="str">
        <f>MID(C70,1,4)</f>
        <v>2024</v>
      </c>
      <c r="E70" t="str">
        <f>IF(Portfolio!$M$1=1,CONCATENATE(A70,C70),CONCATENATE(B70,C70))</f>
        <v>KAWAN LAMA202402</v>
      </c>
      <c r="F70">
        <v>2</v>
      </c>
      <c r="G70">
        <v>0</v>
      </c>
      <c r="H70">
        <v>0</v>
      </c>
      <c r="I70">
        <v>0</v>
      </c>
      <c r="J70">
        <v>0</v>
      </c>
      <c r="K70">
        <v>3704872</v>
      </c>
      <c r="L70">
        <v>0</v>
      </c>
      <c r="M70">
        <v>0</v>
      </c>
      <c r="N70">
        <v>0</v>
      </c>
      <c r="O70">
        <v>0</v>
      </c>
      <c r="P70">
        <v>5557</v>
      </c>
      <c r="Q70">
        <v>0</v>
      </c>
      <c r="R70">
        <v>0</v>
      </c>
      <c r="S70">
        <v>0</v>
      </c>
      <c r="T70">
        <v>0</v>
      </c>
    </row>
    <row r="71" spans="1:20" x14ac:dyDescent="0.25">
      <c r="A71" t="s">
        <v>103</v>
      </c>
      <c r="B71" t="s">
        <v>146</v>
      </c>
      <c r="C71">
        <v>202402</v>
      </c>
      <c r="D71" s="47" t="str">
        <f>MID(C71,1,4)</f>
        <v>2024</v>
      </c>
      <c r="E71" t="str">
        <f>IF(Portfolio!$M$1=1,CONCATENATE(A71,C71),CONCATENATE(B71,C71))</f>
        <v>KCIC202402</v>
      </c>
      <c r="F71">
        <v>42</v>
      </c>
      <c r="G71">
        <v>1431</v>
      </c>
      <c r="H71">
        <v>136</v>
      </c>
      <c r="I71">
        <v>0</v>
      </c>
      <c r="J71">
        <v>0</v>
      </c>
      <c r="K71">
        <v>20875000</v>
      </c>
      <c r="L71">
        <v>907200000</v>
      </c>
      <c r="M71">
        <v>98300000</v>
      </c>
      <c r="N71">
        <v>0</v>
      </c>
      <c r="O71">
        <v>0</v>
      </c>
      <c r="P71">
        <v>31312</v>
      </c>
      <c r="Q71">
        <v>9916000</v>
      </c>
      <c r="R71">
        <v>1769400</v>
      </c>
      <c r="S71">
        <v>0</v>
      </c>
      <c r="T71">
        <v>0</v>
      </c>
    </row>
    <row r="72" spans="1:20" x14ac:dyDescent="0.25">
      <c r="A72" t="s">
        <v>104</v>
      </c>
      <c r="B72" t="s">
        <v>147</v>
      </c>
      <c r="C72">
        <v>202402</v>
      </c>
      <c r="D72" s="47" t="str">
        <f>MID(C72,1,4)</f>
        <v>2024</v>
      </c>
      <c r="E72" t="str">
        <f>IF(Portfolio!$M$1=1,CONCATENATE(A72,C72),CONCATENATE(B72,C72))</f>
        <v>KIMIA FARMA202402</v>
      </c>
      <c r="F72">
        <v>116</v>
      </c>
      <c r="G72">
        <v>1176</v>
      </c>
      <c r="H72">
        <v>66</v>
      </c>
      <c r="I72">
        <v>0</v>
      </c>
      <c r="J72">
        <v>0</v>
      </c>
      <c r="K72">
        <v>34809159</v>
      </c>
      <c r="L72">
        <v>327614900</v>
      </c>
      <c r="M72">
        <v>22409911</v>
      </c>
      <c r="N72">
        <v>0</v>
      </c>
      <c r="O72">
        <v>0</v>
      </c>
      <c r="P72">
        <v>52213</v>
      </c>
      <c r="Q72">
        <v>3275747</v>
      </c>
      <c r="R72">
        <v>403378</v>
      </c>
      <c r="S72">
        <v>0</v>
      </c>
      <c r="T72">
        <v>0</v>
      </c>
    </row>
    <row r="73" spans="1:20" x14ac:dyDescent="0.25">
      <c r="A73" t="s">
        <v>107</v>
      </c>
      <c r="B73" t="s">
        <v>178</v>
      </c>
      <c r="C73">
        <v>202402</v>
      </c>
      <c r="D73" s="47" t="str">
        <f>MID(C73,1,4)</f>
        <v>2024</v>
      </c>
      <c r="E73" t="str">
        <f>IF(Portfolio!$M$1=1,CONCATENATE(A73,C73),CONCATENATE(B73,C73))</f>
        <v>MAP GROUP202402</v>
      </c>
      <c r="F73">
        <v>0</v>
      </c>
      <c r="G73">
        <v>15</v>
      </c>
      <c r="H73">
        <v>0</v>
      </c>
      <c r="I73">
        <v>1</v>
      </c>
      <c r="J73">
        <v>18</v>
      </c>
      <c r="K73">
        <v>0</v>
      </c>
      <c r="L73">
        <v>2725600</v>
      </c>
      <c r="M73">
        <v>0</v>
      </c>
      <c r="N73">
        <v>6300</v>
      </c>
      <c r="O73">
        <v>2943400</v>
      </c>
      <c r="P73">
        <v>0</v>
      </c>
      <c r="Q73">
        <v>27256</v>
      </c>
      <c r="R73">
        <v>0</v>
      </c>
      <c r="S73">
        <v>44</v>
      </c>
      <c r="T73">
        <v>20603</v>
      </c>
    </row>
    <row r="74" spans="1:20" x14ac:dyDescent="0.25">
      <c r="A74" t="s">
        <v>107</v>
      </c>
      <c r="B74" t="s">
        <v>201</v>
      </c>
      <c r="C74">
        <v>202402</v>
      </c>
      <c r="D74" s="47" t="str">
        <f>MID(C74,1,4)</f>
        <v>2024</v>
      </c>
      <c r="E74" t="str">
        <f>IF(Portfolio!$M$1=1,CONCATENATE(A74,C74),CONCATENATE(B74,C74))</f>
        <v>MAP GROUP202402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480000</v>
      </c>
      <c r="M74">
        <v>0</v>
      </c>
      <c r="N74">
        <v>0</v>
      </c>
      <c r="O74">
        <v>0</v>
      </c>
      <c r="P74">
        <v>0</v>
      </c>
      <c r="Q74">
        <v>4800</v>
      </c>
      <c r="R74">
        <v>0</v>
      </c>
      <c r="S74">
        <v>0</v>
      </c>
      <c r="T74">
        <v>0</v>
      </c>
    </row>
    <row r="75" spans="1:20" x14ac:dyDescent="0.25">
      <c r="A75" t="s">
        <v>107</v>
      </c>
      <c r="B75" t="s">
        <v>208</v>
      </c>
      <c r="C75">
        <v>202402</v>
      </c>
      <c r="D75" s="47" t="str">
        <f>MID(C75,1,4)</f>
        <v>2024</v>
      </c>
      <c r="E75" t="str">
        <f>IF(Portfolio!$M$1=1,CONCATENATE(A75,C75),CONCATENATE(B75,C75))</f>
        <v>MAP GROUP202402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45500</v>
      </c>
      <c r="M75">
        <v>0</v>
      </c>
      <c r="N75">
        <v>0</v>
      </c>
      <c r="O75">
        <v>0</v>
      </c>
      <c r="P75">
        <v>0</v>
      </c>
      <c r="Q75">
        <v>455</v>
      </c>
      <c r="R75">
        <v>0</v>
      </c>
      <c r="S75">
        <v>0</v>
      </c>
      <c r="T75">
        <v>0</v>
      </c>
    </row>
    <row r="76" spans="1:20" x14ac:dyDescent="0.25">
      <c r="A76" t="s">
        <v>109</v>
      </c>
      <c r="B76" t="s">
        <v>109</v>
      </c>
      <c r="C76">
        <v>202402</v>
      </c>
      <c r="D76" s="47" t="str">
        <f>MID(C76,1,4)</f>
        <v>2024</v>
      </c>
      <c r="E76" t="str">
        <f>IF(Portfolio!$M$1=1,CONCATENATE(A76,C76),CONCATENATE(B76,C76))</f>
        <v>MITRA10202402</v>
      </c>
      <c r="F76">
        <v>803</v>
      </c>
      <c r="G76">
        <v>3</v>
      </c>
      <c r="H76">
        <v>0</v>
      </c>
      <c r="I76">
        <v>0</v>
      </c>
      <c r="J76">
        <v>0</v>
      </c>
      <c r="K76">
        <v>1744214423</v>
      </c>
      <c r="L76">
        <v>6013700</v>
      </c>
      <c r="M76">
        <v>0</v>
      </c>
      <c r="N76">
        <v>0</v>
      </c>
      <c r="O76">
        <v>0</v>
      </c>
      <c r="P76">
        <v>2616319</v>
      </c>
      <c r="Q76">
        <v>89293</v>
      </c>
      <c r="R76">
        <v>0</v>
      </c>
      <c r="S76">
        <v>0</v>
      </c>
      <c r="T76">
        <v>0</v>
      </c>
    </row>
    <row r="77" spans="1:20" x14ac:dyDescent="0.25">
      <c r="A77" t="s">
        <v>110</v>
      </c>
      <c r="B77" t="s">
        <v>110</v>
      </c>
      <c r="C77">
        <v>202402</v>
      </c>
      <c r="D77" s="47" t="str">
        <f>MID(C77,1,4)</f>
        <v>2024</v>
      </c>
      <c r="E77" t="str">
        <f>IF(Portfolio!$M$1=1,CONCATENATE(A77,C77),CONCATENATE(B77,C77))</f>
        <v>OPTIK MELAWAI202402</v>
      </c>
      <c r="F77">
        <v>64</v>
      </c>
      <c r="G77">
        <v>329</v>
      </c>
      <c r="H77">
        <v>5</v>
      </c>
      <c r="I77">
        <v>0</v>
      </c>
      <c r="J77">
        <v>0</v>
      </c>
      <c r="K77">
        <v>97922500</v>
      </c>
      <c r="L77">
        <v>497241500</v>
      </c>
      <c r="M77">
        <v>2056500</v>
      </c>
      <c r="N77">
        <v>0</v>
      </c>
      <c r="O77">
        <v>0</v>
      </c>
      <c r="P77">
        <v>146884</v>
      </c>
      <c r="Q77">
        <v>5022873</v>
      </c>
      <c r="R77">
        <v>37247</v>
      </c>
      <c r="S77">
        <v>0</v>
      </c>
      <c r="T77">
        <v>0</v>
      </c>
    </row>
    <row r="78" spans="1:20" x14ac:dyDescent="0.25">
      <c r="A78" t="s">
        <v>112</v>
      </c>
      <c r="B78" t="s">
        <v>215</v>
      </c>
      <c r="C78">
        <v>202402</v>
      </c>
      <c r="D78" s="47" t="str">
        <f>MID(C78,1,4)</f>
        <v>2024</v>
      </c>
      <c r="E78" t="str">
        <f>IF(Portfolio!$M$1=1,CONCATENATE(A78,C78),CONCATENATE(B78,C78))</f>
        <v>PERTAMINA RETAIL202402</v>
      </c>
      <c r="F78">
        <v>31</v>
      </c>
      <c r="G78">
        <v>6307</v>
      </c>
      <c r="H78">
        <v>44</v>
      </c>
      <c r="I78">
        <v>0</v>
      </c>
      <c r="J78">
        <v>0</v>
      </c>
      <c r="K78">
        <v>1892175</v>
      </c>
      <c r="L78">
        <v>751868886</v>
      </c>
      <c r="M78">
        <v>7284300</v>
      </c>
      <c r="N78">
        <v>0</v>
      </c>
      <c r="O78">
        <v>0</v>
      </c>
      <c r="P78">
        <v>2838</v>
      </c>
      <c r="Q78">
        <v>7378764</v>
      </c>
      <c r="R78">
        <v>131117</v>
      </c>
      <c r="S78">
        <v>0</v>
      </c>
      <c r="T78">
        <v>0</v>
      </c>
    </row>
    <row r="79" spans="1:20" x14ac:dyDescent="0.25">
      <c r="A79" t="s">
        <v>112</v>
      </c>
      <c r="B79" t="s">
        <v>216</v>
      </c>
      <c r="C79">
        <v>202402</v>
      </c>
      <c r="D79" s="47" t="str">
        <f>MID(C79,1,4)</f>
        <v>2024</v>
      </c>
      <c r="E79" t="str">
        <f>IF(Portfolio!$M$1=1,CONCATENATE(A79,C79),CONCATENATE(B79,C79))</f>
        <v>PERTAMINA RETAIL202402</v>
      </c>
      <c r="F79">
        <v>778</v>
      </c>
      <c r="G79">
        <v>144659</v>
      </c>
      <c r="H79">
        <v>69</v>
      </c>
      <c r="I79">
        <v>10</v>
      </c>
      <c r="J79">
        <v>526</v>
      </c>
      <c r="K79">
        <v>174257578</v>
      </c>
      <c r="L79">
        <v>33733935186</v>
      </c>
      <c r="M79">
        <v>59520878</v>
      </c>
      <c r="N79">
        <v>1855000</v>
      </c>
      <c r="O79">
        <v>41838786</v>
      </c>
      <c r="P79">
        <v>261386</v>
      </c>
      <c r="Q79">
        <v>163108810</v>
      </c>
      <c r="R79">
        <v>1071376</v>
      </c>
      <c r="S79">
        <v>7420</v>
      </c>
      <c r="T79">
        <v>167352</v>
      </c>
    </row>
    <row r="80" spans="1:20" x14ac:dyDescent="0.25">
      <c r="A80" t="s">
        <v>114</v>
      </c>
      <c r="B80" t="s">
        <v>217</v>
      </c>
      <c r="C80">
        <v>202402</v>
      </c>
      <c r="D80" s="47" t="str">
        <f>MID(C80,1,4)</f>
        <v>2024</v>
      </c>
      <c r="E80" t="str">
        <f>IF(Portfolio!$M$1=1,CONCATENATE(A80,C80),CONCATENATE(B80,C80))</f>
        <v>PIZZA HUT202402</v>
      </c>
      <c r="F80">
        <v>42</v>
      </c>
      <c r="G80">
        <v>0</v>
      </c>
      <c r="H80">
        <v>0</v>
      </c>
      <c r="I80">
        <v>0</v>
      </c>
      <c r="J80">
        <v>0</v>
      </c>
      <c r="K80">
        <v>6656512</v>
      </c>
      <c r="L80">
        <v>0</v>
      </c>
      <c r="M80">
        <v>0</v>
      </c>
      <c r="N80">
        <v>0</v>
      </c>
      <c r="O80">
        <v>0</v>
      </c>
      <c r="P80">
        <v>9985</v>
      </c>
      <c r="Q80">
        <v>0</v>
      </c>
      <c r="R80">
        <v>0</v>
      </c>
      <c r="S80">
        <v>0</v>
      </c>
      <c r="T80">
        <v>0</v>
      </c>
    </row>
    <row r="81" spans="1:20" x14ac:dyDescent="0.25">
      <c r="A81" t="s">
        <v>114</v>
      </c>
      <c r="B81" t="s">
        <v>218</v>
      </c>
      <c r="C81">
        <v>202402</v>
      </c>
      <c r="D81" s="47" t="str">
        <f>MID(C81,1,4)</f>
        <v>2024</v>
      </c>
      <c r="E81" t="str">
        <f>IF(Portfolio!$M$1=1,CONCATENATE(A81,C81),CONCATENATE(B81,C81))</f>
        <v>PIZZA HUT202402</v>
      </c>
      <c r="F81">
        <v>271</v>
      </c>
      <c r="G81">
        <v>0</v>
      </c>
      <c r="H81">
        <v>0</v>
      </c>
      <c r="I81">
        <v>0</v>
      </c>
      <c r="J81">
        <v>0</v>
      </c>
      <c r="K81">
        <v>71622665</v>
      </c>
      <c r="L81">
        <v>0</v>
      </c>
      <c r="M81">
        <v>0</v>
      </c>
      <c r="N81">
        <v>0</v>
      </c>
      <c r="O81">
        <v>0</v>
      </c>
      <c r="P81">
        <v>107433</v>
      </c>
      <c r="Q81">
        <v>0</v>
      </c>
      <c r="R81">
        <v>0</v>
      </c>
      <c r="S81">
        <v>0</v>
      </c>
      <c r="T81">
        <v>0</v>
      </c>
    </row>
    <row r="82" spans="1:20" x14ac:dyDescent="0.25">
      <c r="A82" t="s">
        <v>115</v>
      </c>
      <c r="B82" t="s">
        <v>115</v>
      </c>
      <c r="C82">
        <v>202402</v>
      </c>
      <c r="D82" s="47" t="str">
        <f>MID(C82,1,4)</f>
        <v>2024</v>
      </c>
      <c r="E82" t="str">
        <f>IF(Portfolio!$M$1=1,CONCATENATE(A82,C82),CONCATENATE(B82,C82))</f>
        <v>PLATINUM CINEPLEX202402</v>
      </c>
      <c r="F82">
        <v>392</v>
      </c>
      <c r="G82">
        <v>45</v>
      </c>
      <c r="H82">
        <v>0</v>
      </c>
      <c r="I82">
        <v>0</v>
      </c>
      <c r="J82">
        <v>0</v>
      </c>
      <c r="K82">
        <v>8633800</v>
      </c>
      <c r="L82">
        <v>5112000</v>
      </c>
      <c r="M82">
        <v>0</v>
      </c>
      <c r="N82">
        <v>0</v>
      </c>
      <c r="O82">
        <v>0</v>
      </c>
      <c r="P82">
        <v>12951</v>
      </c>
      <c r="Q82">
        <v>51120</v>
      </c>
      <c r="R82">
        <v>0</v>
      </c>
      <c r="S82">
        <v>0</v>
      </c>
      <c r="T82">
        <v>0</v>
      </c>
    </row>
    <row r="83" spans="1:20" x14ac:dyDescent="0.25">
      <c r="A83" t="s">
        <v>118</v>
      </c>
      <c r="B83" t="s">
        <v>118</v>
      </c>
      <c r="C83">
        <v>202402</v>
      </c>
      <c r="D83" s="47" t="str">
        <f>MID(C83,1,4)</f>
        <v>2024</v>
      </c>
      <c r="E83" t="str">
        <f>IF(Portfolio!$M$1=1,CONCATENATE(A83,C83),CONCATENATE(B83,C83))</f>
        <v>SARINAH202402</v>
      </c>
      <c r="F83">
        <v>24</v>
      </c>
      <c r="G83">
        <v>600</v>
      </c>
      <c r="H83">
        <v>131</v>
      </c>
      <c r="I83">
        <v>0</v>
      </c>
      <c r="J83">
        <v>0</v>
      </c>
      <c r="K83">
        <v>6862008</v>
      </c>
      <c r="L83">
        <v>682459828</v>
      </c>
      <c r="M83">
        <v>116686295</v>
      </c>
      <c r="N83">
        <v>0</v>
      </c>
      <c r="O83">
        <v>0</v>
      </c>
      <c r="P83">
        <v>10293</v>
      </c>
      <c r="Q83">
        <v>8896364</v>
      </c>
      <c r="R83">
        <v>2100353</v>
      </c>
      <c r="S83">
        <v>0</v>
      </c>
      <c r="T83">
        <v>0</v>
      </c>
    </row>
    <row r="84" spans="1:20" x14ac:dyDescent="0.25">
      <c r="A84" t="s">
        <v>120</v>
      </c>
      <c r="B84" t="s">
        <v>120</v>
      </c>
      <c r="C84">
        <v>202402</v>
      </c>
      <c r="D84" s="47" t="str">
        <f>MID(C84,1,4)</f>
        <v>2024</v>
      </c>
      <c r="E84" t="str">
        <f>IF(Portfolio!$M$1=1,CONCATENATE(A84,C84),CONCATENATE(B84,C84))</f>
        <v>SHIHLIN202402</v>
      </c>
      <c r="F84">
        <v>127</v>
      </c>
      <c r="G84">
        <v>15</v>
      </c>
      <c r="H84">
        <v>0</v>
      </c>
      <c r="I84">
        <v>5407</v>
      </c>
      <c r="J84">
        <v>94</v>
      </c>
      <c r="K84">
        <v>7758889</v>
      </c>
      <c r="L84">
        <v>1104000</v>
      </c>
      <c r="M84">
        <v>0</v>
      </c>
      <c r="N84">
        <v>42592854</v>
      </c>
      <c r="O84">
        <v>3844834</v>
      </c>
      <c r="P84">
        <v>11638</v>
      </c>
      <c r="Q84">
        <v>11592</v>
      </c>
      <c r="R84">
        <v>0</v>
      </c>
      <c r="S84">
        <v>298098</v>
      </c>
      <c r="T84">
        <v>26913</v>
      </c>
    </row>
    <row r="85" spans="1:20" x14ac:dyDescent="0.25">
      <c r="A85" t="s">
        <v>122</v>
      </c>
      <c r="B85" t="s">
        <v>122</v>
      </c>
      <c r="C85">
        <v>202402</v>
      </c>
      <c r="D85" s="47" t="str">
        <f>MID(C85,1,4)</f>
        <v>2024</v>
      </c>
      <c r="E85" t="str">
        <f>IF(Portfolio!$M$1=1,CONCATENATE(A85,C85),CONCATENATE(B85,C85))</f>
        <v>SOLARIA202402</v>
      </c>
      <c r="F85">
        <v>2704</v>
      </c>
      <c r="G85">
        <v>0</v>
      </c>
      <c r="H85">
        <v>0</v>
      </c>
      <c r="I85">
        <v>0</v>
      </c>
      <c r="J85">
        <v>0</v>
      </c>
      <c r="K85">
        <v>470332000</v>
      </c>
      <c r="L85">
        <v>0</v>
      </c>
      <c r="M85">
        <v>0</v>
      </c>
      <c r="N85">
        <v>0</v>
      </c>
      <c r="O85">
        <v>0</v>
      </c>
      <c r="P85">
        <v>705498</v>
      </c>
      <c r="Q85">
        <v>0</v>
      </c>
      <c r="R85">
        <v>0</v>
      </c>
      <c r="S85">
        <v>0</v>
      </c>
      <c r="T85">
        <v>0</v>
      </c>
    </row>
    <row r="86" spans="1:20" x14ac:dyDescent="0.25">
      <c r="A86" t="s">
        <v>124</v>
      </c>
      <c r="B86" t="s">
        <v>124</v>
      </c>
      <c r="C86">
        <v>202402</v>
      </c>
      <c r="D86" s="47" t="str">
        <f>MID(C86,1,4)</f>
        <v>2024</v>
      </c>
      <c r="E86" t="str">
        <f>IF(Portfolio!$M$1=1,CONCATENATE(A86,C86),CONCATENATE(B86,C86))</f>
        <v>SOUR SALLY202402</v>
      </c>
      <c r="F86">
        <v>44</v>
      </c>
      <c r="G86">
        <v>2</v>
      </c>
      <c r="H86">
        <v>0</v>
      </c>
      <c r="I86">
        <v>0</v>
      </c>
      <c r="J86">
        <v>0</v>
      </c>
      <c r="K86">
        <v>2858700</v>
      </c>
      <c r="L86">
        <v>295300</v>
      </c>
      <c r="M86">
        <v>0</v>
      </c>
      <c r="N86">
        <v>0</v>
      </c>
      <c r="O86">
        <v>0</v>
      </c>
      <c r="P86">
        <v>4288</v>
      </c>
      <c r="Q86">
        <v>2953</v>
      </c>
      <c r="R86">
        <v>0</v>
      </c>
      <c r="S86">
        <v>0</v>
      </c>
      <c r="T86">
        <v>0</v>
      </c>
    </row>
    <row r="87" spans="1:20" x14ac:dyDescent="0.25">
      <c r="A87" t="s">
        <v>126</v>
      </c>
      <c r="B87" t="s">
        <v>220</v>
      </c>
      <c r="C87">
        <v>202402</v>
      </c>
      <c r="D87" s="47" t="str">
        <f>MID(C87,1,4)</f>
        <v>2024</v>
      </c>
      <c r="E87" t="str">
        <f>IF(Portfolio!$M$1=1,CONCATENATE(A87,C87),CONCATENATE(B87,C87))</f>
        <v>STEVEN GROUP202402</v>
      </c>
      <c r="F87">
        <v>0</v>
      </c>
      <c r="G87">
        <v>0</v>
      </c>
      <c r="H87">
        <v>0</v>
      </c>
      <c r="I87">
        <v>0</v>
      </c>
      <c r="J87">
        <v>9</v>
      </c>
      <c r="K87">
        <v>0</v>
      </c>
      <c r="L87">
        <v>0</v>
      </c>
      <c r="M87">
        <v>0</v>
      </c>
      <c r="N87">
        <v>0</v>
      </c>
      <c r="O87">
        <v>880000</v>
      </c>
      <c r="P87">
        <v>0</v>
      </c>
      <c r="Q87">
        <v>0</v>
      </c>
      <c r="R87">
        <v>0</v>
      </c>
      <c r="S87">
        <v>0</v>
      </c>
      <c r="T87">
        <v>2639</v>
      </c>
    </row>
    <row r="88" spans="1:20" x14ac:dyDescent="0.25">
      <c r="A88" t="s">
        <v>126</v>
      </c>
      <c r="B88" t="s">
        <v>224</v>
      </c>
      <c r="C88">
        <v>202402</v>
      </c>
      <c r="D88" s="47" t="str">
        <f>MID(C88,1,4)</f>
        <v>2024</v>
      </c>
      <c r="E88" t="str">
        <f>IF(Portfolio!$M$1=1,CONCATENATE(A88,C88),CONCATENATE(B88,C88))</f>
        <v>STEVEN GROUP202402</v>
      </c>
      <c r="F88">
        <v>3</v>
      </c>
      <c r="G88">
        <v>5</v>
      </c>
      <c r="H88">
        <v>0</v>
      </c>
      <c r="I88">
        <v>0</v>
      </c>
      <c r="J88">
        <v>0</v>
      </c>
      <c r="K88">
        <v>3110000</v>
      </c>
      <c r="L88">
        <v>5985000</v>
      </c>
      <c r="M88">
        <v>0</v>
      </c>
      <c r="N88">
        <v>0</v>
      </c>
      <c r="O88">
        <v>0</v>
      </c>
      <c r="P88">
        <v>4665</v>
      </c>
      <c r="Q88">
        <v>59850</v>
      </c>
      <c r="R88">
        <v>0</v>
      </c>
      <c r="S88">
        <v>0</v>
      </c>
      <c r="T88">
        <v>0</v>
      </c>
    </row>
    <row r="89" spans="1:20" x14ac:dyDescent="0.25">
      <c r="A89" t="s">
        <v>67</v>
      </c>
      <c r="B89" t="s">
        <v>68</v>
      </c>
      <c r="C89">
        <v>202403</v>
      </c>
      <c r="D89" s="47" t="str">
        <f>MID(C89,1,4)</f>
        <v>2024</v>
      </c>
      <c r="E89" t="str">
        <f>IF(Portfolio!$M$1=1,CONCATENATE(A89,C89),CONCATENATE(B89,C89))</f>
        <v>ALFA GROUP202403</v>
      </c>
      <c r="F89">
        <v>22044</v>
      </c>
      <c r="G89">
        <v>87405</v>
      </c>
      <c r="H89">
        <v>7716</v>
      </c>
      <c r="I89">
        <v>0</v>
      </c>
      <c r="J89">
        <v>0</v>
      </c>
      <c r="K89">
        <v>2476811481</v>
      </c>
      <c r="L89">
        <v>10245667040</v>
      </c>
      <c r="M89">
        <v>1318113659</v>
      </c>
      <c r="N89">
        <v>0</v>
      </c>
      <c r="O89">
        <v>0</v>
      </c>
      <c r="P89">
        <v>3715214</v>
      </c>
      <c r="Q89">
        <v>101474135</v>
      </c>
      <c r="R89">
        <v>23711670</v>
      </c>
      <c r="S89">
        <v>0</v>
      </c>
      <c r="T89">
        <v>0</v>
      </c>
    </row>
    <row r="90" spans="1:20" x14ac:dyDescent="0.25">
      <c r="A90" t="s">
        <v>67</v>
      </c>
      <c r="B90" t="s">
        <v>69</v>
      </c>
      <c r="C90">
        <v>202403</v>
      </c>
      <c r="D90" s="47" t="str">
        <f>MID(C90,1,4)</f>
        <v>2024</v>
      </c>
      <c r="E90" t="str">
        <f>IF(Portfolio!$M$1=1,CONCATENATE(A90,C90),CONCATENATE(B90,C90))</f>
        <v>ALFA GROUP202403</v>
      </c>
      <c r="F90">
        <v>22</v>
      </c>
      <c r="G90">
        <v>93</v>
      </c>
      <c r="H90">
        <v>12</v>
      </c>
      <c r="I90">
        <v>0</v>
      </c>
      <c r="J90">
        <v>0</v>
      </c>
      <c r="K90">
        <v>3010343</v>
      </c>
      <c r="L90">
        <v>14633940</v>
      </c>
      <c r="M90">
        <v>1826318</v>
      </c>
      <c r="N90">
        <v>0</v>
      </c>
      <c r="O90">
        <v>0</v>
      </c>
      <c r="P90">
        <v>4515</v>
      </c>
      <c r="Q90">
        <v>130271</v>
      </c>
      <c r="R90">
        <v>32874</v>
      </c>
      <c r="S90">
        <v>0</v>
      </c>
      <c r="T90">
        <v>0</v>
      </c>
    </row>
    <row r="91" spans="1:20" x14ac:dyDescent="0.25">
      <c r="A91" t="s">
        <v>67</v>
      </c>
      <c r="B91" t="s">
        <v>72</v>
      </c>
      <c r="C91">
        <v>202403</v>
      </c>
      <c r="D91" s="47" t="str">
        <f>MID(C91,1,4)</f>
        <v>2024</v>
      </c>
      <c r="E91" t="str">
        <f>IF(Portfolio!$M$1=1,CONCATENATE(A91,C91),CONCATENATE(B91,C91))</f>
        <v>ALFA GROUP202403</v>
      </c>
      <c r="F91">
        <v>299</v>
      </c>
      <c r="G91">
        <v>1068</v>
      </c>
      <c r="H91">
        <v>55</v>
      </c>
      <c r="I91">
        <v>0</v>
      </c>
      <c r="J91">
        <v>0</v>
      </c>
      <c r="K91">
        <v>51218015</v>
      </c>
      <c r="L91">
        <v>191644245</v>
      </c>
      <c r="M91">
        <v>10998518</v>
      </c>
      <c r="N91">
        <v>0</v>
      </c>
      <c r="O91">
        <v>0</v>
      </c>
      <c r="P91">
        <v>76827</v>
      </c>
      <c r="Q91">
        <v>1922245</v>
      </c>
      <c r="R91">
        <v>196813</v>
      </c>
      <c r="S91">
        <v>0</v>
      </c>
      <c r="T91">
        <v>0</v>
      </c>
    </row>
    <row r="92" spans="1:20" x14ac:dyDescent="0.25">
      <c r="A92" t="s">
        <v>70</v>
      </c>
      <c r="B92" t="s">
        <v>70</v>
      </c>
      <c r="C92">
        <v>202403</v>
      </c>
      <c r="D92" s="47" t="str">
        <f>MID(C92,1,4)</f>
        <v>2024</v>
      </c>
      <c r="E92" t="str">
        <f>IF(Portfolio!$M$1=1,CONCATENATE(A92,C92),CONCATENATE(B92,C92))</f>
        <v>ANCOL202403</v>
      </c>
      <c r="F92">
        <v>2</v>
      </c>
      <c r="G92">
        <v>6</v>
      </c>
      <c r="H92">
        <v>0</v>
      </c>
      <c r="I92">
        <v>0</v>
      </c>
      <c r="J92">
        <v>0</v>
      </c>
      <c r="K92">
        <v>30400</v>
      </c>
      <c r="L92">
        <v>672400</v>
      </c>
      <c r="M92">
        <v>0</v>
      </c>
      <c r="N92">
        <v>0</v>
      </c>
      <c r="O92">
        <v>0</v>
      </c>
      <c r="P92">
        <v>46</v>
      </c>
      <c r="Q92">
        <v>6724</v>
      </c>
      <c r="R92">
        <v>0</v>
      </c>
      <c r="S92">
        <v>0</v>
      </c>
      <c r="T92">
        <v>0</v>
      </c>
    </row>
    <row r="93" spans="1:20" x14ac:dyDescent="0.25">
      <c r="A93" t="s">
        <v>73</v>
      </c>
      <c r="B93" t="s">
        <v>73</v>
      </c>
      <c r="C93">
        <v>202403</v>
      </c>
      <c r="D93" s="47" t="str">
        <f>MID(C93,1,4)</f>
        <v>2024</v>
      </c>
      <c r="E93" t="str">
        <f>IF(Portfolio!$M$1=1,CONCATENATE(A93,C93),CONCATENATE(B93,C93))</f>
        <v>BANBAN TEA202403</v>
      </c>
      <c r="F93">
        <v>501</v>
      </c>
      <c r="G93">
        <v>3</v>
      </c>
      <c r="H93">
        <v>0</v>
      </c>
      <c r="I93">
        <v>188</v>
      </c>
      <c r="J93">
        <v>10</v>
      </c>
      <c r="K93">
        <v>26953610</v>
      </c>
      <c r="L93">
        <v>314148</v>
      </c>
      <c r="M93">
        <v>0</v>
      </c>
      <c r="N93">
        <v>1463551</v>
      </c>
      <c r="O93">
        <v>744158</v>
      </c>
      <c r="P93">
        <v>40429</v>
      </c>
      <c r="Q93">
        <v>3141</v>
      </c>
      <c r="R93">
        <v>0</v>
      </c>
      <c r="S93">
        <v>10243</v>
      </c>
      <c r="T93">
        <v>5209</v>
      </c>
    </row>
    <row r="94" spans="1:20" x14ac:dyDescent="0.25">
      <c r="A94" t="s">
        <v>74</v>
      </c>
      <c r="B94" t="s">
        <v>74</v>
      </c>
      <c r="C94">
        <v>202403</v>
      </c>
      <c r="D94" s="47" t="str">
        <f>MID(C94,1,4)</f>
        <v>2024</v>
      </c>
      <c r="E94" t="str">
        <f>IF(Portfolio!$M$1=1,CONCATENATE(A94,C94),CONCATENATE(B94,C94))</f>
        <v>BEARD PAPA202403</v>
      </c>
      <c r="F94">
        <v>8</v>
      </c>
      <c r="G94">
        <v>0</v>
      </c>
      <c r="H94">
        <v>0</v>
      </c>
      <c r="I94">
        <v>0</v>
      </c>
      <c r="J94">
        <v>0</v>
      </c>
      <c r="K94">
        <v>782000</v>
      </c>
      <c r="L94">
        <v>0</v>
      </c>
      <c r="M94">
        <v>0</v>
      </c>
      <c r="N94">
        <v>0</v>
      </c>
      <c r="O94">
        <v>0</v>
      </c>
      <c r="P94">
        <v>1173</v>
      </c>
      <c r="Q94">
        <v>0</v>
      </c>
      <c r="R94">
        <v>0</v>
      </c>
      <c r="S94">
        <v>0</v>
      </c>
      <c r="T94">
        <v>0</v>
      </c>
    </row>
    <row r="95" spans="1:20" x14ac:dyDescent="0.25">
      <c r="A95" t="s">
        <v>75</v>
      </c>
      <c r="B95" t="s">
        <v>77</v>
      </c>
      <c r="C95">
        <v>202403</v>
      </c>
      <c r="D95" s="47" t="str">
        <f>MID(C95,1,4)</f>
        <v>2024</v>
      </c>
      <c r="E95" t="str">
        <f>IF(Portfolio!$M$1=1,CONCATENATE(A95,C95),CONCATENATE(B95,C95))</f>
        <v>CHAMP RESTO202403</v>
      </c>
      <c r="F95">
        <v>4</v>
      </c>
      <c r="G95">
        <v>1</v>
      </c>
      <c r="H95">
        <v>0</v>
      </c>
      <c r="I95">
        <v>0</v>
      </c>
      <c r="J95">
        <v>0</v>
      </c>
      <c r="K95">
        <v>853875</v>
      </c>
      <c r="L95">
        <v>24000</v>
      </c>
      <c r="M95">
        <v>0</v>
      </c>
      <c r="N95">
        <v>0</v>
      </c>
      <c r="O95">
        <v>0</v>
      </c>
      <c r="P95">
        <v>1281</v>
      </c>
      <c r="Q95">
        <v>240</v>
      </c>
      <c r="R95">
        <v>0</v>
      </c>
      <c r="S95">
        <v>0</v>
      </c>
      <c r="T95">
        <v>0</v>
      </c>
    </row>
    <row r="96" spans="1:20" x14ac:dyDescent="0.25">
      <c r="A96" t="s">
        <v>75</v>
      </c>
      <c r="B96" t="s">
        <v>79</v>
      </c>
      <c r="C96">
        <v>202403</v>
      </c>
      <c r="D96" s="47" t="str">
        <f>MID(C96,1,4)</f>
        <v>2024</v>
      </c>
      <c r="E96" t="str">
        <f>IF(Portfolio!$M$1=1,CONCATENATE(A96,C96),CONCATENATE(B96,C96))</f>
        <v>CHAMP RESTO202403</v>
      </c>
      <c r="F96">
        <v>9</v>
      </c>
      <c r="G96">
        <v>0</v>
      </c>
      <c r="H96">
        <v>0</v>
      </c>
      <c r="I96">
        <v>0</v>
      </c>
      <c r="J96">
        <v>0</v>
      </c>
      <c r="K96">
        <v>4294042</v>
      </c>
      <c r="L96">
        <v>0</v>
      </c>
      <c r="M96">
        <v>0</v>
      </c>
      <c r="N96">
        <v>0</v>
      </c>
      <c r="O96">
        <v>0</v>
      </c>
      <c r="P96">
        <v>6441</v>
      </c>
      <c r="Q96">
        <v>0</v>
      </c>
      <c r="R96">
        <v>0</v>
      </c>
      <c r="S96">
        <v>0</v>
      </c>
      <c r="T96">
        <v>0</v>
      </c>
    </row>
    <row r="97" spans="1:20" x14ac:dyDescent="0.25">
      <c r="A97" t="s">
        <v>75</v>
      </c>
      <c r="B97" t="s">
        <v>81</v>
      </c>
      <c r="C97">
        <v>202403</v>
      </c>
      <c r="D97" s="47" t="str">
        <f>MID(C97,1,4)</f>
        <v>2024</v>
      </c>
      <c r="E97" t="str">
        <f>IF(Portfolio!$M$1=1,CONCATENATE(A97,C97),CONCATENATE(B97,C97))</f>
        <v>CHAMP RESTO202403</v>
      </c>
      <c r="F97">
        <v>5</v>
      </c>
      <c r="G97">
        <v>1</v>
      </c>
      <c r="H97">
        <v>0</v>
      </c>
      <c r="I97">
        <v>0</v>
      </c>
      <c r="J97">
        <v>0</v>
      </c>
      <c r="K97">
        <v>1611886</v>
      </c>
      <c r="L97">
        <v>271040</v>
      </c>
      <c r="M97">
        <v>0</v>
      </c>
      <c r="N97">
        <v>0</v>
      </c>
      <c r="O97">
        <v>0</v>
      </c>
      <c r="P97">
        <v>2418</v>
      </c>
      <c r="Q97">
        <v>2710</v>
      </c>
      <c r="R97">
        <v>0</v>
      </c>
      <c r="S97">
        <v>0</v>
      </c>
      <c r="T97">
        <v>0</v>
      </c>
    </row>
    <row r="98" spans="1:20" x14ac:dyDescent="0.25">
      <c r="A98" t="s">
        <v>75</v>
      </c>
      <c r="B98" t="s">
        <v>83</v>
      </c>
      <c r="C98">
        <v>202403</v>
      </c>
      <c r="D98" s="47" t="str">
        <f>MID(C98,1,4)</f>
        <v>2024</v>
      </c>
      <c r="E98" t="str">
        <f>IF(Portfolio!$M$1=1,CONCATENATE(A98,C98),CONCATENATE(B98,C98))</f>
        <v>CHAMP RESTO202403</v>
      </c>
      <c r="F98">
        <v>1</v>
      </c>
      <c r="G98">
        <v>29</v>
      </c>
      <c r="H98">
        <v>0</v>
      </c>
      <c r="I98">
        <v>0</v>
      </c>
      <c r="J98">
        <v>4</v>
      </c>
      <c r="K98">
        <v>1203135</v>
      </c>
      <c r="L98">
        <v>5300350</v>
      </c>
      <c r="M98">
        <v>0</v>
      </c>
      <c r="N98">
        <v>0</v>
      </c>
      <c r="O98">
        <v>280000</v>
      </c>
      <c r="P98">
        <v>1805</v>
      </c>
      <c r="Q98">
        <v>57490</v>
      </c>
      <c r="R98">
        <v>0</v>
      </c>
      <c r="S98">
        <v>0</v>
      </c>
      <c r="T98">
        <v>1960</v>
      </c>
    </row>
    <row r="99" spans="1:20" x14ac:dyDescent="0.25">
      <c r="A99" t="s">
        <v>75</v>
      </c>
      <c r="B99" t="s">
        <v>85</v>
      </c>
      <c r="C99">
        <v>202403</v>
      </c>
      <c r="D99" s="47" t="str">
        <f>MID(C99,1,4)</f>
        <v>2024</v>
      </c>
      <c r="E99" t="str">
        <f>IF(Portfolio!$M$1=1,CONCATENATE(A99,C99),CONCATENATE(B99,C99))</f>
        <v>CHAMP RESTO202403</v>
      </c>
      <c r="F99">
        <v>140</v>
      </c>
      <c r="G99">
        <v>121</v>
      </c>
      <c r="H99">
        <v>0</v>
      </c>
      <c r="I99">
        <v>0</v>
      </c>
      <c r="J99">
        <v>0</v>
      </c>
      <c r="K99">
        <v>30958871</v>
      </c>
      <c r="L99">
        <v>21645894</v>
      </c>
      <c r="M99">
        <v>0</v>
      </c>
      <c r="N99">
        <v>0</v>
      </c>
      <c r="O99">
        <v>0</v>
      </c>
      <c r="P99">
        <v>46438</v>
      </c>
      <c r="Q99">
        <v>216459</v>
      </c>
      <c r="R99">
        <v>0</v>
      </c>
      <c r="S99">
        <v>0</v>
      </c>
      <c r="T99">
        <v>0</v>
      </c>
    </row>
    <row r="100" spans="1:20" x14ac:dyDescent="0.25">
      <c r="A100" t="s">
        <v>75</v>
      </c>
      <c r="B100" t="s">
        <v>87</v>
      </c>
      <c r="C100">
        <v>202403</v>
      </c>
      <c r="D100" s="47" t="str">
        <f>MID(C100,1,4)</f>
        <v>2024</v>
      </c>
      <c r="E100" t="str">
        <f>IF(Portfolio!$M$1=1,CONCATENATE(A100,C100),CONCATENATE(B100,C100))</f>
        <v>CHAMP RESTO202403</v>
      </c>
      <c r="F100">
        <v>21</v>
      </c>
      <c r="G100">
        <v>12</v>
      </c>
      <c r="H100">
        <v>0</v>
      </c>
      <c r="I100">
        <v>0</v>
      </c>
      <c r="J100">
        <v>0</v>
      </c>
      <c r="K100">
        <v>8499598</v>
      </c>
      <c r="L100">
        <v>2572280</v>
      </c>
      <c r="M100">
        <v>0</v>
      </c>
      <c r="N100">
        <v>0</v>
      </c>
      <c r="O100">
        <v>0</v>
      </c>
      <c r="P100">
        <v>12749</v>
      </c>
      <c r="Q100">
        <v>25723</v>
      </c>
      <c r="R100">
        <v>0</v>
      </c>
      <c r="S100">
        <v>0</v>
      </c>
      <c r="T100">
        <v>0</v>
      </c>
    </row>
    <row r="101" spans="1:20" x14ac:dyDescent="0.25">
      <c r="A101" t="s">
        <v>75</v>
      </c>
      <c r="B101" t="s">
        <v>89</v>
      </c>
      <c r="C101">
        <v>202403</v>
      </c>
      <c r="D101" s="47" t="str">
        <f>MID(C101,1,4)</f>
        <v>2024</v>
      </c>
      <c r="E101" t="str">
        <f>IF(Portfolio!$M$1=1,CONCATENATE(A101,C101),CONCATENATE(B101,C101))</f>
        <v>CHAMP RESTO202403</v>
      </c>
      <c r="F101">
        <v>7</v>
      </c>
      <c r="G101">
        <v>0</v>
      </c>
      <c r="H101">
        <v>0</v>
      </c>
      <c r="I101">
        <v>0</v>
      </c>
      <c r="J101">
        <v>0</v>
      </c>
      <c r="K101">
        <v>2321747</v>
      </c>
      <c r="L101">
        <v>0</v>
      </c>
      <c r="M101">
        <v>0</v>
      </c>
      <c r="N101">
        <v>0</v>
      </c>
      <c r="O101">
        <v>0</v>
      </c>
      <c r="P101">
        <v>3483</v>
      </c>
      <c r="Q101">
        <v>0</v>
      </c>
      <c r="R101">
        <v>0</v>
      </c>
      <c r="S101">
        <v>0</v>
      </c>
      <c r="T101">
        <v>0</v>
      </c>
    </row>
    <row r="102" spans="1:20" x14ac:dyDescent="0.25">
      <c r="A102" t="s">
        <v>75</v>
      </c>
      <c r="B102" t="s">
        <v>91</v>
      </c>
      <c r="C102">
        <v>202403</v>
      </c>
      <c r="D102" s="47" t="str">
        <f>MID(C102,1,4)</f>
        <v>2024</v>
      </c>
      <c r="E102" t="str">
        <f>IF(Portfolio!$M$1=1,CONCATENATE(A102,C102),CONCATENATE(B102,C102))</f>
        <v>CHAMP RESTO202403</v>
      </c>
      <c r="F102">
        <v>42</v>
      </c>
      <c r="G102">
        <v>4</v>
      </c>
      <c r="H102">
        <v>0</v>
      </c>
      <c r="I102">
        <v>0</v>
      </c>
      <c r="J102">
        <v>0</v>
      </c>
      <c r="K102">
        <v>11123727</v>
      </c>
      <c r="L102">
        <v>1469930</v>
      </c>
      <c r="M102">
        <v>0</v>
      </c>
      <c r="N102">
        <v>0</v>
      </c>
      <c r="O102">
        <v>0</v>
      </c>
      <c r="P102">
        <v>16685</v>
      </c>
      <c r="Q102">
        <v>14699</v>
      </c>
      <c r="R102">
        <v>0</v>
      </c>
      <c r="S102">
        <v>0</v>
      </c>
      <c r="T102">
        <v>0</v>
      </c>
    </row>
    <row r="103" spans="1:20" x14ac:dyDescent="0.25">
      <c r="A103" t="s">
        <v>75</v>
      </c>
      <c r="B103" t="s">
        <v>93</v>
      </c>
      <c r="C103">
        <v>202403</v>
      </c>
      <c r="D103" s="47" t="str">
        <f>MID(C103,1,4)</f>
        <v>2024</v>
      </c>
      <c r="E103" t="str">
        <f>IF(Portfolio!$M$1=1,CONCATENATE(A103,C103),CONCATENATE(B103,C103))</f>
        <v>CHAMP RESTO202403</v>
      </c>
      <c r="F103">
        <v>37</v>
      </c>
      <c r="G103">
        <v>7</v>
      </c>
      <c r="H103">
        <v>0</v>
      </c>
      <c r="I103">
        <v>0</v>
      </c>
      <c r="J103">
        <v>0</v>
      </c>
      <c r="K103">
        <v>11321673</v>
      </c>
      <c r="L103">
        <v>1673000</v>
      </c>
      <c r="M103">
        <v>0</v>
      </c>
      <c r="N103">
        <v>0</v>
      </c>
      <c r="O103">
        <v>0</v>
      </c>
      <c r="P103">
        <v>16982</v>
      </c>
      <c r="Q103">
        <v>16730</v>
      </c>
      <c r="R103">
        <v>0</v>
      </c>
      <c r="S103">
        <v>0</v>
      </c>
      <c r="T103">
        <v>0</v>
      </c>
    </row>
    <row r="104" spans="1:20" x14ac:dyDescent="0.25">
      <c r="A104" t="s">
        <v>75</v>
      </c>
      <c r="B104" t="s">
        <v>95</v>
      </c>
      <c r="C104">
        <v>202403</v>
      </c>
      <c r="D104" s="47" t="str">
        <f>MID(C104,1,4)</f>
        <v>2024</v>
      </c>
      <c r="E104" t="str">
        <f>IF(Portfolio!$M$1=1,CONCATENATE(A104,C104),CONCATENATE(B104,C104))</f>
        <v>CHAMP RESTO202403</v>
      </c>
      <c r="F104">
        <v>460</v>
      </c>
      <c r="G104">
        <v>29</v>
      </c>
      <c r="H104">
        <v>0</v>
      </c>
      <c r="I104">
        <v>0</v>
      </c>
      <c r="J104">
        <v>0</v>
      </c>
      <c r="K104">
        <v>126904235</v>
      </c>
      <c r="L104">
        <v>10676039</v>
      </c>
      <c r="M104">
        <v>0</v>
      </c>
      <c r="N104">
        <v>0</v>
      </c>
      <c r="O104">
        <v>0</v>
      </c>
      <c r="P104">
        <v>190355</v>
      </c>
      <c r="Q104">
        <v>106760</v>
      </c>
      <c r="R104">
        <v>0</v>
      </c>
      <c r="S104">
        <v>0</v>
      </c>
      <c r="T104">
        <v>0</v>
      </c>
    </row>
    <row r="105" spans="1:20" x14ac:dyDescent="0.25">
      <c r="A105" t="s">
        <v>84</v>
      </c>
      <c r="B105" t="s">
        <v>84</v>
      </c>
      <c r="C105">
        <v>202403</v>
      </c>
      <c r="D105" s="47" t="str">
        <f>MID(C105,1,4)</f>
        <v>2024</v>
      </c>
      <c r="E105" t="str">
        <f>IF(Portfolio!$M$1=1,CONCATENATE(A105,C105),CONCATENATE(B105,C105))</f>
        <v>ES TELLER 77202403</v>
      </c>
      <c r="F105">
        <v>94</v>
      </c>
      <c r="G105">
        <v>82</v>
      </c>
      <c r="H105">
        <v>0</v>
      </c>
      <c r="I105">
        <v>79</v>
      </c>
      <c r="J105">
        <v>6</v>
      </c>
      <c r="K105">
        <v>10700400</v>
      </c>
      <c r="L105">
        <v>10615800</v>
      </c>
      <c r="M105">
        <v>0</v>
      </c>
      <c r="N105">
        <v>813200</v>
      </c>
      <c r="O105">
        <v>331000</v>
      </c>
      <c r="P105">
        <v>16051</v>
      </c>
      <c r="Q105">
        <v>106158</v>
      </c>
      <c r="R105">
        <v>0</v>
      </c>
      <c r="S105">
        <v>5692</v>
      </c>
      <c r="T105">
        <v>2317</v>
      </c>
    </row>
    <row r="106" spans="1:20" x14ac:dyDescent="0.25">
      <c r="A106" t="s">
        <v>86</v>
      </c>
      <c r="B106" t="s">
        <v>86</v>
      </c>
      <c r="C106">
        <v>202403</v>
      </c>
      <c r="D106" s="47" t="str">
        <f>MID(C106,1,4)</f>
        <v>2024</v>
      </c>
      <c r="E106" t="str">
        <f>IF(Portfolio!$M$1=1,CONCATENATE(A106,C106),CONCATENATE(B106,C106))</f>
        <v>GRAMEDIA202403</v>
      </c>
      <c r="F106">
        <v>159</v>
      </c>
      <c r="G106">
        <v>2625</v>
      </c>
      <c r="H106">
        <v>66</v>
      </c>
      <c r="I106">
        <v>125</v>
      </c>
      <c r="J106">
        <v>3619</v>
      </c>
      <c r="K106">
        <v>32775445</v>
      </c>
      <c r="L106">
        <v>649242960</v>
      </c>
      <c r="M106">
        <v>28636814</v>
      </c>
      <c r="N106">
        <v>9776750</v>
      </c>
      <c r="O106">
        <v>626736947</v>
      </c>
      <c r="P106">
        <v>49163</v>
      </c>
      <c r="Q106">
        <v>6501412</v>
      </c>
      <c r="R106">
        <v>524021</v>
      </c>
      <c r="S106">
        <v>68437</v>
      </c>
      <c r="T106">
        <v>4387152</v>
      </c>
    </row>
    <row r="107" spans="1:20" x14ac:dyDescent="0.25">
      <c r="A107" t="s">
        <v>88</v>
      </c>
      <c r="B107" t="s">
        <v>88</v>
      </c>
      <c r="C107">
        <v>202403</v>
      </c>
      <c r="D107" s="47" t="str">
        <f>MID(C107,1,4)</f>
        <v>2024</v>
      </c>
      <c r="E107" t="str">
        <f>IF(Portfolio!$M$1=1,CONCATENATE(A107,C107),CONCATENATE(B107,C107))</f>
        <v>HAUS202403</v>
      </c>
      <c r="F107">
        <v>1</v>
      </c>
      <c r="G107">
        <v>10</v>
      </c>
      <c r="H107">
        <v>0</v>
      </c>
      <c r="I107">
        <v>108</v>
      </c>
      <c r="J107">
        <v>0</v>
      </c>
      <c r="K107">
        <v>48000</v>
      </c>
      <c r="L107">
        <v>552000</v>
      </c>
      <c r="M107">
        <v>0</v>
      </c>
      <c r="N107">
        <v>799200</v>
      </c>
      <c r="O107">
        <v>0</v>
      </c>
      <c r="P107">
        <v>72</v>
      </c>
      <c r="Q107">
        <v>5520</v>
      </c>
      <c r="R107">
        <v>0</v>
      </c>
      <c r="S107">
        <v>5593</v>
      </c>
      <c r="T107">
        <v>0</v>
      </c>
    </row>
    <row r="108" spans="1:20" x14ac:dyDescent="0.25">
      <c r="A108" t="s">
        <v>90</v>
      </c>
      <c r="B108" t="s">
        <v>90</v>
      </c>
      <c r="C108">
        <v>202403</v>
      </c>
      <c r="D108" s="47" t="str">
        <f>MID(C108,1,4)</f>
        <v>2024</v>
      </c>
      <c r="E108" t="str">
        <f>IF(Portfolio!$M$1=1,CONCATENATE(A108,C108),CONCATENATE(B108,C108))</f>
        <v>HEAVENLY WANG202403</v>
      </c>
      <c r="F108">
        <v>2</v>
      </c>
      <c r="G108">
        <v>0</v>
      </c>
      <c r="H108">
        <v>0</v>
      </c>
      <c r="I108">
        <v>0</v>
      </c>
      <c r="J108">
        <v>0</v>
      </c>
      <c r="K108">
        <v>309540</v>
      </c>
      <c r="L108">
        <v>0</v>
      </c>
      <c r="M108">
        <v>0</v>
      </c>
      <c r="N108">
        <v>0</v>
      </c>
      <c r="O108">
        <v>0</v>
      </c>
      <c r="P108">
        <v>464</v>
      </c>
      <c r="Q108">
        <v>0</v>
      </c>
      <c r="R108">
        <v>0</v>
      </c>
      <c r="S108">
        <v>0</v>
      </c>
      <c r="T108">
        <v>0</v>
      </c>
    </row>
    <row r="109" spans="1:20" x14ac:dyDescent="0.25">
      <c r="A109" t="s">
        <v>92</v>
      </c>
      <c r="B109" t="s">
        <v>108</v>
      </c>
      <c r="C109">
        <v>202403</v>
      </c>
      <c r="D109" s="47" t="str">
        <f>MID(C109,1,4)</f>
        <v>2024</v>
      </c>
      <c r="E109" t="str">
        <f>IF(Portfolio!$M$1=1,CONCATENATE(A109,C109),CONCATENATE(B109,C109))</f>
        <v>HERO GROUP202403</v>
      </c>
      <c r="F109">
        <v>60</v>
      </c>
      <c r="G109">
        <v>55</v>
      </c>
      <c r="H109">
        <v>2</v>
      </c>
      <c r="I109">
        <v>1</v>
      </c>
      <c r="J109">
        <v>1</v>
      </c>
      <c r="K109">
        <v>31375758</v>
      </c>
      <c r="L109">
        <v>22069807</v>
      </c>
      <c r="M109">
        <v>1190335</v>
      </c>
      <c r="N109">
        <v>1</v>
      </c>
      <c r="O109">
        <v>326980</v>
      </c>
      <c r="P109">
        <v>47064</v>
      </c>
      <c r="Q109">
        <v>222203</v>
      </c>
      <c r="R109">
        <v>23807</v>
      </c>
      <c r="S109">
        <v>0</v>
      </c>
      <c r="T109">
        <v>2289</v>
      </c>
    </row>
    <row r="110" spans="1:20" x14ac:dyDescent="0.25">
      <c r="A110" t="s">
        <v>96</v>
      </c>
      <c r="B110" t="s">
        <v>96</v>
      </c>
      <c r="C110">
        <v>202403</v>
      </c>
      <c r="D110" s="47" t="str">
        <f>MID(C110,1,4)</f>
        <v>2024</v>
      </c>
      <c r="E110" t="str">
        <f>IF(Portfolio!$M$1=1,CONCATENATE(A110,C110),CONCATENATE(B110,C110))</f>
        <v>HOKKAIDO BAKED CHEESE202403</v>
      </c>
      <c r="F110">
        <v>0</v>
      </c>
      <c r="G110">
        <v>0</v>
      </c>
      <c r="H110">
        <v>0</v>
      </c>
      <c r="I110">
        <v>1778</v>
      </c>
      <c r="J110">
        <v>3</v>
      </c>
      <c r="K110">
        <v>0</v>
      </c>
      <c r="L110">
        <v>0</v>
      </c>
      <c r="M110">
        <v>0</v>
      </c>
      <c r="N110">
        <v>1042997</v>
      </c>
      <c r="O110">
        <v>56000</v>
      </c>
      <c r="P110">
        <v>0</v>
      </c>
      <c r="Q110">
        <v>0</v>
      </c>
      <c r="R110">
        <v>0</v>
      </c>
      <c r="S110">
        <v>7288</v>
      </c>
      <c r="T110">
        <v>392</v>
      </c>
    </row>
    <row r="111" spans="1:20" x14ac:dyDescent="0.25">
      <c r="A111" t="s">
        <v>97</v>
      </c>
      <c r="B111" t="s">
        <v>97</v>
      </c>
      <c r="C111">
        <v>202403</v>
      </c>
      <c r="D111" s="47" t="str">
        <f>MID(C111,1,4)</f>
        <v>2024</v>
      </c>
      <c r="E111" t="str">
        <f>IF(Portfolio!$M$1=1,CONCATENATE(A111,C111),CONCATENATE(B111,C111))</f>
        <v>HOP HOP202403</v>
      </c>
      <c r="F111">
        <v>12</v>
      </c>
      <c r="G111">
        <v>1</v>
      </c>
      <c r="H111">
        <v>0</v>
      </c>
      <c r="I111">
        <v>301</v>
      </c>
      <c r="J111">
        <v>2566</v>
      </c>
      <c r="K111">
        <v>572000</v>
      </c>
      <c r="L111">
        <v>78000</v>
      </c>
      <c r="M111">
        <v>0</v>
      </c>
      <c r="N111">
        <v>4880874</v>
      </c>
      <c r="O111">
        <v>94573748</v>
      </c>
      <c r="P111">
        <v>858</v>
      </c>
      <c r="Q111">
        <v>780</v>
      </c>
      <c r="R111">
        <v>0</v>
      </c>
      <c r="S111">
        <v>34164</v>
      </c>
      <c r="T111">
        <v>646523</v>
      </c>
    </row>
    <row r="112" spans="1:20" x14ac:dyDescent="0.25">
      <c r="A112" t="s">
        <v>99</v>
      </c>
      <c r="B112" t="s">
        <v>99</v>
      </c>
      <c r="C112">
        <v>202403</v>
      </c>
      <c r="D112" s="47" t="str">
        <f>MID(C112,1,4)</f>
        <v>2024</v>
      </c>
      <c r="E112" t="str">
        <f>IF(Portfolio!$M$1=1,CONCATENATE(A112,C112),CONCATENATE(B112,C112))</f>
        <v>IKEA202403</v>
      </c>
      <c r="F112">
        <v>20</v>
      </c>
      <c r="G112">
        <v>0</v>
      </c>
      <c r="H112">
        <v>0</v>
      </c>
      <c r="I112">
        <v>0</v>
      </c>
      <c r="J112">
        <v>0</v>
      </c>
      <c r="K112">
        <v>14879000</v>
      </c>
      <c r="L112">
        <v>0</v>
      </c>
      <c r="M112">
        <v>0</v>
      </c>
      <c r="N112">
        <v>0</v>
      </c>
      <c r="O112">
        <v>0</v>
      </c>
      <c r="P112">
        <v>22318</v>
      </c>
      <c r="Q112">
        <v>0</v>
      </c>
      <c r="R112">
        <v>0</v>
      </c>
      <c r="S112">
        <v>0</v>
      </c>
      <c r="T112">
        <v>0</v>
      </c>
    </row>
    <row r="113" spans="1:20" x14ac:dyDescent="0.25">
      <c r="A113" t="s">
        <v>101</v>
      </c>
      <c r="B113" t="s">
        <v>101</v>
      </c>
      <c r="C113">
        <v>202403</v>
      </c>
      <c r="D113" s="47" t="str">
        <f>MID(C113,1,4)</f>
        <v>2024</v>
      </c>
      <c r="E113" t="str">
        <f>IF(Portfolio!$M$1=1,CONCATENATE(A113,C113),CONCATENATE(B113,C113))</f>
        <v>INDOMARET202403</v>
      </c>
      <c r="F113">
        <v>34758</v>
      </c>
      <c r="G113">
        <v>77540</v>
      </c>
      <c r="H113">
        <v>1701</v>
      </c>
      <c r="I113">
        <v>0</v>
      </c>
      <c r="J113">
        <v>19</v>
      </c>
      <c r="K113">
        <v>3847237138</v>
      </c>
      <c r="L113">
        <v>7619976092</v>
      </c>
      <c r="M113">
        <v>207317020</v>
      </c>
      <c r="N113">
        <v>0</v>
      </c>
      <c r="O113">
        <v>548000</v>
      </c>
      <c r="P113">
        <v>5770853</v>
      </c>
      <c r="Q113">
        <v>76332838</v>
      </c>
      <c r="R113">
        <v>3581496</v>
      </c>
      <c r="S113">
        <v>0</v>
      </c>
      <c r="T113">
        <v>1644</v>
      </c>
    </row>
    <row r="114" spans="1:20" x14ac:dyDescent="0.25">
      <c r="A114" t="s">
        <v>101</v>
      </c>
      <c r="B114" t="s">
        <v>117</v>
      </c>
      <c r="C114">
        <v>202403</v>
      </c>
      <c r="D114" s="47" t="str">
        <f>MID(C114,1,4)</f>
        <v>2024</v>
      </c>
      <c r="E114" t="str">
        <f>IF(Portfolio!$M$1=1,CONCATENATE(A114,C114),CONCATENATE(B114,C114))</f>
        <v>INDOMARET202403</v>
      </c>
      <c r="F114">
        <v>131</v>
      </c>
      <c r="G114">
        <v>381</v>
      </c>
      <c r="H114">
        <v>3</v>
      </c>
      <c r="I114">
        <v>0</v>
      </c>
      <c r="J114">
        <v>0</v>
      </c>
      <c r="K114">
        <v>16144223</v>
      </c>
      <c r="L114">
        <v>33398200</v>
      </c>
      <c r="M114">
        <v>123900</v>
      </c>
      <c r="N114">
        <v>0</v>
      </c>
      <c r="O114">
        <v>0</v>
      </c>
      <c r="P114">
        <v>24216</v>
      </c>
      <c r="Q114">
        <v>335857</v>
      </c>
      <c r="R114">
        <v>2044</v>
      </c>
      <c r="S114">
        <v>0</v>
      </c>
      <c r="T114">
        <v>0</v>
      </c>
    </row>
    <row r="115" spans="1:20" x14ac:dyDescent="0.25">
      <c r="A115" t="s">
        <v>102</v>
      </c>
      <c r="B115" t="s">
        <v>121</v>
      </c>
      <c r="C115">
        <v>202403</v>
      </c>
      <c r="D115" s="47" t="str">
        <f>MID(C115,1,4)</f>
        <v>2024</v>
      </c>
      <c r="E115" t="str">
        <f>IF(Portfolio!$M$1=1,CONCATENATE(A115,C115),CONCATENATE(B115,C115))</f>
        <v>KAWAN LAMA202403</v>
      </c>
      <c r="F115">
        <v>7</v>
      </c>
      <c r="G115">
        <v>0</v>
      </c>
      <c r="H115">
        <v>0</v>
      </c>
      <c r="I115">
        <v>0</v>
      </c>
      <c r="J115">
        <v>0</v>
      </c>
      <c r="K115">
        <v>1048500</v>
      </c>
      <c r="L115">
        <v>0</v>
      </c>
      <c r="M115">
        <v>0</v>
      </c>
      <c r="N115">
        <v>0</v>
      </c>
      <c r="O115">
        <v>0</v>
      </c>
      <c r="P115">
        <v>1573</v>
      </c>
      <c r="Q115">
        <v>0</v>
      </c>
      <c r="R115">
        <v>0</v>
      </c>
      <c r="S115">
        <v>0</v>
      </c>
      <c r="T115">
        <v>0</v>
      </c>
    </row>
    <row r="116" spans="1:20" x14ac:dyDescent="0.25">
      <c r="A116" t="s">
        <v>102</v>
      </c>
      <c r="B116" t="s">
        <v>123</v>
      </c>
      <c r="C116">
        <v>202403</v>
      </c>
      <c r="D116" s="47" t="str">
        <f>MID(C116,1,4)</f>
        <v>2024</v>
      </c>
      <c r="E116" t="str">
        <f>IF(Portfolio!$M$1=1,CONCATENATE(A116,C116),CONCATENATE(B116,C116))</f>
        <v>KAWAN LAMA202403</v>
      </c>
      <c r="F116">
        <v>2210</v>
      </c>
      <c r="G116">
        <v>2</v>
      </c>
      <c r="H116">
        <v>0</v>
      </c>
      <c r="I116">
        <v>0</v>
      </c>
      <c r="J116">
        <v>0</v>
      </c>
      <c r="K116">
        <v>2332109884</v>
      </c>
      <c r="L116">
        <v>893400</v>
      </c>
      <c r="M116">
        <v>0</v>
      </c>
      <c r="N116">
        <v>0</v>
      </c>
      <c r="O116">
        <v>0</v>
      </c>
      <c r="P116">
        <v>3498161</v>
      </c>
      <c r="Q116">
        <v>8934</v>
      </c>
      <c r="R116">
        <v>0</v>
      </c>
      <c r="S116">
        <v>0</v>
      </c>
      <c r="T116">
        <v>0</v>
      </c>
    </row>
    <row r="117" spans="1:20" x14ac:dyDescent="0.25">
      <c r="A117" t="s">
        <v>102</v>
      </c>
      <c r="B117" t="s">
        <v>125</v>
      </c>
      <c r="C117">
        <v>202403</v>
      </c>
      <c r="D117" s="47" t="str">
        <f>MID(C117,1,4)</f>
        <v>2024</v>
      </c>
      <c r="E117" t="str">
        <f>IF(Portfolio!$M$1=1,CONCATENATE(A117,C117),CONCATENATE(B117,C117))</f>
        <v>KAWAN LAMA202403</v>
      </c>
      <c r="F117">
        <v>1</v>
      </c>
      <c r="G117">
        <v>0</v>
      </c>
      <c r="H117">
        <v>0</v>
      </c>
      <c r="I117">
        <v>413</v>
      </c>
      <c r="J117">
        <v>3</v>
      </c>
      <c r="K117">
        <v>33000</v>
      </c>
      <c r="L117">
        <v>0</v>
      </c>
      <c r="M117">
        <v>0</v>
      </c>
      <c r="N117">
        <v>3314792</v>
      </c>
      <c r="O117">
        <v>120148</v>
      </c>
      <c r="P117">
        <v>50</v>
      </c>
      <c r="Q117">
        <v>0</v>
      </c>
      <c r="R117">
        <v>0</v>
      </c>
      <c r="S117">
        <v>23199</v>
      </c>
      <c r="T117">
        <v>841</v>
      </c>
    </row>
    <row r="118" spans="1:20" x14ac:dyDescent="0.25">
      <c r="A118" t="s">
        <v>102</v>
      </c>
      <c r="B118" t="s">
        <v>131</v>
      </c>
      <c r="C118">
        <v>202403</v>
      </c>
      <c r="D118" s="47" t="str">
        <f>MID(C118,1,4)</f>
        <v>2024</v>
      </c>
      <c r="E118" t="str">
        <f>IF(Portfolio!$M$1=1,CONCATENATE(A118,C118),CONCATENATE(B118,C118))</f>
        <v>KAWAN LAMA202403</v>
      </c>
      <c r="F118">
        <v>1</v>
      </c>
      <c r="G118">
        <v>0</v>
      </c>
      <c r="H118">
        <v>0</v>
      </c>
      <c r="I118">
        <v>91</v>
      </c>
      <c r="J118">
        <v>1</v>
      </c>
      <c r="K118">
        <v>49000</v>
      </c>
      <c r="L118">
        <v>0</v>
      </c>
      <c r="M118">
        <v>0</v>
      </c>
      <c r="N118">
        <v>671000</v>
      </c>
      <c r="O118">
        <v>5000</v>
      </c>
      <c r="P118">
        <v>74</v>
      </c>
      <c r="Q118">
        <v>0</v>
      </c>
      <c r="R118">
        <v>0</v>
      </c>
      <c r="S118">
        <v>4696</v>
      </c>
      <c r="T118">
        <v>35</v>
      </c>
    </row>
    <row r="119" spans="1:20" x14ac:dyDescent="0.25">
      <c r="A119" t="s">
        <v>102</v>
      </c>
      <c r="B119" t="s">
        <v>133</v>
      </c>
      <c r="C119">
        <v>202403</v>
      </c>
      <c r="D119" s="47" t="str">
        <f>MID(C119,1,4)</f>
        <v>2024</v>
      </c>
      <c r="E119" t="str">
        <f>IF(Portfolio!$M$1=1,CONCATENATE(A119,C119),CONCATENATE(B119,C119))</f>
        <v>KAWAN LAMA202403</v>
      </c>
      <c r="F119">
        <v>0</v>
      </c>
      <c r="G119">
        <v>0</v>
      </c>
      <c r="H119">
        <v>0</v>
      </c>
      <c r="I119">
        <v>123</v>
      </c>
      <c r="J119">
        <v>0</v>
      </c>
      <c r="K119">
        <v>0</v>
      </c>
      <c r="L119">
        <v>0</v>
      </c>
      <c r="M119">
        <v>0</v>
      </c>
      <c r="N119">
        <v>1061259</v>
      </c>
      <c r="O119">
        <v>0</v>
      </c>
      <c r="P119">
        <v>0</v>
      </c>
      <c r="Q119">
        <v>0</v>
      </c>
      <c r="R119">
        <v>0</v>
      </c>
      <c r="S119">
        <v>7428</v>
      </c>
      <c r="T119">
        <v>0</v>
      </c>
    </row>
    <row r="120" spans="1:20" x14ac:dyDescent="0.25">
      <c r="A120" t="s">
        <v>102</v>
      </c>
      <c r="B120" t="s">
        <v>135</v>
      </c>
      <c r="C120">
        <v>202403</v>
      </c>
      <c r="D120" s="47" t="str">
        <f>MID(C120,1,4)</f>
        <v>2024</v>
      </c>
      <c r="E120" t="str">
        <f>IF(Portfolio!$M$1=1,CONCATENATE(A120,C120),CONCATENATE(B120,C120))</f>
        <v>KAWAN LAMA202403</v>
      </c>
      <c r="F120">
        <v>649</v>
      </c>
      <c r="G120">
        <v>1</v>
      </c>
      <c r="H120">
        <v>0</v>
      </c>
      <c r="I120">
        <v>0</v>
      </c>
      <c r="J120">
        <v>0</v>
      </c>
      <c r="K120">
        <v>2218418541</v>
      </c>
      <c r="L120">
        <v>1550000</v>
      </c>
      <c r="M120">
        <v>0</v>
      </c>
      <c r="N120">
        <v>0</v>
      </c>
      <c r="O120">
        <v>0</v>
      </c>
      <c r="P120">
        <v>3327627</v>
      </c>
      <c r="Q120">
        <v>15500</v>
      </c>
      <c r="R120">
        <v>0</v>
      </c>
      <c r="S120">
        <v>0</v>
      </c>
      <c r="T120">
        <v>0</v>
      </c>
    </row>
    <row r="121" spans="1:20" x14ac:dyDescent="0.25">
      <c r="A121" t="s">
        <v>102</v>
      </c>
      <c r="B121" t="s">
        <v>137</v>
      </c>
      <c r="C121">
        <v>202403</v>
      </c>
      <c r="D121" s="47" t="str">
        <f>MID(C121,1,4)</f>
        <v>2024</v>
      </c>
      <c r="E121" t="str">
        <f>IF(Portfolio!$M$1=1,CONCATENATE(A121,C121),CONCATENATE(B121,C121))</f>
        <v>KAWAN LAMA202403</v>
      </c>
      <c r="F121">
        <v>26</v>
      </c>
      <c r="G121">
        <v>0</v>
      </c>
      <c r="H121">
        <v>0</v>
      </c>
      <c r="I121">
        <v>0</v>
      </c>
      <c r="J121">
        <v>0</v>
      </c>
      <c r="K121">
        <v>96098447</v>
      </c>
      <c r="L121">
        <v>0</v>
      </c>
      <c r="M121">
        <v>0</v>
      </c>
      <c r="N121">
        <v>0</v>
      </c>
      <c r="O121">
        <v>0</v>
      </c>
      <c r="P121">
        <v>144148</v>
      </c>
      <c r="Q121">
        <v>0</v>
      </c>
      <c r="R121">
        <v>0</v>
      </c>
      <c r="S121">
        <v>0</v>
      </c>
      <c r="T121">
        <v>0</v>
      </c>
    </row>
    <row r="122" spans="1:20" x14ac:dyDescent="0.25">
      <c r="A122" t="s">
        <v>102</v>
      </c>
      <c r="B122" t="s">
        <v>142</v>
      </c>
      <c r="C122">
        <v>202403</v>
      </c>
      <c r="D122" s="47" t="str">
        <f>MID(C122,1,4)</f>
        <v>2024</v>
      </c>
      <c r="E122" t="str">
        <f>IF(Portfolio!$M$1=1,CONCATENATE(A122,C122),CONCATENATE(B122,C122))</f>
        <v>KAWAN LAMA202403</v>
      </c>
      <c r="F122">
        <v>3</v>
      </c>
      <c r="G122">
        <v>0</v>
      </c>
      <c r="H122">
        <v>0</v>
      </c>
      <c r="I122">
        <v>0</v>
      </c>
      <c r="J122">
        <v>0</v>
      </c>
      <c r="K122">
        <v>908700</v>
      </c>
      <c r="L122">
        <v>0</v>
      </c>
      <c r="M122">
        <v>0</v>
      </c>
      <c r="N122">
        <v>0</v>
      </c>
      <c r="O122">
        <v>0</v>
      </c>
      <c r="P122">
        <v>1363</v>
      </c>
      <c r="Q122">
        <v>0</v>
      </c>
      <c r="R122">
        <v>0</v>
      </c>
      <c r="S122">
        <v>0</v>
      </c>
      <c r="T122">
        <v>0</v>
      </c>
    </row>
    <row r="123" spans="1:20" x14ac:dyDescent="0.25">
      <c r="A123" t="s">
        <v>103</v>
      </c>
      <c r="B123" t="s">
        <v>146</v>
      </c>
      <c r="C123">
        <v>202403</v>
      </c>
      <c r="D123" s="47" t="str">
        <f>MID(C123,1,4)</f>
        <v>2024</v>
      </c>
      <c r="E123" t="str">
        <f>IF(Portfolio!$M$1=1,CONCATENATE(A123,C123),CONCATENATE(B123,C123))</f>
        <v>KCIC202403</v>
      </c>
      <c r="F123">
        <v>56</v>
      </c>
      <c r="G123">
        <v>1603</v>
      </c>
      <c r="H123">
        <v>118</v>
      </c>
      <c r="I123">
        <v>0</v>
      </c>
      <c r="J123">
        <v>0</v>
      </c>
      <c r="K123">
        <v>28150000</v>
      </c>
      <c r="L123">
        <v>805275000</v>
      </c>
      <c r="M123">
        <v>68325000</v>
      </c>
      <c r="N123">
        <v>0</v>
      </c>
      <c r="O123">
        <v>0</v>
      </c>
      <c r="P123">
        <v>42225</v>
      </c>
      <c r="Q123">
        <v>8663650</v>
      </c>
      <c r="R123">
        <v>1229850</v>
      </c>
      <c r="S123">
        <v>0</v>
      </c>
      <c r="T123">
        <v>0</v>
      </c>
    </row>
    <row r="124" spans="1:20" x14ac:dyDescent="0.25">
      <c r="A124" t="s">
        <v>104</v>
      </c>
      <c r="B124" t="s">
        <v>147</v>
      </c>
      <c r="C124">
        <v>202403</v>
      </c>
      <c r="D124" s="47" t="str">
        <f>MID(C124,1,4)</f>
        <v>2024</v>
      </c>
      <c r="E124" t="str">
        <f>IF(Portfolio!$M$1=1,CONCATENATE(A124,C124),CONCATENATE(B124,C124))</f>
        <v>KIMIA FARMA202403</v>
      </c>
      <c r="F124">
        <v>143</v>
      </c>
      <c r="G124">
        <v>1301</v>
      </c>
      <c r="H124">
        <v>74</v>
      </c>
      <c r="I124">
        <v>0</v>
      </c>
      <c r="J124">
        <v>0</v>
      </c>
      <c r="K124">
        <v>42194919</v>
      </c>
      <c r="L124">
        <v>362099864</v>
      </c>
      <c r="M124">
        <v>24628485</v>
      </c>
      <c r="N124">
        <v>0</v>
      </c>
      <c r="O124">
        <v>0</v>
      </c>
      <c r="P124">
        <v>63292</v>
      </c>
      <c r="Q124">
        <v>3675453</v>
      </c>
      <c r="R124">
        <v>443313</v>
      </c>
      <c r="S124">
        <v>0</v>
      </c>
      <c r="T124">
        <v>0</v>
      </c>
    </row>
    <row r="125" spans="1:20" x14ac:dyDescent="0.25">
      <c r="A125" t="s">
        <v>107</v>
      </c>
      <c r="B125" t="s">
        <v>178</v>
      </c>
      <c r="C125">
        <v>202403</v>
      </c>
      <c r="D125" s="47" t="str">
        <f>MID(C125,1,4)</f>
        <v>2024</v>
      </c>
      <c r="E125" t="str">
        <f>IF(Portfolio!$M$1=1,CONCATENATE(A125,C125),CONCATENATE(B125,C125))</f>
        <v>MAP GROUP202403</v>
      </c>
      <c r="F125">
        <v>0</v>
      </c>
      <c r="G125">
        <v>9</v>
      </c>
      <c r="H125">
        <v>0</v>
      </c>
      <c r="I125">
        <v>2</v>
      </c>
      <c r="J125">
        <v>204</v>
      </c>
      <c r="K125">
        <v>0</v>
      </c>
      <c r="L125">
        <v>2332500</v>
      </c>
      <c r="M125">
        <v>0</v>
      </c>
      <c r="N125">
        <v>142100</v>
      </c>
      <c r="O125">
        <v>27020900</v>
      </c>
      <c r="P125">
        <v>0</v>
      </c>
      <c r="Q125">
        <v>23325</v>
      </c>
      <c r="R125">
        <v>0</v>
      </c>
      <c r="S125">
        <v>995</v>
      </c>
      <c r="T125">
        <v>189145</v>
      </c>
    </row>
    <row r="126" spans="1:20" x14ac:dyDescent="0.25">
      <c r="A126" t="s">
        <v>107</v>
      </c>
      <c r="B126" t="s">
        <v>201</v>
      </c>
      <c r="C126">
        <v>202403</v>
      </c>
      <c r="D126" s="47" t="str">
        <f>MID(C126,1,4)</f>
        <v>2024</v>
      </c>
      <c r="E126" t="str">
        <f>IF(Portfolio!$M$1=1,CONCATENATE(A126,C126),CONCATENATE(B126,C126))</f>
        <v>MAP GROUP202403</v>
      </c>
      <c r="F126">
        <v>6</v>
      </c>
      <c r="G126">
        <v>2</v>
      </c>
      <c r="H126">
        <v>0</v>
      </c>
      <c r="I126">
        <v>0</v>
      </c>
      <c r="J126">
        <v>0</v>
      </c>
      <c r="K126">
        <v>1855000</v>
      </c>
      <c r="L126">
        <v>1300000</v>
      </c>
      <c r="M126">
        <v>0</v>
      </c>
      <c r="N126">
        <v>0</v>
      </c>
      <c r="O126">
        <v>0</v>
      </c>
      <c r="P126">
        <v>2782</v>
      </c>
      <c r="Q126">
        <v>13000</v>
      </c>
      <c r="R126">
        <v>0</v>
      </c>
      <c r="S126">
        <v>0</v>
      </c>
      <c r="T126">
        <v>0</v>
      </c>
    </row>
    <row r="127" spans="1:20" x14ac:dyDescent="0.25">
      <c r="A127" t="s">
        <v>107</v>
      </c>
      <c r="B127" t="s">
        <v>208</v>
      </c>
      <c r="C127">
        <v>202403</v>
      </c>
      <c r="D127" s="47" t="str">
        <f>MID(C127,1,4)</f>
        <v>2024</v>
      </c>
      <c r="E127" t="str">
        <f>IF(Portfolio!$M$1=1,CONCATENATE(A127,C127),CONCATENATE(B127,C127))</f>
        <v>MAP GROUP202403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179780</v>
      </c>
      <c r="L127">
        <v>220937</v>
      </c>
      <c r="M127">
        <v>0</v>
      </c>
      <c r="N127">
        <v>0</v>
      </c>
      <c r="O127">
        <v>0</v>
      </c>
      <c r="P127">
        <v>270</v>
      </c>
      <c r="Q127">
        <v>2209</v>
      </c>
      <c r="R127">
        <v>0</v>
      </c>
      <c r="S127">
        <v>0</v>
      </c>
      <c r="T127">
        <v>0</v>
      </c>
    </row>
    <row r="128" spans="1:20" x14ac:dyDescent="0.25">
      <c r="A128" t="s">
        <v>109</v>
      </c>
      <c r="B128" t="s">
        <v>109</v>
      </c>
      <c r="C128">
        <v>202403</v>
      </c>
      <c r="D128" s="47" t="str">
        <f>MID(C128,1,4)</f>
        <v>2024</v>
      </c>
      <c r="E128" t="str">
        <f>IF(Portfolio!$M$1=1,CONCATENATE(A128,C128),CONCATENATE(B128,C128))</f>
        <v>MITRA10202403</v>
      </c>
      <c r="F128">
        <v>893</v>
      </c>
      <c r="G128">
        <v>8</v>
      </c>
      <c r="H128">
        <v>1</v>
      </c>
      <c r="I128">
        <v>0</v>
      </c>
      <c r="J128">
        <v>0</v>
      </c>
      <c r="K128">
        <v>1928750514</v>
      </c>
      <c r="L128">
        <v>7572673</v>
      </c>
      <c r="M128">
        <v>270610</v>
      </c>
      <c r="N128">
        <v>0</v>
      </c>
      <c r="O128">
        <v>0</v>
      </c>
      <c r="P128">
        <v>2893123</v>
      </c>
      <c r="Q128">
        <v>118346</v>
      </c>
      <c r="R128">
        <v>5412</v>
      </c>
      <c r="S128">
        <v>0</v>
      </c>
      <c r="T128">
        <v>0</v>
      </c>
    </row>
    <row r="129" spans="1:20" x14ac:dyDescent="0.25">
      <c r="A129" t="s">
        <v>110</v>
      </c>
      <c r="B129" t="s">
        <v>110</v>
      </c>
      <c r="C129">
        <v>202403</v>
      </c>
      <c r="D129" s="47" t="str">
        <f>MID(C129,1,4)</f>
        <v>2024</v>
      </c>
      <c r="E129" t="str">
        <f>IF(Portfolio!$M$1=1,CONCATENATE(A129,C129),CONCATENATE(B129,C129))</f>
        <v>OPTIK MELAWAI202403</v>
      </c>
      <c r="F129">
        <v>110</v>
      </c>
      <c r="G129">
        <v>613</v>
      </c>
      <c r="H129">
        <v>6</v>
      </c>
      <c r="I129">
        <v>0</v>
      </c>
      <c r="J129">
        <v>0</v>
      </c>
      <c r="K129">
        <v>168619500</v>
      </c>
      <c r="L129">
        <v>795001500</v>
      </c>
      <c r="M129">
        <v>3298500</v>
      </c>
      <c r="N129">
        <v>0</v>
      </c>
      <c r="O129">
        <v>0</v>
      </c>
      <c r="P129">
        <v>252929</v>
      </c>
      <c r="Q129">
        <v>7950627</v>
      </c>
      <c r="R129">
        <v>64590</v>
      </c>
      <c r="S129">
        <v>0</v>
      </c>
      <c r="T129">
        <v>0</v>
      </c>
    </row>
    <row r="130" spans="1:20" x14ac:dyDescent="0.25">
      <c r="A130" t="s">
        <v>111</v>
      </c>
      <c r="B130" t="s">
        <v>214</v>
      </c>
      <c r="C130">
        <v>202403</v>
      </c>
      <c r="D130" s="47" t="str">
        <f>MID(C130,1,4)</f>
        <v>2024</v>
      </c>
      <c r="E130" t="str">
        <f>IF(Portfolio!$M$1=1,CONCATENATE(A130,C130),CONCATENATE(B130,C130))</f>
        <v>PATRA JASA202403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650000</v>
      </c>
      <c r="M130">
        <v>0</v>
      </c>
      <c r="N130">
        <v>0</v>
      </c>
      <c r="O130">
        <v>0</v>
      </c>
      <c r="P130">
        <v>0</v>
      </c>
      <c r="Q130">
        <v>6500</v>
      </c>
      <c r="R130">
        <v>0</v>
      </c>
      <c r="S130">
        <v>0</v>
      </c>
      <c r="T130">
        <v>0</v>
      </c>
    </row>
    <row r="131" spans="1:20" x14ac:dyDescent="0.25">
      <c r="A131" t="s">
        <v>112</v>
      </c>
      <c r="B131" t="s">
        <v>215</v>
      </c>
      <c r="C131">
        <v>202403</v>
      </c>
      <c r="D131" s="47" t="str">
        <f>MID(C131,1,4)</f>
        <v>2024</v>
      </c>
      <c r="E131" t="str">
        <f>IF(Portfolio!$M$1=1,CONCATENATE(A131,C131),CONCATENATE(B131,C131))</f>
        <v>PERTAMINA RETAIL202403</v>
      </c>
      <c r="F131">
        <v>26</v>
      </c>
      <c r="G131">
        <v>5835</v>
      </c>
      <c r="H131">
        <v>56</v>
      </c>
      <c r="I131">
        <v>0</v>
      </c>
      <c r="J131">
        <v>0</v>
      </c>
      <c r="K131">
        <v>1423100</v>
      </c>
      <c r="L131">
        <v>700044448</v>
      </c>
      <c r="M131">
        <v>9053800</v>
      </c>
      <c r="N131">
        <v>0</v>
      </c>
      <c r="O131">
        <v>0</v>
      </c>
      <c r="P131">
        <v>2135</v>
      </c>
      <c r="Q131">
        <v>6875495</v>
      </c>
      <c r="R131">
        <v>162968</v>
      </c>
      <c r="S131">
        <v>0</v>
      </c>
      <c r="T131">
        <v>0</v>
      </c>
    </row>
    <row r="132" spans="1:20" x14ac:dyDescent="0.25">
      <c r="A132" t="s">
        <v>112</v>
      </c>
      <c r="B132" t="s">
        <v>216</v>
      </c>
      <c r="C132">
        <v>202403</v>
      </c>
      <c r="D132" s="47" t="str">
        <f>MID(C132,1,4)</f>
        <v>2024</v>
      </c>
      <c r="E132" t="str">
        <f>IF(Portfolio!$M$1=1,CONCATENATE(A132,C132),CONCATENATE(B132,C132))</f>
        <v>PERTAMINA RETAIL202403</v>
      </c>
      <c r="F132">
        <v>820</v>
      </c>
      <c r="G132">
        <v>132441</v>
      </c>
      <c r="H132">
        <v>105</v>
      </c>
      <c r="I132">
        <v>19</v>
      </c>
      <c r="J132">
        <v>618</v>
      </c>
      <c r="K132">
        <v>177551052</v>
      </c>
      <c r="L132">
        <v>30608869009</v>
      </c>
      <c r="M132">
        <v>69865998</v>
      </c>
      <c r="N132">
        <v>2388648</v>
      </c>
      <c r="O132">
        <v>55239467</v>
      </c>
      <c r="P132">
        <v>266326</v>
      </c>
      <c r="Q132">
        <v>149435336</v>
      </c>
      <c r="R132">
        <v>1257588</v>
      </c>
      <c r="S132">
        <v>9555</v>
      </c>
      <c r="T132">
        <v>220957</v>
      </c>
    </row>
    <row r="133" spans="1:20" x14ac:dyDescent="0.25">
      <c r="A133" t="s">
        <v>114</v>
      </c>
      <c r="B133" t="s">
        <v>217</v>
      </c>
      <c r="C133">
        <v>202403</v>
      </c>
      <c r="D133" s="47" t="str">
        <f>MID(C133,1,4)</f>
        <v>2024</v>
      </c>
      <c r="E133" t="str">
        <f>IF(Portfolio!$M$1=1,CONCATENATE(A133,C133),CONCATENATE(B133,C133))</f>
        <v>PIZZA HUT202403</v>
      </c>
      <c r="F133">
        <v>26</v>
      </c>
      <c r="G133">
        <v>0</v>
      </c>
      <c r="H133">
        <v>0</v>
      </c>
      <c r="I133">
        <v>339</v>
      </c>
      <c r="J133">
        <v>0</v>
      </c>
      <c r="K133">
        <v>3983413</v>
      </c>
      <c r="L133">
        <v>0</v>
      </c>
      <c r="M133">
        <v>0</v>
      </c>
      <c r="N133">
        <v>2522400</v>
      </c>
      <c r="O133">
        <v>0</v>
      </c>
      <c r="P133">
        <v>5975</v>
      </c>
      <c r="Q133">
        <v>0</v>
      </c>
      <c r="R133">
        <v>0</v>
      </c>
      <c r="S133">
        <v>17653</v>
      </c>
      <c r="T133">
        <v>0</v>
      </c>
    </row>
    <row r="134" spans="1:20" x14ac:dyDescent="0.25">
      <c r="A134" t="s">
        <v>114</v>
      </c>
      <c r="B134" t="s">
        <v>218</v>
      </c>
      <c r="C134">
        <v>202403</v>
      </c>
      <c r="D134" s="47" t="str">
        <f>MID(C134,1,4)</f>
        <v>2024</v>
      </c>
      <c r="E134" t="str">
        <f>IF(Portfolio!$M$1=1,CONCATENATE(A134,C134),CONCATENATE(B134,C134))</f>
        <v>PIZZA HUT202403</v>
      </c>
      <c r="F134">
        <v>282</v>
      </c>
      <c r="G134">
        <v>0</v>
      </c>
      <c r="H134">
        <v>0</v>
      </c>
      <c r="I134">
        <v>0</v>
      </c>
      <c r="J134">
        <v>0</v>
      </c>
      <c r="K134">
        <v>77563801</v>
      </c>
      <c r="L134">
        <v>0</v>
      </c>
      <c r="M134">
        <v>0</v>
      </c>
      <c r="N134">
        <v>0</v>
      </c>
      <c r="O134">
        <v>0</v>
      </c>
      <c r="P134">
        <v>116345</v>
      </c>
      <c r="Q134">
        <v>0</v>
      </c>
      <c r="R134">
        <v>0</v>
      </c>
      <c r="S134">
        <v>0</v>
      </c>
      <c r="T134">
        <v>0</v>
      </c>
    </row>
    <row r="135" spans="1:20" x14ac:dyDescent="0.25">
      <c r="A135" t="s">
        <v>115</v>
      </c>
      <c r="B135" t="s">
        <v>115</v>
      </c>
      <c r="C135">
        <v>202403</v>
      </c>
      <c r="D135" s="47" t="str">
        <f>MID(C135,1,4)</f>
        <v>2024</v>
      </c>
      <c r="E135" t="str">
        <f>IF(Portfolio!$M$1=1,CONCATENATE(A135,C135),CONCATENATE(B135,C135))</f>
        <v>PLATINUM CINEPLEX202403</v>
      </c>
      <c r="F135">
        <v>119</v>
      </c>
      <c r="G135">
        <v>14</v>
      </c>
      <c r="H135">
        <v>0</v>
      </c>
      <c r="I135">
        <v>0</v>
      </c>
      <c r="J135">
        <v>0</v>
      </c>
      <c r="K135">
        <v>6738000</v>
      </c>
      <c r="L135">
        <v>2207000</v>
      </c>
      <c r="M135">
        <v>0</v>
      </c>
      <c r="N135">
        <v>0</v>
      </c>
      <c r="O135">
        <v>0</v>
      </c>
      <c r="P135">
        <v>10107</v>
      </c>
      <c r="Q135">
        <v>22070</v>
      </c>
      <c r="R135">
        <v>0</v>
      </c>
      <c r="S135">
        <v>0</v>
      </c>
      <c r="T135">
        <v>0</v>
      </c>
    </row>
    <row r="136" spans="1:20" x14ac:dyDescent="0.25">
      <c r="A136" t="s">
        <v>118</v>
      </c>
      <c r="B136" t="s">
        <v>118</v>
      </c>
      <c r="C136">
        <v>202403</v>
      </c>
      <c r="D136" s="47" t="str">
        <f>MID(C136,1,4)</f>
        <v>2024</v>
      </c>
      <c r="E136" t="str">
        <f>IF(Portfolio!$M$1=1,CONCATENATE(A136,C136),CONCATENATE(B136,C136))</f>
        <v>SARINAH202403</v>
      </c>
      <c r="F136">
        <v>36</v>
      </c>
      <c r="G136">
        <v>768</v>
      </c>
      <c r="H136">
        <v>136</v>
      </c>
      <c r="I136">
        <v>1</v>
      </c>
      <c r="J136">
        <v>80</v>
      </c>
      <c r="K136">
        <v>32465004</v>
      </c>
      <c r="L136">
        <v>812580313</v>
      </c>
      <c r="M136">
        <v>126196001</v>
      </c>
      <c r="N136">
        <v>1</v>
      </c>
      <c r="O136">
        <v>56582762</v>
      </c>
      <c r="P136">
        <v>48697</v>
      </c>
      <c r="Q136">
        <v>9810574</v>
      </c>
      <c r="R136">
        <v>2271528</v>
      </c>
      <c r="S136">
        <v>0</v>
      </c>
      <c r="T136">
        <v>396079</v>
      </c>
    </row>
    <row r="137" spans="1:20" x14ac:dyDescent="0.25">
      <c r="A137" t="s">
        <v>120</v>
      </c>
      <c r="B137" t="s">
        <v>120</v>
      </c>
      <c r="C137">
        <v>202403</v>
      </c>
      <c r="D137" s="47" t="str">
        <f>MID(C137,1,4)</f>
        <v>2024</v>
      </c>
      <c r="E137" t="str">
        <f>IF(Portfolio!$M$1=1,CONCATENATE(A137,C137),CONCATENATE(B137,C137))</f>
        <v>SHIHLIN202403</v>
      </c>
      <c r="F137">
        <v>53</v>
      </c>
      <c r="G137">
        <v>8</v>
      </c>
      <c r="H137">
        <v>0</v>
      </c>
      <c r="I137">
        <v>1674</v>
      </c>
      <c r="J137">
        <v>77</v>
      </c>
      <c r="K137">
        <v>3542000</v>
      </c>
      <c r="L137">
        <v>446000</v>
      </c>
      <c r="M137">
        <v>0</v>
      </c>
      <c r="N137">
        <v>3516762</v>
      </c>
      <c r="O137">
        <v>1896001</v>
      </c>
      <c r="P137">
        <v>5313</v>
      </c>
      <c r="Q137">
        <v>4460</v>
      </c>
      <c r="R137">
        <v>0</v>
      </c>
      <c r="S137">
        <v>24605</v>
      </c>
      <c r="T137">
        <v>13271</v>
      </c>
    </row>
    <row r="138" spans="1:20" x14ac:dyDescent="0.25">
      <c r="A138" t="s">
        <v>122</v>
      </c>
      <c r="B138" t="s">
        <v>122</v>
      </c>
      <c r="C138">
        <v>202403</v>
      </c>
      <c r="D138" s="47" t="str">
        <f>MID(C138,1,4)</f>
        <v>2024</v>
      </c>
      <c r="E138" t="str">
        <f>IF(Portfolio!$M$1=1,CONCATENATE(A138,C138),CONCATENATE(B138,C138))</f>
        <v>SOLARIA202403</v>
      </c>
      <c r="F138">
        <v>3158</v>
      </c>
      <c r="G138">
        <v>1</v>
      </c>
      <c r="H138">
        <v>0</v>
      </c>
      <c r="I138">
        <v>0</v>
      </c>
      <c r="J138">
        <v>0</v>
      </c>
      <c r="K138">
        <v>571604700</v>
      </c>
      <c r="L138">
        <v>179000</v>
      </c>
      <c r="M138">
        <v>0</v>
      </c>
      <c r="N138">
        <v>0</v>
      </c>
      <c r="O138">
        <v>0</v>
      </c>
      <c r="P138">
        <v>857407</v>
      </c>
      <c r="Q138">
        <v>1790</v>
      </c>
      <c r="R138">
        <v>0</v>
      </c>
      <c r="S138">
        <v>0</v>
      </c>
      <c r="T138">
        <v>0</v>
      </c>
    </row>
    <row r="139" spans="1:20" x14ac:dyDescent="0.25">
      <c r="A139" t="s">
        <v>124</v>
      </c>
      <c r="B139" t="s">
        <v>124</v>
      </c>
      <c r="C139">
        <v>202403</v>
      </c>
      <c r="D139" s="47" t="str">
        <f>MID(C139,1,4)</f>
        <v>2024</v>
      </c>
      <c r="E139" t="str">
        <f>IF(Portfolio!$M$1=1,CONCATENATE(A139,C139),CONCATENATE(B139,C139))</f>
        <v>SOUR SALLY202403</v>
      </c>
      <c r="F139">
        <v>63</v>
      </c>
      <c r="G139">
        <v>0</v>
      </c>
      <c r="H139">
        <v>0</v>
      </c>
      <c r="I139">
        <v>0</v>
      </c>
      <c r="J139">
        <v>0</v>
      </c>
      <c r="K139">
        <v>3971700</v>
      </c>
      <c r="L139">
        <v>0</v>
      </c>
      <c r="M139">
        <v>0</v>
      </c>
      <c r="N139">
        <v>0</v>
      </c>
      <c r="O139">
        <v>0</v>
      </c>
      <c r="P139">
        <v>5958</v>
      </c>
      <c r="Q139">
        <v>0</v>
      </c>
      <c r="R139">
        <v>0</v>
      </c>
      <c r="S139">
        <v>0</v>
      </c>
      <c r="T139">
        <v>0</v>
      </c>
    </row>
    <row r="140" spans="1:20" x14ac:dyDescent="0.25">
      <c r="A140" t="s">
        <v>126</v>
      </c>
      <c r="B140" t="s">
        <v>220</v>
      </c>
      <c r="C140">
        <v>202403</v>
      </c>
      <c r="D140" s="47" t="str">
        <f>MID(C140,1,4)</f>
        <v>2024</v>
      </c>
      <c r="E140" t="str">
        <f>IF(Portfolio!$M$1=1,CONCATENATE(A140,C140),CONCATENATE(B140,C140))</f>
        <v>STEVEN GROUP202403</v>
      </c>
      <c r="F140">
        <v>0</v>
      </c>
      <c r="G140">
        <v>0</v>
      </c>
      <c r="H140">
        <v>0</v>
      </c>
      <c r="I140">
        <v>0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467000</v>
      </c>
      <c r="P140">
        <v>0</v>
      </c>
      <c r="Q140">
        <v>0</v>
      </c>
      <c r="R140">
        <v>0</v>
      </c>
      <c r="S140">
        <v>0</v>
      </c>
      <c r="T140">
        <v>1400</v>
      </c>
    </row>
    <row r="141" spans="1:20" x14ac:dyDescent="0.25">
      <c r="A141" t="s">
        <v>126</v>
      </c>
      <c r="B141" t="s">
        <v>221</v>
      </c>
      <c r="C141">
        <v>202403</v>
      </c>
      <c r="D141" s="47" t="str">
        <f>MID(C141,1,4)</f>
        <v>2024</v>
      </c>
      <c r="E141" t="str">
        <f>IF(Portfolio!$M$1=1,CONCATENATE(A141,C141),CONCATENATE(B141,C141))</f>
        <v>STEVEN GROUP202403</v>
      </c>
      <c r="F141">
        <v>14</v>
      </c>
      <c r="G141">
        <v>0</v>
      </c>
      <c r="H141">
        <v>0</v>
      </c>
      <c r="I141">
        <v>190</v>
      </c>
      <c r="J141">
        <v>1</v>
      </c>
      <c r="K141">
        <v>682000</v>
      </c>
      <c r="L141">
        <v>0</v>
      </c>
      <c r="M141">
        <v>0</v>
      </c>
      <c r="N141">
        <v>1401104</v>
      </c>
      <c r="O141">
        <v>37000</v>
      </c>
      <c r="P141">
        <v>1023</v>
      </c>
      <c r="Q141">
        <v>0</v>
      </c>
      <c r="R141">
        <v>0</v>
      </c>
      <c r="S141">
        <v>4203</v>
      </c>
      <c r="T141">
        <v>111</v>
      </c>
    </row>
    <row r="142" spans="1:20" x14ac:dyDescent="0.25">
      <c r="A142" t="s">
        <v>126</v>
      </c>
      <c r="B142" t="s">
        <v>224</v>
      </c>
      <c r="C142">
        <v>202403</v>
      </c>
      <c r="D142" s="47" t="str">
        <f>MID(C142,1,4)</f>
        <v>2024</v>
      </c>
      <c r="E142" t="str">
        <f>IF(Portfolio!$M$1=1,CONCATENATE(A142,C142),CONCATENATE(B142,C142))</f>
        <v>STEVEN GROUP202403</v>
      </c>
      <c r="F142">
        <v>1</v>
      </c>
      <c r="G142">
        <v>2</v>
      </c>
      <c r="H142">
        <v>0</v>
      </c>
      <c r="I142">
        <v>0</v>
      </c>
      <c r="J142">
        <v>0</v>
      </c>
      <c r="K142">
        <v>800000</v>
      </c>
      <c r="L142">
        <v>800000</v>
      </c>
      <c r="M142">
        <v>0</v>
      </c>
      <c r="N142">
        <v>0</v>
      </c>
      <c r="O142">
        <v>0</v>
      </c>
      <c r="P142">
        <v>1200</v>
      </c>
      <c r="Q142">
        <v>8000</v>
      </c>
      <c r="R142">
        <v>0</v>
      </c>
      <c r="S142">
        <v>0</v>
      </c>
      <c r="T142">
        <v>0</v>
      </c>
    </row>
    <row r="143" spans="1:20" x14ac:dyDescent="0.25">
      <c r="A143" t="s">
        <v>67</v>
      </c>
      <c r="B143" t="s">
        <v>68</v>
      </c>
      <c r="C143">
        <v>202404</v>
      </c>
      <c r="D143" s="47" t="str">
        <f>MID(C143,1,4)</f>
        <v>2024</v>
      </c>
      <c r="E143" t="str">
        <f>IF(Portfolio!$M$1=1,CONCATENATE(A143,C143),CONCATENATE(B143,C143))</f>
        <v>ALFA GROUP202404</v>
      </c>
      <c r="F143">
        <v>21685</v>
      </c>
      <c r="G143">
        <v>79611</v>
      </c>
      <c r="H143">
        <v>14197</v>
      </c>
      <c r="I143">
        <v>0</v>
      </c>
      <c r="J143">
        <v>0</v>
      </c>
      <c r="K143">
        <v>2464535134</v>
      </c>
      <c r="L143">
        <v>8991769897</v>
      </c>
      <c r="M143">
        <v>2349033146</v>
      </c>
      <c r="N143">
        <v>0</v>
      </c>
      <c r="O143">
        <v>0</v>
      </c>
      <c r="P143">
        <v>3696797</v>
      </c>
      <c r="Q143">
        <v>80016081</v>
      </c>
      <c r="R143">
        <v>42248665</v>
      </c>
      <c r="S143">
        <v>0</v>
      </c>
      <c r="T143">
        <v>0</v>
      </c>
    </row>
    <row r="144" spans="1:20" x14ac:dyDescent="0.25">
      <c r="A144" t="s">
        <v>67</v>
      </c>
      <c r="B144" t="s">
        <v>69</v>
      </c>
      <c r="C144">
        <v>202404</v>
      </c>
      <c r="D144" s="47" t="str">
        <f>MID(C144,1,4)</f>
        <v>2024</v>
      </c>
      <c r="E144" t="str">
        <f>IF(Portfolio!$M$1=1,CONCATENATE(A144,C144),CONCATENATE(B144,C144))</f>
        <v>ALFA GROUP202404</v>
      </c>
      <c r="F144">
        <v>20</v>
      </c>
      <c r="G144">
        <v>84</v>
      </c>
      <c r="H144">
        <v>25</v>
      </c>
      <c r="I144">
        <v>0</v>
      </c>
      <c r="J144">
        <v>0</v>
      </c>
      <c r="K144">
        <v>1766492</v>
      </c>
      <c r="L144">
        <v>12535718</v>
      </c>
      <c r="M144">
        <v>4747747</v>
      </c>
      <c r="N144">
        <v>0</v>
      </c>
      <c r="O144">
        <v>0</v>
      </c>
      <c r="P144">
        <v>2650</v>
      </c>
      <c r="Q144">
        <v>120268</v>
      </c>
      <c r="R144">
        <v>85459</v>
      </c>
      <c r="S144">
        <v>0</v>
      </c>
      <c r="T144">
        <v>0</v>
      </c>
    </row>
    <row r="145" spans="1:20" x14ac:dyDescent="0.25">
      <c r="A145" t="s">
        <v>67</v>
      </c>
      <c r="B145" t="s">
        <v>72</v>
      </c>
      <c r="C145">
        <v>202404</v>
      </c>
      <c r="D145" s="47" t="str">
        <f>MID(C145,1,4)</f>
        <v>2024</v>
      </c>
      <c r="E145" t="str">
        <f>IF(Portfolio!$M$1=1,CONCATENATE(A145,C145),CONCATENATE(B145,C145))</f>
        <v>ALFA GROUP202404</v>
      </c>
      <c r="F145">
        <v>391</v>
      </c>
      <c r="G145">
        <v>1548</v>
      </c>
      <c r="H145">
        <v>136</v>
      </c>
      <c r="I145">
        <v>0</v>
      </c>
      <c r="J145">
        <v>0</v>
      </c>
      <c r="K145">
        <v>68438614</v>
      </c>
      <c r="L145">
        <v>280250685</v>
      </c>
      <c r="M145">
        <v>27886203</v>
      </c>
      <c r="N145">
        <v>0</v>
      </c>
      <c r="O145">
        <v>0</v>
      </c>
      <c r="P145">
        <v>102658</v>
      </c>
      <c r="Q145">
        <v>2703509</v>
      </c>
      <c r="R145">
        <v>498585</v>
      </c>
      <c r="S145">
        <v>0</v>
      </c>
      <c r="T145">
        <v>0</v>
      </c>
    </row>
    <row r="146" spans="1:20" x14ac:dyDescent="0.25">
      <c r="A146" t="s">
        <v>70</v>
      </c>
      <c r="B146" t="s">
        <v>70</v>
      </c>
      <c r="C146">
        <v>202404</v>
      </c>
      <c r="D146" s="47" t="str">
        <f>MID(C146,1,4)</f>
        <v>2024</v>
      </c>
      <c r="E146" t="str">
        <f>IF(Portfolio!$M$1=1,CONCATENATE(A146,C146),CONCATENATE(B146,C146))</f>
        <v>ANCOL202404</v>
      </c>
      <c r="F146">
        <v>1</v>
      </c>
      <c r="G146">
        <v>4</v>
      </c>
      <c r="H146">
        <v>0</v>
      </c>
      <c r="I146">
        <v>0</v>
      </c>
      <c r="J146">
        <v>0</v>
      </c>
      <c r="K146">
        <v>148600</v>
      </c>
      <c r="L146">
        <v>1705100</v>
      </c>
      <c r="M146">
        <v>0</v>
      </c>
      <c r="N146">
        <v>0</v>
      </c>
      <c r="O146">
        <v>0</v>
      </c>
      <c r="P146">
        <v>223</v>
      </c>
      <c r="Q146">
        <v>17051</v>
      </c>
      <c r="R146">
        <v>0</v>
      </c>
      <c r="S146">
        <v>0</v>
      </c>
      <c r="T146">
        <v>0</v>
      </c>
    </row>
    <row r="147" spans="1:20" x14ac:dyDescent="0.25">
      <c r="A147" t="s">
        <v>73</v>
      </c>
      <c r="B147" t="s">
        <v>73</v>
      </c>
      <c r="C147">
        <v>202404</v>
      </c>
      <c r="D147" s="47" t="str">
        <f>MID(C147,1,4)</f>
        <v>2024</v>
      </c>
      <c r="E147" t="str">
        <f>IF(Portfolio!$M$1=1,CONCATENATE(A147,C147),CONCATENATE(B147,C147))</f>
        <v>BANBAN TEA202404</v>
      </c>
      <c r="F147">
        <v>475</v>
      </c>
      <c r="G147">
        <v>0</v>
      </c>
      <c r="H147">
        <v>0</v>
      </c>
      <c r="I147">
        <v>0</v>
      </c>
      <c r="J147">
        <v>0</v>
      </c>
      <c r="K147">
        <v>26330454</v>
      </c>
      <c r="L147">
        <v>0</v>
      </c>
      <c r="M147">
        <v>0</v>
      </c>
      <c r="N147">
        <v>0</v>
      </c>
      <c r="O147">
        <v>0</v>
      </c>
      <c r="P147">
        <v>39495</v>
      </c>
      <c r="Q147">
        <v>0</v>
      </c>
      <c r="R147">
        <v>0</v>
      </c>
      <c r="S147">
        <v>0</v>
      </c>
      <c r="T147">
        <v>0</v>
      </c>
    </row>
    <row r="148" spans="1:20" x14ac:dyDescent="0.25">
      <c r="A148" t="s">
        <v>74</v>
      </c>
      <c r="B148" t="s">
        <v>74</v>
      </c>
      <c r="C148">
        <v>202404</v>
      </c>
      <c r="D148" s="47" t="str">
        <f>MID(C148,1,4)</f>
        <v>2024</v>
      </c>
      <c r="E148" t="str">
        <f>IF(Portfolio!$M$1=1,CONCATENATE(A148,C148),CONCATENATE(B148,C148))</f>
        <v>BEARD PAPA202404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159000</v>
      </c>
      <c r="L148">
        <v>0</v>
      </c>
      <c r="M148">
        <v>0</v>
      </c>
      <c r="N148">
        <v>0</v>
      </c>
      <c r="O148">
        <v>0</v>
      </c>
      <c r="P148">
        <v>238</v>
      </c>
      <c r="Q148">
        <v>0</v>
      </c>
      <c r="R148">
        <v>0</v>
      </c>
      <c r="S148">
        <v>0</v>
      </c>
      <c r="T148">
        <v>0</v>
      </c>
    </row>
    <row r="149" spans="1:20" x14ac:dyDescent="0.25">
      <c r="A149" t="s">
        <v>75</v>
      </c>
      <c r="B149" t="s">
        <v>77</v>
      </c>
      <c r="C149">
        <v>202404</v>
      </c>
      <c r="D149" s="47" t="str">
        <f>MID(C149,1,4)</f>
        <v>2024</v>
      </c>
      <c r="E149" t="str">
        <f>IF(Portfolio!$M$1=1,CONCATENATE(A149,C149),CONCATENATE(B149,C149))</f>
        <v>CHAMP RESTO202404</v>
      </c>
      <c r="F149">
        <v>28</v>
      </c>
      <c r="G149">
        <v>0</v>
      </c>
      <c r="H149">
        <v>0</v>
      </c>
      <c r="I149">
        <v>0</v>
      </c>
      <c r="J149">
        <v>0</v>
      </c>
      <c r="K149">
        <v>5217498</v>
      </c>
      <c r="L149">
        <v>0</v>
      </c>
      <c r="M149">
        <v>0</v>
      </c>
      <c r="N149">
        <v>0</v>
      </c>
      <c r="O149">
        <v>0</v>
      </c>
      <c r="P149">
        <v>7826</v>
      </c>
      <c r="Q149">
        <v>0</v>
      </c>
      <c r="R149">
        <v>0</v>
      </c>
      <c r="S149">
        <v>0</v>
      </c>
      <c r="T149">
        <v>0</v>
      </c>
    </row>
    <row r="150" spans="1:20" x14ac:dyDescent="0.25">
      <c r="A150" t="s">
        <v>75</v>
      </c>
      <c r="B150" t="s">
        <v>79</v>
      </c>
      <c r="C150">
        <v>202404</v>
      </c>
      <c r="D150" s="47" t="str">
        <f>MID(C150,1,4)</f>
        <v>2024</v>
      </c>
      <c r="E150" t="str">
        <f>IF(Portfolio!$M$1=1,CONCATENATE(A150,C150),CONCATENATE(B150,C150))</f>
        <v>CHAMP RESTO202404</v>
      </c>
      <c r="F150">
        <v>10</v>
      </c>
      <c r="G150">
        <v>0</v>
      </c>
      <c r="H150">
        <v>0</v>
      </c>
      <c r="I150">
        <v>0</v>
      </c>
      <c r="J150">
        <v>0</v>
      </c>
      <c r="K150">
        <v>2983931</v>
      </c>
      <c r="L150">
        <v>0</v>
      </c>
      <c r="M150">
        <v>0</v>
      </c>
      <c r="N150">
        <v>0</v>
      </c>
      <c r="O150">
        <v>0</v>
      </c>
      <c r="P150">
        <v>4476</v>
      </c>
      <c r="Q150">
        <v>0</v>
      </c>
      <c r="R150">
        <v>0</v>
      </c>
      <c r="S150">
        <v>0</v>
      </c>
      <c r="T150">
        <v>0</v>
      </c>
    </row>
    <row r="151" spans="1:20" x14ac:dyDescent="0.25">
      <c r="A151" t="s">
        <v>75</v>
      </c>
      <c r="B151" t="s">
        <v>81</v>
      </c>
      <c r="C151">
        <v>202404</v>
      </c>
      <c r="D151" s="47" t="str">
        <f>MID(C151,1,4)</f>
        <v>2024</v>
      </c>
      <c r="E151" t="str">
        <f>IF(Portfolio!$M$1=1,CONCATENATE(A151,C151),CONCATENATE(B151,C151))</f>
        <v>CHAMP RESTO202404</v>
      </c>
      <c r="F151">
        <v>28</v>
      </c>
      <c r="G151">
        <v>3</v>
      </c>
      <c r="H151">
        <v>0</v>
      </c>
      <c r="I151">
        <v>0</v>
      </c>
      <c r="J151">
        <v>0</v>
      </c>
      <c r="K151">
        <v>7581775</v>
      </c>
      <c r="L151">
        <v>927079</v>
      </c>
      <c r="M151">
        <v>0</v>
      </c>
      <c r="N151">
        <v>0</v>
      </c>
      <c r="O151">
        <v>0</v>
      </c>
      <c r="P151">
        <v>11373</v>
      </c>
      <c r="Q151">
        <v>9271</v>
      </c>
      <c r="R151">
        <v>0</v>
      </c>
      <c r="S151">
        <v>0</v>
      </c>
      <c r="T151">
        <v>0</v>
      </c>
    </row>
    <row r="152" spans="1:20" x14ac:dyDescent="0.25">
      <c r="A152" t="s">
        <v>75</v>
      </c>
      <c r="B152" t="s">
        <v>83</v>
      </c>
      <c r="C152">
        <v>202404</v>
      </c>
      <c r="D152" s="47" t="str">
        <f>MID(C152,1,4)</f>
        <v>2024</v>
      </c>
      <c r="E152" t="str">
        <f>IF(Portfolio!$M$1=1,CONCATENATE(A152,C152),CONCATENATE(B152,C152))</f>
        <v>CHAMP RESTO202404</v>
      </c>
      <c r="F152">
        <v>2</v>
      </c>
      <c r="G152">
        <v>23</v>
      </c>
      <c r="H152">
        <v>8</v>
      </c>
      <c r="I152">
        <v>0</v>
      </c>
      <c r="J152">
        <v>4</v>
      </c>
      <c r="K152">
        <v>529011</v>
      </c>
      <c r="L152">
        <v>3356750</v>
      </c>
      <c r="M152">
        <v>2370750</v>
      </c>
      <c r="N152">
        <v>0</v>
      </c>
      <c r="O152">
        <v>1707000</v>
      </c>
      <c r="P152">
        <v>794</v>
      </c>
      <c r="Q152">
        <v>33568</v>
      </c>
      <c r="R152">
        <v>43323</v>
      </c>
      <c r="S152">
        <v>0</v>
      </c>
      <c r="T152">
        <v>11949</v>
      </c>
    </row>
    <row r="153" spans="1:20" x14ac:dyDescent="0.25">
      <c r="A153" t="s">
        <v>75</v>
      </c>
      <c r="B153" t="s">
        <v>85</v>
      </c>
      <c r="C153">
        <v>202404</v>
      </c>
      <c r="D153" s="47" t="str">
        <f>MID(C153,1,4)</f>
        <v>2024</v>
      </c>
      <c r="E153" t="str">
        <f>IF(Portfolio!$M$1=1,CONCATENATE(A153,C153),CONCATENATE(B153,C153))</f>
        <v>CHAMP RESTO202404</v>
      </c>
      <c r="F153">
        <v>429</v>
      </c>
      <c r="G153">
        <v>75</v>
      </c>
      <c r="H153">
        <v>0</v>
      </c>
      <c r="I153">
        <v>0</v>
      </c>
      <c r="J153">
        <v>0</v>
      </c>
      <c r="K153">
        <v>88976395</v>
      </c>
      <c r="L153">
        <v>13934890</v>
      </c>
      <c r="M153">
        <v>0</v>
      </c>
      <c r="N153">
        <v>0</v>
      </c>
      <c r="O153">
        <v>0</v>
      </c>
      <c r="P153">
        <v>133464</v>
      </c>
      <c r="Q153">
        <v>139349</v>
      </c>
      <c r="R153">
        <v>0</v>
      </c>
      <c r="S153">
        <v>0</v>
      </c>
      <c r="T153">
        <v>0</v>
      </c>
    </row>
    <row r="154" spans="1:20" x14ac:dyDescent="0.25">
      <c r="A154" t="s">
        <v>75</v>
      </c>
      <c r="B154" t="s">
        <v>87</v>
      </c>
      <c r="C154">
        <v>202404</v>
      </c>
      <c r="D154" s="47" t="str">
        <f>MID(C154,1,4)</f>
        <v>2024</v>
      </c>
      <c r="E154" t="str">
        <f>IF(Portfolio!$M$1=1,CONCATENATE(A154,C154),CONCATENATE(B154,C154))</f>
        <v>CHAMP RESTO202404</v>
      </c>
      <c r="F154">
        <v>38</v>
      </c>
      <c r="G154">
        <v>2</v>
      </c>
      <c r="H154">
        <v>0</v>
      </c>
      <c r="I154">
        <v>0</v>
      </c>
      <c r="J154">
        <v>0</v>
      </c>
      <c r="K154">
        <v>11363130</v>
      </c>
      <c r="L154">
        <v>568200</v>
      </c>
      <c r="M154">
        <v>0</v>
      </c>
      <c r="N154">
        <v>0</v>
      </c>
      <c r="O154">
        <v>0</v>
      </c>
      <c r="P154">
        <v>17045</v>
      </c>
      <c r="Q154">
        <v>5682</v>
      </c>
      <c r="R154">
        <v>0</v>
      </c>
      <c r="S154">
        <v>0</v>
      </c>
      <c r="T154">
        <v>0</v>
      </c>
    </row>
    <row r="155" spans="1:20" x14ac:dyDescent="0.25">
      <c r="A155" t="s">
        <v>75</v>
      </c>
      <c r="B155" t="s">
        <v>89</v>
      </c>
      <c r="C155">
        <v>202404</v>
      </c>
      <c r="D155" s="47" t="str">
        <f>MID(C155,1,4)</f>
        <v>2024</v>
      </c>
      <c r="E155" t="str">
        <f>IF(Portfolio!$M$1=1,CONCATENATE(A155,C155),CONCATENATE(B155,C155))</f>
        <v>CHAMP RESTO202404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542000</v>
      </c>
      <c r="L155">
        <v>0</v>
      </c>
      <c r="M155">
        <v>0</v>
      </c>
      <c r="N155">
        <v>0</v>
      </c>
      <c r="O155">
        <v>0</v>
      </c>
      <c r="P155">
        <v>813</v>
      </c>
      <c r="Q155">
        <v>0</v>
      </c>
      <c r="R155">
        <v>0</v>
      </c>
      <c r="S155">
        <v>0</v>
      </c>
      <c r="T155">
        <v>0</v>
      </c>
    </row>
    <row r="156" spans="1:20" x14ac:dyDescent="0.25">
      <c r="A156" t="s">
        <v>75</v>
      </c>
      <c r="B156" t="s">
        <v>91</v>
      </c>
      <c r="C156">
        <v>202404</v>
      </c>
      <c r="D156" s="47" t="str">
        <f>MID(C156,1,4)</f>
        <v>2024</v>
      </c>
      <c r="E156" t="str">
        <f>IF(Portfolio!$M$1=1,CONCATENATE(A156,C156),CONCATENATE(B156,C156))</f>
        <v>CHAMP RESTO202404</v>
      </c>
      <c r="F156">
        <v>100</v>
      </c>
      <c r="G156">
        <v>27</v>
      </c>
      <c r="H156">
        <v>0</v>
      </c>
      <c r="I156">
        <v>0</v>
      </c>
      <c r="J156">
        <v>0</v>
      </c>
      <c r="K156">
        <v>31884669</v>
      </c>
      <c r="L156">
        <v>7470425</v>
      </c>
      <c r="M156">
        <v>0</v>
      </c>
      <c r="N156">
        <v>0</v>
      </c>
      <c r="O156">
        <v>0</v>
      </c>
      <c r="P156">
        <v>47827</v>
      </c>
      <c r="Q156">
        <v>74704</v>
      </c>
      <c r="R156">
        <v>0</v>
      </c>
      <c r="S156">
        <v>0</v>
      </c>
      <c r="T156">
        <v>0</v>
      </c>
    </row>
    <row r="157" spans="1:20" x14ac:dyDescent="0.25">
      <c r="A157" t="s">
        <v>75</v>
      </c>
      <c r="B157" t="s">
        <v>93</v>
      </c>
      <c r="C157">
        <v>202404</v>
      </c>
      <c r="D157" s="47" t="str">
        <f>MID(C157,1,4)</f>
        <v>2024</v>
      </c>
      <c r="E157" t="str">
        <f>IF(Portfolio!$M$1=1,CONCATENATE(A157,C157),CONCATENATE(B157,C157))</f>
        <v>CHAMP RESTO202404</v>
      </c>
      <c r="F157">
        <v>63</v>
      </c>
      <c r="G157">
        <v>2</v>
      </c>
      <c r="H157">
        <v>0</v>
      </c>
      <c r="I157">
        <v>0</v>
      </c>
      <c r="J157">
        <v>0</v>
      </c>
      <c r="K157">
        <v>16193241</v>
      </c>
      <c r="L157">
        <v>434000</v>
      </c>
      <c r="M157">
        <v>0</v>
      </c>
      <c r="N157">
        <v>0</v>
      </c>
      <c r="O157">
        <v>0</v>
      </c>
      <c r="P157">
        <v>24290</v>
      </c>
      <c r="Q157">
        <v>4340</v>
      </c>
      <c r="R157">
        <v>0</v>
      </c>
      <c r="S157">
        <v>0</v>
      </c>
      <c r="T157">
        <v>0</v>
      </c>
    </row>
    <row r="158" spans="1:20" x14ac:dyDescent="0.25">
      <c r="A158" t="s">
        <v>75</v>
      </c>
      <c r="B158" t="s">
        <v>95</v>
      </c>
      <c r="C158">
        <v>202404</v>
      </c>
      <c r="D158" s="47" t="str">
        <f>MID(C158,1,4)</f>
        <v>2024</v>
      </c>
      <c r="E158" t="str">
        <f>IF(Portfolio!$M$1=1,CONCATENATE(A158,C158),CONCATENATE(B158,C158))</f>
        <v>CHAMP RESTO202404</v>
      </c>
      <c r="F158">
        <v>1050</v>
      </c>
      <c r="G158">
        <v>2</v>
      </c>
      <c r="H158">
        <v>0</v>
      </c>
      <c r="I158">
        <v>0</v>
      </c>
      <c r="J158">
        <v>0</v>
      </c>
      <c r="K158">
        <v>279852776</v>
      </c>
      <c r="L158">
        <v>557500</v>
      </c>
      <c r="M158">
        <v>0</v>
      </c>
      <c r="N158">
        <v>0</v>
      </c>
      <c r="O158">
        <v>0</v>
      </c>
      <c r="P158">
        <v>419777</v>
      </c>
      <c r="Q158">
        <v>5575</v>
      </c>
      <c r="R158">
        <v>0</v>
      </c>
      <c r="S158">
        <v>0</v>
      </c>
      <c r="T158">
        <v>0</v>
      </c>
    </row>
    <row r="159" spans="1:20" x14ac:dyDescent="0.25">
      <c r="A159" t="s">
        <v>84</v>
      </c>
      <c r="B159" t="s">
        <v>84</v>
      </c>
      <c r="C159">
        <v>202404</v>
      </c>
      <c r="D159" s="47" t="str">
        <f>MID(C159,1,4)</f>
        <v>2024</v>
      </c>
      <c r="E159" t="str">
        <f>IF(Portfolio!$M$1=1,CONCATENATE(A159,C159),CONCATENATE(B159,C159))</f>
        <v>ES TELLER 77202404</v>
      </c>
      <c r="F159">
        <v>54</v>
      </c>
      <c r="G159">
        <v>107</v>
      </c>
      <c r="H159">
        <v>0</v>
      </c>
      <c r="I159">
        <v>0</v>
      </c>
      <c r="J159">
        <v>0</v>
      </c>
      <c r="K159">
        <v>7756000</v>
      </c>
      <c r="L159">
        <v>14998600</v>
      </c>
      <c r="M159">
        <v>0</v>
      </c>
      <c r="N159">
        <v>0</v>
      </c>
      <c r="O159">
        <v>0</v>
      </c>
      <c r="P159">
        <v>11634</v>
      </c>
      <c r="Q159">
        <v>149986</v>
      </c>
      <c r="R159">
        <v>0</v>
      </c>
      <c r="S159">
        <v>0</v>
      </c>
      <c r="T159">
        <v>0</v>
      </c>
    </row>
    <row r="160" spans="1:20" x14ac:dyDescent="0.25">
      <c r="A160" t="s">
        <v>86</v>
      </c>
      <c r="B160" t="s">
        <v>86</v>
      </c>
      <c r="C160">
        <v>202404</v>
      </c>
      <c r="D160" s="47" t="str">
        <f>MID(C160,1,4)</f>
        <v>2024</v>
      </c>
      <c r="E160" t="str">
        <f>IF(Portfolio!$M$1=1,CONCATENATE(A160,C160),CONCATENATE(B160,C160))</f>
        <v>GRAMEDIA202404</v>
      </c>
      <c r="F160">
        <v>15</v>
      </c>
      <c r="G160">
        <v>535</v>
      </c>
      <c r="H160">
        <v>131</v>
      </c>
      <c r="I160">
        <v>0</v>
      </c>
      <c r="J160">
        <v>1</v>
      </c>
      <c r="K160">
        <v>3912900</v>
      </c>
      <c r="L160">
        <v>202502768</v>
      </c>
      <c r="M160">
        <v>60466350</v>
      </c>
      <c r="N160">
        <v>0</v>
      </c>
      <c r="O160">
        <v>30000</v>
      </c>
      <c r="P160">
        <v>5869</v>
      </c>
      <c r="Q160">
        <v>1890277</v>
      </c>
      <c r="R160">
        <v>1115612</v>
      </c>
      <c r="S160">
        <v>0</v>
      </c>
      <c r="T160">
        <v>210</v>
      </c>
    </row>
    <row r="161" spans="1:20" x14ac:dyDescent="0.25">
      <c r="A161" t="s">
        <v>88</v>
      </c>
      <c r="B161" t="s">
        <v>88</v>
      </c>
      <c r="C161">
        <v>202404</v>
      </c>
      <c r="D161" s="47" t="str">
        <f>MID(C161,1,4)</f>
        <v>2024</v>
      </c>
      <c r="E161" t="str">
        <f>IF(Portfolio!$M$1=1,CONCATENATE(A161,C161),CONCATENATE(B161,C161))</f>
        <v>HAUS202404</v>
      </c>
      <c r="F161">
        <v>0</v>
      </c>
      <c r="G161">
        <v>12</v>
      </c>
      <c r="H161">
        <v>1</v>
      </c>
      <c r="I161">
        <v>0</v>
      </c>
      <c r="J161">
        <v>0</v>
      </c>
      <c r="K161">
        <v>0</v>
      </c>
      <c r="L161">
        <v>483997</v>
      </c>
      <c r="M161">
        <v>48000</v>
      </c>
      <c r="N161">
        <v>0</v>
      </c>
      <c r="O161">
        <v>0</v>
      </c>
      <c r="P161">
        <v>0</v>
      </c>
      <c r="Q161">
        <v>4840</v>
      </c>
      <c r="R161">
        <v>864</v>
      </c>
      <c r="S161">
        <v>0</v>
      </c>
      <c r="T161">
        <v>0</v>
      </c>
    </row>
    <row r="162" spans="1:20" x14ac:dyDescent="0.25">
      <c r="A162" t="s">
        <v>90</v>
      </c>
      <c r="B162" t="s">
        <v>90</v>
      </c>
      <c r="C162">
        <v>202404</v>
      </c>
      <c r="D162" s="47" t="str">
        <f>MID(C162,1,4)</f>
        <v>2024</v>
      </c>
      <c r="E162" t="str">
        <f>IF(Portfolio!$M$1=1,CONCATENATE(A162,C162),CONCATENATE(B162,C162))</f>
        <v>HEAVENLY WANG202404</v>
      </c>
      <c r="F162">
        <v>6</v>
      </c>
      <c r="G162">
        <v>0</v>
      </c>
      <c r="H162">
        <v>0</v>
      </c>
      <c r="I162">
        <v>0</v>
      </c>
      <c r="J162">
        <v>0</v>
      </c>
      <c r="K162">
        <v>1151535</v>
      </c>
      <c r="L162">
        <v>0</v>
      </c>
      <c r="M162">
        <v>0</v>
      </c>
      <c r="N162">
        <v>0</v>
      </c>
      <c r="O162">
        <v>0</v>
      </c>
      <c r="P162">
        <v>1727</v>
      </c>
      <c r="Q162">
        <v>0</v>
      </c>
      <c r="R162">
        <v>0</v>
      </c>
      <c r="S162">
        <v>0</v>
      </c>
      <c r="T162">
        <v>0</v>
      </c>
    </row>
    <row r="163" spans="1:20" x14ac:dyDescent="0.25">
      <c r="A163" t="s">
        <v>92</v>
      </c>
      <c r="B163" t="s">
        <v>108</v>
      </c>
      <c r="C163">
        <v>202404</v>
      </c>
      <c r="D163" s="47" t="str">
        <f>MID(C163,1,4)</f>
        <v>2024</v>
      </c>
      <c r="E163" t="str">
        <f>IF(Portfolio!$M$1=1,CONCATENATE(A163,C163),CONCATENATE(B163,C163))</f>
        <v>HERO GROUP202404</v>
      </c>
      <c r="F163">
        <v>46</v>
      </c>
      <c r="G163">
        <v>20</v>
      </c>
      <c r="H163">
        <v>3</v>
      </c>
      <c r="I163">
        <v>0</v>
      </c>
      <c r="J163">
        <v>0</v>
      </c>
      <c r="K163">
        <v>22234510</v>
      </c>
      <c r="L163">
        <v>6634185</v>
      </c>
      <c r="M163">
        <v>1913061</v>
      </c>
      <c r="N163">
        <v>0</v>
      </c>
      <c r="O163">
        <v>0</v>
      </c>
      <c r="P163">
        <v>33352</v>
      </c>
      <c r="Q163">
        <v>62886</v>
      </c>
      <c r="R163">
        <v>38261</v>
      </c>
      <c r="S163">
        <v>0</v>
      </c>
      <c r="T163">
        <v>0</v>
      </c>
    </row>
    <row r="164" spans="1:20" x14ac:dyDescent="0.25">
      <c r="A164" t="s">
        <v>97</v>
      </c>
      <c r="B164" t="s">
        <v>97</v>
      </c>
      <c r="C164">
        <v>202404</v>
      </c>
      <c r="D164" s="47" t="str">
        <f>MID(C164,1,4)</f>
        <v>2024</v>
      </c>
      <c r="E164" t="str">
        <f>IF(Portfolio!$M$1=1,CONCATENATE(A164,C164),CONCATENATE(B164,C164))</f>
        <v>HOP HOP202404</v>
      </c>
      <c r="F164">
        <v>0</v>
      </c>
      <c r="G164">
        <v>0</v>
      </c>
      <c r="H164">
        <v>0</v>
      </c>
      <c r="I164">
        <v>12</v>
      </c>
      <c r="J164">
        <v>2306</v>
      </c>
      <c r="K164">
        <v>0</v>
      </c>
      <c r="L164">
        <v>0</v>
      </c>
      <c r="M164">
        <v>0</v>
      </c>
      <c r="N164">
        <v>555000</v>
      </c>
      <c r="O164">
        <v>85531001</v>
      </c>
      <c r="P164">
        <v>0</v>
      </c>
      <c r="Q164">
        <v>0</v>
      </c>
      <c r="R164">
        <v>0</v>
      </c>
      <c r="S164">
        <v>3693</v>
      </c>
      <c r="T164">
        <v>560201</v>
      </c>
    </row>
    <row r="165" spans="1:20" x14ac:dyDescent="0.25">
      <c r="A165" t="s">
        <v>99</v>
      </c>
      <c r="B165" t="s">
        <v>99</v>
      </c>
      <c r="C165">
        <v>202404</v>
      </c>
      <c r="D165" s="47" t="str">
        <f>MID(C165,1,4)</f>
        <v>2024</v>
      </c>
      <c r="E165" t="str">
        <f>IF(Portfolio!$M$1=1,CONCATENATE(A165,C165),CONCATENATE(B165,C165))</f>
        <v>IKEA202404</v>
      </c>
      <c r="F165">
        <v>6</v>
      </c>
      <c r="G165">
        <v>0</v>
      </c>
      <c r="H165">
        <v>0</v>
      </c>
      <c r="I165">
        <v>0</v>
      </c>
      <c r="J165">
        <v>0</v>
      </c>
      <c r="K165">
        <v>2953400</v>
      </c>
      <c r="L165">
        <v>0</v>
      </c>
      <c r="M165">
        <v>0</v>
      </c>
      <c r="N165">
        <v>0</v>
      </c>
      <c r="O165">
        <v>0</v>
      </c>
      <c r="P165">
        <v>4430</v>
      </c>
      <c r="Q165">
        <v>0</v>
      </c>
      <c r="R165">
        <v>0</v>
      </c>
      <c r="S165">
        <v>0</v>
      </c>
      <c r="T165">
        <v>0</v>
      </c>
    </row>
    <row r="166" spans="1:20" x14ac:dyDescent="0.25">
      <c r="A166" t="s">
        <v>101</v>
      </c>
      <c r="B166" t="s">
        <v>101</v>
      </c>
      <c r="C166">
        <v>202404</v>
      </c>
      <c r="D166" s="47" t="str">
        <f>MID(C166,1,4)</f>
        <v>2024</v>
      </c>
      <c r="E166" t="str">
        <f>IF(Portfolio!$M$1=1,CONCATENATE(A166,C166),CONCATENATE(B166,C166))</f>
        <v>INDOMARET202404</v>
      </c>
      <c r="F166">
        <v>34420</v>
      </c>
      <c r="G166">
        <v>75248</v>
      </c>
      <c r="H166">
        <v>2806</v>
      </c>
      <c r="I166">
        <v>1</v>
      </c>
      <c r="J166">
        <v>2</v>
      </c>
      <c r="K166">
        <v>3793301356</v>
      </c>
      <c r="L166">
        <v>7555099797</v>
      </c>
      <c r="M166">
        <v>386341740</v>
      </c>
      <c r="N166">
        <v>38000</v>
      </c>
      <c r="O166">
        <v>55000</v>
      </c>
      <c r="P166">
        <v>5689949</v>
      </c>
      <c r="Q166">
        <v>74485034</v>
      </c>
      <c r="R166">
        <v>6765367</v>
      </c>
      <c r="S166">
        <v>114</v>
      </c>
      <c r="T166">
        <v>165</v>
      </c>
    </row>
    <row r="167" spans="1:20" x14ac:dyDescent="0.25">
      <c r="A167" t="s">
        <v>101</v>
      </c>
      <c r="B167" t="s">
        <v>117</v>
      </c>
      <c r="C167">
        <v>202404</v>
      </c>
      <c r="D167" s="47" t="str">
        <f>MID(C167,1,4)</f>
        <v>2024</v>
      </c>
      <c r="E167" t="str">
        <f>IF(Portfolio!$M$1=1,CONCATENATE(A167,C167),CONCATENATE(B167,C167))</f>
        <v>INDOMARET202404</v>
      </c>
      <c r="F167">
        <v>145</v>
      </c>
      <c r="G167">
        <v>412</v>
      </c>
      <c r="H167">
        <v>11</v>
      </c>
      <c r="I167">
        <v>0</v>
      </c>
      <c r="J167">
        <v>0</v>
      </c>
      <c r="K167">
        <v>13482200</v>
      </c>
      <c r="L167">
        <v>35332000</v>
      </c>
      <c r="M167">
        <v>886800</v>
      </c>
      <c r="N167">
        <v>0</v>
      </c>
      <c r="O167">
        <v>0</v>
      </c>
      <c r="P167">
        <v>20223</v>
      </c>
      <c r="Q167">
        <v>353320</v>
      </c>
      <c r="R167">
        <v>14632</v>
      </c>
      <c r="S167">
        <v>0</v>
      </c>
      <c r="T167">
        <v>0</v>
      </c>
    </row>
    <row r="168" spans="1:20" x14ac:dyDescent="0.25">
      <c r="A168" t="s">
        <v>102</v>
      </c>
      <c r="B168" t="s">
        <v>121</v>
      </c>
      <c r="C168">
        <v>202404</v>
      </c>
      <c r="D168" s="47" t="str">
        <f>MID(C168,1,4)</f>
        <v>2024</v>
      </c>
      <c r="E168" t="str">
        <f>IF(Portfolio!$M$1=1,CONCATENATE(A168,C168),CONCATENATE(B168,C168))</f>
        <v>KAWAN LAMA202404</v>
      </c>
      <c r="F168">
        <v>12</v>
      </c>
      <c r="G168">
        <v>0</v>
      </c>
      <c r="H168">
        <v>0</v>
      </c>
      <c r="I168">
        <v>0</v>
      </c>
      <c r="J168">
        <v>0</v>
      </c>
      <c r="K168">
        <v>1701120</v>
      </c>
      <c r="L168">
        <v>0</v>
      </c>
      <c r="M168">
        <v>0</v>
      </c>
      <c r="N168">
        <v>0</v>
      </c>
      <c r="O168">
        <v>0</v>
      </c>
      <c r="P168">
        <v>2552</v>
      </c>
      <c r="Q168">
        <v>0</v>
      </c>
      <c r="R168">
        <v>0</v>
      </c>
      <c r="S168">
        <v>0</v>
      </c>
      <c r="T168">
        <v>0</v>
      </c>
    </row>
    <row r="169" spans="1:20" x14ac:dyDescent="0.25">
      <c r="A169" t="s">
        <v>102</v>
      </c>
      <c r="B169" t="s">
        <v>123</v>
      </c>
      <c r="C169">
        <v>202404</v>
      </c>
      <c r="D169" s="47" t="str">
        <f>MID(C169,1,4)</f>
        <v>2024</v>
      </c>
      <c r="E169" t="str">
        <f>IF(Portfolio!$M$1=1,CONCATENATE(A169,C169),CONCATENATE(B169,C169))</f>
        <v>KAWAN LAMA202404</v>
      </c>
      <c r="F169">
        <v>2055</v>
      </c>
      <c r="G169">
        <v>1</v>
      </c>
      <c r="H169">
        <v>0</v>
      </c>
      <c r="I169">
        <v>0</v>
      </c>
      <c r="J169">
        <v>0</v>
      </c>
      <c r="K169">
        <v>1923996396</v>
      </c>
      <c r="L169">
        <v>519200</v>
      </c>
      <c r="M169">
        <v>0</v>
      </c>
      <c r="N169">
        <v>0</v>
      </c>
      <c r="O169">
        <v>0</v>
      </c>
      <c r="P169">
        <v>2885991</v>
      </c>
      <c r="Q169">
        <v>5192</v>
      </c>
      <c r="R169">
        <v>0</v>
      </c>
      <c r="S169">
        <v>0</v>
      </c>
      <c r="T169">
        <v>0</v>
      </c>
    </row>
    <row r="170" spans="1:20" x14ac:dyDescent="0.25">
      <c r="A170" t="s">
        <v>102</v>
      </c>
      <c r="B170" t="s">
        <v>135</v>
      </c>
      <c r="C170">
        <v>202404</v>
      </c>
      <c r="D170" s="47" t="str">
        <f>MID(C170,1,4)</f>
        <v>2024</v>
      </c>
      <c r="E170" t="str">
        <f>IF(Portfolio!$M$1=1,CONCATENATE(A170,C170),CONCATENATE(B170,C170))</f>
        <v>KAWAN LAMA202404</v>
      </c>
      <c r="F170">
        <v>580</v>
      </c>
      <c r="G170">
        <v>1</v>
      </c>
      <c r="H170">
        <v>0</v>
      </c>
      <c r="I170">
        <v>0</v>
      </c>
      <c r="J170">
        <v>0</v>
      </c>
      <c r="K170">
        <v>1762531943</v>
      </c>
      <c r="L170">
        <v>722200</v>
      </c>
      <c r="M170">
        <v>0</v>
      </c>
      <c r="N170">
        <v>0</v>
      </c>
      <c r="O170">
        <v>0</v>
      </c>
      <c r="P170">
        <v>2643797</v>
      </c>
      <c r="Q170">
        <v>7222</v>
      </c>
      <c r="R170">
        <v>0</v>
      </c>
      <c r="S170">
        <v>0</v>
      </c>
      <c r="T170">
        <v>0</v>
      </c>
    </row>
    <row r="171" spans="1:20" x14ac:dyDescent="0.25">
      <c r="A171" t="s">
        <v>102</v>
      </c>
      <c r="B171" t="s">
        <v>137</v>
      </c>
      <c r="C171">
        <v>202404</v>
      </c>
      <c r="D171" s="47" t="str">
        <f>MID(C171,1,4)</f>
        <v>2024</v>
      </c>
      <c r="E171" t="str">
        <f>IF(Portfolio!$M$1=1,CONCATENATE(A171,C171),CONCATENATE(B171,C171))</f>
        <v>KAWAN LAMA202404</v>
      </c>
      <c r="F171">
        <v>18</v>
      </c>
      <c r="G171">
        <v>0</v>
      </c>
      <c r="H171">
        <v>0</v>
      </c>
      <c r="I171">
        <v>0</v>
      </c>
      <c r="J171">
        <v>0</v>
      </c>
      <c r="K171">
        <v>40978950</v>
      </c>
      <c r="L171">
        <v>0</v>
      </c>
      <c r="M171">
        <v>0</v>
      </c>
      <c r="N171">
        <v>0</v>
      </c>
      <c r="O171">
        <v>0</v>
      </c>
      <c r="P171">
        <v>61468</v>
      </c>
      <c r="Q171">
        <v>0</v>
      </c>
      <c r="R171">
        <v>0</v>
      </c>
      <c r="S171">
        <v>0</v>
      </c>
      <c r="T171">
        <v>0</v>
      </c>
    </row>
    <row r="172" spans="1:20" x14ac:dyDescent="0.25">
      <c r="A172" t="s">
        <v>102</v>
      </c>
      <c r="B172" t="s">
        <v>142</v>
      </c>
      <c r="C172">
        <v>202404</v>
      </c>
      <c r="D172" s="47" t="str">
        <f>MID(C172,1,4)</f>
        <v>2024</v>
      </c>
      <c r="E172" t="str">
        <f>IF(Portfolio!$M$1=1,CONCATENATE(A172,C172),CONCATENATE(B172,C172))</f>
        <v>KAWAN LAMA202404</v>
      </c>
      <c r="F172">
        <v>7</v>
      </c>
      <c r="G172">
        <v>0</v>
      </c>
      <c r="H172">
        <v>0</v>
      </c>
      <c r="I172">
        <v>0</v>
      </c>
      <c r="J172">
        <v>0</v>
      </c>
      <c r="K172">
        <v>8855649</v>
      </c>
      <c r="L172">
        <v>0</v>
      </c>
      <c r="M172">
        <v>0</v>
      </c>
      <c r="N172">
        <v>0</v>
      </c>
      <c r="O172">
        <v>0</v>
      </c>
      <c r="P172">
        <v>13283</v>
      </c>
      <c r="Q172">
        <v>0</v>
      </c>
      <c r="R172">
        <v>0</v>
      </c>
      <c r="S172">
        <v>0</v>
      </c>
      <c r="T172">
        <v>0</v>
      </c>
    </row>
    <row r="173" spans="1:20" x14ac:dyDescent="0.25">
      <c r="A173" t="s">
        <v>103</v>
      </c>
      <c r="B173" t="s">
        <v>146</v>
      </c>
      <c r="C173">
        <v>202404</v>
      </c>
      <c r="D173" s="47" t="str">
        <f>MID(C173,1,4)</f>
        <v>2024</v>
      </c>
      <c r="E173" t="str">
        <f>IF(Portfolio!$M$1=1,CONCATENATE(A173,C173),CONCATENATE(B173,C173))</f>
        <v>KCIC202404</v>
      </c>
      <c r="F173">
        <v>48</v>
      </c>
      <c r="G173">
        <v>1361</v>
      </c>
      <c r="H173">
        <v>340</v>
      </c>
      <c r="I173">
        <v>0</v>
      </c>
      <c r="J173">
        <v>0</v>
      </c>
      <c r="K173">
        <v>28675000</v>
      </c>
      <c r="L173">
        <v>827725000</v>
      </c>
      <c r="M173">
        <v>285475000</v>
      </c>
      <c r="N173">
        <v>0</v>
      </c>
      <c r="O173">
        <v>0</v>
      </c>
      <c r="P173">
        <v>43012</v>
      </c>
      <c r="Q173">
        <v>7596500</v>
      </c>
      <c r="R173">
        <v>5138550</v>
      </c>
      <c r="S173">
        <v>0</v>
      </c>
      <c r="T173">
        <v>0</v>
      </c>
    </row>
    <row r="174" spans="1:20" x14ac:dyDescent="0.25">
      <c r="A174" t="s">
        <v>104</v>
      </c>
      <c r="B174" t="s">
        <v>147</v>
      </c>
      <c r="C174">
        <v>202404</v>
      </c>
      <c r="D174" s="47" t="str">
        <f>MID(C174,1,4)</f>
        <v>2024</v>
      </c>
      <c r="E174" t="str">
        <f>IF(Portfolio!$M$1=1,CONCATENATE(A174,C174),CONCATENATE(B174,C174))</f>
        <v>KIMIA FARMA202404</v>
      </c>
      <c r="F174">
        <v>81</v>
      </c>
      <c r="G174">
        <v>886</v>
      </c>
      <c r="H174">
        <v>105</v>
      </c>
      <c r="I174">
        <v>0</v>
      </c>
      <c r="J174">
        <v>0</v>
      </c>
      <c r="K174">
        <v>17915693</v>
      </c>
      <c r="L174">
        <v>244085793</v>
      </c>
      <c r="M174">
        <v>40430993</v>
      </c>
      <c r="N174">
        <v>0</v>
      </c>
      <c r="O174">
        <v>0</v>
      </c>
      <c r="P174">
        <v>26873</v>
      </c>
      <c r="Q174">
        <v>2272464</v>
      </c>
      <c r="R174">
        <v>727758</v>
      </c>
      <c r="S174">
        <v>0</v>
      </c>
      <c r="T174">
        <v>0</v>
      </c>
    </row>
    <row r="175" spans="1:20" x14ac:dyDescent="0.25">
      <c r="A175" t="s">
        <v>105</v>
      </c>
      <c r="B175" t="s">
        <v>149</v>
      </c>
      <c r="C175">
        <v>202404</v>
      </c>
      <c r="D175" s="47" t="str">
        <f>MID(C175,1,4)</f>
        <v>2024</v>
      </c>
      <c r="E175" t="str">
        <f>IF(Portfolio!$M$1=1,CONCATENATE(A175,C175),CONCATENATE(B175,C175))</f>
        <v>LOTTE GROUP202404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189000</v>
      </c>
      <c r="M175">
        <v>0</v>
      </c>
      <c r="N175">
        <v>0</v>
      </c>
      <c r="O175">
        <v>0</v>
      </c>
      <c r="P175">
        <v>0</v>
      </c>
      <c r="Q175">
        <v>1890</v>
      </c>
      <c r="R175">
        <v>0</v>
      </c>
      <c r="S175">
        <v>0</v>
      </c>
      <c r="T175">
        <v>0</v>
      </c>
    </row>
    <row r="176" spans="1:20" x14ac:dyDescent="0.25">
      <c r="A176" t="s">
        <v>107</v>
      </c>
      <c r="B176" t="s">
        <v>178</v>
      </c>
      <c r="C176">
        <v>202404</v>
      </c>
      <c r="D176" s="47" t="str">
        <f>MID(C176,1,4)</f>
        <v>2024</v>
      </c>
      <c r="E176" t="str">
        <f>IF(Portfolio!$M$1=1,CONCATENATE(A176,C176),CONCATENATE(B176,C176))</f>
        <v>MAP GROUP202404</v>
      </c>
      <c r="F176">
        <v>0</v>
      </c>
      <c r="G176">
        <v>41</v>
      </c>
      <c r="H176">
        <v>0</v>
      </c>
      <c r="I176">
        <v>1</v>
      </c>
      <c r="J176">
        <v>192</v>
      </c>
      <c r="K176">
        <v>0</v>
      </c>
      <c r="L176">
        <v>7673500</v>
      </c>
      <c r="M176">
        <v>0</v>
      </c>
      <c r="N176">
        <v>52300</v>
      </c>
      <c r="O176">
        <v>30311700</v>
      </c>
      <c r="P176">
        <v>0</v>
      </c>
      <c r="Q176">
        <v>75119</v>
      </c>
      <c r="R176">
        <v>0</v>
      </c>
      <c r="S176">
        <v>366</v>
      </c>
      <c r="T176">
        <v>212181</v>
      </c>
    </row>
    <row r="177" spans="1:20" x14ac:dyDescent="0.25">
      <c r="A177" t="s">
        <v>107</v>
      </c>
      <c r="B177" t="s">
        <v>201</v>
      </c>
      <c r="C177">
        <v>202404</v>
      </c>
      <c r="D177" s="47" t="str">
        <f>MID(C177,1,4)</f>
        <v>2024</v>
      </c>
      <c r="E177" t="str">
        <f>IF(Portfolio!$M$1=1,CONCATENATE(A177,C177),CONCATENATE(B177,C177))</f>
        <v>MAP GROUP202404</v>
      </c>
      <c r="F177">
        <v>2</v>
      </c>
      <c r="G177">
        <v>1</v>
      </c>
      <c r="H177">
        <v>0</v>
      </c>
      <c r="I177">
        <v>0</v>
      </c>
      <c r="J177">
        <v>0</v>
      </c>
      <c r="K177">
        <v>920000</v>
      </c>
      <c r="L177">
        <v>130000</v>
      </c>
      <c r="M177">
        <v>0</v>
      </c>
      <c r="N177">
        <v>0</v>
      </c>
      <c r="O177">
        <v>0</v>
      </c>
      <c r="P177">
        <v>1380</v>
      </c>
      <c r="Q177">
        <v>1300</v>
      </c>
      <c r="R177">
        <v>0</v>
      </c>
      <c r="S177">
        <v>0</v>
      </c>
      <c r="T177">
        <v>0</v>
      </c>
    </row>
    <row r="178" spans="1:20" x14ac:dyDescent="0.25">
      <c r="A178" t="s">
        <v>107</v>
      </c>
      <c r="B178" t="s">
        <v>208</v>
      </c>
      <c r="C178">
        <v>202404</v>
      </c>
      <c r="D178" s="47" t="str">
        <f>MID(C178,1,4)</f>
        <v>2024</v>
      </c>
      <c r="E178" t="str">
        <f>IF(Portfolio!$M$1=1,CONCATENATE(A178,C178),CONCATENATE(B178,C178))</f>
        <v>MAP GROUP202404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363600</v>
      </c>
      <c r="M178">
        <v>0</v>
      </c>
      <c r="N178">
        <v>0</v>
      </c>
      <c r="O178">
        <v>0</v>
      </c>
      <c r="P178">
        <v>0</v>
      </c>
      <c r="Q178">
        <v>3636</v>
      </c>
      <c r="R178">
        <v>0</v>
      </c>
      <c r="S178">
        <v>0</v>
      </c>
      <c r="T178">
        <v>0</v>
      </c>
    </row>
    <row r="179" spans="1:20" x14ac:dyDescent="0.25">
      <c r="A179" t="s">
        <v>109</v>
      </c>
      <c r="B179" t="s">
        <v>109</v>
      </c>
      <c r="C179">
        <v>202404</v>
      </c>
      <c r="D179" s="47" t="str">
        <f>MID(C179,1,4)</f>
        <v>2024</v>
      </c>
      <c r="E179" t="str">
        <f>IF(Portfolio!$M$1=1,CONCATENATE(A179,C179),CONCATENATE(B179,C179))</f>
        <v>MITRA10202404</v>
      </c>
      <c r="F179">
        <v>562</v>
      </c>
      <c r="G179">
        <v>2</v>
      </c>
      <c r="H179">
        <v>0</v>
      </c>
      <c r="I179">
        <v>0</v>
      </c>
      <c r="J179">
        <v>0</v>
      </c>
      <c r="K179">
        <v>1115985029</v>
      </c>
      <c r="L179">
        <v>12946275</v>
      </c>
      <c r="M179">
        <v>0</v>
      </c>
      <c r="N179">
        <v>0</v>
      </c>
      <c r="O179">
        <v>0</v>
      </c>
      <c r="P179">
        <v>1673976</v>
      </c>
      <c r="Q179">
        <v>129463</v>
      </c>
      <c r="R179">
        <v>0</v>
      </c>
      <c r="S179">
        <v>0</v>
      </c>
      <c r="T179">
        <v>0</v>
      </c>
    </row>
    <row r="180" spans="1:20" x14ac:dyDescent="0.25">
      <c r="A180" t="s">
        <v>110</v>
      </c>
      <c r="B180" t="s">
        <v>110</v>
      </c>
      <c r="C180">
        <v>202404</v>
      </c>
      <c r="D180" s="47" t="str">
        <f>MID(C180,1,4)</f>
        <v>2024</v>
      </c>
      <c r="E180" t="str">
        <f>IF(Portfolio!$M$1=1,CONCATENATE(A180,C180),CONCATENATE(B180,C180))</f>
        <v>OPTIK MELAWAI202404</v>
      </c>
      <c r="F180">
        <v>76</v>
      </c>
      <c r="G180">
        <v>610</v>
      </c>
      <c r="H180">
        <v>9</v>
      </c>
      <c r="I180">
        <v>0</v>
      </c>
      <c r="J180">
        <v>0</v>
      </c>
      <c r="K180">
        <v>92940500</v>
      </c>
      <c r="L180">
        <v>725685700</v>
      </c>
      <c r="M180">
        <v>6746000</v>
      </c>
      <c r="N180">
        <v>0</v>
      </c>
      <c r="O180">
        <v>0</v>
      </c>
      <c r="P180">
        <v>139411</v>
      </c>
      <c r="Q180">
        <v>7256857</v>
      </c>
      <c r="R180">
        <v>129561</v>
      </c>
      <c r="S180">
        <v>0</v>
      </c>
      <c r="T180">
        <v>0</v>
      </c>
    </row>
    <row r="181" spans="1:20" x14ac:dyDescent="0.25">
      <c r="A181" t="s">
        <v>111</v>
      </c>
      <c r="B181" t="s">
        <v>214</v>
      </c>
      <c r="C181">
        <v>202404</v>
      </c>
      <c r="D181" s="47" t="str">
        <f>MID(C181,1,4)</f>
        <v>2024</v>
      </c>
      <c r="E181" t="str">
        <f>IF(Portfolio!$M$1=1,CONCATENATE(A181,C181),CONCATENATE(B181,C181))</f>
        <v>PATRA JASA202404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1050000</v>
      </c>
      <c r="L181">
        <v>0</v>
      </c>
      <c r="M181">
        <v>0</v>
      </c>
      <c r="N181">
        <v>0</v>
      </c>
      <c r="O181">
        <v>0</v>
      </c>
      <c r="P181">
        <v>1575</v>
      </c>
      <c r="Q181">
        <v>0</v>
      </c>
      <c r="R181">
        <v>0</v>
      </c>
      <c r="S181">
        <v>0</v>
      </c>
      <c r="T181">
        <v>0</v>
      </c>
    </row>
    <row r="182" spans="1:20" x14ac:dyDescent="0.25">
      <c r="A182" t="s">
        <v>112</v>
      </c>
      <c r="B182" t="s">
        <v>215</v>
      </c>
      <c r="C182">
        <v>202404</v>
      </c>
      <c r="D182" s="47" t="str">
        <f>MID(C182,1,4)</f>
        <v>2024</v>
      </c>
      <c r="E182" t="str">
        <f>IF(Portfolio!$M$1=1,CONCATENATE(A182,C182),CONCATENATE(B182,C182))</f>
        <v>PERTAMINA RETAIL202404</v>
      </c>
      <c r="F182">
        <v>27</v>
      </c>
      <c r="G182">
        <v>6054</v>
      </c>
      <c r="H182">
        <v>121</v>
      </c>
      <c r="I182">
        <v>0</v>
      </c>
      <c r="J182">
        <v>0</v>
      </c>
      <c r="K182">
        <v>1874300</v>
      </c>
      <c r="L182">
        <v>735407775</v>
      </c>
      <c r="M182">
        <v>24858150</v>
      </c>
      <c r="N182">
        <v>0</v>
      </c>
      <c r="O182">
        <v>0</v>
      </c>
      <c r="P182">
        <v>2811</v>
      </c>
      <c r="Q182">
        <v>6554629</v>
      </c>
      <c r="R182">
        <v>447447</v>
      </c>
      <c r="S182">
        <v>0</v>
      </c>
      <c r="T182">
        <v>0</v>
      </c>
    </row>
    <row r="183" spans="1:20" x14ac:dyDescent="0.25">
      <c r="A183" t="s">
        <v>112</v>
      </c>
      <c r="B183" t="s">
        <v>216</v>
      </c>
      <c r="C183">
        <v>202404</v>
      </c>
      <c r="D183" s="47" t="str">
        <f>MID(C183,1,4)</f>
        <v>2024</v>
      </c>
      <c r="E183" t="str">
        <f>IF(Portfolio!$M$1=1,CONCATENATE(A183,C183),CONCATENATE(B183,C183))</f>
        <v>PERTAMINA RETAIL202404</v>
      </c>
      <c r="F183">
        <v>828</v>
      </c>
      <c r="G183">
        <v>118867</v>
      </c>
      <c r="H183">
        <v>151</v>
      </c>
      <c r="I183">
        <v>21</v>
      </c>
      <c r="J183">
        <v>581</v>
      </c>
      <c r="K183">
        <v>193749136</v>
      </c>
      <c r="L183">
        <v>30060133686</v>
      </c>
      <c r="M183">
        <v>94038938</v>
      </c>
      <c r="N183">
        <v>3255000</v>
      </c>
      <c r="O183">
        <v>61279456</v>
      </c>
      <c r="P183">
        <v>290623</v>
      </c>
      <c r="Q183">
        <v>145731122</v>
      </c>
      <c r="R183">
        <v>1692701</v>
      </c>
      <c r="S183">
        <v>13020</v>
      </c>
      <c r="T183">
        <v>245115</v>
      </c>
    </row>
    <row r="184" spans="1:20" x14ac:dyDescent="0.25">
      <c r="A184" t="s">
        <v>114</v>
      </c>
      <c r="B184" t="s">
        <v>217</v>
      </c>
      <c r="C184">
        <v>202404</v>
      </c>
      <c r="D184" s="47" t="str">
        <f>MID(C184,1,4)</f>
        <v>2024</v>
      </c>
      <c r="E184" t="str">
        <f>IF(Portfolio!$M$1=1,CONCATENATE(A184,C184),CONCATENATE(B184,C184))</f>
        <v>PIZZA HUT202404</v>
      </c>
      <c r="F184">
        <v>25</v>
      </c>
      <c r="G184">
        <v>0</v>
      </c>
      <c r="H184">
        <v>0</v>
      </c>
      <c r="I184">
        <v>0</v>
      </c>
      <c r="J184">
        <v>0</v>
      </c>
      <c r="K184">
        <v>5789518</v>
      </c>
      <c r="L184">
        <v>0</v>
      </c>
      <c r="M184">
        <v>0</v>
      </c>
      <c r="N184">
        <v>0</v>
      </c>
      <c r="O184">
        <v>0</v>
      </c>
      <c r="P184">
        <v>8684</v>
      </c>
      <c r="Q184">
        <v>0</v>
      </c>
      <c r="R184">
        <v>0</v>
      </c>
      <c r="S184">
        <v>0</v>
      </c>
      <c r="T184">
        <v>0</v>
      </c>
    </row>
    <row r="185" spans="1:20" x14ac:dyDescent="0.25">
      <c r="A185" t="s">
        <v>114</v>
      </c>
      <c r="B185" t="s">
        <v>218</v>
      </c>
      <c r="C185">
        <v>202404</v>
      </c>
      <c r="D185" s="47" t="str">
        <f>MID(C185,1,4)</f>
        <v>2024</v>
      </c>
      <c r="E185" t="str">
        <f>IF(Portfolio!$M$1=1,CONCATENATE(A185,C185),CONCATENATE(B185,C185))</f>
        <v>PIZZA HUT202404</v>
      </c>
      <c r="F185">
        <v>306</v>
      </c>
      <c r="G185">
        <v>0</v>
      </c>
      <c r="H185">
        <v>0</v>
      </c>
      <c r="I185">
        <v>0</v>
      </c>
      <c r="J185">
        <v>0</v>
      </c>
      <c r="K185">
        <v>93077307</v>
      </c>
      <c r="L185">
        <v>0</v>
      </c>
      <c r="M185">
        <v>0</v>
      </c>
      <c r="N185">
        <v>0</v>
      </c>
      <c r="O185">
        <v>0</v>
      </c>
      <c r="P185">
        <v>139615</v>
      </c>
      <c r="Q185">
        <v>0</v>
      </c>
      <c r="R185">
        <v>0</v>
      </c>
      <c r="S185">
        <v>0</v>
      </c>
      <c r="T185">
        <v>0</v>
      </c>
    </row>
    <row r="186" spans="1:20" x14ac:dyDescent="0.25">
      <c r="A186" t="s">
        <v>115</v>
      </c>
      <c r="B186" t="s">
        <v>115</v>
      </c>
      <c r="C186">
        <v>202404</v>
      </c>
      <c r="D186" s="47" t="str">
        <f>MID(C186,1,4)</f>
        <v>2024</v>
      </c>
      <c r="E186" t="str">
        <f>IF(Portfolio!$M$1=1,CONCATENATE(A186,C186),CONCATENATE(B186,C186))</f>
        <v>PLATINUM CINEPLEX202404</v>
      </c>
      <c r="F186">
        <v>154</v>
      </c>
      <c r="G186">
        <v>14</v>
      </c>
      <c r="H186">
        <v>0</v>
      </c>
      <c r="I186">
        <v>0</v>
      </c>
      <c r="J186">
        <v>0</v>
      </c>
      <c r="K186">
        <v>9146000</v>
      </c>
      <c r="L186">
        <v>2040000</v>
      </c>
      <c r="M186">
        <v>0</v>
      </c>
      <c r="N186">
        <v>0</v>
      </c>
      <c r="O186">
        <v>0</v>
      </c>
      <c r="P186">
        <v>13719</v>
      </c>
      <c r="Q186">
        <v>20400</v>
      </c>
      <c r="R186">
        <v>0</v>
      </c>
      <c r="S186">
        <v>0</v>
      </c>
      <c r="T186">
        <v>0</v>
      </c>
    </row>
    <row r="187" spans="1:20" x14ac:dyDescent="0.25">
      <c r="A187" t="s">
        <v>118</v>
      </c>
      <c r="B187" t="s">
        <v>118</v>
      </c>
      <c r="C187">
        <v>202404</v>
      </c>
      <c r="D187" s="47" t="str">
        <f>MID(C187,1,4)</f>
        <v>2024</v>
      </c>
      <c r="E187" t="str">
        <f>IF(Portfolio!$M$1=1,CONCATENATE(A187,C187),CONCATENATE(B187,C187))</f>
        <v>SARINAH202404</v>
      </c>
      <c r="F187">
        <v>48</v>
      </c>
      <c r="G187">
        <v>562</v>
      </c>
      <c r="H187">
        <v>276</v>
      </c>
      <c r="I187">
        <v>0</v>
      </c>
      <c r="J187">
        <v>0</v>
      </c>
      <c r="K187">
        <v>17435829</v>
      </c>
      <c r="L187">
        <v>522572844</v>
      </c>
      <c r="M187">
        <v>344413989</v>
      </c>
      <c r="N187">
        <v>0</v>
      </c>
      <c r="O187">
        <v>0</v>
      </c>
      <c r="P187">
        <v>26154</v>
      </c>
      <c r="Q187">
        <v>3748270</v>
      </c>
      <c r="R187">
        <v>6199452</v>
      </c>
      <c r="S187">
        <v>0</v>
      </c>
      <c r="T187">
        <v>0</v>
      </c>
    </row>
    <row r="188" spans="1:20" x14ac:dyDescent="0.25">
      <c r="A188" t="s">
        <v>120</v>
      </c>
      <c r="B188" t="s">
        <v>120</v>
      </c>
      <c r="C188">
        <v>202404</v>
      </c>
      <c r="D188" s="47" t="str">
        <f>MID(C188,1,4)</f>
        <v>2024</v>
      </c>
      <c r="E188" t="str">
        <f>IF(Portfolio!$M$1=1,CONCATENATE(A188,C188),CONCATENATE(B188,C188))</f>
        <v>SHIHLIN202404</v>
      </c>
      <c r="F188">
        <v>775</v>
      </c>
      <c r="G188">
        <v>34</v>
      </c>
      <c r="H188">
        <v>0</v>
      </c>
      <c r="I188">
        <v>2</v>
      </c>
      <c r="J188">
        <v>2</v>
      </c>
      <c r="K188">
        <v>61373000</v>
      </c>
      <c r="L188">
        <v>3175000</v>
      </c>
      <c r="M188">
        <v>0</v>
      </c>
      <c r="N188">
        <v>178000</v>
      </c>
      <c r="O188">
        <v>91001</v>
      </c>
      <c r="P188">
        <v>92060</v>
      </c>
      <c r="Q188">
        <v>31750</v>
      </c>
      <c r="R188">
        <v>0</v>
      </c>
      <c r="S188">
        <v>1246</v>
      </c>
      <c r="T188">
        <v>637</v>
      </c>
    </row>
    <row r="189" spans="1:20" x14ac:dyDescent="0.25">
      <c r="A189" t="s">
        <v>122</v>
      </c>
      <c r="B189" t="s">
        <v>122</v>
      </c>
      <c r="C189">
        <v>202404</v>
      </c>
      <c r="D189" s="47" t="str">
        <f>MID(C189,1,4)</f>
        <v>2024</v>
      </c>
      <c r="E189" t="str">
        <f>IF(Portfolio!$M$1=1,CONCATENATE(A189,C189),CONCATENATE(B189,C189))</f>
        <v>SOLARIA202404</v>
      </c>
      <c r="F189">
        <v>1574</v>
      </c>
      <c r="G189">
        <v>1</v>
      </c>
      <c r="H189">
        <v>0</v>
      </c>
      <c r="I189">
        <v>0</v>
      </c>
      <c r="J189">
        <v>0</v>
      </c>
      <c r="K189">
        <v>294204900</v>
      </c>
      <c r="L189">
        <v>225000</v>
      </c>
      <c r="M189">
        <v>0</v>
      </c>
      <c r="N189">
        <v>0</v>
      </c>
      <c r="O189">
        <v>0</v>
      </c>
      <c r="P189">
        <v>441307</v>
      </c>
      <c r="Q189">
        <v>2250</v>
      </c>
      <c r="R189">
        <v>0</v>
      </c>
      <c r="S189">
        <v>0</v>
      </c>
      <c r="T189">
        <v>0</v>
      </c>
    </row>
    <row r="190" spans="1:20" x14ac:dyDescent="0.25">
      <c r="A190" t="s">
        <v>124</v>
      </c>
      <c r="B190" t="s">
        <v>124</v>
      </c>
      <c r="C190">
        <v>202404</v>
      </c>
      <c r="D190" s="47" t="str">
        <f>MID(C190,1,4)</f>
        <v>2024</v>
      </c>
      <c r="E190" t="str">
        <f>IF(Portfolio!$M$1=1,CONCATENATE(A190,C190),CONCATENATE(B190,C190))</f>
        <v>SOUR SALLY202404</v>
      </c>
      <c r="F190">
        <v>62</v>
      </c>
      <c r="G190">
        <v>2</v>
      </c>
      <c r="H190">
        <v>0</v>
      </c>
      <c r="I190">
        <v>0</v>
      </c>
      <c r="J190">
        <v>0</v>
      </c>
      <c r="K190">
        <v>4379200</v>
      </c>
      <c r="L190">
        <v>146000</v>
      </c>
      <c r="M190">
        <v>0</v>
      </c>
      <c r="N190">
        <v>0</v>
      </c>
      <c r="O190">
        <v>0</v>
      </c>
      <c r="P190">
        <v>6569</v>
      </c>
      <c r="Q190">
        <v>1460</v>
      </c>
      <c r="R190">
        <v>0</v>
      </c>
      <c r="S190">
        <v>0</v>
      </c>
      <c r="T190">
        <v>0</v>
      </c>
    </row>
    <row r="191" spans="1:20" x14ac:dyDescent="0.25">
      <c r="A191" t="s">
        <v>126</v>
      </c>
      <c r="B191" t="s">
        <v>221</v>
      </c>
      <c r="C191">
        <v>202404</v>
      </c>
      <c r="D191" s="47" t="str">
        <f>MID(C191,1,4)</f>
        <v>2024</v>
      </c>
      <c r="E191" t="str">
        <f>IF(Portfolio!$M$1=1,CONCATENATE(A191,C191),CONCATENATE(B191,C191))</f>
        <v>STEVEN GROUP202404</v>
      </c>
      <c r="F191">
        <v>0</v>
      </c>
      <c r="G191">
        <v>0</v>
      </c>
      <c r="H191">
        <v>0</v>
      </c>
      <c r="I191">
        <v>2</v>
      </c>
      <c r="J191">
        <v>801</v>
      </c>
      <c r="K191">
        <v>0</v>
      </c>
      <c r="L191">
        <v>0</v>
      </c>
      <c r="M191">
        <v>0</v>
      </c>
      <c r="N191">
        <v>94000</v>
      </c>
      <c r="O191">
        <v>27396002</v>
      </c>
      <c r="P191">
        <v>0</v>
      </c>
      <c r="Q191">
        <v>0</v>
      </c>
      <c r="R191">
        <v>0</v>
      </c>
      <c r="S191">
        <v>282</v>
      </c>
      <c r="T191">
        <v>82188</v>
      </c>
    </row>
    <row r="192" spans="1:20" x14ac:dyDescent="0.25">
      <c r="A192" t="s">
        <v>126</v>
      </c>
      <c r="B192" t="s">
        <v>224</v>
      </c>
      <c r="C192">
        <v>202404</v>
      </c>
      <c r="D192" s="47" t="str">
        <f>MID(C192,1,4)</f>
        <v>2024</v>
      </c>
      <c r="E192" t="str">
        <f>IF(Portfolio!$M$1=1,CONCATENATE(A192,C192),CONCATENATE(B192,C192))</f>
        <v>STEVEN GROUP202404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400000</v>
      </c>
      <c r="L192">
        <v>90000</v>
      </c>
      <c r="M192">
        <v>0</v>
      </c>
      <c r="N192">
        <v>0</v>
      </c>
      <c r="O192">
        <v>0</v>
      </c>
      <c r="P192">
        <v>600</v>
      </c>
      <c r="Q192">
        <v>900</v>
      </c>
      <c r="R192">
        <v>0</v>
      </c>
      <c r="S192">
        <v>0</v>
      </c>
      <c r="T192">
        <v>0</v>
      </c>
    </row>
    <row r="193" spans="1:20" x14ac:dyDescent="0.25">
      <c r="A193" t="s">
        <v>67</v>
      </c>
      <c r="B193" t="s">
        <v>68</v>
      </c>
      <c r="C193">
        <v>202405</v>
      </c>
      <c r="D193" s="47" t="str">
        <f>MID(C193,1,4)</f>
        <v>2024</v>
      </c>
      <c r="E193" t="str">
        <f>IF(Portfolio!$M$1=1,CONCATENATE(A193,C193),CONCATENATE(B193,C193))</f>
        <v>ALFA GROUP202405</v>
      </c>
      <c r="F193">
        <v>20870</v>
      </c>
      <c r="G193">
        <v>74736</v>
      </c>
      <c r="H193">
        <v>14920</v>
      </c>
      <c r="I193">
        <v>6</v>
      </c>
      <c r="J193">
        <v>16</v>
      </c>
      <c r="K193">
        <v>2167112498</v>
      </c>
      <c r="L193">
        <v>7868492525</v>
      </c>
      <c r="M193">
        <v>2318228735</v>
      </c>
      <c r="N193">
        <v>55000</v>
      </c>
      <c r="O193">
        <v>128500</v>
      </c>
      <c r="P193">
        <v>3250665</v>
      </c>
      <c r="Q193">
        <v>68604596</v>
      </c>
      <c r="R193">
        <v>41691594</v>
      </c>
      <c r="S193">
        <v>165</v>
      </c>
      <c r="T193">
        <v>386</v>
      </c>
    </row>
    <row r="194" spans="1:20" x14ac:dyDescent="0.25">
      <c r="A194" t="s">
        <v>67</v>
      </c>
      <c r="B194" t="s">
        <v>69</v>
      </c>
      <c r="C194">
        <v>202405</v>
      </c>
      <c r="D194" s="47" t="str">
        <f>MID(C194,1,4)</f>
        <v>2024</v>
      </c>
      <c r="E194" t="str">
        <f>IF(Portfolio!$M$1=1,CONCATENATE(A194,C194),CONCATENATE(B194,C194))</f>
        <v>ALFA GROUP202405</v>
      </c>
      <c r="F194">
        <v>15</v>
      </c>
      <c r="G194">
        <v>73</v>
      </c>
      <c r="H194">
        <v>26</v>
      </c>
      <c r="I194">
        <v>0</v>
      </c>
      <c r="J194">
        <v>0</v>
      </c>
      <c r="K194">
        <v>1053656</v>
      </c>
      <c r="L194">
        <v>10465796</v>
      </c>
      <c r="M194">
        <v>5590274</v>
      </c>
      <c r="N194">
        <v>0</v>
      </c>
      <c r="O194">
        <v>0</v>
      </c>
      <c r="P194">
        <v>1580</v>
      </c>
      <c r="Q194">
        <v>67697</v>
      </c>
      <c r="R194">
        <v>100625</v>
      </c>
      <c r="S194">
        <v>0</v>
      </c>
      <c r="T194">
        <v>0</v>
      </c>
    </row>
    <row r="195" spans="1:20" x14ac:dyDescent="0.25">
      <c r="A195" t="s">
        <v>67</v>
      </c>
      <c r="B195" t="s">
        <v>72</v>
      </c>
      <c r="C195">
        <v>202405</v>
      </c>
      <c r="D195" s="47" t="str">
        <f>MID(C195,1,4)</f>
        <v>2024</v>
      </c>
      <c r="E195" t="str">
        <f>IF(Portfolio!$M$1=1,CONCATENATE(A195,C195),CONCATENATE(B195,C195))</f>
        <v>ALFA GROUP202405</v>
      </c>
      <c r="F195">
        <v>422</v>
      </c>
      <c r="G195">
        <v>1356</v>
      </c>
      <c r="H195">
        <v>173</v>
      </c>
      <c r="I195">
        <v>0</v>
      </c>
      <c r="J195">
        <v>0</v>
      </c>
      <c r="K195">
        <v>67348708</v>
      </c>
      <c r="L195">
        <v>243013692</v>
      </c>
      <c r="M195">
        <v>30562610</v>
      </c>
      <c r="N195">
        <v>0</v>
      </c>
      <c r="O195">
        <v>0</v>
      </c>
      <c r="P195">
        <v>101023</v>
      </c>
      <c r="Q195">
        <v>2152282</v>
      </c>
      <c r="R195">
        <v>546522</v>
      </c>
      <c r="S195">
        <v>0</v>
      </c>
      <c r="T195">
        <v>0</v>
      </c>
    </row>
    <row r="196" spans="1:20" x14ac:dyDescent="0.25">
      <c r="A196" t="s">
        <v>70</v>
      </c>
      <c r="B196" t="s">
        <v>70</v>
      </c>
      <c r="C196">
        <v>202405</v>
      </c>
      <c r="D196" s="47" t="str">
        <f>MID(C196,1,4)</f>
        <v>2024</v>
      </c>
      <c r="E196" t="str">
        <f>IF(Portfolio!$M$1=1,CONCATENATE(A196,C196),CONCATENATE(B196,C196))</f>
        <v>ANCOL202405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427100</v>
      </c>
      <c r="L196">
        <v>0</v>
      </c>
      <c r="M196">
        <v>0</v>
      </c>
      <c r="N196">
        <v>0</v>
      </c>
      <c r="O196">
        <v>0</v>
      </c>
      <c r="P196">
        <v>641</v>
      </c>
      <c r="Q196">
        <v>0</v>
      </c>
      <c r="R196">
        <v>0</v>
      </c>
      <c r="S196">
        <v>0</v>
      </c>
      <c r="T196">
        <v>0</v>
      </c>
    </row>
    <row r="197" spans="1:20" x14ac:dyDescent="0.25">
      <c r="A197" t="s">
        <v>73</v>
      </c>
      <c r="B197" t="s">
        <v>73</v>
      </c>
      <c r="C197">
        <v>202405</v>
      </c>
      <c r="D197" s="47" t="str">
        <f>MID(C197,1,4)</f>
        <v>2024</v>
      </c>
      <c r="E197" t="str">
        <f>IF(Portfolio!$M$1=1,CONCATENATE(A197,C197),CONCATENATE(B197,C197))</f>
        <v>BANBAN TEA202405</v>
      </c>
      <c r="F197">
        <v>457</v>
      </c>
      <c r="G197">
        <v>0</v>
      </c>
      <c r="H197">
        <v>1</v>
      </c>
      <c r="I197">
        <v>0</v>
      </c>
      <c r="J197">
        <v>0</v>
      </c>
      <c r="K197">
        <v>23955512</v>
      </c>
      <c r="L197">
        <v>0</v>
      </c>
      <c r="M197">
        <v>26000</v>
      </c>
      <c r="N197">
        <v>0</v>
      </c>
      <c r="O197">
        <v>0</v>
      </c>
      <c r="P197">
        <v>35932</v>
      </c>
      <c r="Q197">
        <v>0</v>
      </c>
      <c r="R197">
        <v>468</v>
      </c>
      <c r="S197">
        <v>0</v>
      </c>
      <c r="T197">
        <v>0</v>
      </c>
    </row>
    <row r="198" spans="1:20" x14ac:dyDescent="0.25">
      <c r="A198" t="s">
        <v>75</v>
      </c>
      <c r="B198" t="s">
        <v>77</v>
      </c>
      <c r="C198">
        <v>202405</v>
      </c>
      <c r="D198" s="47" t="str">
        <f>MID(C198,1,4)</f>
        <v>2024</v>
      </c>
      <c r="E198" t="str">
        <f>IF(Portfolio!$M$1=1,CONCATENATE(A198,C198),CONCATENATE(B198,C198))</f>
        <v>CHAMP RESTO202405</v>
      </c>
      <c r="F198">
        <v>8</v>
      </c>
      <c r="G198">
        <v>3</v>
      </c>
      <c r="H198">
        <v>0</v>
      </c>
      <c r="I198">
        <v>0</v>
      </c>
      <c r="J198">
        <v>0</v>
      </c>
      <c r="K198">
        <v>1223750</v>
      </c>
      <c r="L198">
        <v>500000</v>
      </c>
      <c r="M198">
        <v>0</v>
      </c>
      <c r="N198">
        <v>0</v>
      </c>
      <c r="O198">
        <v>0</v>
      </c>
      <c r="P198">
        <v>1836</v>
      </c>
      <c r="Q198">
        <v>5000</v>
      </c>
      <c r="R198">
        <v>0</v>
      </c>
      <c r="S198">
        <v>0</v>
      </c>
      <c r="T198">
        <v>0</v>
      </c>
    </row>
    <row r="199" spans="1:20" x14ac:dyDescent="0.25">
      <c r="A199" t="s">
        <v>75</v>
      </c>
      <c r="B199" t="s">
        <v>79</v>
      </c>
      <c r="C199">
        <v>202405</v>
      </c>
      <c r="D199" s="47" t="str">
        <f>MID(C199,1,4)</f>
        <v>2024</v>
      </c>
      <c r="E199" t="str">
        <f>IF(Portfolio!$M$1=1,CONCATENATE(A199,C199),CONCATENATE(B199,C199))</f>
        <v>CHAMP RESTO202405</v>
      </c>
      <c r="F199">
        <v>12</v>
      </c>
      <c r="G199">
        <v>0</v>
      </c>
      <c r="H199">
        <v>0</v>
      </c>
      <c r="I199">
        <v>0</v>
      </c>
      <c r="J199">
        <v>0</v>
      </c>
      <c r="K199">
        <v>3286533</v>
      </c>
      <c r="L199">
        <v>0</v>
      </c>
      <c r="M199">
        <v>0</v>
      </c>
      <c r="N199">
        <v>0</v>
      </c>
      <c r="O199">
        <v>0</v>
      </c>
      <c r="P199">
        <v>4930</v>
      </c>
      <c r="Q199">
        <v>0</v>
      </c>
      <c r="R199">
        <v>0</v>
      </c>
      <c r="S199">
        <v>0</v>
      </c>
      <c r="T199">
        <v>0</v>
      </c>
    </row>
    <row r="200" spans="1:20" x14ac:dyDescent="0.25">
      <c r="A200" t="s">
        <v>75</v>
      </c>
      <c r="B200" t="s">
        <v>81</v>
      </c>
      <c r="C200">
        <v>202405</v>
      </c>
      <c r="D200" s="47" t="str">
        <f>MID(C200,1,4)</f>
        <v>2024</v>
      </c>
      <c r="E200" t="str">
        <f>IF(Portfolio!$M$1=1,CONCATENATE(A200,C200),CONCATENATE(B200,C200))</f>
        <v>CHAMP RESTO202405</v>
      </c>
      <c r="F200">
        <v>45</v>
      </c>
      <c r="G200">
        <v>1</v>
      </c>
      <c r="H200">
        <v>0</v>
      </c>
      <c r="I200">
        <v>0</v>
      </c>
      <c r="J200">
        <v>0</v>
      </c>
      <c r="K200">
        <v>9976140</v>
      </c>
      <c r="L200">
        <v>292077</v>
      </c>
      <c r="M200">
        <v>0</v>
      </c>
      <c r="N200">
        <v>0</v>
      </c>
      <c r="O200">
        <v>0</v>
      </c>
      <c r="P200">
        <v>14964</v>
      </c>
      <c r="Q200">
        <v>2921</v>
      </c>
      <c r="R200">
        <v>0</v>
      </c>
      <c r="S200">
        <v>0</v>
      </c>
      <c r="T200">
        <v>0</v>
      </c>
    </row>
    <row r="201" spans="1:20" x14ac:dyDescent="0.25">
      <c r="A201" t="s">
        <v>75</v>
      </c>
      <c r="B201" t="s">
        <v>83</v>
      </c>
      <c r="C201">
        <v>202405</v>
      </c>
      <c r="D201" s="47" t="str">
        <f>MID(C201,1,4)</f>
        <v>2024</v>
      </c>
      <c r="E201" t="str">
        <f>IF(Portfolio!$M$1=1,CONCATENATE(A201,C201),CONCATENATE(B201,C201))</f>
        <v>CHAMP RESTO202405</v>
      </c>
      <c r="F201">
        <v>5</v>
      </c>
      <c r="G201">
        <v>15</v>
      </c>
      <c r="H201">
        <v>3</v>
      </c>
      <c r="I201">
        <v>0</v>
      </c>
      <c r="J201">
        <v>11</v>
      </c>
      <c r="K201">
        <v>1248168</v>
      </c>
      <c r="L201">
        <v>1890175</v>
      </c>
      <c r="M201">
        <v>240675</v>
      </c>
      <c r="N201">
        <v>0</v>
      </c>
      <c r="O201">
        <v>4461000</v>
      </c>
      <c r="P201">
        <v>1872</v>
      </c>
      <c r="Q201">
        <v>18902</v>
      </c>
      <c r="R201">
        <v>4814</v>
      </c>
      <c r="S201">
        <v>0</v>
      </c>
      <c r="T201">
        <v>31227</v>
      </c>
    </row>
    <row r="202" spans="1:20" x14ac:dyDescent="0.25">
      <c r="A202" t="s">
        <v>75</v>
      </c>
      <c r="B202" t="s">
        <v>85</v>
      </c>
      <c r="C202">
        <v>202405</v>
      </c>
      <c r="D202" s="47" t="str">
        <f>MID(C202,1,4)</f>
        <v>2024</v>
      </c>
      <c r="E202" t="str">
        <f>IF(Portfolio!$M$1=1,CONCATENATE(A202,C202),CONCATENATE(B202,C202))</f>
        <v>CHAMP RESTO202405</v>
      </c>
      <c r="F202">
        <v>415</v>
      </c>
      <c r="G202">
        <v>40</v>
      </c>
      <c r="H202">
        <v>0</v>
      </c>
      <c r="I202">
        <v>0</v>
      </c>
      <c r="J202">
        <v>0</v>
      </c>
      <c r="K202">
        <v>71223517</v>
      </c>
      <c r="L202">
        <v>6438478</v>
      </c>
      <c r="M202">
        <v>0</v>
      </c>
      <c r="N202">
        <v>0</v>
      </c>
      <c r="O202">
        <v>0</v>
      </c>
      <c r="P202">
        <v>106835</v>
      </c>
      <c r="Q202">
        <v>64385</v>
      </c>
      <c r="R202">
        <v>0</v>
      </c>
      <c r="S202">
        <v>0</v>
      </c>
      <c r="T202">
        <v>0</v>
      </c>
    </row>
    <row r="203" spans="1:20" x14ac:dyDescent="0.25">
      <c r="A203" t="s">
        <v>75</v>
      </c>
      <c r="B203" t="s">
        <v>87</v>
      </c>
      <c r="C203">
        <v>202405</v>
      </c>
      <c r="D203" s="47" t="str">
        <f>MID(C203,1,4)</f>
        <v>2024</v>
      </c>
      <c r="E203" t="str">
        <f>IF(Portfolio!$M$1=1,CONCATENATE(A203,C203),CONCATENATE(B203,C203))</f>
        <v>CHAMP RESTO202405</v>
      </c>
      <c r="F203">
        <v>55</v>
      </c>
      <c r="G203">
        <v>5</v>
      </c>
      <c r="H203">
        <v>0</v>
      </c>
      <c r="I203">
        <v>0</v>
      </c>
      <c r="J203">
        <v>0</v>
      </c>
      <c r="K203">
        <v>13722696</v>
      </c>
      <c r="L203">
        <v>1411999</v>
      </c>
      <c r="M203">
        <v>0</v>
      </c>
      <c r="N203">
        <v>0</v>
      </c>
      <c r="O203">
        <v>0</v>
      </c>
      <c r="P203">
        <v>20584</v>
      </c>
      <c r="Q203">
        <v>14120</v>
      </c>
      <c r="R203">
        <v>0</v>
      </c>
      <c r="S203">
        <v>0</v>
      </c>
      <c r="T203">
        <v>0</v>
      </c>
    </row>
    <row r="204" spans="1:20" x14ac:dyDescent="0.25">
      <c r="A204" t="s">
        <v>75</v>
      </c>
      <c r="B204" t="s">
        <v>89</v>
      </c>
      <c r="C204">
        <v>202405</v>
      </c>
      <c r="D204" s="47" t="str">
        <f>MID(C204,1,4)</f>
        <v>2024</v>
      </c>
      <c r="E204" t="str">
        <f>IF(Portfolio!$M$1=1,CONCATENATE(A204,C204),CONCATENATE(B204,C204))</f>
        <v>CHAMP RESTO202405</v>
      </c>
      <c r="F204">
        <v>4</v>
      </c>
      <c r="G204">
        <v>0</v>
      </c>
      <c r="H204">
        <v>0</v>
      </c>
      <c r="I204">
        <v>0</v>
      </c>
      <c r="J204">
        <v>0</v>
      </c>
      <c r="K204">
        <v>536250</v>
      </c>
      <c r="L204">
        <v>0</v>
      </c>
      <c r="M204">
        <v>0</v>
      </c>
      <c r="N204">
        <v>0</v>
      </c>
      <c r="O204">
        <v>0</v>
      </c>
      <c r="P204">
        <v>804</v>
      </c>
      <c r="Q204">
        <v>0</v>
      </c>
      <c r="R204">
        <v>0</v>
      </c>
      <c r="S204">
        <v>0</v>
      </c>
      <c r="T204">
        <v>0</v>
      </c>
    </row>
    <row r="205" spans="1:20" x14ac:dyDescent="0.25">
      <c r="A205" t="s">
        <v>75</v>
      </c>
      <c r="B205" t="s">
        <v>91</v>
      </c>
      <c r="C205">
        <v>202405</v>
      </c>
      <c r="D205" s="47" t="str">
        <f>MID(C205,1,4)</f>
        <v>2024</v>
      </c>
      <c r="E205" t="str">
        <f>IF(Portfolio!$M$1=1,CONCATENATE(A205,C205),CONCATENATE(B205,C205))</f>
        <v>CHAMP RESTO202405</v>
      </c>
      <c r="F205">
        <v>193</v>
      </c>
      <c r="G205">
        <v>35</v>
      </c>
      <c r="H205">
        <v>0</v>
      </c>
      <c r="I205">
        <v>0</v>
      </c>
      <c r="J205">
        <v>0</v>
      </c>
      <c r="K205">
        <v>71479824</v>
      </c>
      <c r="L205">
        <v>11693922</v>
      </c>
      <c r="M205">
        <v>0</v>
      </c>
      <c r="N205">
        <v>0</v>
      </c>
      <c r="O205">
        <v>0</v>
      </c>
      <c r="P205">
        <v>107219</v>
      </c>
      <c r="Q205">
        <v>116939</v>
      </c>
      <c r="R205">
        <v>0</v>
      </c>
      <c r="S205">
        <v>0</v>
      </c>
      <c r="T205">
        <v>0</v>
      </c>
    </row>
    <row r="206" spans="1:20" x14ac:dyDescent="0.25">
      <c r="A206" t="s">
        <v>75</v>
      </c>
      <c r="B206" t="s">
        <v>93</v>
      </c>
      <c r="C206">
        <v>202405</v>
      </c>
      <c r="D206" s="47" t="str">
        <f>MID(C206,1,4)</f>
        <v>2024</v>
      </c>
      <c r="E206" t="str">
        <f>IF(Portfolio!$M$1=1,CONCATENATE(A206,C206),CONCATENATE(B206,C206))</f>
        <v>CHAMP RESTO202405</v>
      </c>
      <c r="F206">
        <v>63</v>
      </c>
      <c r="G206">
        <v>27</v>
      </c>
      <c r="H206">
        <v>0</v>
      </c>
      <c r="I206">
        <v>0</v>
      </c>
      <c r="J206">
        <v>0</v>
      </c>
      <c r="K206">
        <v>12219200</v>
      </c>
      <c r="L206">
        <v>4888467</v>
      </c>
      <c r="M206">
        <v>0</v>
      </c>
      <c r="N206">
        <v>0</v>
      </c>
      <c r="O206">
        <v>0</v>
      </c>
      <c r="P206">
        <v>18329</v>
      </c>
      <c r="Q206">
        <v>48885</v>
      </c>
      <c r="R206">
        <v>0</v>
      </c>
      <c r="S206">
        <v>0</v>
      </c>
      <c r="T206">
        <v>0</v>
      </c>
    </row>
    <row r="207" spans="1:20" x14ac:dyDescent="0.25">
      <c r="A207" t="s">
        <v>75</v>
      </c>
      <c r="B207" t="s">
        <v>95</v>
      </c>
      <c r="C207">
        <v>202405</v>
      </c>
      <c r="D207" s="47" t="str">
        <f>MID(C207,1,4)</f>
        <v>2024</v>
      </c>
      <c r="E207" t="str">
        <f>IF(Portfolio!$M$1=1,CONCATENATE(A207,C207),CONCATENATE(B207,C207))</f>
        <v>CHAMP RESTO202405</v>
      </c>
      <c r="F207">
        <v>1179</v>
      </c>
      <c r="G207">
        <v>13</v>
      </c>
      <c r="H207">
        <v>0</v>
      </c>
      <c r="I207">
        <v>0</v>
      </c>
      <c r="J207">
        <v>0</v>
      </c>
      <c r="K207">
        <v>270174579</v>
      </c>
      <c r="L207">
        <v>4146007</v>
      </c>
      <c r="M207">
        <v>0</v>
      </c>
      <c r="N207">
        <v>0</v>
      </c>
      <c r="O207">
        <v>0</v>
      </c>
      <c r="P207">
        <v>405259</v>
      </c>
      <c r="Q207">
        <v>41460</v>
      </c>
      <c r="R207">
        <v>0</v>
      </c>
      <c r="S207">
        <v>0</v>
      </c>
      <c r="T207">
        <v>0</v>
      </c>
    </row>
    <row r="208" spans="1:20" x14ac:dyDescent="0.25">
      <c r="A208" t="s">
        <v>84</v>
      </c>
      <c r="B208" t="s">
        <v>84</v>
      </c>
      <c r="C208">
        <v>202405</v>
      </c>
      <c r="D208" s="47" t="str">
        <f>MID(C208,1,4)</f>
        <v>2024</v>
      </c>
      <c r="E208" t="str">
        <f>IF(Portfolio!$M$1=1,CONCATENATE(A208,C208),CONCATENATE(B208,C208))</f>
        <v>ES TELLER 77202405</v>
      </c>
      <c r="F208">
        <v>60</v>
      </c>
      <c r="G208">
        <v>169</v>
      </c>
      <c r="H208">
        <v>0</v>
      </c>
      <c r="I208">
        <v>0</v>
      </c>
      <c r="J208">
        <v>0</v>
      </c>
      <c r="K208">
        <v>7878000</v>
      </c>
      <c r="L208">
        <v>21543400</v>
      </c>
      <c r="M208">
        <v>0</v>
      </c>
      <c r="N208">
        <v>0</v>
      </c>
      <c r="O208">
        <v>0</v>
      </c>
      <c r="P208">
        <v>11817</v>
      </c>
      <c r="Q208">
        <v>215434</v>
      </c>
      <c r="R208">
        <v>0</v>
      </c>
      <c r="S208">
        <v>0</v>
      </c>
      <c r="T208">
        <v>0</v>
      </c>
    </row>
    <row r="209" spans="1:20" x14ac:dyDescent="0.25">
      <c r="A209" t="s">
        <v>86</v>
      </c>
      <c r="B209" t="s">
        <v>86</v>
      </c>
      <c r="C209">
        <v>202405</v>
      </c>
      <c r="D209" s="47" t="str">
        <f>MID(C209,1,4)</f>
        <v>2024</v>
      </c>
      <c r="E209" t="str">
        <f>IF(Portfolio!$M$1=1,CONCATENATE(A209,C209),CONCATENATE(B209,C209))</f>
        <v>GRAMEDIA202405</v>
      </c>
      <c r="F209">
        <v>19</v>
      </c>
      <c r="G209">
        <v>151</v>
      </c>
      <c r="H209">
        <v>24</v>
      </c>
      <c r="I209">
        <v>1</v>
      </c>
      <c r="J209">
        <v>62</v>
      </c>
      <c r="K209">
        <v>4293300</v>
      </c>
      <c r="L209">
        <v>40998860</v>
      </c>
      <c r="M209">
        <v>9399750</v>
      </c>
      <c r="N209">
        <v>30000</v>
      </c>
      <c r="O209">
        <v>2152000</v>
      </c>
      <c r="P209">
        <v>6440</v>
      </c>
      <c r="Q209">
        <v>402594</v>
      </c>
      <c r="R209">
        <v>169462</v>
      </c>
      <c r="S209">
        <v>210</v>
      </c>
      <c r="T209">
        <v>15064</v>
      </c>
    </row>
    <row r="210" spans="1:20" x14ac:dyDescent="0.25">
      <c r="A210" t="s">
        <v>88</v>
      </c>
      <c r="B210" t="s">
        <v>88</v>
      </c>
      <c r="C210">
        <v>202405</v>
      </c>
      <c r="D210" s="47" t="str">
        <f>MID(C210,1,4)</f>
        <v>2024</v>
      </c>
      <c r="E210" t="str">
        <f>IF(Portfolio!$M$1=1,CONCATENATE(A210,C210),CONCATENATE(B210,C210))</f>
        <v>HAUS202405</v>
      </c>
      <c r="F210">
        <v>0</v>
      </c>
      <c r="G210">
        <v>17</v>
      </c>
      <c r="H210">
        <v>4</v>
      </c>
      <c r="I210">
        <v>0</v>
      </c>
      <c r="J210">
        <v>0</v>
      </c>
      <c r="K210">
        <v>0</v>
      </c>
      <c r="L210">
        <v>778995</v>
      </c>
      <c r="M210">
        <v>126000</v>
      </c>
      <c r="N210">
        <v>0</v>
      </c>
      <c r="O210">
        <v>0</v>
      </c>
      <c r="P210">
        <v>0</v>
      </c>
      <c r="Q210">
        <v>7790</v>
      </c>
      <c r="R210">
        <v>2268</v>
      </c>
      <c r="S210">
        <v>0</v>
      </c>
      <c r="T210">
        <v>0</v>
      </c>
    </row>
    <row r="211" spans="1:20" x14ac:dyDescent="0.25">
      <c r="A211" t="s">
        <v>92</v>
      </c>
      <c r="B211" t="s">
        <v>108</v>
      </c>
      <c r="C211">
        <v>202405</v>
      </c>
      <c r="D211" s="47" t="str">
        <f>MID(C211,1,4)</f>
        <v>2024</v>
      </c>
      <c r="E211" t="str">
        <f>IF(Portfolio!$M$1=1,CONCATENATE(A211,C211),CONCATENATE(B211,C211))</f>
        <v>HERO GROUP202405</v>
      </c>
      <c r="F211">
        <v>60</v>
      </c>
      <c r="G211">
        <v>12</v>
      </c>
      <c r="H211">
        <v>0</v>
      </c>
      <c r="I211">
        <v>0</v>
      </c>
      <c r="J211">
        <v>0</v>
      </c>
      <c r="K211">
        <v>28416541</v>
      </c>
      <c r="L211">
        <v>3583487</v>
      </c>
      <c r="M211">
        <v>0</v>
      </c>
      <c r="N211">
        <v>0</v>
      </c>
      <c r="O211">
        <v>0</v>
      </c>
      <c r="P211">
        <v>42625</v>
      </c>
      <c r="Q211">
        <v>35835</v>
      </c>
      <c r="R211">
        <v>0</v>
      </c>
      <c r="S211">
        <v>0</v>
      </c>
      <c r="T211">
        <v>0</v>
      </c>
    </row>
    <row r="212" spans="1:20" x14ac:dyDescent="0.25">
      <c r="A212" t="s">
        <v>96</v>
      </c>
      <c r="B212" t="s">
        <v>96</v>
      </c>
      <c r="C212">
        <v>202405</v>
      </c>
      <c r="D212" s="47" t="str">
        <f>MID(C212,1,4)</f>
        <v>2024</v>
      </c>
      <c r="E212" t="str">
        <f>IF(Portfolio!$M$1=1,CONCATENATE(A212,C212),CONCATENATE(B212,C212))</f>
        <v>HOKKAIDO BAKED CHEESE202405</v>
      </c>
      <c r="F212">
        <v>0</v>
      </c>
      <c r="G212">
        <v>0</v>
      </c>
      <c r="H212">
        <v>0</v>
      </c>
      <c r="I212">
        <v>51</v>
      </c>
      <c r="J212">
        <v>0</v>
      </c>
      <c r="K212">
        <v>0</v>
      </c>
      <c r="L212">
        <v>0</v>
      </c>
      <c r="M212">
        <v>0</v>
      </c>
      <c r="N212">
        <v>377500</v>
      </c>
      <c r="O212">
        <v>0</v>
      </c>
      <c r="P212">
        <v>0</v>
      </c>
      <c r="Q212">
        <v>0</v>
      </c>
      <c r="R212">
        <v>0</v>
      </c>
      <c r="S212">
        <v>2642</v>
      </c>
      <c r="T212">
        <v>0</v>
      </c>
    </row>
    <row r="213" spans="1:20" x14ac:dyDescent="0.25">
      <c r="A213" t="s">
        <v>97</v>
      </c>
      <c r="B213" t="s">
        <v>97</v>
      </c>
      <c r="C213">
        <v>202405</v>
      </c>
      <c r="D213" s="47" t="str">
        <f>MID(C213,1,4)</f>
        <v>2024</v>
      </c>
      <c r="E213" t="str">
        <f>IF(Portfolio!$M$1=1,CONCATENATE(A213,C213),CONCATENATE(B213,C213))</f>
        <v>HOP HOP202405</v>
      </c>
      <c r="F213">
        <v>0</v>
      </c>
      <c r="G213">
        <v>0</v>
      </c>
      <c r="H213">
        <v>0</v>
      </c>
      <c r="I213">
        <v>14</v>
      </c>
      <c r="J213">
        <v>2388</v>
      </c>
      <c r="K213">
        <v>0</v>
      </c>
      <c r="L213">
        <v>0</v>
      </c>
      <c r="M213">
        <v>0</v>
      </c>
      <c r="N213">
        <v>593000</v>
      </c>
      <c r="O213">
        <v>88222500</v>
      </c>
      <c r="P213">
        <v>0</v>
      </c>
      <c r="Q213">
        <v>0</v>
      </c>
      <c r="R213">
        <v>0</v>
      </c>
      <c r="S213">
        <v>4151</v>
      </c>
      <c r="T213">
        <v>592253</v>
      </c>
    </row>
    <row r="214" spans="1:20" x14ac:dyDescent="0.25">
      <c r="A214" t="s">
        <v>99</v>
      </c>
      <c r="B214" t="s">
        <v>99</v>
      </c>
      <c r="C214">
        <v>202405</v>
      </c>
      <c r="D214" s="47" t="str">
        <f>MID(C214,1,4)</f>
        <v>2024</v>
      </c>
      <c r="E214" t="str">
        <f>IF(Portfolio!$M$1=1,CONCATENATE(A214,C214),CONCATENATE(B214,C214))</f>
        <v>IKEA202405</v>
      </c>
      <c r="F214">
        <v>9</v>
      </c>
      <c r="G214">
        <v>0</v>
      </c>
      <c r="H214">
        <v>0</v>
      </c>
      <c r="I214">
        <v>0</v>
      </c>
      <c r="J214">
        <v>0</v>
      </c>
      <c r="K214">
        <v>1448000</v>
      </c>
      <c r="L214">
        <v>0</v>
      </c>
      <c r="M214">
        <v>0</v>
      </c>
      <c r="N214">
        <v>0</v>
      </c>
      <c r="O214">
        <v>0</v>
      </c>
      <c r="P214">
        <v>2172</v>
      </c>
      <c r="Q214">
        <v>0</v>
      </c>
      <c r="R214">
        <v>0</v>
      </c>
      <c r="S214">
        <v>0</v>
      </c>
      <c r="T214">
        <v>0</v>
      </c>
    </row>
    <row r="215" spans="1:20" x14ac:dyDescent="0.25">
      <c r="A215" t="s">
        <v>101</v>
      </c>
      <c r="B215" t="s">
        <v>101</v>
      </c>
      <c r="C215">
        <v>202405</v>
      </c>
      <c r="D215" s="47" t="str">
        <f>MID(C215,1,4)</f>
        <v>2024</v>
      </c>
      <c r="E215" t="str">
        <f>IF(Portfolio!$M$1=1,CONCATENATE(A215,C215),CONCATENATE(B215,C215))</f>
        <v>INDOMARET202405</v>
      </c>
      <c r="F215">
        <v>34581</v>
      </c>
      <c r="G215">
        <v>76809</v>
      </c>
      <c r="H215">
        <v>3154</v>
      </c>
      <c r="I215">
        <v>0</v>
      </c>
      <c r="J215">
        <v>24</v>
      </c>
      <c r="K215">
        <v>3465878595</v>
      </c>
      <c r="L215">
        <v>6931012073</v>
      </c>
      <c r="M215">
        <v>390545860</v>
      </c>
      <c r="N215">
        <v>0</v>
      </c>
      <c r="O215">
        <v>936000</v>
      </c>
      <c r="P215">
        <v>5198815</v>
      </c>
      <c r="Q215">
        <v>68203415</v>
      </c>
      <c r="R215">
        <v>6847445</v>
      </c>
      <c r="S215">
        <v>0</v>
      </c>
      <c r="T215">
        <v>2808</v>
      </c>
    </row>
    <row r="216" spans="1:20" x14ac:dyDescent="0.25">
      <c r="A216" t="s">
        <v>101</v>
      </c>
      <c r="B216" t="s">
        <v>117</v>
      </c>
      <c r="C216">
        <v>202405</v>
      </c>
      <c r="D216" s="47" t="str">
        <f>MID(C216,1,4)</f>
        <v>2024</v>
      </c>
      <c r="E216" t="str">
        <f>IF(Portfolio!$M$1=1,CONCATENATE(A216,C216),CONCATENATE(B216,C216))</f>
        <v>INDOMARET202405</v>
      </c>
      <c r="F216">
        <v>122</v>
      </c>
      <c r="G216">
        <v>370</v>
      </c>
      <c r="H216">
        <v>17</v>
      </c>
      <c r="I216">
        <v>0</v>
      </c>
      <c r="J216">
        <v>0</v>
      </c>
      <c r="K216">
        <v>8903233</v>
      </c>
      <c r="L216">
        <v>26621600</v>
      </c>
      <c r="M216">
        <v>739500</v>
      </c>
      <c r="N216">
        <v>0</v>
      </c>
      <c r="O216">
        <v>0</v>
      </c>
      <c r="P216">
        <v>13355</v>
      </c>
      <c r="Q216">
        <v>265034</v>
      </c>
      <c r="R216">
        <v>12202</v>
      </c>
      <c r="S216">
        <v>0</v>
      </c>
      <c r="T216">
        <v>0</v>
      </c>
    </row>
    <row r="217" spans="1:20" x14ac:dyDescent="0.25">
      <c r="A217" t="s">
        <v>102</v>
      </c>
      <c r="B217" t="s">
        <v>121</v>
      </c>
      <c r="C217">
        <v>202405</v>
      </c>
      <c r="D217" s="47" t="str">
        <f>MID(C217,1,4)</f>
        <v>2024</v>
      </c>
      <c r="E217" t="str">
        <f>IF(Portfolio!$M$1=1,CONCATENATE(A217,C217),CONCATENATE(B217,C217))</f>
        <v>KAWAN LAMA202405</v>
      </c>
      <c r="F217">
        <v>5</v>
      </c>
      <c r="G217">
        <v>0</v>
      </c>
      <c r="H217">
        <v>0</v>
      </c>
      <c r="I217">
        <v>0</v>
      </c>
      <c r="J217">
        <v>0</v>
      </c>
      <c r="K217">
        <v>1024380</v>
      </c>
      <c r="L217">
        <v>0</v>
      </c>
      <c r="M217">
        <v>0</v>
      </c>
      <c r="N217">
        <v>0</v>
      </c>
      <c r="O217">
        <v>0</v>
      </c>
      <c r="P217">
        <v>1537</v>
      </c>
      <c r="Q217">
        <v>0</v>
      </c>
      <c r="R217">
        <v>0</v>
      </c>
      <c r="S217">
        <v>0</v>
      </c>
      <c r="T217">
        <v>0</v>
      </c>
    </row>
    <row r="218" spans="1:20" x14ac:dyDescent="0.25">
      <c r="A218" t="s">
        <v>102</v>
      </c>
      <c r="B218" t="s">
        <v>123</v>
      </c>
      <c r="C218">
        <v>202405</v>
      </c>
      <c r="D218" s="47" t="str">
        <f>MID(C218,1,4)</f>
        <v>2024</v>
      </c>
      <c r="E218" t="str">
        <f>IF(Portfolio!$M$1=1,CONCATENATE(A218,C218),CONCATENATE(B218,C218))</f>
        <v>KAWAN LAMA202405</v>
      </c>
      <c r="F218">
        <v>1708</v>
      </c>
      <c r="G218">
        <v>1</v>
      </c>
      <c r="H218">
        <v>0</v>
      </c>
      <c r="I218">
        <v>0</v>
      </c>
      <c r="J218">
        <v>0</v>
      </c>
      <c r="K218">
        <v>1687475104</v>
      </c>
      <c r="L218">
        <v>89900</v>
      </c>
      <c r="M218">
        <v>0</v>
      </c>
      <c r="N218">
        <v>0</v>
      </c>
      <c r="O218">
        <v>0</v>
      </c>
      <c r="P218">
        <v>2531210</v>
      </c>
      <c r="Q218">
        <v>899</v>
      </c>
      <c r="R218">
        <v>0</v>
      </c>
      <c r="S218">
        <v>0</v>
      </c>
      <c r="T218">
        <v>0</v>
      </c>
    </row>
    <row r="219" spans="1:20" x14ac:dyDescent="0.25">
      <c r="A219" t="s">
        <v>102</v>
      </c>
      <c r="B219" t="s">
        <v>125</v>
      </c>
      <c r="C219">
        <v>202405</v>
      </c>
      <c r="D219" s="47" t="str">
        <f>MID(C219,1,4)</f>
        <v>2024</v>
      </c>
      <c r="E219" t="str">
        <f>IF(Portfolio!$M$1=1,CONCATENATE(A219,C219),CONCATENATE(B219,C219))</f>
        <v>KAWAN LAMA202405</v>
      </c>
      <c r="F219">
        <v>8</v>
      </c>
      <c r="G219">
        <v>0</v>
      </c>
      <c r="H219">
        <v>0</v>
      </c>
      <c r="I219">
        <v>652</v>
      </c>
      <c r="J219">
        <v>56</v>
      </c>
      <c r="K219">
        <v>693000</v>
      </c>
      <c r="L219">
        <v>0</v>
      </c>
      <c r="M219">
        <v>0</v>
      </c>
      <c r="N219">
        <v>12533863</v>
      </c>
      <c r="O219">
        <v>1631609</v>
      </c>
      <c r="P219">
        <v>1040</v>
      </c>
      <c r="Q219">
        <v>0</v>
      </c>
      <c r="R219">
        <v>0</v>
      </c>
      <c r="S219">
        <v>87732</v>
      </c>
      <c r="T219">
        <v>11421</v>
      </c>
    </row>
    <row r="220" spans="1:20" x14ac:dyDescent="0.25">
      <c r="A220" t="s">
        <v>102</v>
      </c>
      <c r="B220" t="s">
        <v>135</v>
      </c>
      <c r="C220">
        <v>202405</v>
      </c>
      <c r="D220" s="47" t="str">
        <f>MID(C220,1,4)</f>
        <v>2024</v>
      </c>
      <c r="E220" t="str">
        <f>IF(Portfolio!$M$1=1,CONCATENATE(A220,C220),CONCATENATE(B220,C220))</f>
        <v>KAWAN LAMA202405</v>
      </c>
      <c r="F220">
        <v>599</v>
      </c>
      <c r="G220">
        <v>0</v>
      </c>
      <c r="H220">
        <v>1</v>
      </c>
      <c r="I220">
        <v>241</v>
      </c>
      <c r="J220">
        <v>75</v>
      </c>
      <c r="K220">
        <v>1592115364</v>
      </c>
      <c r="L220">
        <v>0</v>
      </c>
      <c r="M220">
        <v>139000</v>
      </c>
      <c r="N220">
        <v>44581324</v>
      </c>
      <c r="O220">
        <v>14566059</v>
      </c>
      <c r="P220">
        <v>2388173</v>
      </c>
      <c r="Q220">
        <v>0</v>
      </c>
      <c r="R220">
        <v>1738</v>
      </c>
      <c r="S220">
        <v>312069</v>
      </c>
      <c r="T220">
        <v>101962</v>
      </c>
    </row>
    <row r="221" spans="1:20" x14ac:dyDescent="0.25">
      <c r="A221" t="s">
        <v>102</v>
      </c>
      <c r="B221" t="s">
        <v>137</v>
      </c>
      <c r="C221">
        <v>202405</v>
      </c>
      <c r="D221" s="47" t="str">
        <f>MID(C221,1,4)</f>
        <v>2024</v>
      </c>
      <c r="E221" t="str">
        <f>IF(Portfolio!$M$1=1,CONCATENATE(A221,C221),CONCATENATE(B221,C221))</f>
        <v>KAWAN LAMA202405</v>
      </c>
      <c r="F221">
        <v>24</v>
      </c>
      <c r="G221">
        <v>0</v>
      </c>
      <c r="H221">
        <v>0</v>
      </c>
      <c r="I221">
        <v>0</v>
      </c>
      <c r="J221">
        <v>0</v>
      </c>
      <c r="K221">
        <v>65051672</v>
      </c>
      <c r="L221">
        <v>0</v>
      </c>
      <c r="M221">
        <v>0</v>
      </c>
      <c r="N221">
        <v>0</v>
      </c>
      <c r="O221">
        <v>0</v>
      </c>
      <c r="P221">
        <v>97577</v>
      </c>
      <c r="Q221">
        <v>0</v>
      </c>
      <c r="R221">
        <v>0</v>
      </c>
      <c r="S221">
        <v>0</v>
      </c>
      <c r="T221">
        <v>0</v>
      </c>
    </row>
    <row r="222" spans="1:20" x14ac:dyDescent="0.25">
      <c r="A222" t="s">
        <v>102</v>
      </c>
      <c r="B222" t="s">
        <v>142</v>
      </c>
      <c r="C222">
        <v>202405</v>
      </c>
      <c r="D222" s="47" t="str">
        <f>MID(C222,1,4)</f>
        <v>2024</v>
      </c>
      <c r="E222" t="str">
        <f>IF(Portfolio!$M$1=1,CONCATENATE(A222,C222),CONCATENATE(B222,C222))</f>
        <v>KAWAN LAMA202405</v>
      </c>
      <c r="F222">
        <v>23</v>
      </c>
      <c r="G222">
        <v>2</v>
      </c>
      <c r="H222">
        <v>1</v>
      </c>
      <c r="I222">
        <v>53</v>
      </c>
      <c r="J222">
        <v>51</v>
      </c>
      <c r="K222">
        <v>15861800</v>
      </c>
      <c r="L222">
        <v>218700</v>
      </c>
      <c r="M222">
        <v>59000</v>
      </c>
      <c r="N222">
        <v>4910320</v>
      </c>
      <c r="O222">
        <v>1020747</v>
      </c>
      <c r="P222">
        <v>23793</v>
      </c>
      <c r="Q222">
        <v>2187</v>
      </c>
      <c r="R222">
        <v>738</v>
      </c>
      <c r="S222">
        <v>34373</v>
      </c>
      <c r="T222">
        <v>7145</v>
      </c>
    </row>
    <row r="223" spans="1:20" x14ac:dyDescent="0.25">
      <c r="A223" t="s">
        <v>102</v>
      </c>
      <c r="B223" t="s">
        <v>144</v>
      </c>
      <c r="C223">
        <v>202405</v>
      </c>
      <c r="D223" s="47" t="str">
        <f>MID(C223,1,4)</f>
        <v>2024</v>
      </c>
      <c r="E223" t="str">
        <f>IF(Portfolio!$M$1=1,CONCATENATE(A223,C223),CONCATENATE(B223,C223))</f>
        <v>KAWAN LAMA202405</v>
      </c>
      <c r="F223">
        <v>2</v>
      </c>
      <c r="G223">
        <v>0</v>
      </c>
      <c r="H223">
        <v>0</v>
      </c>
      <c r="I223">
        <v>44</v>
      </c>
      <c r="J223">
        <v>37</v>
      </c>
      <c r="K223">
        <v>517600</v>
      </c>
      <c r="L223">
        <v>0</v>
      </c>
      <c r="M223">
        <v>0</v>
      </c>
      <c r="N223">
        <v>1878427</v>
      </c>
      <c r="O223">
        <v>625532</v>
      </c>
      <c r="P223">
        <v>776</v>
      </c>
      <c r="Q223">
        <v>0</v>
      </c>
      <c r="R223">
        <v>0</v>
      </c>
      <c r="S223">
        <v>13149</v>
      </c>
      <c r="T223">
        <v>4379</v>
      </c>
    </row>
    <row r="224" spans="1:20" x14ac:dyDescent="0.25">
      <c r="A224" t="s">
        <v>103</v>
      </c>
      <c r="B224" t="s">
        <v>146</v>
      </c>
      <c r="C224">
        <v>202405</v>
      </c>
      <c r="D224" s="47" t="str">
        <f>MID(C224,1,4)</f>
        <v>2024</v>
      </c>
      <c r="E224" t="str">
        <f>IF(Portfolio!$M$1=1,CONCATENATE(A224,C224),CONCATENATE(B224,C224))</f>
        <v>KCIC202405</v>
      </c>
      <c r="F224">
        <v>73</v>
      </c>
      <c r="G224">
        <v>1845</v>
      </c>
      <c r="H224">
        <v>518</v>
      </c>
      <c r="I224">
        <v>0</v>
      </c>
      <c r="J224">
        <v>0</v>
      </c>
      <c r="K224">
        <v>44425000</v>
      </c>
      <c r="L224">
        <v>968050800</v>
      </c>
      <c r="M224">
        <v>382700000</v>
      </c>
      <c r="N224">
        <v>0</v>
      </c>
      <c r="O224">
        <v>0</v>
      </c>
      <c r="P224">
        <v>66638</v>
      </c>
      <c r="Q224">
        <v>8735750</v>
      </c>
      <c r="R224">
        <v>6888600</v>
      </c>
      <c r="S224">
        <v>0</v>
      </c>
      <c r="T224">
        <v>0</v>
      </c>
    </row>
    <row r="225" spans="1:20" x14ac:dyDescent="0.25">
      <c r="A225" t="s">
        <v>104</v>
      </c>
      <c r="B225" t="s">
        <v>147</v>
      </c>
      <c r="C225">
        <v>202405</v>
      </c>
      <c r="D225" s="47" t="str">
        <f>MID(C225,1,4)</f>
        <v>2024</v>
      </c>
      <c r="E225" t="str">
        <f>IF(Portfolio!$M$1=1,CONCATENATE(A225,C225),CONCATENATE(B225,C225))</f>
        <v>KIMIA FARMA202405</v>
      </c>
      <c r="F225">
        <v>12</v>
      </c>
      <c r="G225">
        <v>203</v>
      </c>
      <c r="H225">
        <v>25</v>
      </c>
      <c r="I225">
        <v>0</v>
      </c>
      <c r="J225">
        <v>0</v>
      </c>
      <c r="K225">
        <v>2886355</v>
      </c>
      <c r="L225">
        <v>89038494</v>
      </c>
      <c r="M225">
        <v>11018403</v>
      </c>
      <c r="N225">
        <v>0</v>
      </c>
      <c r="O225">
        <v>0</v>
      </c>
      <c r="P225">
        <v>4329</v>
      </c>
      <c r="Q225">
        <v>852543</v>
      </c>
      <c r="R225">
        <v>198331</v>
      </c>
      <c r="S225">
        <v>0</v>
      </c>
      <c r="T225">
        <v>0</v>
      </c>
    </row>
    <row r="226" spans="1:20" x14ac:dyDescent="0.25">
      <c r="A226" t="s">
        <v>107</v>
      </c>
      <c r="B226" t="s">
        <v>178</v>
      </c>
      <c r="C226">
        <v>202405</v>
      </c>
      <c r="D226" s="47" t="str">
        <f>MID(C226,1,4)</f>
        <v>2024</v>
      </c>
      <c r="E226" t="str">
        <f>IF(Portfolio!$M$1=1,CONCATENATE(A226,C226),CONCATENATE(B226,C226))</f>
        <v>MAP GROUP202405</v>
      </c>
      <c r="F226">
        <v>0</v>
      </c>
      <c r="G226">
        <v>54</v>
      </c>
      <c r="H226">
        <v>0</v>
      </c>
      <c r="I226">
        <v>3</v>
      </c>
      <c r="J226">
        <v>258</v>
      </c>
      <c r="K226">
        <v>0</v>
      </c>
      <c r="L226">
        <v>15332900</v>
      </c>
      <c r="M226">
        <v>0</v>
      </c>
      <c r="N226">
        <v>678200</v>
      </c>
      <c r="O226">
        <v>34460800</v>
      </c>
      <c r="P226">
        <v>0</v>
      </c>
      <c r="Q226">
        <v>150119</v>
      </c>
      <c r="R226">
        <v>0</v>
      </c>
      <c r="S226">
        <v>4747</v>
      </c>
      <c r="T226">
        <v>241226</v>
      </c>
    </row>
    <row r="227" spans="1:20" x14ac:dyDescent="0.25">
      <c r="A227" t="s">
        <v>107</v>
      </c>
      <c r="B227" t="s">
        <v>191</v>
      </c>
      <c r="C227">
        <v>202405</v>
      </c>
      <c r="D227" s="47" t="str">
        <f>MID(C227,1,4)</f>
        <v>2024</v>
      </c>
      <c r="E227" t="str">
        <f>IF(Portfolio!$M$1=1,CONCATENATE(A227,C227),CONCATENATE(B227,C227))</f>
        <v>MAP GROUP202405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44000</v>
      </c>
      <c r="P227">
        <v>0</v>
      </c>
      <c r="Q227">
        <v>0</v>
      </c>
      <c r="R227">
        <v>0</v>
      </c>
      <c r="S227">
        <v>0</v>
      </c>
      <c r="T227">
        <v>132</v>
      </c>
    </row>
    <row r="228" spans="1:20" x14ac:dyDescent="0.25">
      <c r="A228" t="s">
        <v>107</v>
      </c>
      <c r="B228" t="s">
        <v>208</v>
      </c>
      <c r="C228">
        <v>202405</v>
      </c>
      <c r="D228" s="47" t="str">
        <f>MID(C228,1,4)</f>
        <v>2024</v>
      </c>
      <c r="E228" t="str">
        <f>IF(Portfolio!$M$1=1,CONCATENATE(A228,C228),CONCATENATE(B228,C228))</f>
        <v>MAP GROUP202405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252500</v>
      </c>
      <c r="M228">
        <v>0</v>
      </c>
      <c r="N228">
        <v>0</v>
      </c>
      <c r="O228">
        <v>0</v>
      </c>
      <c r="P228">
        <v>0</v>
      </c>
      <c r="Q228">
        <v>2525</v>
      </c>
      <c r="R228">
        <v>0</v>
      </c>
      <c r="S228">
        <v>0</v>
      </c>
      <c r="T228">
        <v>0</v>
      </c>
    </row>
    <row r="229" spans="1:20" x14ac:dyDescent="0.25">
      <c r="A229" t="s">
        <v>109</v>
      </c>
      <c r="B229" t="s">
        <v>109</v>
      </c>
      <c r="C229">
        <v>202405</v>
      </c>
      <c r="D229" s="47" t="str">
        <f>MID(C229,1,4)</f>
        <v>2024</v>
      </c>
      <c r="E229" t="str">
        <f>IF(Portfolio!$M$1=1,CONCATENATE(A229,C229),CONCATENATE(B229,C229))</f>
        <v>MITRA10202405</v>
      </c>
      <c r="F229">
        <v>915</v>
      </c>
      <c r="G229">
        <v>3</v>
      </c>
      <c r="H229">
        <v>1</v>
      </c>
      <c r="I229">
        <v>0</v>
      </c>
      <c r="J229">
        <v>0</v>
      </c>
      <c r="K229">
        <v>2296813321</v>
      </c>
      <c r="L229">
        <v>1873390</v>
      </c>
      <c r="M229">
        <v>270750</v>
      </c>
      <c r="N229">
        <v>0</v>
      </c>
      <c r="O229">
        <v>0</v>
      </c>
      <c r="P229">
        <v>3445217</v>
      </c>
      <c r="Q229">
        <v>18734</v>
      </c>
      <c r="R229">
        <v>5415</v>
      </c>
      <c r="S229">
        <v>0</v>
      </c>
      <c r="T229">
        <v>0</v>
      </c>
    </row>
    <row r="230" spans="1:20" x14ac:dyDescent="0.25">
      <c r="A230" t="s">
        <v>110</v>
      </c>
      <c r="B230" t="s">
        <v>110</v>
      </c>
      <c r="C230">
        <v>202405</v>
      </c>
      <c r="D230" s="47" t="str">
        <f>MID(C230,1,4)</f>
        <v>2024</v>
      </c>
      <c r="E230" t="str">
        <f>IF(Portfolio!$M$1=1,CONCATENATE(A230,C230),CONCATENATE(B230,C230))</f>
        <v>OPTIK MELAWAI202405</v>
      </c>
      <c r="F230">
        <v>108</v>
      </c>
      <c r="G230">
        <v>790</v>
      </c>
      <c r="H230">
        <v>17</v>
      </c>
      <c r="I230">
        <v>0</v>
      </c>
      <c r="J230">
        <v>0</v>
      </c>
      <c r="K230">
        <v>140621500</v>
      </c>
      <c r="L230">
        <v>1153924100</v>
      </c>
      <c r="M230">
        <v>24932000</v>
      </c>
      <c r="N230">
        <v>0</v>
      </c>
      <c r="O230">
        <v>0</v>
      </c>
      <c r="P230">
        <v>210932</v>
      </c>
      <c r="Q230">
        <v>11539241</v>
      </c>
      <c r="R230">
        <v>454544</v>
      </c>
      <c r="S230">
        <v>0</v>
      </c>
      <c r="T230">
        <v>0</v>
      </c>
    </row>
    <row r="231" spans="1:20" x14ac:dyDescent="0.25">
      <c r="A231" t="s">
        <v>112</v>
      </c>
      <c r="B231" t="s">
        <v>215</v>
      </c>
      <c r="C231">
        <v>202405</v>
      </c>
      <c r="D231" s="47" t="str">
        <f>MID(C231,1,4)</f>
        <v>2024</v>
      </c>
      <c r="E231" t="str">
        <f>IF(Portfolio!$M$1=1,CONCATENATE(A231,C231),CONCATENATE(B231,C231))</f>
        <v>PERTAMINA RETAIL202405</v>
      </c>
      <c r="F231">
        <v>29</v>
      </c>
      <c r="G231">
        <v>5519</v>
      </c>
      <c r="H231">
        <v>125</v>
      </c>
      <c r="I231">
        <v>0</v>
      </c>
      <c r="J231">
        <v>0</v>
      </c>
      <c r="K231">
        <v>1626425</v>
      </c>
      <c r="L231">
        <v>672709540</v>
      </c>
      <c r="M231">
        <v>22423450</v>
      </c>
      <c r="N231">
        <v>0</v>
      </c>
      <c r="O231">
        <v>0</v>
      </c>
      <c r="P231">
        <v>2440</v>
      </c>
      <c r="Q231">
        <v>6489206</v>
      </c>
      <c r="R231">
        <v>403622</v>
      </c>
      <c r="S231">
        <v>0</v>
      </c>
      <c r="T231">
        <v>0</v>
      </c>
    </row>
    <row r="232" spans="1:20" x14ac:dyDescent="0.25">
      <c r="A232" t="s">
        <v>112</v>
      </c>
      <c r="B232" t="s">
        <v>216</v>
      </c>
      <c r="C232">
        <v>202405</v>
      </c>
      <c r="D232" s="47" t="str">
        <f>MID(C232,1,4)</f>
        <v>2024</v>
      </c>
      <c r="E232" t="str">
        <f>IF(Portfolio!$M$1=1,CONCATENATE(A232,C232),CONCATENATE(B232,C232))</f>
        <v>PERTAMINA RETAIL202405</v>
      </c>
      <c r="F232">
        <v>691</v>
      </c>
      <c r="G232">
        <v>108790</v>
      </c>
      <c r="H232">
        <v>345</v>
      </c>
      <c r="I232">
        <v>8</v>
      </c>
      <c r="J232">
        <v>543</v>
      </c>
      <c r="K232">
        <v>151583076</v>
      </c>
      <c r="L232">
        <v>25595466574</v>
      </c>
      <c r="M232">
        <v>159817286</v>
      </c>
      <c r="N232">
        <v>1707766</v>
      </c>
      <c r="O232">
        <v>79838445</v>
      </c>
      <c r="P232">
        <v>227374</v>
      </c>
      <c r="Q232">
        <v>124930304</v>
      </c>
      <c r="R232">
        <v>2876711</v>
      </c>
      <c r="S232">
        <v>6831</v>
      </c>
      <c r="T232">
        <v>319352</v>
      </c>
    </row>
    <row r="233" spans="1:20" x14ac:dyDescent="0.25">
      <c r="A233" t="s">
        <v>114</v>
      </c>
      <c r="B233" t="s">
        <v>217</v>
      </c>
      <c r="C233">
        <v>202405</v>
      </c>
      <c r="D233" s="47" t="str">
        <f>MID(C233,1,4)</f>
        <v>2024</v>
      </c>
      <c r="E233" t="str">
        <f>IF(Portfolio!$M$1=1,CONCATENATE(A233,C233),CONCATENATE(B233,C233))</f>
        <v>PIZZA HUT202405</v>
      </c>
      <c r="F233">
        <v>21</v>
      </c>
      <c r="G233">
        <v>0</v>
      </c>
      <c r="H233">
        <v>0</v>
      </c>
      <c r="I233">
        <v>0</v>
      </c>
      <c r="J233">
        <v>0</v>
      </c>
      <c r="K233">
        <v>3162511</v>
      </c>
      <c r="L233">
        <v>0</v>
      </c>
      <c r="M233">
        <v>0</v>
      </c>
      <c r="N233">
        <v>0</v>
      </c>
      <c r="O233">
        <v>0</v>
      </c>
      <c r="P233">
        <v>4744</v>
      </c>
      <c r="Q233">
        <v>0</v>
      </c>
      <c r="R233">
        <v>0</v>
      </c>
      <c r="S233">
        <v>0</v>
      </c>
      <c r="T233">
        <v>0</v>
      </c>
    </row>
    <row r="234" spans="1:20" x14ac:dyDescent="0.25">
      <c r="A234" t="s">
        <v>114</v>
      </c>
      <c r="B234" t="s">
        <v>218</v>
      </c>
      <c r="C234">
        <v>202405</v>
      </c>
      <c r="D234" s="47" t="str">
        <f>MID(C234,1,4)</f>
        <v>2024</v>
      </c>
      <c r="E234" t="str">
        <f>IF(Portfolio!$M$1=1,CONCATENATE(A234,C234),CONCATENATE(B234,C234))</f>
        <v>PIZZA HUT202405</v>
      </c>
      <c r="F234">
        <v>251</v>
      </c>
      <c r="G234">
        <v>0</v>
      </c>
      <c r="H234">
        <v>0</v>
      </c>
      <c r="I234">
        <v>0</v>
      </c>
      <c r="J234">
        <v>0</v>
      </c>
      <c r="K234">
        <v>67536184</v>
      </c>
      <c r="L234">
        <v>0</v>
      </c>
      <c r="M234">
        <v>0</v>
      </c>
      <c r="N234">
        <v>0</v>
      </c>
      <c r="O234">
        <v>0</v>
      </c>
      <c r="P234">
        <v>101304</v>
      </c>
      <c r="Q234">
        <v>0</v>
      </c>
      <c r="R234">
        <v>0</v>
      </c>
      <c r="S234">
        <v>0</v>
      </c>
      <c r="T234">
        <v>0</v>
      </c>
    </row>
    <row r="235" spans="1:20" x14ac:dyDescent="0.25">
      <c r="A235" t="s">
        <v>115</v>
      </c>
      <c r="B235" t="s">
        <v>115</v>
      </c>
      <c r="C235">
        <v>202405</v>
      </c>
      <c r="D235" s="47" t="str">
        <f>MID(C235,1,4)</f>
        <v>2024</v>
      </c>
      <c r="E235" t="str">
        <f>IF(Portfolio!$M$1=1,CONCATENATE(A235,C235),CONCATENATE(B235,C235))</f>
        <v>PLATINUM CINEPLEX202405</v>
      </c>
      <c r="F235">
        <v>137</v>
      </c>
      <c r="G235">
        <v>66</v>
      </c>
      <c r="H235">
        <v>1</v>
      </c>
      <c r="I235">
        <v>0</v>
      </c>
      <c r="J235">
        <v>0</v>
      </c>
      <c r="K235">
        <v>7451000</v>
      </c>
      <c r="L235">
        <v>8527000</v>
      </c>
      <c r="M235">
        <v>105000</v>
      </c>
      <c r="N235">
        <v>0</v>
      </c>
      <c r="O235">
        <v>0</v>
      </c>
      <c r="P235">
        <v>11176</v>
      </c>
      <c r="Q235">
        <v>82770</v>
      </c>
      <c r="R235">
        <v>1890</v>
      </c>
      <c r="S235">
        <v>0</v>
      </c>
      <c r="T235">
        <v>0</v>
      </c>
    </row>
    <row r="236" spans="1:20" x14ac:dyDescent="0.25">
      <c r="A236" t="s">
        <v>118</v>
      </c>
      <c r="B236" t="s">
        <v>118</v>
      </c>
      <c r="C236">
        <v>202405</v>
      </c>
      <c r="D236" s="47" t="str">
        <f>MID(C236,1,4)</f>
        <v>2024</v>
      </c>
      <c r="E236" t="str">
        <f>IF(Portfolio!$M$1=1,CONCATENATE(A236,C236),CONCATENATE(B236,C236))</f>
        <v>SARINAH202405</v>
      </c>
      <c r="F236">
        <v>58</v>
      </c>
      <c r="G236">
        <v>473</v>
      </c>
      <c r="H236">
        <v>410</v>
      </c>
      <c r="I236">
        <v>0</v>
      </c>
      <c r="J236">
        <v>0</v>
      </c>
      <c r="K236">
        <v>18422008</v>
      </c>
      <c r="L236">
        <v>433010395</v>
      </c>
      <c r="M236">
        <v>462811443</v>
      </c>
      <c r="N236">
        <v>0</v>
      </c>
      <c r="O236">
        <v>0</v>
      </c>
      <c r="P236">
        <v>27633</v>
      </c>
      <c r="Q236">
        <v>3352915</v>
      </c>
      <c r="R236">
        <v>8330606</v>
      </c>
      <c r="S236">
        <v>0</v>
      </c>
      <c r="T236">
        <v>0</v>
      </c>
    </row>
    <row r="237" spans="1:20" x14ac:dyDescent="0.25">
      <c r="A237" t="s">
        <v>120</v>
      </c>
      <c r="B237" t="s">
        <v>120</v>
      </c>
      <c r="C237">
        <v>202405</v>
      </c>
      <c r="D237" s="47" t="str">
        <f>MID(C237,1,4)</f>
        <v>2024</v>
      </c>
      <c r="E237" t="str">
        <f>IF(Portfolio!$M$1=1,CONCATENATE(A237,C237),CONCATENATE(B237,C237))</f>
        <v>SHIHLIN202405</v>
      </c>
      <c r="F237">
        <v>843</v>
      </c>
      <c r="G237">
        <v>37</v>
      </c>
      <c r="H237">
        <v>4</v>
      </c>
      <c r="I237">
        <v>54</v>
      </c>
      <c r="J237">
        <v>24</v>
      </c>
      <c r="K237">
        <v>67360800</v>
      </c>
      <c r="L237">
        <v>2997000</v>
      </c>
      <c r="M237">
        <v>557000</v>
      </c>
      <c r="N237">
        <v>476801</v>
      </c>
      <c r="O237">
        <v>974002</v>
      </c>
      <c r="P237">
        <v>101041</v>
      </c>
      <c r="Q237">
        <v>29970</v>
      </c>
      <c r="R237">
        <v>10026</v>
      </c>
      <c r="S237">
        <v>3337</v>
      </c>
      <c r="T237">
        <v>6818</v>
      </c>
    </row>
    <row r="238" spans="1:20" x14ac:dyDescent="0.25">
      <c r="A238" t="s">
        <v>122</v>
      </c>
      <c r="B238" t="s">
        <v>122</v>
      </c>
      <c r="C238">
        <v>202405</v>
      </c>
      <c r="D238" s="47" t="str">
        <f>MID(C238,1,4)</f>
        <v>2024</v>
      </c>
      <c r="E238" t="str">
        <f>IF(Portfolio!$M$1=1,CONCATENATE(A238,C238),CONCATENATE(B238,C238))</f>
        <v>SOLARIA202405</v>
      </c>
      <c r="F238">
        <v>1405</v>
      </c>
      <c r="G238">
        <v>1</v>
      </c>
      <c r="H238">
        <v>0</v>
      </c>
      <c r="I238">
        <v>0</v>
      </c>
      <c r="J238">
        <v>0</v>
      </c>
      <c r="K238">
        <v>232662000</v>
      </c>
      <c r="L238">
        <v>71000</v>
      </c>
      <c r="M238">
        <v>0</v>
      </c>
      <c r="N238">
        <v>0</v>
      </c>
      <c r="O238">
        <v>0</v>
      </c>
      <c r="P238">
        <v>348993</v>
      </c>
      <c r="Q238">
        <v>710</v>
      </c>
      <c r="R238">
        <v>0</v>
      </c>
      <c r="S238">
        <v>0</v>
      </c>
      <c r="T238">
        <v>0</v>
      </c>
    </row>
    <row r="239" spans="1:20" x14ac:dyDescent="0.25">
      <c r="A239" t="s">
        <v>124</v>
      </c>
      <c r="B239" t="s">
        <v>124</v>
      </c>
      <c r="C239">
        <v>202405</v>
      </c>
      <c r="D239" s="47" t="str">
        <f>MID(C239,1,4)</f>
        <v>2024</v>
      </c>
      <c r="E239" t="str">
        <f>IF(Portfolio!$M$1=1,CONCATENATE(A239,C239),CONCATENATE(B239,C239))</f>
        <v>SOUR SALLY202405</v>
      </c>
      <c r="F239">
        <v>40</v>
      </c>
      <c r="G239">
        <v>1</v>
      </c>
      <c r="H239">
        <v>0</v>
      </c>
      <c r="I239">
        <v>0</v>
      </c>
      <c r="J239">
        <v>0</v>
      </c>
      <c r="K239">
        <v>3104240</v>
      </c>
      <c r="L239">
        <v>69000</v>
      </c>
      <c r="M239">
        <v>0</v>
      </c>
      <c r="N239">
        <v>0</v>
      </c>
      <c r="O239">
        <v>0</v>
      </c>
      <c r="P239">
        <v>4656</v>
      </c>
      <c r="Q239">
        <v>690</v>
      </c>
      <c r="R239">
        <v>0</v>
      </c>
      <c r="S239">
        <v>0</v>
      </c>
      <c r="T239">
        <v>0</v>
      </c>
    </row>
    <row r="240" spans="1:20" x14ac:dyDescent="0.25">
      <c r="A240" t="s">
        <v>126</v>
      </c>
      <c r="B240" t="s">
        <v>221</v>
      </c>
      <c r="C240">
        <v>202405</v>
      </c>
      <c r="D240" s="47" t="str">
        <f>MID(C240,1,4)</f>
        <v>2024</v>
      </c>
      <c r="E240" t="str">
        <f>IF(Portfolio!$M$1=1,CONCATENATE(A240,C240),CONCATENATE(B240,C240))</f>
        <v>STEVEN GROUP202405</v>
      </c>
      <c r="F240">
        <v>0</v>
      </c>
      <c r="G240">
        <v>0</v>
      </c>
      <c r="H240">
        <v>0</v>
      </c>
      <c r="I240">
        <v>0</v>
      </c>
      <c r="J240">
        <v>45</v>
      </c>
      <c r="K240">
        <v>0</v>
      </c>
      <c r="L240">
        <v>0</v>
      </c>
      <c r="M240">
        <v>0</v>
      </c>
      <c r="N240">
        <v>0</v>
      </c>
      <c r="O240">
        <v>1579005</v>
      </c>
      <c r="P240">
        <v>0</v>
      </c>
      <c r="Q240">
        <v>0</v>
      </c>
      <c r="R240">
        <v>0</v>
      </c>
      <c r="S240">
        <v>0</v>
      </c>
      <c r="T240">
        <v>4737</v>
      </c>
    </row>
    <row r="241" spans="1:20" x14ac:dyDescent="0.25">
      <c r="A241" t="s">
        <v>126</v>
      </c>
      <c r="B241" t="s">
        <v>224</v>
      </c>
      <c r="C241">
        <v>202405</v>
      </c>
      <c r="D241" s="47" t="str">
        <f>MID(C241,1,4)</f>
        <v>2024</v>
      </c>
      <c r="E241" t="str">
        <f>IF(Portfolio!$M$1=1,CONCATENATE(A241,C241),CONCATENATE(B241,C241))</f>
        <v>STEVEN GROUP202405</v>
      </c>
      <c r="F241">
        <v>2</v>
      </c>
      <c r="G241">
        <v>3</v>
      </c>
      <c r="H241">
        <v>1</v>
      </c>
      <c r="I241">
        <v>0</v>
      </c>
      <c r="J241">
        <v>0</v>
      </c>
      <c r="K241">
        <v>5050000</v>
      </c>
      <c r="L241">
        <v>1490000</v>
      </c>
      <c r="M241">
        <v>385000</v>
      </c>
      <c r="N241">
        <v>0</v>
      </c>
      <c r="O241">
        <v>0</v>
      </c>
      <c r="P241">
        <v>7575</v>
      </c>
      <c r="Q241">
        <v>14900</v>
      </c>
      <c r="R241">
        <v>7700</v>
      </c>
      <c r="S241">
        <v>0</v>
      </c>
      <c r="T241">
        <v>0</v>
      </c>
    </row>
    <row r="242" spans="1:20" x14ac:dyDescent="0.25">
      <c r="A242" t="s">
        <v>67</v>
      </c>
      <c r="B242" t="s">
        <v>68</v>
      </c>
      <c r="C242">
        <v>202406</v>
      </c>
      <c r="D242" s="47" t="str">
        <f>MID(C242,1,4)</f>
        <v>2024</v>
      </c>
      <c r="E242" t="str">
        <f>IF(Portfolio!$M$1=1,CONCATENATE(A242,C242),CONCATENATE(B242,C242))</f>
        <v>ALFA GROUP202406</v>
      </c>
      <c r="F242">
        <v>20408</v>
      </c>
      <c r="G242">
        <v>75960</v>
      </c>
      <c r="H242">
        <v>15011</v>
      </c>
      <c r="I242">
        <v>5</v>
      </c>
      <c r="J242">
        <v>22</v>
      </c>
      <c r="K242">
        <v>2201214965</v>
      </c>
      <c r="L242">
        <v>8209107478</v>
      </c>
      <c r="M242">
        <v>2355301429</v>
      </c>
      <c r="N242">
        <v>33000</v>
      </c>
      <c r="O242">
        <v>161000</v>
      </c>
      <c r="P242">
        <v>3301819</v>
      </c>
      <c r="Q242">
        <v>72255448</v>
      </c>
      <c r="R242">
        <v>42365585</v>
      </c>
      <c r="S242">
        <v>101</v>
      </c>
      <c r="T242">
        <v>483</v>
      </c>
    </row>
    <row r="243" spans="1:20" x14ac:dyDescent="0.25">
      <c r="A243" t="s">
        <v>67</v>
      </c>
      <c r="B243" t="s">
        <v>69</v>
      </c>
      <c r="C243">
        <v>202406</v>
      </c>
      <c r="D243" s="47" t="str">
        <f>MID(C243,1,4)</f>
        <v>2024</v>
      </c>
      <c r="E243" t="str">
        <f>IF(Portfolio!$M$1=1,CONCATENATE(A243,C243),CONCATENATE(B243,C243))</f>
        <v>ALFA GROUP202406</v>
      </c>
      <c r="F243">
        <v>12</v>
      </c>
      <c r="G243">
        <v>73</v>
      </c>
      <c r="H243">
        <v>24</v>
      </c>
      <c r="I243">
        <v>0</v>
      </c>
      <c r="J243">
        <v>2</v>
      </c>
      <c r="K243">
        <v>1921773</v>
      </c>
      <c r="L243">
        <v>11210725</v>
      </c>
      <c r="M243">
        <v>4990530</v>
      </c>
      <c r="N243">
        <v>0</v>
      </c>
      <c r="O243">
        <v>11800</v>
      </c>
      <c r="P243">
        <v>2883</v>
      </c>
      <c r="Q243">
        <v>90657</v>
      </c>
      <c r="R243">
        <v>89830</v>
      </c>
      <c r="S243">
        <v>0</v>
      </c>
      <c r="T243">
        <v>83</v>
      </c>
    </row>
    <row r="244" spans="1:20" x14ac:dyDescent="0.25">
      <c r="A244" t="s">
        <v>67</v>
      </c>
      <c r="B244" t="s">
        <v>72</v>
      </c>
      <c r="C244">
        <v>202406</v>
      </c>
      <c r="D244" s="47" t="str">
        <f>MID(C244,1,4)</f>
        <v>2024</v>
      </c>
      <c r="E244" t="str">
        <f>IF(Portfolio!$M$1=1,CONCATENATE(A244,C244),CONCATENATE(B244,C244))</f>
        <v>ALFA GROUP202406</v>
      </c>
      <c r="F244">
        <v>393</v>
      </c>
      <c r="G244">
        <v>1527</v>
      </c>
      <c r="H244">
        <v>197</v>
      </c>
      <c r="I244">
        <v>0</v>
      </c>
      <c r="J244">
        <v>0</v>
      </c>
      <c r="K244">
        <v>66483501</v>
      </c>
      <c r="L244">
        <v>239314569</v>
      </c>
      <c r="M244">
        <v>34699192</v>
      </c>
      <c r="N244">
        <v>0</v>
      </c>
      <c r="O244">
        <v>0</v>
      </c>
      <c r="P244">
        <v>99725</v>
      </c>
      <c r="Q244">
        <v>2271493</v>
      </c>
      <c r="R244">
        <v>622408</v>
      </c>
      <c r="S244">
        <v>0</v>
      </c>
      <c r="T244">
        <v>0</v>
      </c>
    </row>
    <row r="245" spans="1:20" x14ac:dyDescent="0.25">
      <c r="A245" t="s">
        <v>70</v>
      </c>
      <c r="B245" t="s">
        <v>70</v>
      </c>
      <c r="C245">
        <v>202406</v>
      </c>
      <c r="D245" s="47" t="str">
        <f>MID(C245,1,4)</f>
        <v>2024</v>
      </c>
      <c r="E245" t="str">
        <f>IF(Portfolio!$M$1=1,CONCATENATE(A245,C245),CONCATENATE(B245,C245))</f>
        <v>ANCOL202406</v>
      </c>
      <c r="F245">
        <v>1</v>
      </c>
      <c r="G245">
        <v>3</v>
      </c>
      <c r="H245">
        <v>1</v>
      </c>
      <c r="I245">
        <v>0</v>
      </c>
      <c r="J245">
        <v>0</v>
      </c>
      <c r="K245">
        <v>467500</v>
      </c>
      <c r="L245">
        <v>4843000</v>
      </c>
      <c r="M245">
        <v>60000</v>
      </c>
      <c r="N245">
        <v>0</v>
      </c>
      <c r="O245">
        <v>0</v>
      </c>
      <c r="P245">
        <v>701</v>
      </c>
      <c r="Q245">
        <v>48430</v>
      </c>
      <c r="R245">
        <v>990</v>
      </c>
      <c r="S245">
        <v>0</v>
      </c>
      <c r="T245">
        <v>0</v>
      </c>
    </row>
    <row r="246" spans="1:20" x14ac:dyDescent="0.25">
      <c r="A246" t="s">
        <v>73</v>
      </c>
      <c r="B246" t="s">
        <v>73</v>
      </c>
      <c r="C246">
        <v>202406</v>
      </c>
      <c r="D246" s="47" t="str">
        <f>MID(C246,1,4)</f>
        <v>2024</v>
      </c>
      <c r="E246" t="str">
        <f>IF(Portfolio!$M$1=1,CONCATENATE(A246,C246),CONCATENATE(B246,C246))</f>
        <v>BANBAN TEA202406</v>
      </c>
      <c r="F246">
        <v>596</v>
      </c>
      <c r="G246">
        <v>1</v>
      </c>
      <c r="H246">
        <v>1</v>
      </c>
      <c r="I246">
        <v>0</v>
      </c>
      <c r="J246">
        <v>0</v>
      </c>
      <c r="K246">
        <v>29413588</v>
      </c>
      <c r="L246">
        <v>19800</v>
      </c>
      <c r="M246">
        <v>47850</v>
      </c>
      <c r="N246">
        <v>0</v>
      </c>
      <c r="O246">
        <v>0</v>
      </c>
      <c r="P246">
        <v>44119</v>
      </c>
      <c r="Q246">
        <v>198</v>
      </c>
      <c r="R246">
        <v>861</v>
      </c>
      <c r="S246">
        <v>0</v>
      </c>
      <c r="T246">
        <v>0</v>
      </c>
    </row>
    <row r="247" spans="1:20" x14ac:dyDescent="0.25">
      <c r="A247" t="s">
        <v>75</v>
      </c>
      <c r="B247" t="s">
        <v>77</v>
      </c>
      <c r="C247">
        <v>202406</v>
      </c>
      <c r="D247" s="47" t="str">
        <f>MID(C247,1,4)</f>
        <v>2024</v>
      </c>
      <c r="E247" t="str">
        <f>IF(Portfolio!$M$1=1,CONCATENATE(A247,C247),CONCATENATE(B247,C247))</f>
        <v>CHAMP RESTO202406</v>
      </c>
      <c r="F247">
        <v>22</v>
      </c>
      <c r="G247">
        <v>2</v>
      </c>
      <c r="H247">
        <v>0</v>
      </c>
      <c r="I247">
        <v>0</v>
      </c>
      <c r="J247">
        <v>0</v>
      </c>
      <c r="K247">
        <v>3429737</v>
      </c>
      <c r="L247">
        <v>272000</v>
      </c>
      <c r="M247">
        <v>0</v>
      </c>
      <c r="N247">
        <v>0</v>
      </c>
      <c r="O247">
        <v>0</v>
      </c>
      <c r="P247">
        <v>5145</v>
      </c>
      <c r="Q247">
        <v>2720</v>
      </c>
      <c r="R247">
        <v>0</v>
      </c>
      <c r="S247">
        <v>0</v>
      </c>
      <c r="T247">
        <v>0</v>
      </c>
    </row>
    <row r="248" spans="1:20" x14ac:dyDescent="0.25">
      <c r="A248" t="s">
        <v>75</v>
      </c>
      <c r="B248" t="s">
        <v>79</v>
      </c>
      <c r="C248">
        <v>202406</v>
      </c>
      <c r="D248" s="47" t="str">
        <f>MID(C248,1,4)</f>
        <v>2024</v>
      </c>
      <c r="E248" t="str">
        <f>IF(Portfolio!$M$1=1,CONCATENATE(A248,C248),CONCATENATE(B248,C248))</f>
        <v>CHAMP RESTO202406</v>
      </c>
      <c r="F248">
        <v>21</v>
      </c>
      <c r="G248">
        <v>1</v>
      </c>
      <c r="H248">
        <v>0</v>
      </c>
      <c r="I248">
        <v>0</v>
      </c>
      <c r="J248">
        <v>0</v>
      </c>
      <c r="K248">
        <v>3481819</v>
      </c>
      <c r="L248">
        <v>56200</v>
      </c>
      <c r="M248">
        <v>0</v>
      </c>
      <c r="N248">
        <v>0</v>
      </c>
      <c r="O248">
        <v>0</v>
      </c>
      <c r="P248">
        <v>5223</v>
      </c>
      <c r="Q248">
        <v>562</v>
      </c>
      <c r="R248">
        <v>0</v>
      </c>
      <c r="S248">
        <v>0</v>
      </c>
      <c r="T248">
        <v>0</v>
      </c>
    </row>
    <row r="249" spans="1:20" x14ac:dyDescent="0.25">
      <c r="A249" t="s">
        <v>75</v>
      </c>
      <c r="B249" t="s">
        <v>81</v>
      </c>
      <c r="C249">
        <v>202406</v>
      </c>
      <c r="D249" s="47" t="str">
        <f>MID(C249,1,4)</f>
        <v>2024</v>
      </c>
      <c r="E249" t="str">
        <f>IF(Portfolio!$M$1=1,CONCATENATE(A249,C249),CONCATENATE(B249,C249))</f>
        <v>CHAMP RESTO202406</v>
      </c>
      <c r="F249">
        <v>83</v>
      </c>
      <c r="G249">
        <v>0</v>
      </c>
      <c r="H249">
        <v>0</v>
      </c>
      <c r="I249">
        <v>0</v>
      </c>
      <c r="J249">
        <v>0</v>
      </c>
      <c r="K249">
        <v>20558845</v>
      </c>
      <c r="L249">
        <v>0</v>
      </c>
      <c r="M249">
        <v>0</v>
      </c>
      <c r="N249">
        <v>0</v>
      </c>
      <c r="O249">
        <v>0</v>
      </c>
      <c r="P249">
        <v>30838</v>
      </c>
      <c r="Q249">
        <v>0</v>
      </c>
      <c r="R249">
        <v>0</v>
      </c>
      <c r="S249">
        <v>0</v>
      </c>
      <c r="T249">
        <v>0</v>
      </c>
    </row>
    <row r="250" spans="1:20" x14ac:dyDescent="0.25">
      <c r="A250" t="s">
        <v>75</v>
      </c>
      <c r="B250" t="s">
        <v>83</v>
      </c>
      <c r="C250">
        <v>202406</v>
      </c>
      <c r="D250" s="47" t="str">
        <f>MID(C250,1,4)</f>
        <v>2024</v>
      </c>
      <c r="E250" t="str">
        <f>IF(Portfolio!$M$1=1,CONCATENATE(A250,C250),CONCATENATE(B250,C250))</f>
        <v>CHAMP RESTO202406</v>
      </c>
      <c r="F250">
        <v>9</v>
      </c>
      <c r="G250">
        <v>7</v>
      </c>
      <c r="H250">
        <v>1</v>
      </c>
      <c r="I250">
        <v>0</v>
      </c>
      <c r="J250">
        <v>6</v>
      </c>
      <c r="K250">
        <v>2238571</v>
      </c>
      <c r="L250">
        <v>895675</v>
      </c>
      <c r="M250">
        <v>240000</v>
      </c>
      <c r="N250">
        <v>0</v>
      </c>
      <c r="O250">
        <v>2110000</v>
      </c>
      <c r="P250">
        <v>3358</v>
      </c>
      <c r="Q250">
        <v>7357</v>
      </c>
      <c r="R250">
        <v>4800</v>
      </c>
      <c r="S250">
        <v>0</v>
      </c>
      <c r="T250">
        <v>14770</v>
      </c>
    </row>
    <row r="251" spans="1:20" x14ac:dyDescent="0.25">
      <c r="A251" t="s">
        <v>75</v>
      </c>
      <c r="B251" t="s">
        <v>85</v>
      </c>
      <c r="C251">
        <v>202406</v>
      </c>
      <c r="D251" s="47" t="str">
        <f>MID(C251,1,4)</f>
        <v>2024</v>
      </c>
      <c r="E251" t="str">
        <f>IF(Portfolio!$M$1=1,CONCATENATE(A251,C251),CONCATENATE(B251,C251))</f>
        <v>CHAMP RESTO202406</v>
      </c>
      <c r="F251">
        <v>504</v>
      </c>
      <c r="G251">
        <v>49</v>
      </c>
      <c r="H251">
        <v>0</v>
      </c>
      <c r="I251">
        <v>0</v>
      </c>
      <c r="J251">
        <v>0</v>
      </c>
      <c r="K251">
        <v>88736881</v>
      </c>
      <c r="L251">
        <v>8030933</v>
      </c>
      <c r="M251">
        <v>0</v>
      </c>
      <c r="N251">
        <v>0</v>
      </c>
      <c r="O251">
        <v>0</v>
      </c>
      <c r="P251">
        <v>133105</v>
      </c>
      <c r="Q251">
        <v>80309</v>
      </c>
      <c r="R251">
        <v>0</v>
      </c>
      <c r="S251">
        <v>0</v>
      </c>
      <c r="T251">
        <v>0</v>
      </c>
    </row>
    <row r="252" spans="1:20" x14ac:dyDescent="0.25">
      <c r="A252" t="s">
        <v>75</v>
      </c>
      <c r="B252" t="s">
        <v>87</v>
      </c>
      <c r="C252">
        <v>202406</v>
      </c>
      <c r="D252" s="47" t="str">
        <f>MID(C252,1,4)</f>
        <v>2024</v>
      </c>
      <c r="E252" t="str">
        <f>IF(Portfolio!$M$1=1,CONCATENATE(A252,C252),CONCATENATE(B252,C252))</f>
        <v>CHAMP RESTO202406</v>
      </c>
      <c r="F252">
        <v>57</v>
      </c>
      <c r="G252">
        <v>3</v>
      </c>
      <c r="H252">
        <v>0</v>
      </c>
      <c r="I252">
        <v>0</v>
      </c>
      <c r="J252">
        <v>0</v>
      </c>
      <c r="K252">
        <v>12214497</v>
      </c>
      <c r="L252">
        <v>780699</v>
      </c>
      <c r="M252">
        <v>0</v>
      </c>
      <c r="N252">
        <v>0</v>
      </c>
      <c r="O252">
        <v>0</v>
      </c>
      <c r="P252">
        <v>18322</v>
      </c>
      <c r="Q252">
        <v>7807</v>
      </c>
      <c r="R252">
        <v>0</v>
      </c>
      <c r="S252">
        <v>0</v>
      </c>
      <c r="T252">
        <v>0</v>
      </c>
    </row>
    <row r="253" spans="1:20" x14ac:dyDescent="0.25">
      <c r="A253" t="s">
        <v>75</v>
      </c>
      <c r="B253" t="s">
        <v>89</v>
      </c>
      <c r="C253">
        <v>202406</v>
      </c>
      <c r="D253" s="47" t="str">
        <f>MID(C253,1,4)</f>
        <v>2024</v>
      </c>
      <c r="E253" t="str">
        <f>IF(Portfolio!$M$1=1,CONCATENATE(A253,C253),CONCATENATE(B253,C253))</f>
        <v>CHAMP RESTO202406</v>
      </c>
      <c r="F253">
        <v>6</v>
      </c>
      <c r="G253">
        <v>0</v>
      </c>
      <c r="H253">
        <v>0</v>
      </c>
      <c r="I253">
        <v>0</v>
      </c>
      <c r="J253">
        <v>0</v>
      </c>
      <c r="K253">
        <v>951900</v>
      </c>
      <c r="L253">
        <v>0</v>
      </c>
      <c r="M253">
        <v>0</v>
      </c>
      <c r="N253">
        <v>0</v>
      </c>
      <c r="O253">
        <v>0</v>
      </c>
      <c r="P253">
        <v>1428</v>
      </c>
      <c r="Q253">
        <v>0</v>
      </c>
      <c r="R253">
        <v>0</v>
      </c>
      <c r="S253">
        <v>0</v>
      </c>
      <c r="T253">
        <v>0</v>
      </c>
    </row>
    <row r="254" spans="1:20" x14ac:dyDescent="0.25">
      <c r="A254" t="s">
        <v>75</v>
      </c>
      <c r="B254" t="s">
        <v>91</v>
      </c>
      <c r="C254">
        <v>202406</v>
      </c>
      <c r="D254" s="47" t="str">
        <f>MID(C254,1,4)</f>
        <v>2024</v>
      </c>
      <c r="E254" t="str">
        <f>IF(Portfolio!$M$1=1,CONCATENATE(A254,C254),CONCATENATE(B254,C254))</f>
        <v>CHAMP RESTO202406</v>
      </c>
      <c r="F254">
        <v>407</v>
      </c>
      <c r="G254">
        <v>40</v>
      </c>
      <c r="H254">
        <v>0</v>
      </c>
      <c r="I254">
        <v>0</v>
      </c>
      <c r="J254">
        <v>0</v>
      </c>
      <c r="K254">
        <v>118310802</v>
      </c>
      <c r="L254">
        <v>16464054</v>
      </c>
      <c r="M254">
        <v>0</v>
      </c>
      <c r="N254">
        <v>0</v>
      </c>
      <c r="O254">
        <v>0</v>
      </c>
      <c r="P254">
        <v>177465</v>
      </c>
      <c r="Q254">
        <v>164641</v>
      </c>
      <c r="R254">
        <v>0</v>
      </c>
      <c r="S254">
        <v>0</v>
      </c>
      <c r="T254">
        <v>0</v>
      </c>
    </row>
    <row r="255" spans="1:20" x14ac:dyDescent="0.25">
      <c r="A255" t="s">
        <v>75</v>
      </c>
      <c r="B255" t="s">
        <v>93</v>
      </c>
      <c r="C255">
        <v>202406</v>
      </c>
      <c r="D255" s="47" t="str">
        <f>MID(C255,1,4)</f>
        <v>2024</v>
      </c>
      <c r="E255" t="str">
        <f>IF(Portfolio!$M$1=1,CONCATENATE(A255,C255),CONCATENATE(B255,C255))</f>
        <v>CHAMP RESTO202406</v>
      </c>
      <c r="F255">
        <v>128</v>
      </c>
      <c r="G255">
        <v>4</v>
      </c>
      <c r="H255">
        <v>0</v>
      </c>
      <c r="I255">
        <v>0</v>
      </c>
      <c r="J255">
        <v>0</v>
      </c>
      <c r="K255">
        <v>25232012</v>
      </c>
      <c r="L255">
        <v>816000</v>
      </c>
      <c r="M255">
        <v>0</v>
      </c>
      <c r="N255">
        <v>0</v>
      </c>
      <c r="O255">
        <v>0</v>
      </c>
      <c r="P255">
        <v>37848</v>
      </c>
      <c r="Q255">
        <v>8160</v>
      </c>
      <c r="R255">
        <v>0</v>
      </c>
      <c r="S255">
        <v>0</v>
      </c>
      <c r="T255">
        <v>0</v>
      </c>
    </row>
    <row r="256" spans="1:20" x14ac:dyDescent="0.25">
      <c r="A256" t="s">
        <v>75</v>
      </c>
      <c r="B256" t="s">
        <v>95</v>
      </c>
      <c r="C256">
        <v>202406</v>
      </c>
      <c r="D256" s="47" t="str">
        <f>MID(C256,1,4)</f>
        <v>2024</v>
      </c>
      <c r="E256" t="str">
        <f>IF(Portfolio!$M$1=1,CONCATENATE(A256,C256),CONCATENATE(B256,C256))</f>
        <v>CHAMP RESTO202406</v>
      </c>
      <c r="F256">
        <v>1465</v>
      </c>
      <c r="G256">
        <v>3</v>
      </c>
      <c r="H256">
        <v>0</v>
      </c>
      <c r="I256">
        <v>0</v>
      </c>
      <c r="J256">
        <v>0</v>
      </c>
      <c r="K256">
        <v>332830692</v>
      </c>
      <c r="L256">
        <v>1349006</v>
      </c>
      <c r="M256">
        <v>0</v>
      </c>
      <c r="N256">
        <v>0</v>
      </c>
      <c r="O256">
        <v>0</v>
      </c>
      <c r="P256">
        <v>499242</v>
      </c>
      <c r="Q256">
        <v>13490</v>
      </c>
      <c r="R256">
        <v>0</v>
      </c>
      <c r="S256">
        <v>0</v>
      </c>
      <c r="T256">
        <v>0</v>
      </c>
    </row>
    <row r="257" spans="1:20" x14ac:dyDescent="0.25">
      <c r="A257" t="s">
        <v>84</v>
      </c>
      <c r="B257" t="s">
        <v>84</v>
      </c>
      <c r="C257">
        <v>202406</v>
      </c>
      <c r="D257" s="47" t="str">
        <f>MID(C257,1,4)</f>
        <v>2024</v>
      </c>
      <c r="E257" t="str">
        <f>IF(Portfolio!$M$1=1,CONCATENATE(A257,C257),CONCATENATE(B257,C257))</f>
        <v>ES TELLER 77202406</v>
      </c>
      <c r="F257">
        <v>35</v>
      </c>
      <c r="G257">
        <v>137</v>
      </c>
      <c r="H257">
        <v>2</v>
      </c>
      <c r="I257">
        <v>67</v>
      </c>
      <c r="J257">
        <v>70</v>
      </c>
      <c r="K257">
        <v>4844800</v>
      </c>
      <c r="L257">
        <v>20851237</v>
      </c>
      <c r="M257">
        <v>381440</v>
      </c>
      <c r="N257">
        <v>1105844</v>
      </c>
      <c r="O257">
        <v>4565003</v>
      </c>
      <c r="P257">
        <v>7267</v>
      </c>
      <c r="Q257">
        <v>208512</v>
      </c>
      <c r="R257">
        <v>6866</v>
      </c>
      <c r="S257">
        <v>7740</v>
      </c>
      <c r="T257">
        <v>31955</v>
      </c>
    </row>
    <row r="258" spans="1:20" x14ac:dyDescent="0.25">
      <c r="A258" t="s">
        <v>86</v>
      </c>
      <c r="B258" t="s">
        <v>86</v>
      </c>
      <c r="C258">
        <v>202406</v>
      </c>
      <c r="D258" s="47" t="str">
        <f>MID(C258,1,4)</f>
        <v>2024</v>
      </c>
      <c r="E258" t="str">
        <f>IF(Portfolio!$M$1=1,CONCATENATE(A258,C258),CONCATENATE(B258,C258))</f>
        <v>GRAMEDIA202406</v>
      </c>
      <c r="F258">
        <v>5</v>
      </c>
      <c r="G258">
        <v>54</v>
      </c>
      <c r="H258">
        <v>5</v>
      </c>
      <c r="I258">
        <v>0</v>
      </c>
      <c r="J258">
        <v>15</v>
      </c>
      <c r="K258">
        <v>1551300</v>
      </c>
      <c r="L258">
        <v>14327460</v>
      </c>
      <c r="M258">
        <v>1378900</v>
      </c>
      <c r="N258">
        <v>0</v>
      </c>
      <c r="O258">
        <v>767000</v>
      </c>
      <c r="P258">
        <v>2327</v>
      </c>
      <c r="Q258">
        <v>139390</v>
      </c>
      <c r="R258">
        <v>24820</v>
      </c>
      <c r="S258">
        <v>0</v>
      </c>
      <c r="T258">
        <v>5369</v>
      </c>
    </row>
    <row r="259" spans="1:20" x14ac:dyDescent="0.25">
      <c r="A259" t="s">
        <v>88</v>
      </c>
      <c r="B259" t="s">
        <v>88</v>
      </c>
      <c r="C259">
        <v>202406</v>
      </c>
      <c r="D259" s="47" t="str">
        <f>MID(C259,1,4)</f>
        <v>2024</v>
      </c>
      <c r="E259" t="str">
        <f>IF(Portfolio!$M$1=1,CONCATENATE(A259,C259),CONCATENATE(B259,C259))</f>
        <v>HAUS202406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35000</v>
      </c>
      <c r="L259">
        <v>0</v>
      </c>
      <c r="M259">
        <v>0</v>
      </c>
      <c r="N259">
        <v>0</v>
      </c>
      <c r="O259">
        <v>0</v>
      </c>
      <c r="P259">
        <v>52</v>
      </c>
      <c r="Q259">
        <v>0</v>
      </c>
      <c r="R259">
        <v>0</v>
      </c>
      <c r="S259">
        <v>0</v>
      </c>
      <c r="T259">
        <v>0</v>
      </c>
    </row>
    <row r="260" spans="1:20" x14ac:dyDescent="0.25">
      <c r="A260" t="s">
        <v>90</v>
      </c>
      <c r="B260" t="s">
        <v>90</v>
      </c>
      <c r="C260">
        <v>202406</v>
      </c>
      <c r="D260" s="47" t="str">
        <f>MID(C260,1,4)</f>
        <v>2024</v>
      </c>
      <c r="E260" t="str">
        <f>IF(Portfolio!$M$1=1,CONCATENATE(A260,C260),CONCATENATE(B260,C260))</f>
        <v>HEAVENLY WANG202406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368445</v>
      </c>
      <c r="L260">
        <v>0</v>
      </c>
      <c r="M260">
        <v>0</v>
      </c>
      <c r="N260">
        <v>0</v>
      </c>
      <c r="O260">
        <v>0</v>
      </c>
      <c r="P260">
        <v>553</v>
      </c>
      <c r="Q260">
        <v>0</v>
      </c>
      <c r="R260">
        <v>0</v>
      </c>
      <c r="S260">
        <v>0</v>
      </c>
      <c r="T260">
        <v>0</v>
      </c>
    </row>
    <row r="261" spans="1:20" x14ac:dyDescent="0.25">
      <c r="A261" t="s">
        <v>92</v>
      </c>
      <c r="B261" t="s">
        <v>108</v>
      </c>
      <c r="C261">
        <v>202406</v>
      </c>
      <c r="D261" s="47" t="str">
        <f>MID(C261,1,4)</f>
        <v>2024</v>
      </c>
      <c r="E261" t="str">
        <f>IF(Portfolio!$M$1=1,CONCATENATE(A261,C261),CONCATENATE(B261,C261))</f>
        <v>HERO GROUP202406</v>
      </c>
      <c r="F261">
        <v>47</v>
      </c>
      <c r="G261">
        <v>3</v>
      </c>
      <c r="H261">
        <v>2</v>
      </c>
      <c r="I261">
        <v>0</v>
      </c>
      <c r="J261">
        <v>0</v>
      </c>
      <c r="K261">
        <v>17988885</v>
      </c>
      <c r="L261">
        <v>749781</v>
      </c>
      <c r="M261">
        <v>933098</v>
      </c>
      <c r="N261">
        <v>0</v>
      </c>
      <c r="O261">
        <v>0</v>
      </c>
      <c r="P261">
        <v>26983</v>
      </c>
      <c r="Q261">
        <v>4657</v>
      </c>
      <c r="R261">
        <v>18662</v>
      </c>
      <c r="S261">
        <v>0</v>
      </c>
      <c r="T261">
        <v>0</v>
      </c>
    </row>
    <row r="262" spans="1:20" x14ac:dyDescent="0.25">
      <c r="A262" t="s">
        <v>97</v>
      </c>
      <c r="B262" t="s">
        <v>97</v>
      </c>
      <c r="C262">
        <v>202406</v>
      </c>
      <c r="D262" s="47" t="str">
        <f>MID(C262,1,4)</f>
        <v>2024</v>
      </c>
      <c r="E262" t="str">
        <f>IF(Portfolio!$M$1=1,CONCATENATE(A262,C262),CONCATENATE(B262,C262))</f>
        <v>HOP HOP202406</v>
      </c>
      <c r="F262">
        <v>0</v>
      </c>
      <c r="G262">
        <v>0</v>
      </c>
      <c r="H262">
        <v>0</v>
      </c>
      <c r="I262">
        <v>13</v>
      </c>
      <c r="J262">
        <v>1805</v>
      </c>
      <c r="K262">
        <v>0</v>
      </c>
      <c r="L262">
        <v>0</v>
      </c>
      <c r="M262">
        <v>0</v>
      </c>
      <c r="N262">
        <v>486000</v>
      </c>
      <c r="O262">
        <v>64932002</v>
      </c>
      <c r="P262">
        <v>0</v>
      </c>
      <c r="Q262">
        <v>0</v>
      </c>
      <c r="R262">
        <v>0</v>
      </c>
      <c r="S262">
        <v>3302</v>
      </c>
      <c r="T262">
        <v>426176</v>
      </c>
    </row>
    <row r="263" spans="1:20" x14ac:dyDescent="0.25">
      <c r="A263" t="s">
        <v>99</v>
      </c>
      <c r="B263" t="s">
        <v>99</v>
      </c>
      <c r="C263">
        <v>202406</v>
      </c>
      <c r="D263" s="47" t="str">
        <f>MID(C263,1,4)</f>
        <v>2024</v>
      </c>
      <c r="E263" t="str">
        <f>IF(Portfolio!$M$1=1,CONCATENATE(A263,C263),CONCATENATE(B263,C263))</f>
        <v>IKEA202406</v>
      </c>
      <c r="F263">
        <v>13</v>
      </c>
      <c r="G263">
        <v>0</v>
      </c>
      <c r="H263">
        <v>0</v>
      </c>
      <c r="I263">
        <v>0</v>
      </c>
      <c r="J263">
        <v>0</v>
      </c>
      <c r="K263">
        <v>9754640</v>
      </c>
      <c r="L263">
        <v>0</v>
      </c>
      <c r="M263">
        <v>0</v>
      </c>
      <c r="N263">
        <v>0</v>
      </c>
      <c r="O263">
        <v>0</v>
      </c>
      <c r="P263">
        <v>14632</v>
      </c>
      <c r="Q263">
        <v>0</v>
      </c>
      <c r="R263">
        <v>0</v>
      </c>
      <c r="S263">
        <v>0</v>
      </c>
      <c r="T263">
        <v>0</v>
      </c>
    </row>
    <row r="264" spans="1:20" x14ac:dyDescent="0.25">
      <c r="A264" t="s">
        <v>101</v>
      </c>
      <c r="B264" t="s">
        <v>101</v>
      </c>
      <c r="C264">
        <v>202406</v>
      </c>
      <c r="D264" s="47" t="str">
        <f>MID(C264,1,4)</f>
        <v>2024</v>
      </c>
      <c r="E264" t="str">
        <f>IF(Portfolio!$M$1=1,CONCATENATE(A264,C264),CONCATENATE(B264,C264))</f>
        <v>INDOMARET202406</v>
      </c>
      <c r="F264">
        <v>32435</v>
      </c>
      <c r="G264">
        <v>78315</v>
      </c>
      <c r="H264">
        <v>3129</v>
      </c>
      <c r="I264">
        <v>0</v>
      </c>
      <c r="J264">
        <v>18</v>
      </c>
      <c r="K264">
        <v>3344111095</v>
      </c>
      <c r="L264">
        <v>7345533967</v>
      </c>
      <c r="M264">
        <v>400108959</v>
      </c>
      <c r="N264">
        <v>0</v>
      </c>
      <c r="O264">
        <v>357500</v>
      </c>
      <c r="P264">
        <v>5016164</v>
      </c>
      <c r="Q264">
        <v>72479235</v>
      </c>
      <c r="R264">
        <v>7001262</v>
      </c>
      <c r="S264">
        <v>0</v>
      </c>
      <c r="T264">
        <v>1073</v>
      </c>
    </row>
    <row r="265" spans="1:20" x14ac:dyDescent="0.25">
      <c r="A265" t="s">
        <v>101</v>
      </c>
      <c r="B265" t="s">
        <v>117</v>
      </c>
      <c r="C265">
        <v>202406</v>
      </c>
      <c r="D265" s="47" t="str">
        <f>MID(C265,1,4)</f>
        <v>2024</v>
      </c>
      <c r="E265" t="str">
        <f>IF(Portfolio!$M$1=1,CONCATENATE(A265,C265),CONCATENATE(B265,C265))</f>
        <v>INDOMARET202406</v>
      </c>
      <c r="F265">
        <v>117</v>
      </c>
      <c r="G265">
        <v>351</v>
      </c>
      <c r="H265">
        <v>10</v>
      </c>
      <c r="I265">
        <v>0</v>
      </c>
      <c r="J265">
        <v>0</v>
      </c>
      <c r="K265">
        <v>8474400</v>
      </c>
      <c r="L265">
        <v>29730600</v>
      </c>
      <c r="M265">
        <v>776000</v>
      </c>
      <c r="N265">
        <v>0</v>
      </c>
      <c r="O265">
        <v>0</v>
      </c>
      <c r="P265">
        <v>12712</v>
      </c>
      <c r="Q265">
        <v>297306</v>
      </c>
      <c r="R265">
        <v>12804</v>
      </c>
      <c r="S265">
        <v>0</v>
      </c>
      <c r="T265">
        <v>0</v>
      </c>
    </row>
    <row r="266" spans="1:20" x14ac:dyDescent="0.25">
      <c r="A266" t="s">
        <v>102</v>
      </c>
      <c r="B266" t="s">
        <v>121</v>
      </c>
      <c r="C266">
        <v>202406</v>
      </c>
      <c r="D266" s="47" t="str">
        <f>MID(C266,1,4)</f>
        <v>2024</v>
      </c>
      <c r="E266" t="str">
        <f>IF(Portfolio!$M$1=1,CONCATENATE(A266,C266),CONCATENATE(B266,C266))</f>
        <v>KAWAN LAMA202406</v>
      </c>
      <c r="F266">
        <v>4</v>
      </c>
      <c r="G266">
        <v>0</v>
      </c>
      <c r="H266">
        <v>0</v>
      </c>
      <c r="I266">
        <v>0</v>
      </c>
      <c r="J266">
        <v>0</v>
      </c>
      <c r="K266">
        <v>754700</v>
      </c>
      <c r="L266">
        <v>0</v>
      </c>
      <c r="M266">
        <v>0</v>
      </c>
      <c r="N266">
        <v>0</v>
      </c>
      <c r="O266">
        <v>0</v>
      </c>
      <c r="P266">
        <v>1132</v>
      </c>
      <c r="Q266">
        <v>0</v>
      </c>
      <c r="R266">
        <v>0</v>
      </c>
      <c r="S266">
        <v>0</v>
      </c>
      <c r="T266">
        <v>0</v>
      </c>
    </row>
    <row r="267" spans="1:20" x14ac:dyDescent="0.25">
      <c r="A267" t="s">
        <v>102</v>
      </c>
      <c r="B267" t="s">
        <v>123</v>
      </c>
      <c r="C267">
        <v>202406</v>
      </c>
      <c r="D267" s="47" t="str">
        <f>MID(C267,1,4)</f>
        <v>2024</v>
      </c>
      <c r="E267" t="str">
        <f>IF(Portfolio!$M$1=1,CONCATENATE(A267,C267),CONCATENATE(B267,C267))</f>
        <v>KAWAN LAMA202406</v>
      </c>
      <c r="F267">
        <v>1790</v>
      </c>
      <c r="G267">
        <v>1</v>
      </c>
      <c r="H267">
        <v>0</v>
      </c>
      <c r="I267">
        <v>0</v>
      </c>
      <c r="J267">
        <v>0</v>
      </c>
      <c r="K267">
        <v>1829691039</v>
      </c>
      <c r="L267">
        <v>1334640</v>
      </c>
      <c r="M267">
        <v>0</v>
      </c>
      <c r="N267">
        <v>0</v>
      </c>
      <c r="O267">
        <v>0</v>
      </c>
      <c r="P267">
        <v>2744534</v>
      </c>
      <c r="Q267">
        <v>13346</v>
      </c>
      <c r="R267">
        <v>0</v>
      </c>
      <c r="S267">
        <v>0</v>
      </c>
      <c r="T267">
        <v>0</v>
      </c>
    </row>
    <row r="268" spans="1:20" x14ac:dyDescent="0.25">
      <c r="A268" t="s">
        <v>102</v>
      </c>
      <c r="B268" t="s">
        <v>125</v>
      </c>
      <c r="C268">
        <v>202406</v>
      </c>
      <c r="D268" s="47" t="str">
        <f>MID(C268,1,4)</f>
        <v>2024</v>
      </c>
      <c r="E268" t="str">
        <f>IF(Portfolio!$M$1=1,CONCATENATE(A268,C268),CONCATENATE(B268,C268))</f>
        <v>KAWAN LAMA202406</v>
      </c>
      <c r="F268">
        <v>0</v>
      </c>
      <c r="G268">
        <v>0</v>
      </c>
      <c r="H268">
        <v>0</v>
      </c>
      <c r="I268">
        <v>57</v>
      </c>
      <c r="J268">
        <v>27</v>
      </c>
      <c r="K268">
        <v>0</v>
      </c>
      <c r="L268">
        <v>0</v>
      </c>
      <c r="M268">
        <v>0</v>
      </c>
      <c r="N268">
        <v>353347</v>
      </c>
      <c r="O268">
        <v>1208002</v>
      </c>
      <c r="P268">
        <v>0</v>
      </c>
      <c r="Q268">
        <v>0</v>
      </c>
      <c r="R268">
        <v>0</v>
      </c>
      <c r="S268">
        <v>2472</v>
      </c>
      <c r="T268">
        <v>8456</v>
      </c>
    </row>
    <row r="269" spans="1:20" x14ac:dyDescent="0.25">
      <c r="A269" t="s">
        <v>102</v>
      </c>
      <c r="B269" t="s">
        <v>127</v>
      </c>
      <c r="C269">
        <v>202406</v>
      </c>
      <c r="D269" s="47" t="str">
        <f>MID(C269,1,4)</f>
        <v>2024</v>
      </c>
      <c r="E269" t="str">
        <f>IF(Portfolio!$M$1=1,CONCATENATE(A269,C269),CONCATENATE(B269,C269))</f>
        <v>KAWAN LAMA202406</v>
      </c>
      <c r="F269">
        <v>0</v>
      </c>
      <c r="G269">
        <v>1</v>
      </c>
      <c r="H269">
        <v>0</v>
      </c>
      <c r="I269">
        <v>54</v>
      </c>
      <c r="J269">
        <v>13</v>
      </c>
      <c r="K269">
        <v>0</v>
      </c>
      <c r="L269">
        <v>37000</v>
      </c>
      <c r="M269">
        <v>0</v>
      </c>
      <c r="N269">
        <v>63341</v>
      </c>
      <c r="O269">
        <v>1361005</v>
      </c>
      <c r="P269">
        <v>0</v>
      </c>
      <c r="Q269">
        <v>370</v>
      </c>
      <c r="R269">
        <v>0</v>
      </c>
      <c r="S269">
        <v>442</v>
      </c>
      <c r="T269">
        <v>9527</v>
      </c>
    </row>
    <row r="270" spans="1:20" x14ac:dyDescent="0.25">
      <c r="A270" t="s">
        <v>102</v>
      </c>
      <c r="B270" t="s">
        <v>129</v>
      </c>
      <c r="C270">
        <v>202406</v>
      </c>
      <c r="D270" s="47" t="str">
        <f>MID(C270,1,4)</f>
        <v>2024</v>
      </c>
      <c r="E270" t="str">
        <f>IF(Portfolio!$M$1=1,CONCATENATE(A270,C270),CONCATENATE(B270,C270))</f>
        <v>KAWAN LAMA202406</v>
      </c>
      <c r="F270">
        <v>0</v>
      </c>
      <c r="G270">
        <v>14</v>
      </c>
      <c r="H270">
        <v>8</v>
      </c>
      <c r="I270">
        <v>0</v>
      </c>
      <c r="J270">
        <v>0</v>
      </c>
      <c r="K270">
        <v>0</v>
      </c>
      <c r="L270">
        <v>9350014</v>
      </c>
      <c r="M270">
        <v>5333008</v>
      </c>
      <c r="N270">
        <v>0</v>
      </c>
      <c r="O270">
        <v>0</v>
      </c>
      <c r="P270">
        <v>0</v>
      </c>
      <c r="Q270">
        <v>80114</v>
      </c>
      <c r="R270">
        <v>95994</v>
      </c>
      <c r="S270">
        <v>0</v>
      </c>
      <c r="T270">
        <v>0</v>
      </c>
    </row>
    <row r="271" spans="1:20" x14ac:dyDescent="0.25">
      <c r="A271" t="s">
        <v>102</v>
      </c>
      <c r="B271" t="s">
        <v>131</v>
      </c>
      <c r="C271">
        <v>202406</v>
      </c>
      <c r="D271" s="47" t="str">
        <f>MID(C271,1,4)</f>
        <v>2024</v>
      </c>
      <c r="E271" t="str">
        <f>IF(Portfolio!$M$1=1,CONCATENATE(A271,C271),CONCATENATE(B271,C271))</f>
        <v>KAWAN LAMA202406</v>
      </c>
      <c r="F271">
        <v>0</v>
      </c>
      <c r="G271">
        <v>0</v>
      </c>
      <c r="H271">
        <v>0</v>
      </c>
      <c r="I271">
        <v>71</v>
      </c>
      <c r="J271">
        <v>29</v>
      </c>
      <c r="K271">
        <v>0</v>
      </c>
      <c r="L271">
        <v>0</v>
      </c>
      <c r="M271">
        <v>0</v>
      </c>
      <c r="N271">
        <v>1113341</v>
      </c>
      <c r="O271">
        <v>1415499</v>
      </c>
      <c r="P271">
        <v>0</v>
      </c>
      <c r="Q271">
        <v>0</v>
      </c>
      <c r="R271">
        <v>0</v>
      </c>
      <c r="S271">
        <v>7792</v>
      </c>
      <c r="T271">
        <v>9908</v>
      </c>
    </row>
    <row r="272" spans="1:20" x14ac:dyDescent="0.25">
      <c r="A272" t="s">
        <v>102</v>
      </c>
      <c r="B272" t="s">
        <v>133</v>
      </c>
      <c r="C272">
        <v>202406</v>
      </c>
      <c r="D272" s="47" t="str">
        <f>MID(C272,1,4)</f>
        <v>2024</v>
      </c>
      <c r="E272" t="str">
        <f>IF(Portfolio!$M$1=1,CONCATENATE(A272,C272),CONCATENATE(B272,C272))</f>
        <v>KAWAN LAMA202406</v>
      </c>
      <c r="F272">
        <v>0</v>
      </c>
      <c r="G272">
        <v>0</v>
      </c>
      <c r="H272">
        <v>0</v>
      </c>
      <c r="I272">
        <v>57</v>
      </c>
      <c r="J272">
        <v>11</v>
      </c>
      <c r="K272">
        <v>0</v>
      </c>
      <c r="L272">
        <v>0</v>
      </c>
      <c r="M272">
        <v>0</v>
      </c>
      <c r="N272">
        <v>180341</v>
      </c>
      <c r="O272">
        <v>411004</v>
      </c>
      <c r="P272">
        <v>0</v>
      </c>
      <c r="Q272">
        <v>0</v>
      </c>
      <c r="R272">
        <v>0</v>
      </c>
      <c r="S272">
        <v>1261</v>
      </c>
      <c r="T272">
        <v>2877</v>
      </c>
    </row>
    <row r="273" spans="1:20" x14ac:dyDescent="0.25">
      <c r="A273" t="s">
        <v>102</v>
      </c>
      <c r="B273" t="s">
        <v>135</v>
      </c>
      <c r="C273">
        <v>202406</v>
      </c>
      <c r="D273" s="47" t="str">
        <f>MID(C273,1,4)</f>
        <v>2024</v>
      </c>
      <c r="E273" t="str">
        <f>IF(Portfolio!$M$1=1,CONCATENATE(A273,C273),CONCATENATE(B273,C273))</f>
        <v>KAWAN LAMA202406</v>
      </c>
      <c r="F273">
        <v>500</v>
      </c>
      <c r="G273">
        <v>0</v>
      </c>
      <c r="H273">
        <v>0</v>
      </c>
      <c r="I273">
        <v>0</v>
      </c>
      <c r="J273">
        <v>0</v>
      </c>
      <c r="K273">
        <v>1418411578</v>
      </c>
      <c r="L273">
        <v>0</v>
      </c>
      <c r="M273">
        <v>0</v>
      </c>
      <c r="N273">
        <v>0</v>
      </c>
      <c r="O273">
        <v>0</v>
      </c>
      <c r="P273">
        <v>2127617</v>
      </c>
      <c r="Q273">
        <v>0</v>
      </c>
      <c r="R273">
        <v>0</v>
      </c>
      <c r="S273">
        <v>0</v>
      </c>
      <c r="T273">
        <v>0</v>
      </c>
    </row>
    <row r="274" spans="1:20" x14ac:dyDescent="0.25">
      <c r="A274" t="s">
        <v>102</v>
      </c>
      <c r="B274" t="s">
        <v>137</v>
      </c>
      <c r="C274">
        <v>202406</v>
      </c>
      <c r="D274" s="47" t="str">
        <f>MID(C274,1,4)</f>
        <v>2024</v>
      </c>
      <c r="E274" t="str">
        <f>IF(Portfolio!$M$1=1,CONCATENATE(A274,C274),CONCATENATE(B274,C274))</f>
        <v>KAWAN LAMA202406</v>
      </c>
      <c r="F274">
        <v>27</v>
      </c>
      <c r="G274">
        <v>0</v>
      </c>
      <c r="H274">
        <v>0</v>
      </c>
      <c r="I274">
        <v>0</v>
      </c>
      <c r="J274">
        <v>0</v>
      </c>
      <c r="K274">
        <v>91211620</v>
      </c>
      <c r="L274">
        <v>0</v>
      </c>
      <c r="M274">
        <v>0</v>
      </c>
      <c r="N274">
        <v>0</v>
      </c>
      <c r="O274">
        <v>0</v>
      </c>
      <c r="P274">
        <v>136817</v>
      </c>
      <c r="Q274">
        <v>0</v>
      </c>
      <c r="R274">
        <v>0</v>
      </c>
      <c r="S274">
        <v>0</v>
      </c>
      <c r="T274">
        <v>0</v>
      </c>
    </row>
    <row r="275" spans="1:20" x14ac:dyDescent="0.25">
      <c r="A275" t="s">
        <v>102</v>
      </c>
      <c r="B275" t="s">
        <v>142</v>
      </c>
      <c r="C275">
        <v>202406</v>
      </c>
      <c r="D275" s="47" t="str">
        <f>MID(C275,1,4)</f>
        <v>2024</v>
      </c>
      <c r="E275" t="str">
        <f>IF(Portfolio!$M$1=1,CONCATENATE(A275,C275),CONCATENATE(B275,C275))</f>
        <v>KAWAN LAMA202406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1097000</v>
      </c>
      <c r="L275">
        <v>0</v>
      </c>
      <c r="M275">
        <v>0</v>
      </c>
      <c r="N275">
        <v>0</v>
      </c>
      <c r="O275">
        <v>0</v>
      </c>
      <c r="P275">
        <v>1646</v>
      </c>
      <c r="Q275">
        <v>0</v>
      </c>
      <c r="R275">
        <v>0</v>
      </c>
      <c r="S275">
        <v>0</v>
      </c>
      <c r="T275">
        <v>0</v>
      </c>
    </row>
    <row r="276" spans="1:20" x14ac:dyDescent="0.25">
      <c r="A276" t="s">
        <v>103</v>
      </c>
      <c r="B276" t="s">
        <v>146</v>
      </c>
      <c r="C276">
        <v>202406</v>
      </c>
      <c r="D276" s="47" t="str">
        <f>MID(C276,1,4)</f>
        <v>2024</v>
      </c>
      <c r="E276" t="str">
        <f>IF(Portfolio!$M$1=1,CONCATENATE(A276,C276),CONCATENATE(B276,C276))</f>
        <v>KCIC202406</v>
      </c>
      <c r="F276">
        <v>63</v>
      </c>
      <c r="G276">
        <v>2003</v>
      </c>
      <c r="H276">
        <v>579</v>
      </c>
      <c r="I276">
        <v>0</v>
      </c>
      <c r="J276">
        <v>0</v>
      </c>
      <c r="K276">
        <v>31825000</v>
      </c>
      <c r="L276">
        <v>1112490000</v>
      </c>
      <c r="M276">
        <v>439130000</v>
      </c>
      <c r="N276">
        <v>0</v>
      </c>
      <c r="O276">
        <v>0</v>
      </c>
      <c r="P276">
        <v>47738</v>
      </c>
      <c r="Q276">
        <v>10116150</v>
      </c>
      <c r="R276">
        <v>7904340</v>
      </c>
      <c r="S276">
        <v>0</v>
      </c>
      <c r="T276">
        <v>0</v>
      </c>
    </row>
    <row r="277" spans="1:20" x14ac:dyDescent="0.25">
      <c r="A277" t="s">
        <v>104</v>
      </c>
      <c r="B277" t="s">
        <v>147</v>
      </c>
      <c r="C277">
        <v>202406</v>
      </c>
      <c r="D277" s="47" t="str">
        <f>MID(C277,1,4)</f>
        <v>2024</v>
      </c>
      <c r="E277" t="str">
        <f>IF(Portfolio!$M$1=1,CONCATENATE(A277,C277),CONCATENATE(B277,C277))</f>
        <v>KIMIA FARMA202406</v>
      </c>
      <c r="F277">
        <v>6</v>
      </c>
      <c r="G277">
        <v>75</v>
      </c>
      <c r="H277">
        <v>16</v>
      </c>
      <c r="I277">
        <v>0</v>
      </c>
      <c r="J277">
        <v>0</v>
      </c>
      <c r="K277">
        <v>1336055</v>
      </c>
      <c r="L277">
        <v>22001138</v>
      </c>
      <c r="M277">
        <v>5053920</v>
      </c>
      <c r="N277">
        <v>0</v>
      </c>
      <c r="O277">
        <v>0</v>
      </c>
      <c r="P277">
        <v>2004</v>
      </c>
      <c r="Q277">
        <v>214694</v>
      </c>
      <c r="R277">
        <v>90971</v>
      </c>
      <c r="S277">
        <v>0</v>
      </c>
      <c r="T277">
        <v>0</v>
      </c>
    </row>
    <row r="278" spans="1:20" x14ac:dyDescent="0.25">
      <c r="A278" t="s">
        <v>107</v>
      </c>
      <c r="B278" t="s">
        <v>178</v>
      </c>
      <c r="C278">
        <v>202406</v>
      </c>
      <c r="D278" s="47" t="str">
        <f>MID(C278,1,4)</f>
        <v>2024</v>
      </c>
      <c r="E278" t="str">
        <f>IF(Portfolio!$M$1=1,CONCATENATE(A278,C278),CONCATENATE(B278,C278))</f>
        <v>MAP GROUP202406</v>
      </c>
      <c r="F278">
        <v>0</v>
      </c>
      <c r="G278">
        <v>43</v>
      </c>
      <c r="H278">
        <v>0</v>
      </c>
      <c r="I278">
        <v>3</v>
      </c>
      <c r="J278">
        <v>231</v>
      </c>
      <c r="K278">
        <v>0</v>
      </c>
      <c r="L278">
        <v>14015200</v>
      </c>
      <c r="M278">
        <v>0</v>
      </c>
      <c r="N278">
        <v>864000</v>
      </c>
      <c r="O278">
        <v>32557513</v>
      </c>
      <c r="P278">
        <v>0</v>
      </c>
      <c r="Q278">
        <v>139587</v>
      </c>
      <c r="R278">
        <v>0</v>
      </c>
      <c r="S278">
        <v>6048</v>
      </c>
      <c r="T278">
        <v>227901</v>
      </c>
    </row>
    <row r="279" spans="1:20" x14ac:dyDescent="0.25">
      <c r="A279" t="s">
        <v>107</v>
      </c>
      <c r="B279" t="s">
        <v>191</v>
      </c>
      <c r="C279">
        <v>202406</v>
      </c>
      <c r="D279" s="47" t="str">
        <f>MID(C279,1,4)</f>
        <v>2024</v>
      </c>
      <c r="E279" t="str">
        <f>IF(Portfolio!$M$1=1,CONCATENATE(A279,C279),CONCATENATE(B279,C279))</f>
        <v>MAP GROUP202406</v>
      </c>
      <c r="F279">
        <v>0</v>
      </c>
      <c r="G279">
        <v>0</v>
      </c>
      <c r="H279">
        <v>0</v>
      </c>
      <c r="I279">
        <v>0</v>
      </c>
      <c r="J279">
        <v>7</v>
      </c>
      <c r="K279">
        <v>0</v>
      </c>
      <c r="L279">
        <v>0</v>
      </c>
      <c r="M279">
        <v>0</v>
      </c>
      <c r="N279">
        <v>0</v>
      </c>
      <c r="O279">
        <v>659500</v>
      </c>
      <c r="P279">
        <v>0</v>
      </c>
      <c r="Q279">
        <v>0</v>
      </c>
      <c r="R279">
        <v>0</v>
      </c>
      <c r="S279">
        <v>0</v>
      </c>
      <c r="T279">
        <v>1978</v>
      </c>
    </row>
    <row r="280" spans="1:20" x14ac:dyDescent="0.25">
      <c r="A280" t="s">
        <v>107</v>
      </c>
      <c r="B280" t="s">
        <v>208</v>
      </c>
      <c r="C280">
        <v>202406</v>
      </c>
      <c r="D280" s="47" t="str">
        <f>MID(C280,1,4)</f>
        <v>2024</v>
      </c>
      <c r="E280" t="str">
        <f>IF(Portfolio!$M$1=1,CONCATENATE(A280,C280),CONCATENATE(B280,C280))</f>
        <v>MAP GROUP202406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95950</v>
      </c>
      <c r="M280">
        <v>0</v>
      </c>
      <c r="N280">
        <v>0</v>
      </c>
      <c r="O280">
        <v>0</v>
      </c>
      <c r="P280">
        <v>0</v>
      </c>
      <c r="Q280">
        <v>960</v>
      </c>
      <c r="R280">
        <v>0</v>
      </c>
      <c r="S280">
        <v>0</v>
      </c>
      <c r="T280">
        <v>0</v>
      </c>
    </row>
    <row r="281" spans="1:20" x14ac:dyDescent="0.25">
      <c r="A281" t="s">
        <v>109</v>
      </c>
      <c r="B281" t="s">
        <v>109</v>
      </c>
      <c r="C281">
        <v>202406</v>
      </c>
      <c r="D281" s="47" t="str">
        <f>MID(C281,1,4)</f>
        <v>2024</v>
      </c>
      <c r="E281" t="str">
        <f>IF(Portfolio!$M$1=1,CONCATENATE(A281,C281),CONCATENATE(B281,C281))</f>
        <v>MITRA10202406</v>
      </c>
      <c r="F281">
        <v>879</v>
      </c>
      <c r="G281">
        <v>6</v>
      </c>
      <c r="H281">
        <v>3</v>
      </c>
      <c r="I281">
        <v>0</v>
      </c>
      <c r="J281">
        <v>0</v>
      </c>
      <c r="K281">
        <v>2110505424</v>
      </c>
      <c r="L281">
        <v>5605302</v>
      </c>
      <c r="M281">
        <v>2451968</v>
      </c>
      <c r="N281">
        <v>0</v>
      </c>
      <c r="O281">
        <v>0</v>
      </c>
      <c r="P281">
        <v>3165756</v>
      </c>
      <c r="Q281">
        <v>56053</v>
      </c>
      <c r="R281">
        <v>49039</v>
      </c>
      <c r="S281">
        <v>0</v>
      </c>
      <c r="T281">
        <v>0</v>
      </c>
    </row>
    <row r="282" spans="1:20" x14ac:dyDescent="0.25">
      <c r="A282" t="s">
        <v>110</v>
      </c>
      <c r="B282" t="s">
        <v>110</v>
      </c>
      <c r="C282">
        <v>202406</v>
      </c>
      <c r="D282" s="47" t="str">
        <f>MID(C282,1,4)</f>
        <v>2024</v>
      </c>
      <c r="E282" t="str">
        <f>IF(Portfolio!$M$1=1,CONCATENATE(A282,C282),CONCATENATE(B282,C282))</f>
        <v>OPTIK MELAWAI202406</v>
      </c>
      <c r="F282">
        <v>101</v>
      </c>
      <c r="G282">
        <v>798</v>
      </c>
      <c r="H282">
        <v>14</v>
      </c>
      <c r="I282">
        <v>0</v>
      </c>
      <c r="J282">
        <v>0</v>
      </c>
      <c r="K282">
        <v>133020000</v>
      </c>
      <c r="L282">
        <v>1255925500</v>
      </c>
      <c r="M282">
        <v>13742500</v>
      </c>
      <c r="N282">
        <v>0</v>
      </c>
      <c r="O282">
        <v>0</v>
      </c>
      <c r="P282">
        <v>199530</v>
      </c>
      <c r="Q282">
        <v>12559255</v>
      </c>
      <c r="R282">
        <v>262033</v>
      </c>
      <c r="S282">
        <v>0</v>
      </c>
      <c r="T282">
        <v>0</v>
      </c>
    </row>
    <row r="283" spans="1:20" x14ac:dyDescent="0.25">
      <c r="A283" t="s">
        <v>111</v>
      </c>
      <c r="B283" t="s">
        <v>214</v>
      </c>
      <c r="C283">
        <v>202406</v>
      </c>
      <c r="D283" s="47" t="str">
        <f>MID(C283,1,4)</f>
        <v>2024</v>
      </c>
      <c r="E283" t="str">
        <f>IF(Portfolio!$M$1=1,CONCATENATE(A283,C283),CONCATENATE(B283,C283))</f>
        <v>PATRA JASA202406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1050000</v>
      </c>
      <c r="M283">
        <v>0</v>
      </c>
      <c r="N283">
        <v>0</v>
      </c>
      <c r="O283">
        <v>0</v>
      </c>
      <c r="P283">
        <v>0</v>
      </c>
      <c r="Q283">
        <v>10500</v>
      </c>
      <c r="R283">
        <v>0</v>
      </c>
      <c r="S283">
        <v>0</v>
      </c>
      <c r="T283">
        <v>0</v>
      </c>
    </row>
    <row r="284" spans="1:20" x14ac:dyDescent="0.25">
      <c r="A284" t="s">
        <v>112</v>
      </c>
      <c r="B284" t="s">
        <v>215</v>
      </c>
      <c r="C284">
        <v>202406</v>
      </c>
      <c r="D284" s="47" t="str">
        <f>MID(C284,1,4)</f>
        <v>2024</v>
      </c>
      <c r="E284" t="str">
        <f>IF(Portfolio!$M$1=1,CONCATENATE(A284,C284),CONCATENATE(B284,C284))</f>
        <v>PERTAMINA RETAIL202406</v>
      </c>
      <c r="F284">
        <v>26</v>
      </c>
      <c r="G284">
        <v>5274</v>
      </c>
      <c r="H284">
        <v>155</v>
      </c>
      <c r="I284">
        <v>0</v>
      </c>
      <c r="J284">
        <v>0</v>
      </c>
      <c r="K284">
        <v>1760300</v>
      </c>
      <c r="L284">
        <v>866835520</v>
      </c>
      <c r="M284">
        <v>20420950</v>
      </c>
      <c r="N284">
        <v>0</v>
      </c>
      <c r="O284">
        <v>0</v>
      </c>
      <c r="P284">
        <v>2640</v>
      </c>
      <c r="Q284">
        <v>8392275</v>
      </c>
      <c r="R284">
        <v>367577</v>
      </c>
      <c r="S284">
        <v>0</v>
      </c>
      <c r="T284">
        <v>0</v>
      </c>
    </row>
    <row r="285" spans="1:20" x14ac:dyDescent="0.25">
      <c r="A285" t="s">
        <v>112</v>
      </c>
      <c r="B285" t="s">
        <v>216</v>
      </c>
      <c r="C285">
        <v>202406</v>
      </c>
      <c r="D285" s="47" t="str">
        <f>MID(C285,1,4)</f>
        <v>2024</v>
      </c>
      <c r="E285" t="str">
        <f>IF(Portfolio!$M$1=1,CONCATENATE(A285,C285),CONCATENATE(B285,C285))</f>
        <v>PERTAMINA RETAIL202406</v>
      </c>
      <c r="F285">
        <v>667</v>
      </c>
      <c r="G285">
        <v>102892</v>
      </c>
      <c r="H285">
        <v>438</v>
      </c>
      <c r="I285">
        <v>4</v>
      </c>
      <c r="J285">
        <v>792</v>
      </c>
      <c r="K285">
        <v>140743605</v>
      </c>
      <c r="L285">
        <v>24610857188</v>
      </c>
      <c r="M285">
        <v>170070814</v>
      </c>
      <c r="N285">
        <v>421000</v>
      </c>
      <c r="O285">
        <v>109625349</v>
      </c>
      <c r="P285">
        <v>211115</v>
      </c>
      <c r="Q285">
        <v>120831788</v>
      </c>
      <c r="R285">
        <v>3061275</v>
      </c>
      <c r="S285">
        <v>1683</v>
      </c>
      <c r="T285">
        <v>438499</v>
      </c>
    </row>
    <row r="286" spans="1:20" x14ac:dyDescent="0.25">
      <c r="A286" t="s">
        <v>114</v>
      </c>
      <c r="B286" t="s">
        <v>217</v>
      </c>
      <c r="C286">
        <v>202406</v>
      </c>
      <c r="D286" s="47" t="str">
        <f>MID(C286,1,4)</f>
        <v>2024</v>
      </c>
      <c r="E286" t="str">
        <f>IF(Portfolio!$M$1=1,CONCATENATE(A286,C286),CONCATENATE(B286,C286))</f>
        <v>PIZZA HUT202406</v>
      </c>
      <c r="F286">
        <v>30</v>
      </c>
      <c r="G286">
        <v>0</v>
      </c>
      <c r="H286">
        <v>0</v>
      </c>
      <c r="I286">
        <v>0</v>
      </c>
      <c r="J286">
        <v>0</v>
      </c>
      <c r="K286">
        <v>5478515</v>
      </c>
      <c r="L286">
        <v>0</v>
      </c>
      <c r="M286">
        <v>0</v>
      </c>
      <c r="N286">
        <v>0</v>
      </c>
      <c r="O286">
        <v>0</v>
      </c>
      <c r="P286">
        <v>8218</v>
      </c>
      <c r="Q286">
        <v>0</v>
      </c>
      <c r="R286">
        <v>0</v>
      </c>
      <c r="S286">
        <v>0</v>
      </c>
      <c r="T286">
        <v>0</v>
      </c>
    </row>
    <row r="287" spans="1:20" x14ac:dyDescent="0.25">
      <c r="A287" t="s">
        <v>114</v>
      </c>
      <c r="B287" t="s">
        <v>218</v>
      </c>
      <c r="C287">
        <v>202406</v>
      </c>
      <c r="D287" s="47" t="str">
        <f>MID(C287,1,4)</f>
        <v>2024</v>
      </c>
      <c r="E287" t="str">
        <f>IF(Portfolio!$M$1=1,CONCATENATE(A287,C287),CONCATENATE(B287,C287))</f>
        <v>PIZZA HUT202406</v>
      </c>
      <c r="F287">
        <v>236</v>
      </c>
      <c r="G287">
        <v>0</v>
      </c>
      <c r="H287">
        <v>0</v>
      </c>
      <c r="I287">
        <v>0</v>
      </c>
      <c r="J287">
        <v>0</v>
      </c>
      <c r="K287">
        <v>64809166</v>
      </c>
      <c r="L287">
        <v>0</v>
      </c>
      <c r="M287">
        <v>0</v>
      </c>
      <c r="N287">
        <v>0</v>
      </c>
      <c r="O287">
        <v>0</v>
      </c>
      <c r="P287">
        <v>97213</v>
      </c>
      <c r="Q287">
        <v>0</v>
      </c>
      <c r="R287">
        <v>0</v>
      </c>
      <c r="S287">
        <v>0</v>
      </c>
      <c r="T287">
        <v>0</v>
      </c>
    </row>
    <row r="288" spans="1:20" x14ac:dyDescent="0.25">
      <c r="A288" t="s">
        <v>115</v>
      </c>
      <c r="B288" t="s">
        <v>115</v>
      </c>
      <c r="C288">
        <v>202406</v>
      </c>
      <c r="D288" s="47" t="str">
        <f>MID(C288,1,4)</f>
        <v>2024</v>
      </c>
      <c r="E288" t="str">
        <f>IF(Portfolio!$M$1=1,CONCATENATE(A288,C288),CONCATENATE(B288,C288))</f>
        <v>PLATINUM CINEPLEX202406</v>
      </c>
      <c r="F288">
        <v>109</v>
      </c>
      <c r="G288">
        <v>34</v>
      </c>
      <c r="H288">
        <v>1</v>
      </c>
      <c r="I288">
        <v>0</v>
      </c>
      <c r="J288">
        <v>0</v>
      </c>
      <c r="K288">
        <v>5173000</v>
      </c>
      <c r="L288">
        <v>4391000</v>
      </c>
      <c r="M288">
        <v>130000</v>
      </c>
      <c r="N288">
        <v>0</v>
      </c>
      <c r="O288">
        <v>0</v>
      </c>
      <c r="P288">
        <v>7760</v>
      </c>
      <c r="Q288">
        <v>43910</v>
      </c>
      <c r="R288">
        <v>2340</v>
      </c>
      <c r="S288">
        <v>0</v>
      </c>
      <c r="T288">
        <v>0</v>
      </c>
    </row>
    <row r="289" spans="1:20" x14ac:dyDescent="0.25">
      <c r="A289" t="s">
        <v>118</v>
      </c>
      <c r="B289" t="s">
        <v>118</v>
      </c>
      <c r="C289">
        <v>202406</v>
      </c>
      <c r="D289" s="47" t="str">
        <f>MID(C289,1,4)</f>
        <v>2024</v>
      </c>
      <c r="E289" t="str">
        <f>IF(Portfolio!$M$1=1,CONCATENATE(A289,C289),CONCATENATE(B289,C289))</f>
        <v>SARINAH202406</v>
      </c>
      <c r="F289">
        <v>68</v>
      </c>
      <c r="G289">
        <v>488</v>
      </c>
      <c r="H289">
        <v>417</v>
      </c>
      <c r="I289">
        <v>0</v>
      </c>
      <c r="J289">
        <v>0</v>
      </c>
      <c r="K289">
        <v>22654931</v>
      </c>
      <c r="L289">
        <v>402938191</v>
      </c>
      <c r="M289">
        <v>471303715</v>
      </c>
      <c r="N289">
        <v>0</v>
      </c>
      <c r="O289">
        <v>0</v>
      </c>
      <c r="P289">
        <v>33982</v>
      </c>
      <c r="Q289">
        <v>3176083</v>
      </c>
      <c r="R289">
        <v>8483467</v>
      </c>
      <c r="S289">
        <v>0</v>
      </c>
      <c r="T289">
        <v>0</v>
      </c>
    </row>
    <row r="290" spans="1:20" x14ac:dyDescent="0.25">
      <c r="A290" t="s">
        <v>120</v>
      </c>
      <c r="B290" t="s">
        <v>120</v>
      </c>
      <c r="C290">
        <v>202406</v>
      </c>
      <c r="D290" s="47" t="str">
        <f>MID(C290,1,4)</f>
        <v>2024</v>
      </c>
      <c r="E290" t="str">
        <f>IF(Portfolio!$M$1=1,CONCATENATE(A290,C290),CONCATENATE(B290,C290))</f>
        <v>SHIHLIN202406</v>
      </c>
      <c r="F290">
        <v>1128</v>
      </c>
      <c r="G290">
        <v>17</v>
      </c>
      <c r="H290">
        <v>2</v>
      </c>
      <c r="I290">
        <v>84</v>
      </c>
      <c r="J290">
        <v>86</v>
      </c>
      <c r="K290">
        <v>86903200</v>
      </c>
      <c r="L290">
        <v>1480900</v>
      </c>
      <c r="M290">
        <v>313000</v>
      </c>
      <c r="N290">
        <v>2137850</v>
      </c>
      <c r="O290">
        <v>5371002</v>
      </c>
      <c r="P290">
        <v>130355</v>
      </c>
      <c r="Q290">
        <v>14809</v>
      </c>
      <c r="R290">
        <v>5634</v>
      </c>
      <c r="S290">
        <v>14964</v>
      </c>
      <c r="T290">
        <v>37597</v>
      </c>
    </row>
    <row r="291" spans="1:20" x14ac:dyDescent="0.25">
      <c r="A291" t="s">
        <v>122</v>
      </c>
      <c r="B291" t="s">
        <v>122</v>
      </c>
      <c r="C291">
        <v>202406</v>
      </c>
      <c r="D291" s="47" t="str">
        <f>MID(C291,1,4)</f>
        <v>2024</v>
      </c>
      <c r="E291" t="str">
        <f>IF(Portfolio!$M$1=1,CONCATENATE(A291,C291),CONCATENATE(B291,C291))</f>
        <v>SOLARIA202406</v>
      </c>
      <c r="F291">
        <v>1343</v>
      </c>
      <c r="G291">
        <v>1</v>
      </c>
      <c r="H291">
        <v>0</v>
      </c>
      <c r="I291">
        <v>0</v>
      </c>
      <c r="J291">
        <v>0</v>
      </c>
      <c r="K291">
        <v>239570100</v>
      </c>
      <c r="L291">
        <v>214000</v>
      </c>
      <c r="M291">
        <v>0</v>
      </c>
      <c r="N291">
        <v>0</v>
      </c>
      <c r="O291">
        <v>0</v>
      </c>
      <c r="P291">
        <v>359355</v>
      </c>
      <c r="Q291">
        <v>2140</v>
      </c>
      <c r="R291">
        <v>0</v>
      </c>
      <c r="S291">
        <v>0</v>
      </c>
      <c r="T291">
        <v>0</v>
      </c>
    </row>
    <row r="292" spans="1:20" x14ac:dyDescent="0.25">
      <c r="A292" t="s">
        <v>124</v>
      </c>
      <c r="B292" t="s">
        <v>124</v>
      </c>
      <c r="C292">
        <v>202406</v>
      </c>
      <c r="D292" s="47" t="str">
        <f>MID(C292,1,4)</f>
        <v>2024</v>
      </c>
      <c r="E292" t="str">
        <f>IF(Portfolio!$M$1=1,CONCATENATE(A292,C292),CONCATENATE(B292,C292))</f>
        <v>SOUR SALLY202406</v>
      </c>
      <c r="F292">
        <v>58</v>
      </c>
      <c r="G292">
        <v>6</v>
      </c>
      <c r="H292">
        <v>0</v>
      </c>
      <c r="I292">
        <v>0</v>
      </c>
      <c r="J292">
        <v>0</v>
      </c>
      <c r="K292">
        <v>4124300</v>
      </c>
      <c r="L292">
        <v>561000</v>
      </c>
      <c r="M292">
        <v>0</v>
      </c>
      <c r="N292">
        <v>0</v>
      </c>
      <c r="O292">
        <v>0</v>
      </c>
      <c r="P292">
        <v>6186</v>
      </c>
      <c r="Q292">
        <v>5610</v>
      </c>
      <c r="R292">
        <v>0</v>
      </c>
      <c r="S292">
        <v>0</v>
      </c>
      <c r="T292">
        <v>0</v>
      </c>
    </row>
    <row r="293" spans="1:20" x14ac:dyDescent="0.25">
      <c r="A293" t="s">
        <v>126</v>
      </c>
      <c r="B293" t="s">
        <v>220</v>
      </c>
      <c r="C293">
        <v>202406</v>
      </c>
      <c r="D293" s="47" t="str">
        <f>MID(C293,1,4)</f>
        <v>2024</v>
      </c>
      <c r="E293" t="str">
        <f>IF(Portfolio!$M$1=1,CONCATENATE(A293,C293),CONCATENATE(B293,C293))</f>
        <v>STEVEN GROUP202406</v>
      </c>
      <c r="F293">
        <v>0</v>
      </c>
      <c r="G293">
        <v>0</v>
      </c>
      <c r="H293">
        <v>0</v>
      </c>
      <c r="I293">
        <v>0</v>
      </c>
      <c r="J293">
        <v>4</v>
      </c>
      <c r="K293">
        <v>0</v>
      </c>
      <c r="L293">
        <v>0</v>
      </c>
      <c r="M293">
        <v>0</v>
      </c>
      <c r="N293">
        <v>0</v>
      </c>
      <c r="O293">
        <v>335500</v>
      </c>
      <c r="P293">
        <v>0</v>
      </c>
      <c r="Q293">
        <v>0</v>
      </c>
      <c r="R293">
        <v>0</v>
      </c>
      <c r="S293">
        <v>0</v>
      </c>
      <c r="T293">
        <v>1007</v>
      </c>
    </row>
    <row r="294" spans="1:20" x14ac:dyDescent="0.25">
      <c r="A294" t="s">
        <v>126</v>
      </c>
      <c r="B294" t="s">
        <v>221</v>
      </c>
      <c r="C294">
        <v>202406</v>
      </c>
      <c r="D294" s="47" t="str">
        <f>MID(C294,1,4)</f>
        <v>2024</v>
      </c>
      <c r="E294" t="str">
        <f>IF(Portfolio!$M$1=1,CONCATENATE(A294,C294),CONCATENATE(B294,C294))</f>
        <v>STEVEN GROUP202406</v>
      </c>
      <c r="F294">
        <v>0</v>
      </c>
      <c r="G294">
        <v>0</v>
      </c>
      <c r="H294">
        <v>0</v>
      </c>
      <c r="I294">
        <v>5</v>
      </c>
      <c r="J294">
        <v>1566</v>
      </c>
      <c r="K294">
        <v>0</v>
      </c>
      <c r="L294">
        <v>0</v>
      </c>
      <c r="M294">
        <v>0</v>
      </c>
      <c r="N294">
        <v>243000</v>
      </c>
      <c r="O294">
        <v>61887024</v>
      </c>
      <c r="P294">
        <v>0</v>
      </c>
      <c r="Q294">
        <v>0</v>
      </c>
      <c r="R294">
        <v>0</v>
      </c>
      <c r="S294">
        <v>729</v>
      </c>
      <c r="T294">
        <v>185661</v>
      </c>
    </row>
    <row r="295" spans="1:20" x14ac:dyDescent="0.25">
      <c r="A295" t="s">
        <v>126</v>
      </c>
      <c r="B295" t="s">
        <v>224</v>
      </c>
      <c r="C295">
        <v>202406</v>
      </c>
      <c r="D295" s="47" t="str">
        <f>MID(C295,1,4)</f>
        <v>2024</v>
      </c>
      <c r="E295" t="str">
        <f>IF(Portfolio!$M$1=1,CONCATENATE(A295,C295),CONCATENATE(B295,C295))</f>
        <v>STEVEN GROUP202406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250000</v>
      </c>
      <c r="M295">
        <v>0</v>
      </c>
      <c r="N295">
        <v>0</v>
      </c>
      <c r="O295">
        <v>0</v>
      </c>
      <c r="P295">
        <v>0</v>
      </c>
      <c r="Q295">
        <v>2500</v>
      </c>
      <c r="R295">
        <v>0</v>
      </c>
      <c r="S295">
        <v>0</v>
      </c>
      <c r="T295">
        <v>0</v>
      </c>
    </row>
    <row r="296" spans="1:20" x14ac:dyDescent="0.25">
      <c r="A296" t="s">
        <v>134</v>
      </c>
      <c r="B296" t="s">
        <v>134</v>
      </c>
      <c r="C296">
        <v>202406</v>
      </c>
      <c r="D296" s="47" t="str">
        <f>MID(C296,1,4)</f>
        <v>2024</v>
      </c>
      <c r="E296" t="str">
        <f>IF(Portfolio!$M$1=1,CONCATENATE(A296,C296),CONCATENATE(B296,C296))</f>
        <v>TAMANI202406</v>
      </c>
      <c r="F296">
        <v>0</v>
      </c>
      <c r="G296">
        <v>0</v>
      </c>
      <c r="H296">
        <v>0</v>
      </c>
      <c r="I296">
        <v>1</v>
      </c>
      <c r="J296">
        <v>3</v>
      </c>
      <c r="K296">
        <v>0</v>
      </c>
      <c r="L296">
        <v>0</v>
      </c>
      <c r="M296">
        <v>0</v>
      </c>
      <c r="N296">
        <v>30000</v>
      </c>
      <c r="O296">
        <v>90000</v>
      </c>
      <c r="P296">
        <v>0</v>
      </c>
      <c r="Q296">
        <v>0</v>
      </c>
      <c r="R296">
        <v>0</v>
      </c>
      <c r="S296">
        <v>90</v>
      </c>
      <c r="T296">
        <v>270</v>
      </c>
    </row>
    <row r="297" spans="1:20" x14ac:dyDescent="0.25">
      <c r="A297" t="s">
        <v>67</v>
      </c>
      <c r="B297" t="s">
        <v>68</v>
      </c>
      <c r="C297">
        <v>202407</v>
      </c>
      <c r="D297" s="47" t="str">
        <f>MID(C297,1,4)</f>
        <v>2024</v>
      </c>
      <c r="E297" t="str">
        <f>IF(Portfolio!$M$1=1,CONCATENATE(A297,C297),CONCATENATE(B297,C297))</f>
        <v>ALFA GROUP202407</v>
      </c>
      <c r="F297">
        <v>21769</v>
      </c>
      <c r="G297">
        <v>77457</v>
      </c>
      <c r="H297">
        <v>16358</v>
      </c>
      <c r="I297">
        <v>3</v>
      </c>
      <c r="J297">
        <v>44</v>
      </c>
      <c r="K297">
        <v>2202188747</v>
      </c>
      <c r="L297">
        <v>8404244804</v>
      </c>
      <c r="M297">
        <v>2547262999</v>
      </c>
      <c r="N297">
        <v>18000</v>
      </c>
      <c r="O297">
        <v>375000</v>
      </c>
      <c r="P297">
        <v>3303280</v>
      </c>
      <c r="Q297">
        <v>74109514</v>
      </c>
      <c r="R297">
        <v>45814031</v>
      </c>
      <c r="S297">
        <v>54</v>
      </c>
      <c r="T297">
        <v>1125</v>
      </c>
    </row>
    <row r="298" spans="1:20" x14ac:dyDescent="0.25">
      <c r="A298" t="s">
        <v>67</v>
      </c>
      <c r="B298" t="s">
        <v>69</v>
      </c>
      <c r="C298">
        <v>202407</v>
      </c>
      <c r="D298" s="47" t="str">
        <f>MID(C298,1,4)</f>
        <v>2024</v>
      </c>
      <c r="E298" t="str">
        <f>IF(Portfolio!$M$1=1,CONCATENATE(A298,C298),CONCATENATE(B298,C298))</f>
        <v>ALFA GROUP202407</v>
      </c>
      <c r="F298">
        <v>19</v>
      </c>
      <c r="G298">
        <v>71</v>
      </c>
      <c r="H298">
        <v>24</v>
      </c>
      <c r="I298">
        <v>0</v>
      </c>
      <c r="J298">
        <v>0</v>
      </c>
      <c r="K298">
        <v>2062071</v>
      </c>
      <c r="L298">
        <v>12580385</v>
      </c>
      <c r="M298">
        <v>6309629</v>
      </c>
      <c r="N298">
        <v>0</v>
      </c>
      <c r="O298">
        <v>0</v>
      </c>
      <c r="P298">
        <v>3093</v>
      </c>
      <c r="Q298">
        <v>103282</v>
      </c>
      <c r="R298">
        <v>113573</v>
      </c>
      <c r="S298">
        <v>0</v>
      </c>
      <c r="T298">
        <v>0</v>
      </c>
    </row>
    <row r="299" spans="1:20" x14ac:dyDescent="0.25">
      <c r="A299" t="s">
        <v>67</v>
      </c>
      <c r="B299" t="s">
        <v>72</v>
      </c>
      <c r="C299">
        <v>202407</v>
      </c>
      <c r="D299" s="47" t="str">
        <f>MID(C299,1,4)</f>
        <v>2024</v>
      </c>
      <c r="E299" t="str">
        <f>IF(Portfolio!$M$1=1,CONCATENATE(A299,C299),CONCATENATE(B299,C299))</f>
        <v>ALFA GROUP202407</v>
      </c>
      <c r="F299">
        <v>393</v>
      </c>
      <c r="G299">
        <v>1449</v>
      </c>
      <c r="H299">
        <v>168</v>
      </c>
      <c r="I299">
        <v>0</v>
      </c>
      <c r="J299">
        <v>0</v>
      </c>
      <c r="K299">
        <v>59961539</v>
      </c>
      <c r="L299">
        <v>225597253</v>
      </c>
      <c r="M299">
        <v>34795306</v>
      </c>
      <c r="N299">
        <v>0</v>
      </c>
      <c r="O299">
        <v>0</v>
      </c>
      <c r="P299">
        <v>89942</v>
      </c>
      <c r="Q299">
        <v>2161644</v>
      </c>
      <c r="R299">
        <v>622115</v>
      </c>
      <c r="S299">
        <v>0</v>
      </c>
      <c r="T299">
        <v>0</v>
      </c>
    </row>
    <row r="300" spans="1:20" x14ac:dyDescent="0.25">
      <c r="A300" t="s">
        <v>70</v>
      </c>
      <c r="B300" t="s">
        <v>70</v>
      </c>
      <c r="C300">
        <v>202407</v>
      </c>
      <c r="D300" s="47" t="str">
        <f>MID(C300,1,4)</f>
        <v>2024</v>
      </c>
      <c r="E300" t="str">
        <f>IF(Portfolio!$M$1=1,CONCATENATE(A300,C300),CONCATENATE(B300,C300))</f>
        <v>ANCOL202407</v>
      </c>
      <c r="F300">
        <v>3</v>
      </c>
      <c r="G300">
        <v>2</v>
      </c>
      <c r="H300">
        <v>0</v>
      </c>
      <c r="I300">
        <v>0</v>
      </c>
      <c r="J300">
        <v>0</v>
      </c>
      <c r="K300">
        <v>179700</v>
      </c>
      <c r="L300">
        <v>4482400</v>
      </c>
      <c r="M300">
        <v>0</v>
      </c>
      <c r="N300">
        <v>0</v>
      </c>
      <c r="O300">
        <v>0</v>
      </c>
      <c r="P300">
        <v>270</v>
      </c>
      <c r="Q300">
        <v>44824</v>
      </c>
      <c r="R300">
        <v>0</v>
      </c>
      <c r="S300">
        <v>0</v>
      </c>
      <c r="T300">
        <v>0</v>
      </c>
    </row>
    <row r="301" spans="1:20" x14ac:dyDescent="0.25">
      <c r="A301" t="s">
        <v>73</v>
      </c>
      <c r="B301" t="s">
        <v>73</v>
      </c>
      <c r="C301">
        <v>202407</v>
      </c>
      <c r="D301" s="47" t="str">
        <f>MID(C301,1,4)</f>
        <v>2024</v>
      </c>
      <c r="E301" t="str">
        <f>IF(Portfolio!$M$1=1,CONCATENATE(A301,C301),CONCATENATE(B301,C301))</f>
        <v>BANBAN TEA202407</v>
      </c>
      <c r="F301">
        <v>86</v>
      </c>
      <c r="G301">
        <v>0</v>
      </c>
      <c r="H301">
        <v>0</v>
      </c>
      <c r="I301">
        <v>56</v>
      </c>
      <c r="J301">
        <v>9</v>
      </c>
      <c r="K301">
        <v>5720213</v>
      </c>
      <c r="L301">
        <v>0</v>
      </c>
      <c r="M301">
        <v>0</v>
      </c>
      <c r="N301">
        <v>3351997</v>
      </c>
      <c r="O301">
        <v>50680</v>
      </c>
      <c r="P301">
        <v>8580</v>
      </c>
      <c r="Q301">
        <v>0</v>
      </c>
      <c r="R301">
        <v>0</v>
      </c>
      <c r="S301">
        <v>23463</v>
      </c>
      <c r="T301">
        <v>354</v>
      </c>
    </row>
    <row r="302" spans="1:20" x14ac:dyDescent="0.25">
      <c r="A302" t="s">
        <v>75</v>
      </c>
      <c r="B302" t="s">
        <v>77</v>
      </c>
      <c r="C302">
        <v>202407</v>
      </c>
      <c r="D302" s="47" t="str">
        <f>MID(C302,1,4)</f>
        <v>2024</v>
      </c>
      <c r="E302" t="str">
        <f>IF(Portfolio!$M$1=1,CONCATENATE(A302,C302),CONCATENATE(B302,C302))</f>
        <v>CHAMP RESTO202407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12000</v>
      </c>
      <c r="M302">
        <v>0</v>
      </c>
      <c r="N302">
        <v>0</v>
      </c>
      <c r="O302">
        <v>0</v>
      </c>
      <c r="P302">
        <v>0</v>
      </c>
      <c r="Q302">
        <v>120</v>
      </c>
      <c r="R302">
        <v>0</v>
      </c>
      <c r="S302">
        <v>0</v>
      </c>
      <c r="T302">
        <v>0</v>
      </c>
    </row>
    <row r="303" spans="1:20" x14ac:dyDescent="0.25">
      <c r="A303" t="s">
        <v>75</v>
      </c>
      <c r="B303" t="s">
        <v>79</v>
      </c>
      <c r="C303">
        <v>202407</v>
      </c>
      <c r="D303" s="47" t="str">
        <f>MID(C303,1,4)</f>
        <v>2024</v>
      </c>
      <c r="E303" t="str">
        <f>IF(Portfolio!$M$1=1,CONCATENATE(A303,C303),CONCATENATE(B303,C303))</f>
        <v>CHAMP RESTO202407</v>
      </c>
      <c r="F303">
        <v>1</v>
      </c>
      <c r="G303">
        <v>1</v>
      </c>
      <c r="H303">
        <v>0</v>
      </c>
      <c r="I303">
        <v>0</v>
      </c>
      <c r="J303">
        <v>0</v>
      </c>
      <c r="K303">
        <v>64460</v>
      </c>
      <c r="L303">
        <v>150414</v>
      </c>
      <c r="M303">
        <v>0</v>
      </c>
      <c r="N303">
        <v>0</v>
      </c>
      <c r="O303">
        <v>0</v>
      </c>
      <c r="P303">
        <v>97</v>
      </c>
      <c r="Q303">
        <v>1504</v>
      </c>
      <c r="R303">
        <v>0</v>
      </c>
      <c r="S303">
        <v>0</v>
      </c>
      <c r="T303">
        <v>0</v>
      </c>
    </row>
    <row r="304" spans="1:20" x14ac:dyDescent="0.25">
      <c r="A304" t="s">
        <v>75</v>
      </c>
      <c r="B304" t="s">
        <v>83</v>
      </c>
      <c r="C304">
        <v>202407</v>
      </c>
      <c r="D304" s="47" t="str">
        <f>MID(C304,1,4)</f>
        <v>2024</v>
      </c>
      <c r="E304" t="str">
        <f>IF(Portfolio!$M$1=1,CONCATENATE(A304,C304),CONCATENATE(B304,C304))</f>
        <v>CHAMP RESTO202407</v>
      </c>
      <c r="F304">
        <v>1</v>
      </c>
      <c r="G304">
        <v>10</v>
      </c>
      <c r="H304">
        <v>3</v>
      </c>
      <c r="I304">
        <v>0</v>
      </c>
      <c r="J304">
        <v>6</v>
      </c>
      <c r="K304">
        <v>105000</v>
      </c>
      <c r="L304">
        <v>3090500</v>
      </c>
      <c r="M304">
        <v>1353000</v>
      </c>
      <c r="N304">
        <v>0</v>
      </c>
      <c r="O304">
        <v>2053000</v>
      </c>
      <c r="P304">
        <v>158</v>
      </c>
      <c r="Q304">
        <v>30905</v>
      </c>
      <c r="R304">
        <v>25242</v>
      </c>
      <c r="S304">
        <v>0</v>
      </c>
      <c r="T304">
        <v>14371</v>
      </c>
    </row>
    <row r="305" spans="1:20" x14ac:dyDescent="0.25">
      <c r="A305" t="s">
        <v>75</v>
      </c>
      <c r="B305" t="s">
        <v>85</v>
      </c>
      <c r="C305">
        <v>202407</v>
      </c>
      <c r="D305" s="47" t="str">
        <f>MID(C305,1,4)</f>
        <v>2024</v>
      </c>
      <c r="E305" t="str">
        <f>IF(Portfolio!$M$1=1,CONCATENATE(A305,C305),CONCATENATE(B305,C305))</f>
        <v>CHAMP RESTO202407</v>
      </c>
      <c r="F305">
        <v>47</v>
      </c>
      <c r="G305">
        <v>51</v>
      </c>
      <c r="H305">
        <v>0</v>
      </c>
      <c r="I305">
        <v>0</v>
      </c>
      <c r="J305">
        <v>0</v>
      </c>
      <c r="K305">
        <v>9380896</v>
      </c>
      <c r="L305">
        <v>8952080</v>
      </c>
      <c r="M305">
        <v>0</v>
      </c>
      <c r="N305">
        <v>0</v>
      </c>
      <c r="O305">
        <v>0</v>
      </c>
      <c r="P305">
        <v>14071</v>
      </c>
      <c r="Q305">
        <v>89521</v>
      </c>
      <c r="R305">
        <v>0</v>
      </c>
      <c r="S305">
        <v>0</v>
      </c>
      <c r="T305">
        <v>0</v>
      </c>
    </row>
    <row r="306" spans="1:20" x14ac:dyDescent="0.25">
      <c r="A306" t="s">
        <v>75</v>
      </c>
      <c r="B306" t="s">
        <v>87</v>
      </c>
      <c r="C306">
        <v>202407</v>
      </c>
      <c r="D306" s="47" t="str">
        <f>MID(C306,1,4)</f>
        <v>2024</v>
      </c>
      <c r="E306" t="str">
        <f>IF(Portfolio!$M$1=1,CONCATENATE(A306,C306),CONCATENATE(B306,C306))</f>
        <v>CHAMP RESTO202407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877800</v>
      </c>
      <c r="M306">
        <v>0</v>
      </c>
      <c r="N306">
        <v>0</v>
      </c>
      <c r="O306">
        <v>0</v>
      </c>
      <c r="P306">
        <v>0</v>
      </c>
      <c r="Q306">
        <v>8778</v>
      </c>
      <c r="R306">
        <v>0</v>
      </c>
      <c r="S306">
        <v>0</v>
      </c>
      <c r="T306">
        <v>0</v>
      </c>
    </row>
    <row r="307" spans="1:20" x14ac:dyDescent="0.25">
      <c r="A307" t="s">
        <v>75</v>
      </c>
      <c r="B307" t="s">
        <v>91</v>
      </c>
      <c r="C307">
        <v>202407</v>
      </c>
      <c r="D307" s="47" t="str">
        <f>MID(C307,1,4)</f>
        <v>2024</v>
      </c>
      <c r="E307" t="str">
        <f>IF(Portfolio!$M$1=1,CONCATENATE(A307,C307),CONCATENATE(B307,C307))</f>
        <v>CHAMP RESTO202407</v>
      </c>
      <c r="F307">
        <v>12</v>
      </c>
      <c r="G307">
        <v>20</v>
      </c>
      <c r="H307">
        <v>0</v>
      </c>
      <c r="I307">
        <v>0</v>
      </c>
      <c r="J307">
        <v>0</v>
      </c>
      <c r="K307">
        <v>2469251</v>
      </c>
      <c r="L307">
        <v>4796959</v>
      </c>
      <c r="M307">
        <v>0</v>
      </c>
      <c r="N307">
        <v>0</v>
      </c>
      <c r="O307">
        <v>0</v>
      </c>
      <c r="P307">
        <v>3704</v>
      </c>
      <c r="Q307">
        <v>47970</v>
      </c>
      <c r="R307">
        <v>0</v>
      </c>
      <c r="S307">
        <v>0</v>
      </c>
      <c r="T307">
        <v>0</v>
      </c>
    </row>
    <row r="308" spans="1:20" x14ac:dyDescent="0.25">
      <c r="A308" t="s">
        <v>75</v>
      </c>
      <c r="B308" t="s">
        <v>93</v>
      </c>
      <c r="C308">
        <v>202407</v>
      </c>
      <c r="D308" s="47" t="str">
        <f>MID(C308,1,4)</f>
        <v>2024</v>
      </c>
      <c r="E308" t="str">
        <f>IF(Portfolio!$M$1=1,CONCATENATE(A308,C308),CONCATENATE(B308,C308))</f>
        <v>CHAMP RESTO202407</v>
      </c>
      <c r="F308">
        <v>2</v>
      </c>
      <c r="G308">
        <v>7</v>
      </c>
      <c r="H308">
        <v>0</v>
      </c>
      <c r="I308">
        <v>0</v>
      </c>
      <c r="J308">
        <v>0</v>
      </c>
      <c r="K308">
        <v>576000</v>
      </c>
      <c r="L308">
        <v>6691000</v>
      </c>
      <c r="M308">
        <v>0</v>
      </c>
      <c r="N308">
        <v>0</v>
      </c>
      <c r="O308">
        <v>0</v>
      </c>
      <c r="P308">
        <v>864</v>
      </c>
      <c r="Q308">
        <v>66910</v>
      </c>
      <c r="R308">
        <v>0</v>
      </c>
      <c r="S308">
        <v>0</v>
      </c>
      <c r="T308">
        <v>0</v>
      </c>
    </row>
    <row r="309" spans="1:20" x14ac:dyDescent="0.25">
      <c r="A309" t="s">
        <v>75</v>
      </c>
      <c r="B309" t="s">
        <v>95</v>
      </c>
      <c r="C309">
        <v>202407</v>
      </c>
      <c r="D309" s="47" t="str">
        <f>MID(C309,1,4)</f>
        <v>2024</v>
      </c>
      <c r="E309" t="str">
        <f>IF(Portfolio!$M$1=1,CONCATENATE(A309,C309),CONCATENATE(B309,C309))</f>
        <v>CHAMP RESTO202407</v>
      </c>
      <c r="F309">
        <v>16</v>
      </c>
      <c r="G309">
        <v>8</v>
      </c>
      <c r="H309">
        <v>0</v>
      </c>
      <c r="I309">
        <v>0</v>
      </c>
      <c r="J309">
        <v>0</v>
      </c>
      <c r="K309">
        <v>4891429</v>
      </c>
      <c r="L309">
        <v>2928017</v>
      </c>
      <c r="M309">
        <v>0</v>
      </c>
      <c r="N309">
        <v>0</v>
      </c>
      <c r="O309">
        <v>0</v>
      </c>
      <c r="P309">
        <v>7337</v>
      </c>
      <c r="Q309">
        <v>29280</v>
      </c>
      <c r="R309">
        <v>0</v>
      </c>
      <c r="S309">
        <v>0</v>
      </c>
      <c r="T309">
        <v>0</v>
      </c>
    </row>
    <row r="310" spans="1:20" x14ac:dyDescent="0.25">
      <c r="A310" t="s">
        <v>84</v>
      </c>
      <c r="B310" t="s">
        <v>84</v>
      </c>
      <c r="C310">
        <v>202407</v>
      </c>
      <c r="D310" s="47" t="str">
        <f>MID(C310,1,4)</f>
        <v>2024</v>
      </c>
      <c r="E310" t="str">
        <f>IF(Portfolio!$M$1=1,CONCATENATE(A310,C310),CONCATENATE(B310,C310))</f>
        <v>ES TELLER 77202407</v>
      </c>
      <c r="F310">
        <v>2</v>
      </c>
      <c r="G310">
        <v>8</v>
      </c>
      <c r="H310">
        <v>0</v>
      </c>
      <c r="I310">
        <v>0</v>
      </c>
      <c r="J310">
        <v>0</v>
      </c>
      <c r="K310">
        <v>243000</v>
      </c>
      <c r="L310">
        <v>981000</v>
      </c>
      <c r="M310">
        <v>0</v>
      </c>
      <c r="N310">
        <v>0</v>
      </c>
      <c r="O310">
        <v>0</v>
      </c>
      <c r="P310">
        <v>364</v>
      </c>
      <c r="Q310">
        <v>9810</v>
      </c>
      <c r="R310">
        <v>0</v>
      </c>
      <c r="S310">
        <v>0</v>
      </c>
      <c r="T310">
        <v>0</v>
      </c>
    </row>
    <row r="311" spans="1:20" x14ac:dyDescent="0.25">
      <c r="A311" t="s">
        <v>86</v>
      </c>
      <c r="B311" t="s">
        <v>86</v>
      </c>
      <c r="C311">
        <v>202407</v>
      </c>
      <c r="D311" s="47" t="str">
        <f>MID(C311,1,4)</f>
        <v>2024</v>
      </c>
      <c r="E311" t="str">
        <f>IF(Portfolio!$M$1=1,CONCATENATE(A311,C311),CONCATENATE(B311,C311))</f>
        <v>GRAMEDIA202407</v>
      </c>
      <c r="F311">
        <v>87</v>
      </c>
      <c r="G311">
        <v>2200</v>
      </c>
      <c r="H311">
        <v>388</v>
      </c>
      <c r="I311">
        <v>76</v>
      </c>
      <c r="J311">
        <v>5061</v>
      </c>
      <c r="K311">
        <v>19227280</v>
      </c>
      <c r="L311">
        <v>562588375</v>
      </c>
      <c r="M311">
        <v>150278399</v>
      </c>
      <c r="N311">
        <v>11930360</v>
      </c>
      <c r="O311">
        <v>886053101</v>
      </c>
      <c r="P311">
        <v>28841</v>
      </c>
      <c r="Q311">
        <v>4952938</v>
      </c>
      <c r="R311">
        <v>2705011</v>
      </c>
      <c r="S311">
        <v>83513</v>
      </c>
      <c r="T311">
        <v>6202363</v>
      </c>
    </row>
    <row r="312" spans="1:20" x14ac:dyDescent="0.25">
      <c r="A312" t="s">
        <v>88</v>
      </c>
      <c r="B312" t="s">
        <v>88</v>
      </c>
      <c r="C312">
        <v>202407</v>
      </c>
      <c r="D312" s="47" t="str">
        <f>MID(C312,1,4)</f>
        <v>2024</v>
      </c>
      <c r="E312" t="str">
        <f>IF(Portfolio!$M$1=1,CONCATENATE(A312,C312),CONCATENATE(B312,C312))</f>
        <v>HAUS202407</v>
      </c>
      <c r="F312">
        <v>0</v>
      </c>
      <c r="G312">
        <v>3</v>
      </c>
      <c r="H312">
        <v>0</v>
      </c>
      <c r="I312">
        <v>2</v>
      </c>
      <c r="J312">
        <v>476</v>
      </c>
      <c r="K312">
        <v>0</v>
      </c>
      <c r="L312">
        <v>126999</v>
      </c>
      <c r="M312">
        <v>0</v>
      </c>
      <c r="N312">
        <v>157000</v>
      </c>
      <c r="O312">
        <v>26327600</v>
      </c>
      <c r="P312">
        <v>0</v>
      </c>
      <c r="Q312">
        <v>1270</v>
      </c>
      <c r="R312">
        <v>0</v>
      </c>
      <c r="S312">
        <v>471</v>
      </c>
      <c r="T312">
        <v>78987</v>
      </c>
    </row>
    <row r="313" spans="1:20" x14ac:dyDescent="0.25">
      <c r="A313" t="s">
        <v>90</v>
      </c>
      <c r="B313" t="s">
        <v>90</v>
      </c>
      <c r="C313">
        <v>202407</v>
      </c>
      <c r="D313" s="47" t="str">
        <f>MID(C313,1,4)</f>
        <v>2024</v>
      </c>
      <c r="E313" t="str">
        <f>IF(Portfolio!$M$1=1,CONCATENATE(A313,C313),CONCATENATE(B313,C313))</f>
        <v>HEAVENLY WANG202407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164010</v>
      </c>
      <c r="M313">
        <v>0</v>
      </c>
      <c r="N313">
        <v>0</v>
      </c>
      <c r="O313">
        <v>0</v>
      </c>
      <c r="P313">
        <v>0</v>
      </c>
      <c r="Q313">
        <v>1640</v>
      </c>
      <c r="R313">
        <v>0</v>
      </c>
      <c r="S313">
        <v>0</v>
      </c>
      <c r="T313">
        <v>0</v>
      </c>
    </row>
    <row r="314" spans="1:20" x14ac:dyDescent="0.25">
      <c r="A314" t="s">
        <v>92</v>
      </c>
      <c r="B314" t="s">
        <v>108</v>
      </c>
      <c r="C314">
        <v>202407</v>
      </c>
      <c r="D314" s="47" t="str">
        <f>MID(C314,1,4)</f>
        <v>2024</v>
      </c>
      <c r="E314" t="str">
        <f>IF(Portfolio!$M$1=1,CONCATENATE(A314,C314),CONCATENATE(B314,C314))</f>
        <v>HERO GROUP202407</v>
      </c>
      <c r="F314">
        <v>54</v>
      </c>
      <c r="G314">
        <v>8</v>
      </c>
      <c r="H314">
        <v>3</v>
      </c>
      <c r="I314">
        <v>7</v>
      </c>
      <c r="J314">
        <v>56</v>
      </c>
      <c r="K314">
        <v>28180087</v>
      </c>
      <c r="L314">
        <v>3054973</v>
      </c>
      <c r="M314">
        <v>1720023</v>
      </c>
      <c r="N314">
        <v>123001</v>
      </c>
      <c r="O314">
        <v>1700000</v>
      </c>
      <c r="P314">
        <v>42270</v>
      </c>
      <c r="Q314">
        <v>27001</v>
      </c>
      <c r="R314">
        <v>34400</v>
      </c>
      <c r="S314">
        <v>369</v>
      </c>
      <c r="T314">
        <v>5100</v>
      </c>
    </row>
    <row r="315" spans="1:20" x14ac:dyDescent="0.25">
      <c r="A315" t="s">
        <v>96</v>
      </c>
      <c r="B315" t="s">
        <v>96</v>
      </c>
      <c r="C315">
        <v>202407</v>
      </c>
      <c r="D315" s="47" t="str">
        <f>MID(C315,1,4)</f>
        <v>2024</v>
      </c>
      <c r="E315" t="str">
        <f>IF(Portfolio!$M$1=1,CONCATENATE(A315,C315),CONCATENATE(B315,C315))</f>
        <v>HOKKAIDO BAKED CHEESE202407</v>
      </c>
      <c r="F315">
        <v>23</v>
      </c>
      <c r="G315">
        <v>288</v>
      </c>
      <c r="H315">
        <v>74</v>
      </c>
      <c r="I315">
        <v>34</v>
      </c>
      <c r="J315">
        <v>645</v>
      </c>
      <c r="K315">
        <v>2684000</v>
      </c>
      <c r="L315">
        <v>29182624</v>
      </c>
      <c r="M315">
        <v>7971322</v>
      </c>
      <c r="N315">
        <v>3480000</v>
      </c>
      <c r="O315">
        <v>50826561</v>
      </c>
      <c r="P315">
        <v>4026</v>
      </c>
      <c r="Q315">
        <v>276030</v>
      </c>
      <c r="R315">
        <v>143484</v>
      </c>
      <c r="S315">
        <v>24360</v>
      </c>
      <c r="T315">
        <v>349738</v>
      </c>
    </row>
    <row r="316" spans="1:20" x14ac:dyDescent="0.25">
      <c r="A316" t="s">
        <v>97</v>
      </c>
      <c r="B316" t="s">
        <v>97</v>
      </c>
      <c r="C316">
        <v>202407</v>
      </c>
      <c r="D316" s="47" t="str">
        <f>MID(C316,1,4)</f>
        <v>2024</v>
      </c>
      <c r="E316" t="str">
        <f>IF(Portfolio!$M$1=1,CONCATENATE(A316,C316),CONCATENATE(B316,C316))</f>
        <v>HOP HOP202407</v>
      </c>
      <c r="F316">
        <v>0</v>
      </c>
      <c r="G316">
        <v>0</v>
      </c>
      <c r="H316">
        <v>0</v>
      </c>
      <c r="I316">
        <v>5</v>
      </c>
      <c r="J316">
        <v>768</v>
      </c>
      <c r="K316">
        <v>0</v>
      </c>
      <c r="L316">
        <v>0</v>
      </c>
      <c r="M316">
        <v>0</v>
      </c>
      <c r="N316">
        <v>161000</v>
      </c>
      <c r="O316">
        <v>26576001</v>
      </c>
      <c r="P316">
        <v>0</v>
      </c>
      <c r="Q316">
        <v>0</v>
      </c>
      <c r="R316">
        <v>0</v>
      </c>
      <c r="S316">
        <v>1127</v>
      </c>
      <c r="T316">
        <v>159736</v>
      </c>
    </row>
    <row r="317" spans="1:20" x14ac:dyDescent="0.25">
      <c r="A317" t="s">
        <v>99</v>
      </c>
      <c r="B317" t="s">
        <v>99</v>
      </c>
      <c r="C317">
        <v>202407</v>
      </c>
      <c r="D317" s="47" t="str">
        <f>MID(C317,1,4)</f>
        <v>2024</v>
      </c>
      <c r="E317" t="str">
        <f>IF(Portfolio!$M$1=1,CONCATENATE(A317,C317),CONCATENATE(B317,C317))</f>
        <v>IKEA202407</v>
      </c>
      <c r="F317">
        <v>14</v>
      </c>
      <c r="G317">
        <v>0</v>
      </c>
      <c r="H317">
        <v>0</v>
      </c>
      <c r="I317">
        <v>0</v>
      </c>
      <c r="J317">
        <v>0</v>
      </c>
      <c r="K317">
        <v>4104200</v>
      </c>
      <c r="L317">
        <v>0</v>
      </c>
      <c r="M317">
        <v>0</v>
      </c>
      <c r="N317">
        <v>0</v>
      </c>
      <c r="O317">
        <v>0</v>
      </c>
      <c r="P317">
        <v>6156</v>
      </c>
      <c r="Q317">
        <v>0</v>
      </c>
      <c r="R317">
        <v>0</v>
      </c>
      <c r="S317">
        <v>0</v>
      </c>
      <c r="T317">
        <v>0</v>
      </c>
    </row>
    <row r="318" spans="1:20" x14ac:dyDescent="0.25">
      <c r="A318" t="s">
        <v>101</v>
      </c>
      <c r="B318" t="s">
        <v>101</v>
      </c>
      <c r="C318">
        <v>202407</v>
      </c>
      <c r="D318" s="47" t="str">
        <f>MID(C318,1,4)</f>
        <v>2024</v>
      </c>
      <c r="E318" t="str">
        <f>IF(Portfolio!$M$1=1,CONCATENATE(A318,C318),CONCATENATE(B318,C318))</f>
        <v>INDOMARET202407</v>
      </c>
      <c r="F318">
        <v>32854</v>
      </c>
      <c r="G318">
        <v>82738</v>
      </c>
      <c r="H318">
        <v>8535</v>
      </c>
      <c r="I318">
        <v>9</v>
      </c>
      <c r="J318">
        <v>1047</v>
      </c>
      <c r="K318">
        <v>3470853375</v>
      </c>
      <c r="L318">
        <v>7831054342</v>
      </c>
      <c r="M318">
        <v>1262666095</v>
      </c>
      <c r="N318">
        <v>489500</v>
      </c>
      <c r="O318">
        <v>41911293</v>
      </c>
      <c r="P318">
        <v>5206278</v>
      </c>
      <c r="Q318">
        <v>72076083</v>
      </c>
      <c r="R318">
        <v>21268906</v>
      </c>
      <c r="S318">
        <v>3426</v>
      </c>
      <c r="T318">
        <v>291590</v>
      </c>
    </row>
    <row r="319" spans="1:20" x14ac:dyDescent="0.25">
      <c r="A319" t="s">
        <v>101</v>
      </c>
      <c r="B319" t="s">
        <v>117</v>
      </c>
      <c r="C319">
        <v>202407</v>
      </c>
      <c r="D319" s="47" t="str">
        <f>MID(C319,1,4)</f>
        <v>2024</v>
      </c>
      <c r="E319" t="str">
        <f>IF(Portfolio!$M$1=1,CONCATENATE(A319,C319),CONCATENATE(B319,C319))</f>
        <v>INDOMARET202407</v>
      </c>
      <c r="F319">
        <v>138</v>
      </c>
      <c r="G319">
        <v>430</v>
      </c>
      <c r="H319">
        <v>39</v>
      </c>
      <c r="I319">
        <v>0</v>
      </c>
      <c r="J319">
        <v>0</v>
      </c>
      <c r="K319">
        <v>10268058</v>
      </c>
      <c r="L319">
        <v>35124900</v>
      </c>
      <c r="M319">
        <v>5376400</v>
      </c>
      <c r="N319">
        <v>0</v>
      </c>
      <c r="O319">
        <v>0</v>
      </c>
      <c r="P319">
        <v>15402</v>
      </c>
      <c r="Q319">
        <v>319258</v>
      </c>
      <c r="R319">
        <v>88711</v>
      </c>
      <c r="S319">
        <v>0</v>
      </c>
      <c r="T319">
        <v>0</v>
      </c>
    </row>
    <row r="320" spans="1:20" x14ac:dyDescent="0.25">
      <c r="A320" t="s">
        <v>102</v>
      </c>
      <c r="B320" t="s">
        <v>121</v>
      </c>
      <c r="C320">
        <v>202407</v>
      </c>
      <c r="D320" s="47" t="str">
        <f>MID(C320,1,4)</f>
        <v>2024</v>
      </c>
      <c r="E320" t="str">
        <f>IF(Portfolio!$M$1=1,CONCATENATE(A320,C320),CONCATENATE(B320,C320))</f>
        <v>KAWAN LAMA202407</v>
      </c>
      <c r="F320">
        <v>5</v>
      </c>
      <c r="G320">
        <v>0</v>
      </c>
      <c r="H320">
        <v>0</v>
      </c>
      <c r="I320">
        <v>0</v>
      </c>
      <c r="J320">
        <v>0</v>
      </c>
      <c r="K320">
        <v>636400</v>
      </c>
      <c r="L320">
        <v>0</v>
      </c>
      <c r="M320">
        <v>0</v>
      </c>
      <c r="N320">
        <v>0</v>
      </c>
      <c r="O320">
        <v>0</v>
      </c>
      <c r="P320">
        <v>955</v>
      </c>
      <c r="Q320">
        <v>0</v>
      </c>
      <c r="R320">
        <v>0</v>
      </c>
      <c r="S320">
        <v>0</v>
      </c>
      <c r="T320">
        <v>0</v>
      </c>
    </row>
    <row r="321" spans="1:20" x14ac:dyDescent="0.25">
      <c r="A321" t="s">
        <v>102</v>
      </c>
      <c r="B321" t="s">
        <v>123</v>
      </c>
      <c r="C321">
        <v>202407</v>
      </c>
      <c r="D321" s="47" t="str">
        <f>MID(C321,1,4)</f>
        <v>2024</v>
      </c>
      <c r="E321" t="str">
        <f>IF(Portfolio!$M$1=1,CONCATENATE(A321,C321),CONCATENATE(B321,C321))</f>
        <v>KAWAN LAMA202407</v>
      </c>
      <c r="F321">
        <v>1735</v>
      </c>
      <c r="G321">
        <v>27</v>
      </c>
      <c r="H321">
        <v>24</v>
      </c>
      <c r="I321">
        <v>4</v>
      </c>
      <c r="J321">
        <v>2</v>
      </c>
      <c r="K321">
        <v>1680463894</v>
      </c>
      <c r="L321">
        <v>21906514</v>
      </c>
      <c r="M321">
        <v>13944500</v>
      </c>
      <c r="N321">
        <v>969500</v>
      </c>
      <c r="O321">
        <v>200000</v>
      </c>
      <c r="P321">
        <v>2520693</v>
      </c>
      <c r="Q321">
        <v>162235</v>
      </c>
      <c r="R321">
        <v>278890</v>
      </c>
      <c r="S321">
        <v>6786</v>
      </c>
      <c r="T321">
        <v>1400</v>
      </c>
    </row>
    <row r="322" spans="1:20" x14ac:dyDescent="0.25">
      <c r="A322" t="s">
        <v>102</v>
      </c>
      <c r="B322" t="s">
        <v>125</v>
      </c>
      <c r="C322">
        <v>202407</v>
      </c>
      <c r="D322" s="47" t="str">
        <f>MID(C322,1,4)</f>
        <v>2024</v>
      </c>
      <c r="E322" t="str">
        <f>IF(Portfolio!$M$1=1,CONCATENATE(A322,C322),CONCATENATE(B322,C322))</f>
        <v>KAWAN LAMA202407</v>
      </c>
      <c r="F322">
        <v>315</v>
      </c>
      <c r="G322">
        <v>10</v>
      </c>
      <c r="H322">
        <v>1</v>
      </c>
      <c r="I322">
        <v>137</v>
      </c>
      <c r="J322">
        <v>0</v>
      </c>
      <c r="K322">
        <v>17162000</v>
      </c>
      <c r="L322">
        <v>854000</v>
      </c>
      <c r="M322">
        <v>24000</v>
      </c>
      <c r="N322">
        <v>1167603</v>
      </c>
      <c r="O322">
        <v>0</v>
      </c>
      <c r="P322">
        <v>25743</v>
      </c>
      <c r="Q322">
        <v>6410</v>
      </c>
      <c r="R322">
        <v>480</v>
      </c>
      <c r="S322">
        <v>8173</v>
      </c>
      <c r="T322">
        <v>0</v>
      </c>
    </row>
    <row r="323" spans="1:20" x14ac:dyDescent="0.25">
      <c r="A323" t="s">
        <v>102</v>
      </c>
      <c r="B323" t="s">
        <v>131</v>
      </c>
      <c r="C323">
        <v>202407</v>
      </c>
      <c r="D323" s="47" t="str">
        <f>MID(C323,1,4)</f>
        <v>2024</v>
      </c>
      <c r="E323" t="str">
        <f>IF(Portfolio!$M$1=1,CONCATENATE(A323,C323),CONCATENATE(B323,C323))</f>
        <v>KAWAN LAMA202407</v>
      </c>
      <c r="F323">
        <v>12</v>
      </c>
      <c r="G323">
        <v>0</v>
      </c>
      <c r="H323">
        <v>0</v>
      </c>
      <c r="I323">
        <v>0</v>
      </c>
      <c r="J323">
        <v>0</v>
      </c>
      <c r="K323">
        <v>715000</v>
      </c>
      <c r="L323">
        <v>0</v>
      </c>
      <c r="M323">
        <v>0</v>
      </c>
      <c r="N323">
        <v>0</v>
      </c>
      <c r="O323">
        <v>0</v>
      </c>
      <c r="P323">
        <v>1072</v>
      </c>
      <c r="Q323">
        <v>0</v>
      </c>
      <c r="R323">
        <v>0</v>
      </c>
      <c r="S323">
        <v>0</v>
      </c>
      <c r="T323">
        <v>0</v>
      </c>
    </row>
    <row r="324" spans="1:20" x14ac:dyDescent="0.25">
      <c r="A324" t="s">
        <v>102</v>
      </c>
      <c r="B324" t="s">
        <v>133</v>
      </c>
      <c r="C324">
        <v>202407</v>
      </c>
      <c r="D324" s="47" t="str">
        <f>MID(C324,1,4)</f>
        <v>2024</v>
      </c>
      <c r="E324" t="str">
        <f>IF(Portfolio!$M$1=1,CONCATENATE(A324,C324),CONCATENATE(B324,C324))</f>
        <v>KAWAN LAMA202407</v>
      </c>
      <c r="F324">
        <v>1</v>
      </c>
      <c r="G324">
        <v>0</v>
      </c>
      <c r="H324">
        <v>1</v>
      </c>
      <c r="I324">
        <v>0</v>
      </c>
      <c r="J324">
        <v>0</v>
      </c>
      <c r="K324">
        <v>235000</v>
      </c>
      <c r="L324">
        <v>0</v>
      </c>
      <c r="M324">
        <v>100000</v>
      </c>
      <c r="N324">
        <v>0</v>
      </c>
      <c r="O324">
        <v>0</v>
      </c>
      <c r="P324">
        <v>352</v>
      </c>
      <c r="Q324">
        <v>0</v>
      </c>
      <c r="R324">
        <v>2000</v>
      </c>
      <c r="S324">
        <v>0</v>
      </c>
      <c r="T324">
        <v>0</v>
      </c>
    </row>
    <row r="325" spans="1:20" x14ac:dyDescent="0.25">
      <c r="A325" t="s">
        <v>102</v>
      </c>
      <c r="B325" t="s">
        <v>135</v>
      </c>
      <c r="C325">
        <v>202407</v>
      </c>
      <c r="D325" s="47" t="str">
        <f>MID(C325,1,4)</f>
        <v>2024</v>
      </c>
      <c r="E325" t="str">
        <f>IF(Portfolio!$M$1=1,CONCATENATE(A325,C325),CONCATENATE(B325,C325))</f>
        <v>KAWAN LAMA202407</v>
      </c>
      <c r="F325">
        <v>542</v>
      </c>
      <c r="G325">
        <v>0</v>
      </c>
      <c r="H325">
        <v>0</v>
      </c>
      <c r="I325">
        <v>2</v>
      </c>
      <c r="J325">
        <v>1</v>
      </c>
      <c r="K325">
        <v>1552207001</v>
      </c>
      <c r="L325">
        <v>0</v>
      </c>
      <c r="M325">
        <v>0</v>
      </c>
      <c r="N325">
        <v>224101</v>
      </c>
      <c r="O325">
        <v>349000</v>
      </c>
      <c r="P325">
        <v>2328310</v>
      </c>
      <c r="Q325">
        <v>0</v>
      </c>
      <c r="R325">
        <v>0</v>
      </c>
      <c r="S325">
        <v>1569</v>
      </c>
      <c r="T325">
        <v>2443</v>
      </c>
    </row>
    <row r="326" spans="1:20" x14ac:dyDescent="0.25">
      <c r="A326" t="s">
        <v>102</v>
      </c>
      <c r="B326" t="s">
        <v>137</v>
      </c>
      <c r="C326">
        <v>202407</v>
      </c>
      <c r="D326" s="47" t="str">
        <f>MID(C326,1,4)</f>
        <v>2024</v>
      </c>
      <c r="E326" t="str">
        <f>IF(Portfolio!$M$1=1,CONCATENATE(A326,C326),CONCATENATE(B326,C326))</f>
        <v>KAWAN LAMA202407</v>
      </c>
      <c r="F326">
        <v>16</v>
      </c>
      <c r="G326">
        <v>0</v>
      </c>
      <c r="H326">
        <v>0</v>
      </c>
      <c r="I326">
        <v>0</v>
      </c>
      <c r="J326">
        <v>0</v>
      </c>
      <c r="K326">
        <v>52310422</v>
      </c>
      <c r="L326">
        <v>0</v>
      </c>
      <c r="M326">
        <v>0</v>
      </c>
      <c r="N326">
        <v>0</v>
      </c>
      <c r="O326">
        <v>0</v>
      </c>
      <c r="P326">
        <v>78466</v>
      </c>
      <c r="Q326">
        <v>0</v>
      </c>
      <c r="R326">
        <v>0</v>
      </c>
      <c r="S326">
        <v>0</v>
      </c>
      <c r="T326">
        <v>0</v>
      </c>
    </row>
    <row r="327" spans="1:20" x14ac:dyDescent="0.25">
      <c r="A327" t="s">
        <v>102</v>
      </c>
      <c r="B327" t="s">
        <v>142</v>
      </c>
      <c r="C327">
        <v>202407</v>
      </c>
      <c r="D327" s="47" t="str">
        <f>MID(C327,1,4)</f>
        <v>2024</v>
      </c>
      <c r="E327" t="str">
        <f>IF(Portfolio!$M$1=1,CONCATENATE(A327,C327),CONCATENATE(B327,C327))</f>
        <v>KAWAN LAMA202407</v>
      </c>
      <c r="F327">
        <v>2</v>
      </c>
      <c r="G327">
        <v>1</v>
      </c>
      <c r="H327">
        <v>0</v>
      </c>
      <c r="I327">
        <v>1</v>
      </c>
      <c r="J327">
        <v>0</v>
      </c>
      <c r="K327">
        <v>5546000</v>
      </c>
      <c r="L327">
        <v>29000</v>
      </c>
      <c r="M327">
        <v>0</v>
      </c>
      <c r="N327">
        <v>1</v>
      </c>
      <c r="O327">
        <v>0</v>
      </c>
      <c r="P327">
        <v>8319</v>
      </c>
      <c r="Q327">
        <v>290</v>
      </c>
      <c r="R327">
        <v>0</v>
      </c>
      <c r="S327">
        <v>0</v>
      </c>
      <c r="T327">
        <v>0</v>
      </c>
    </row>
    <row r="328" spans="1:20" x14ac:dyDescent="0.25">
      <c r="A328" t="s">
        <v>103</v>
      </c>
      <c r="B328" t="s">
        <v>146</v>
      </c>
      <c r="C328">
        <v>202407</v>
      </c>
      <c r="D328" s="47" t="str">
        <f>MID(C328,1,4)</f>
        <v>2024</v>
      </c>
      <c r="E328" t="str">
        <f>IF(Portfolio!$M$1=1,CONCATENATE(A328,C328),CONCATENATE(B328,C328))</f>
        <v>KCIC202407</v>
      </c>
      <c r="F328">
        <v>81</v>
      </c>
      <c r="G328">
        <v>2405</v>
      </c>
      <c r="H328">
        <v>1116</v>
      </c>
      <c r="I328">
        <v>0</v>
      </c>
      <c r="J328">
        <v>0</v>
      </c>
      <c r="K328">
        <v>54800000</v>
      </c>
      <c r="L328">
        <v>1308875000</v>
      </c>
      <c r="M328">
        <v>895800000</v>
      </c>
      <c r="N328">
        <v>0</v>
      </c>
      <c r="O328">
        <v>0</v>
      </c>
      <c r="P328">
        <v>82200</v>
      </c>
      <c r="Q328">
        <v>11299250</v>
      </c>
      <c r="R328">
        <v>16124400</v>
      </c>
      <c r="S328">
        <v>0</v>
      </c>
      <c r="T328">
        <v>0</v>
      </c>
    </row>
    <row r="329" spans="1:20" x14ac:dyDescent="0.25">
      <c r="A329" t="s">
        <v>104</v>
      </c>
      <c r="B329" t="s">
        <v>147</v>
      </c>
      <c r="C329">
        <v>202407</v>
      </c>
      <c r="D329" s="47" t="str">
        <f>MID(C329,1,4)</f>
        <v>2024</v>
      </c>
      <c r="E329" t="str">
        <f>IF(Portfolio!$M$1=1,CONCATENATE(A329,C329),CONCATENATE(B329,C329))</f>
        <v>KIMIA FARMA202407</v>
      </c>
      <c r="F329">
        <v>4</v>
      </c>
      <c r="G329">
        <v>63</v>
      </c>
      <c r="H329">
        <v>12</v>
      </c>
      <c r="I329">
        <v>0</v>
      </c>
      <c r="J329">
        <v>0</v>
      </c>
      <c r="K329">
        <v>1236244</v>
      </c>
      <c r="L329">
        <v>17057237</v>
      </c>
      <c r="M329">
        <v>8662372</v>
      </c>
      <c r="N329">
        <v>0</v>
      </c>
      <c r="O329">
        <v>0</v>
      </c>
      <c r="P329">
        <v>1854</v>
      </c>
      <c r="Q329">
        <v>163144</v>
      </c>
      <c r="R329">
        <v>155923</v>
      </c>
      <c r="S329">
        <v>0</v>
      </c>
      <c r="T329">
        <v>0</v>
      </c>
    </row>
    <row r="330" spans="1:20" x14ac:dyDescent="0.25">
      <c r="A330" t="s">
        <v>107</v>
      </c>
      <c r="B330" t="s">
        <v>178</v>
      </c>
      <c r="C330">
        <v>202407</v>
      </c>
      <c r="D330" s="47" t="str">
        <f>MID(C330,1,4)</f>
        <v>2024</v>
      </c>
      <c r="E330" t="str">
        <f>IF(Portfolio!$M$1=1,CONCATENATE(A330,C330),CONCATENATE(B330,C330))</f>
        <v>MAP GROUP202407</v>
      </c>
      <c r="F330">
        <v>0</v>
      </c>
      <c r="G330">
        <v>42</v>
      </c>
      <c r="H330">
        <v>1</v>
      </c>
      <c r="I330">
        <v>4</v>
      </c>
      <c r="J330">
        <v>318</v>
      </c>
      <c r="K330">
        <v>0</v>
      </c>
      <c r="L330">
        <v>11232900</v>
      </c>
      <c r="M330">
        <v>127000</v>
      </c>
      <c r="N330">
        <v>909500</v>
      </c>
      <c r="O330">
        <v>46122560</v>
      </c>
      <c r="P330">
        <v>0</v>
      </c>
      <c r="Q330">
        <v>112329</v>
      </c>
      <c r="R330">
        <v>2286</v>
      </c>
      <c r="S330">
        <v>6367</v>
      </c>
      <c r="T330">
        <v>322856</v>
      </c>
    </row>
    <row r="331" spans="1:20" x14ac:dyDescent="0.25">
      <c r="A331" t="s">
        <v>107</v>
      </c>
      <c r="B331" t="s">
        <v>208</v>
      </c>
      <c r="C331">
        <v>202407</v>
      </c>
      <c r="D331" s="47" t="str">
        <f>MID(C331,1,4)</f>
        <v>2024</v>
      </c>
      <c r="E331" t="str">
        <f>IF(Portfolio!$M$1=1,CONCATENATE(A331,C331),CONCATENATE(B331,C331))</f>
        <v>MAP GROUP202407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374700</v>
      </c>
      <c r="M331">
        <v>0</v>
      </c>
      <c r="N331">
        <v>0</v>
      </c>
      <c r="O331">
        <v>0</v>
      </c>
      <c r="P331">
        <v>0</v>
      </c>
      <c r="Q331">
        <v>3747</v>
      </c>
      <c r="R331">
        <v>0</v>
      </c>
      <c r="S331">
        <v>0</v>
      </c>
      <c r="T331">
        <v>0</v>
      </c>
    </row>
    <row r="332" spans="1:20" x14ac:dyDescent="0.25">
      <c r="A332" t="s">
        <v>109</v>
      </c>
      <c r="B332" t="s">
        <v>109</v>
      </c>
      <c r="C332">
        <v>202407</v>
      </c>
      <c r="D332" s="47" t="str">
        <f>MID(C332,1,4)</f>
        <v>2024</v>
      </c>
      <c r="E332" t="str">
        <f>IF(Portfolio!$M$1=1,CONCATENATE(A332,C332),CONCATENATE(B332,C332))</f>
        <v>MITRA10202407</v>
      </c>
      <c r="F332">
        <v>866</v>
      </c>
      <c r="G332">
        <v>1</v>
      </c>
      <c r="H332">
        <v>0</v>
      </c>
      <c r="I332">
        <v>0</v>
      </c>
      <c r="J332">
        <v>0</v>
      </c>
      <c r="K332">
        <v>1990677146</v>
      </c>
      <c r="L332">
        <v>200000</v>
      </c>
      <c r="M332">
        <v>0</v>
      </c>
      <c r="N332">
        <v>0</v>
      </c>
      <c r="O332">
        <v>0</v>
      </c>
      <c r="P332">
        <v>2986013</v>
      </c>
      <c r="Q332">
        <v>2000</v>
      </c>
      <c r="R332">
        <v>0</v>
      </c>
      <c r="S332">
        <v>0</v>
      </c>
      <c r="T332">
        <v>0</v>
      </c>
    </row>
    <row r="333" spans="1:20" x14ac:dyDescent="0.25">
      <c r="A333" t="s">
        <v>110</v>
      </c>
      <c r="B333" t="s">
        <v>110</v>
      </c>
      <c r="C333">
        <v>202407</v>
      </c>
      <c r="D333" s="47" t="str">
        <f>MID(C333,1,4)</f>
        <v>2024</v>
      </c>
      <c r="E333" t="str">
        <f>IF(Portfolio!$M$1=1,CONCATENATE(A333,C333),CONCATENATE(B333,C333))</f>
        <v>OPTIK MELAWAI202407</v>
      </c>
      <c r="F333">
        <v>123</v>
      </c>
      <c r="G333">
        <v>759</v>
      </c>
      <c r="H333">
        <v>11</v>
      </c>
      <c r="I333">
        <v>0</v>
      </c>
      <c r="J333">
        <v>0</v>
      </c>
      <c r="K333">
        <v>185446500</v>
      </c>
      <c r="L333">
        <v>1152530050</v>
      </c>
      <c r="M333">
        <v>10844000</v>
      </c>
      <c r="N333">
        <v>0</v>
      </c>
      <c r="O333">
        <v>0</v>
      </c>
      <c r="P333">
        <v>278170</v>
      </c>
      <c r="Q333">
        <v>11525300</v>
      </c>
      <c r="R333">
        <v>200739</v>
      </c>
      <c r="S333">
        <v>0</v>
      </c>
      <c r="T333">
        <v>0</v>
      </c>
    </row>
    <row r="334" spans="1:20" x14ac:dyDescent="0.25">
      <c r="A334" t="s">
        <v>111</v>
      </c>
      <c r="B334" t="s">
        <v>214</v>
      </c>
      <c r="C334">
        <v>202407</v>
      </c>
      <c r="D334" s="47" t="str">
        <f>MID(C334,1,4)</f>
        <v>2024</v>
      </c>
      <c r="E334" t="str">
        <f>IF(Portfolio!$M$1=1,CONCATENATE(A334,C334),CONCATENATE(B334,C334))</f>
        <v>PATRA JASA202407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850000</v>
      </c>
      <c r="L334">
        <v>900000</v>
      </c>
      <c r="M334">
        <v>0</v>
      </c>
      <c r="N334">
        <v>0</v>
      </c>
      <c r="O334">
        <v>0</v>
      </c>
      <c r="P334">
        <v>1275</v>
      </c>
      <c r="Q334">
        <v>9000</v>
      </c>
      <c r="R334">
        <v>0</v>
      </c>
      <c r="S334">
        <v>0</v>
      </c>
      <c r="T334">
        <v>0</v>
      </c>
    </row>
    <row r="335" spans="1:20" x14ac:dyDescent="0.25">
      <c r="A335" t="s">
        <v>112</v>
      </c>
      <c r="B335" t="s">
        <v>215</v>
      </c>
      <c r="C335">
        <v>202407</v>
      </c>
      <c r="D335" s="47" t="str">
        <f>MID(C335,1,4)</f>
        <v>2024</v>
      </c>
      <c r="E335" t="str">
        <f>IF(Portfolio!$M$1=1,CONCATENATE(A335,C335),CONCATENATE(B335,C335))</f>
        <v>PERTAMINA RETAIL202407</v>
      </c>
      <c r="F335">
        <v>31</v>
      </c>
      <c r="G335">
        <v>5301</v>
      </c>
      <c r="H335">
        <v>129</v>
      </c>
      <c r="I335">
        <v>0</v>
      </c>
      <c r="J335">
        <v>0</v>
      </c>
      <c r="K335">
        <v>2361685</v>
      </c>
      <c r="L335">
        <v>594067620</v>
      </c>
      <c r="M335">
        <v>18178850</v>
      </c>
      <c r="N335">
        <v>0</v>
      </c>
      <c r="O335">
        <v>0</v>
      </c>
      <c r="P335">
        <v>3543</v>
      </c>
      <c r="Q335">
        <v>5701070</v>
      </c>
      <c r="R335">
        <v>327219</v>
      </c>
      <c r="S335">
        <v>0</v>
      </c>
      <c r="T335">
        <v>0</v>
      </c>
    </row>
    <row r="336" spans="1:20" x14ac:dyDescent="0.25">
      <c r="A336" t="s">
        <v>112</v>
      </c>
      <c r="B336" t="s">
        <v>216</v>
      </c>
      <c r="C336">
        <v>202407</v>
      </c>
      <c r="D336" s="47" t="str">
        <f>MID(C336,1,4)</f>
        <v>2024</v>
      </c>
      <c r="E336" t="str">
        <f>IF(Portfolio!$M$1=1,CONCATENATE(A336,C336),CONCATENATE(B336,C336))</f>
        <v>PERTAMINA RETAIL202407</v>
      </c>
      <c r="F336">
        <v>706</v>
      </c>
      <c r="G336">
        <v>103376</v>
      </c>
      <c r="H336">
        <v>412</v>
      </c>
      <c r="I336">
        <v>3</v>
      </c>
      <c r="J336">
        <v>907</v>
      </c>
      <c r="K336">
        <v>150025917</v>
      </c>
      <c r="L336">
        <v>24594702691</v>
      </c>
      <c r="M336">
        <v>178951034</v>
      </c>
      <c r="N336">
        <v>620600</v>
      </c>
      <c r="O336">
        <v>127742317</v>
      </c>
      <c r="P336">
        <v>225038</v>
      </c>
      <c r="Q336">
        <v>120902230</v>
      </c>
      <c r="R336">
        <v>3221119</v>
      </c>
      <c r="S336">
        <v>2482</v>
      </c>
      <c r="T336">
        <v>510969</v>
      </c>
    </row>
    <row r="337" spans="1:20" x14ac:dyDescent="0.25">
      <c r="A337" t="s">
        <v>114</v>
      </c>
      <c r="B337" t="s">
        <v>217</v>
      </c>
      <c r="C337">
        <v>202407</v>
      </c>
      <c r="D337" s="47" t="str">
        <f>MID(C337,1,4)</f>
        <v>2024</v>
      </c>
      <c r="E337" t="str">
        <f>IF(Portfolio!$M$1=1,CONCATENATE(A337,C337),CONCATENATE(B337,C337))</f>
        <v>PIZZA HUT202407</v>
      </c>
      <c r="F337">
        <v>28</v>
      </c>
      <c r="G337">
        <v>0</v>
      </c>
      <c r="H337">
        <v>0</v>
      </c>
      <c r="I337">
        <v>0</v>
      </c>
      <c r="J337">
        <v>0</v>
      </c>
      <c r="K337">
        <v>4061912</v>
      </c>
      <c r="L337">
        <v>0</v>
      </c>
      <c r="M337">
        <v>0</v>
      </c>
      <c r="N337">
        <v>0</v>
      </c>
      <c r="O337">
        <v>0</v>
      </c>
      <c r="P337">
        <v>6093</v>
      </c>
      <c r="Q337">
        <v>0</v>
      </c>
      <c r="R337">
        <v>0</v>
      </c>
      <c r="S337">
        <v>0</v>
      </c>
      <c r="T337">
        <v>0</v>
      </c>
    </row>
    <row r="338" spans="1:20" x14ac:dyDescent="0.25">
      <c r="A338" t="s">
        <v>114</v>
      </c>
      <c r="B338" t="s">
        <v>218</v>
      </c>
      <c r="C338">
        <v>202407</v>
      </c>
      <c r="D338" s="47" t="str">
        <f>MID(C338,1,4)</f>
        <v>2024</v>
      </c>
      <c r="E338" t="str">
        <f>IF(Portfolio!$M$1=1,CONCATENATE(A338,C338),CONCATENATE(B338,C338))</f>
        <v>PIZZA HUT202407</v>
      </c>
      <c r="F338">
        <v>199</v>
      </c>
      <c r="G338">
        <v>0</v>
      </c>
      <c r="H338">
        <v>0</v>
      </c>
      <c r="I338">
        <v>0</v>
      </c>
      <c r="J338">
        <v>0</v>
      </c>
      <c r="K338">
        <v>51258030</v>
      </c>
      <c r="L338">
        <v>0</v>
      </c>
      <c r="M338">
        <v>0</v>
      </c>
      <c r="N338">
        <v>0</v>
      </c>
      <c r="O338">
        <v>0</v>
      </c>
      <c r="P338">
        <v>76887</v>
      </c>
      <c r="Q338">
        <v>0</v>
      </c>
      <c r="R338">
        <v>0</v>
      </c>
      <c r="S338">
        <v>0</v>
      </c>
      <c r="T338">
        <v>0</v>
      </c>
    </row>
    <row r="339" spans="1:20" x14ac:dyDescent="0.25">
      <c r="A339" t="s">
        <v>115</v>
      </c>
      <c r="B339" t="s">
        <v>115</v>
      </c>
      <c r="C339">
        <v>202407</v>
      </c>
      <c r="D339" s="47" t="str">
        <f>MID(C339,1,4)</f>
        <v>2024</v>
      </c>
      <c r="E339" t="str">
        <f>IF(Portfolio!$M$1=1,CONCATENATE(A339,C339),CONCATENATE(B339,C339))</f>
        <v>PLATINUM CINEPLEX202407</v>
      </c>
      <c r="F339">
        <v>14</v>
      </c>
      <c r="G339">
        <v>81</v>
      </c>
      <c r="H339">
        <v>6</v>
      </c>
      <c r="I339">
        <v>8</v>
      </c>
      <c r="J339">
        <v>141</v>
      </c>
      <c r="K339">
        <v>1100000</v>
      </c>
      <c r="L339">
        <v>9283000</v>
      </c>
      <c r="M339">
        <v>2463000</v>
      </c>
      <c r="N339">
        <v>485000</v>
      </c>
      <c r="O339">
        <v>9432000</v>
      </c>
      <c r="P339">
        <v>1650</v>
      </c>
      <c r="Q339">
        <v>89330</v>
      </c>
      <c r="R339">
        <v>44334</v>
      </c>
      <c r="S339">
        <v>3395</v>
      </c>
      <c r="T339">
        <v>66024</v>
      </c>
    </row>
    <row r="340" spans="1:20" x14ac:dyDescent="0.25">
      <c r="A340" t="s">
        <v>118</v>
      </c>
      <c r="B340" t="s">
        <v>118</v>
      </c>
      <c r="C340">
        <v>202407</v>
      </c>
      <c r="D340" s="47" t="str">
        <f>MID(C340,1,4)</f>
        <v>2024</v>
      </c>
      <c r="E340" t="str">
        <f>IF(Portfolio!$M$1=1,CONCATENATE(A340,C340),CONCATENATE(B340,C340))</f>
        <v>SARINAH202407</v>
      </c>
      <c r="F340">
        <v>14</v>
      </c>
      <c r="G340">
        <v>469</v>
      </c>
      <c r="H340">
        <v>367</v>
      </c>
      <c r="I340">
        <v>0</v>
      </c>
      <c r="J340">
        <v>0</v>
      </c>
      <c r="K340">
        <v>13152050</v>
      </c>
      <c r="L340">
        <v>403483993</v>
      </c>
      <c r="M340">
        <v>433200727</v>
      </c>
      <c r="N340">
        <v>0</v>
      </c>
      <c r="O340">
        <v>0</v>
      </c>
      <c r="P340">
        <v>19728</v>
      </c>
      <c r="Q340">
        <v>2869720</v>
      </c>
      <c r="R340">
        <v>7797613</v>
      </c>
      <c r="S340">
        <v>0</v>
      </c>
      <c r="T340">
        <v>0</v>
      </c>
    </row>
    <row r="341" spans="1:20" x14ac:dyDescent="0.25">
      <c r="A341" t="s">
        <v>120</v>
      </c>
      <c r="B341" t="s">
        <v>120</v>
      </c>
      <c r="C341">
        <v>202407</v>
      </c>
      <c r="D341" s="47" t="str">
        <f>MID(C341,1,4)</f>
        <v>2024</v>
      </c>
      <c r="E341" t="str">
        <f>IF(Portfolio!$M$1=1,CONCATENATE(A341,C341),CONCATENATE(B341,C341))</f>
        <v>SHIHLIN202407</v>
      </c>
      <c r="F341">
        <v>1141</v>
      </c>
      <c r="G341">
        <v>8</v>
      </c>
      <c r="H341">
        <v>1</v>
      </c>
      <c r="I341">
        <v>0</v>
      </c>
      <c r="J341">
        <v>2</v>
      </c>
      <c r="K341">
        <v>89596700</v>
      </c>
      <c r="L341">
        <v>427000</v>
      </c>
      <c r="M341">
        <v>46000</v>
      </c>
      <c r="N341">
        <v>0</v>
      </c>
      <c r="O341">
        <v>117800</v>
      </c>
      <c r="P341">
        <v>134395</v>
      </c>
      <c r="Q341">
        <v>4270</v>
      </c>
      <c r="R341">
        <v>828</v>
      </c>
      <c r="S341">
        <v>0</v>
      </c>
      <c r="T341">
        <v>825</v>
      </c>
    </row>
    <row r="342" spans="1:20" x14ac:dyDescent="0.25">
      <c r="A342" t="s">
        <v>122</v>
      </c>
      <c r="B342" t="s">
        <v>122</v>
      </c>
      <c r="C342">
        <v>202407</v>
      </c>
      <c r="D342" s="47" t="str">
        <f>MID(C342,1,4)</f>
        <v>2024</v>
      </c>
      <c r="E342" t="str">
        <f>IF(Portfolio!$M$1=1,CONCATENATE(A342,C342),CONCATENATE(B342,C342))</f>
        <v>SOLARIA202407</v>
      </c>
      <c r="F342">
        <v>1237</v>
      </c>
      <c r="G342">
        <v>1</v>
      </c>
      <c r="H342">
        <v>0</v>
      </c>
      <c r="I342">
        <v>0</v>
      </c>
      <c r="J342">
        <v>0</v>
      </c>
      <c r="K342">
        <v>198124500</v>
      </c>
      <c r="L342">
        <v>85000</v>
      </c>
      <c r="M342">
        <v>0</v>
      </c>
      <c r="N342">
        <v>0</v>
      </c>
      <c r="O342">
        <v>0</v>
      </c>
      <c r="P342">
        <v>297187</v>
      </c>
      <c r="Q342">
        <v>850</v>
      </c>
      <c r="R342">
        <v>0</v>
      </c>
      <c r="S342">
        <v>0</v>
      </c>
      <c r="T342">
        <v>0</v>
      </c>
    </row>
    <row r="343" spans="1:20" x14ac:dyDescent="0.25">
      <c r="A343" t="s">
        <v>124</v>
      </c>
      <c r="B343" t="s">
        <v>124</v>
      </c>
      <c r="C343">
        <v>202407</v>
      </c>
      <c r="D343" s="47" t="str">
        <f>MID(C343,1,4)</f>
        <v>2024</v>
      </c>
      <c r="E343" t="str">
        <f>IF(Portfolio!$M$1=1,CONCATENATE(A343,C343),CONCATENATE(B343,C343))</f>
        <v>SOUR SALLY202407</v>
      </c>
      <c r="F343">
        <v>71</v>
      </c>
      <c r="G343">
        <v>6</v>
      </c>
      <c r="H343">
        <v>0</v>
      </c>
      <c r="I343">
        <v>0</v>
      </c>
      <c r="J343">
        <v>0</v>
      </c>
      <c r="K343">
        <v>5127500</v>
      </c>
      <c r="L343">
        <v>804000</v>
      </c>
      <c r="M343">
        <v>0</v>
      </c>
      <c r="N343">
        <v>0</v>
      </c>
      <c r="O343">
        <v>0</v>
      </c>
      <c r="P343">
        <v>7691</v>
      </c>
      <c r="Q343">
        <v>8040</v>
      </c>
      <c r="R343">
        <v>0</v>
      </c>
      <c r="S343">
        <v>0</v>
      </c>
      <c r="T343">
        <v>0</v>
      </c>
    </row>
    <row r="344" spans="1:20" x14ac:dyDescent="0.25">
      <c r="A344" t="s">
        <v>126</v>
      </c>
      <c r="B344" t="s">
        <v>220</v>
      </c>
      <c r="C344">
        <v>202407</v>
      </c>
      <c r="D344" s="47" t="str">
        <f>MID(C344,1,4)</f>
        <v>2024</v>
      </c>
      <c r="E344" t="str">
        <f>IF(Portfolio!$M$1=1,CONCATENATE(A344,C344),CONCATENATE(B344,C344))</f>
        <v>STEVEN GROUP202407</v>
      </c>
      <c r="F344">
        <v>0</v>
      </c>
      <c r="G344">
        <v>0</v>
      </c>
      <c r="H344">
        <v>0</v>
      </c>
      <c r="I344">
        <v>0</v>
      </c>
      <c r="J344">
        <v>3</v>
      </c>
      <c r="K344">
        <v>0</v>
      </c>
      <c r="L344">
        <v>0</v>
      </c>
      <c r="M344">
        <v>0</v>
      </c>
      <c r="N344">
        <v>0</v>
      </c>
      <c r="O344">
        <v>152000</v>
      </c>
      <c r="P344">
        <v>0</v>
      </c>
      <c r="Q344">
        <v>0</v>
      </c>
      <c r="R344">
        <v>0</v>
      </c>
      <c r="S344">
        <v>0</v>
      </c>
      <c r="T344">
        <v>456</v>
      </c>
    </row>
    <row r="345" spans="1:20" x14ac:dyDescent="0.25">
      <c r="A345" t="s">
        <v>126</v>
      </c>
      <c r="B345" t="s">
        <v>221</v>
      </c>
      <c r="C345">
        <v>202407</v>
      </c>
      <c r="D345" s="47" t="str">
        <f>MID(C345,1,4)</f>
        <v>2024</v>
      </c>
      <c r="E345" t="str">
        <f>IF(Portfolio!$M$1=1,CONCATENATE(A345,C345),CONCATENATE(B345,C345))</f>
        <v>STEVEN GROUP202407</v>
      </c>
      <c r="F345">
        <v>0</v>
      </c>
      <c r="G345">
        <v>3</v>
      </c>
      <c r="H345">
        <v>0</v>
      </c>
      <c r="I345">
        <v>3</v>
      </c>
      <c r="J345">
        <v>887</v>
      </c>
      <c r="K345">
        <v>0</v>
      </c>
      <c r="L345">
        <v>59000</v>
      </c>
      <c r="M345">
        <v>0</v>
      </c>
      <c r="N345">
        <v>80000</v>
      </c>
      <c r="O345">
        <v>34529000</v>
      </c>
      <c r="P345">
        <v>0</v>
      </c>
      <c r="Q345">
        <v>590</v>
      </c>
      <c r="R345">
        <v>0</v>
      </c>
      <c r="S345">
        <v>240</v>
      </c>
      <c r="T345">
        <v>103587</v>
      </c>
    </row>
    <row r="346" spans="1:20" x14ac:dyDescent="0.25">
      <c r="A346" t="s">
        <v>67</v>
      </c>
      <c r="B346" t="s">
        <v>68</v>
      </c>
      <c r="C346">
        <v>202408</v>
      </c>
      <c r="D346" s="47" t="str">
        <f>MID(C346,1,4)</f>
        <v>2024</v>
      </c>
      <c r="E346" t="str">
        <f>IF(Portfolio!$M$1=1,CONCATENATE(A346,C346),CONCATENATE(B346,C346))</f>
        <v>ALFA GROUP202408</v>
      </c>
      <c r="F346">
        <v>22411</v>
      </c>
      <c r="G346">
        <v>80023</v>
      </c>
      <c r="H346">
        <v>17492</v>
      </c>
      <c r="I346">
        <v>19</v>
      </c>
      <c r="J346">
        <v>45</v>
      </c>
      <c r="K346">
        <v>2221639543</v>
      </c>
      <c r="L346">
        <v>8523374251</v>
      </c>
      <c r="M346">
        <v>2683600628</v>
      </c>
      <c r="N346">
        <v>156000</v>
      </c>
      <c r="O346">
        <v>672000</v>
      </c>
      <c r="P346">
        <v>3332456</v>
      </c>
      <c r="Q346">
        <v>74630842</v>
      </c>
      <c r="R346">
        <v>48239231</v>
      </c>
      <c r="S346">
        <v>468</v>
      </c>
      <c r="T346">
        <v>2015</v>
      </c>
    </row>
    <row r="347" spans="1:20" x14ac:dyDescent="0.25">
      <c r="A347" t="s">
        <v>67</v>
      </c>
      <c r="B347" t="s">
        <v>69</v>
      </c>
      <c r="C347">
        <v>202408</v>
      </c>
      <c r="D347" s="47" t="str">
        <f>MID(C347,1,4)</f>
        <v>2024</v>
      </c>
      <c r="E347" t="str">
        <f>IF(Portfolio!$M$1=1,CONCATENATE(A347,C347),CONCATENATE(B347,C347))</f>
        <v>ALFA GROUP202408</v>
      </c>
      <c r="F347">
        <v>27</v>
      </c>
      <c r="G347">
        <v>62</v>
      </c>
      <c r="H347">
        <v>35</v>
      </c>
      <c r="I347">
        <v>0</v>
      </c>
      <c r="J347">
        <v>0</v>
      </c>
      <c r="K347">
        <v>3759538</v>
      </c>
      <c r="L347">
        <v>9048728</v>
      </c>
      <c r="M347">
        <v>6031903</v>
      </c>
      <c r="N347">
        <v>0</v>
      </c>
      <c r="O347">
        <v>0</v>
      </c>
      <c r="P347">
        <v>5639</v>
      </c>
      <c r="Q347">
        <v>81469</v>
      </c>
      <c r="R347">
        <v>108574</v>
      </c>
      <c r="S347">
        <v>0</v>
      </c>
      <c r="T347">
        <v>0</v>
      </c>
    </row>
    <row r="348" spans="1:20" x14ac:dyDescent="0.25">
      <c r="A348" t="s">
        <v>67</v>
      </c>
      <c r="B348" t="s">
        <v>72</v>
      </c>
      <c r="C348">
        <v>202408</v>
      </c>
      <c r="D348" s="47" t="str">
        <f>MID(C348,1,4)</f>
        <v>2024</v>
      </c>
      <c r="E348" t="str">
        <f>IF(Portfolio!$M$1=1,CONCATENATE(A348,C348),CONCATENATE(B348,C348))</f>
        <v>ALFA GROUP202408</v>
      </c>
      <c r="F348">
        <v>421</v>
      </c>
      <c r="G348">
        <v>1518</v>
      </c>
      <c r="H348">
        <v>169</v>
      </c>
      <c r="I348">
        <v>0</v>
      </c>
      <c r="J348">
        <v>0</v>
      </c>
      <c r="K348">
        <v>67828782</v>
      </c>
      <c r="L348">
        <v>256152824</v>
      </c>
      <c r="M348">
        <v>31501500</v>
      </c>
      <c r="N348">
        <v>0</v>
      </c>
      <c r="O348">
        <v>0</v>
      </c>
      <c r="P348">
        <v>101743</v>
      </c>
      <c r="Q348">
        <v>2374251</v>
      </c>
      <c r="R348">
        <v>564466</v>
      </c>
      <c r="S348">
        <v>0</v>
      </c>
      <c r="T348">
        <v>0</v>
      </c>
    </row>
    <row r="349" spans="1:20" x14ac:dyDescent="0.25">
      <c r="A349" t="s">
        <v>70</v>
      </c>
      <c r="B349" t="s">
        <v>70</v>
      </c>
      <c r="C349">
        <v>202408</v>
      </c>
      <c r="D349" s="47" t="str">
        <f>MID(C349,1,4)</f>
        <v>2024</v>
      </c>
      <c r="E349" t="str">
        <f>IF(Portfolio!$M$1=1,CONCATENATE(A349,C349),CONCATENATE(B349,C349))</f>
        <v>ANCOL202408</v>
      </c>
      <c r="F349">
        <v>4</v>
      </c>
      <c r="G349">
        <v>5</v>
      </c>
      <c r="H349">
        <v>2</v>
      </c>
      <c r="I349">
        <v>0</v>
      </c>
      <c r="J349">
        <v>0</v>
      </c>
      <c r="K349">
        <v>813800</v>
      </c>
      <c r="L349">
        <v>1736700</v>
      </c>
      <c r="M349">
        <v>825000</v>
      </c>
      <c r="N349">
        <v>0</v>
      </c>
      <c r="O349">
        <v>0</v>
      </c>
      <c r="P349">
        <v>1221</v>
      </c>
      <c r="Q349">
        <v>3903</v>
      </c>
      <c r="R349">
        <v>13612</v>
      </c>
      <c r="S349">
        <v>0</v>
      </c>
      <c r="T349">
        <v>0</v>
      </c>
    </row>
    <row r="350" spans="1:20" x14ac:dyDescent="0.25">
      <c r="A350" t="s">
        <v>73</v>
      </c>
      <c r="B350" t="s">
        <v>73</v>
      </c>
      <c r="C350">
        <v>202408</v>
      </c>
      <c r="D350" s="47" t="str">
        <f>MID(C350,1,4)</f>
        <v>2024</v>
      </c>
      <c r="E350" t="str">
        <f>IF(Portfolio!$M$1=1,CONCATENATE(A350,C350),CONCATENATE(B350,C350))</f>
        <v>BANBAN TEA202408</v>
      </c>
      <c r="F350">
        <v>129</v>
      </c>
      <c r="G350">
        <v>0</v>
      </c>
      <c r="H350">
        <v>0</v>
      </c>
      <c r="I350">
        <v>65</v>
      </c>
      <c r="J350">
        <v>5</v>
      </c>
      <c r="K350">
        <v>9359878</v>
      </c>
      <c r="L350">
        <v>0</v>
      </c>
      <c r="M350">
        <v>0</v>
      </c>
      <c r="N350">
        <v>4591931</v>
      </c>
      <c r="O350">
        <v>203815</v>
      </c>
      <c r="P350">
        <v>14040</v>
      </c>
      <c r="Q350">
        <v>0</v>
      </c>
      <c r="R350">
        <v>0</v>
      </c>
      <c r="S350">
        <v>32145</v>
      </c>
      <c r="T350">
        <v>1427</v>
      </c>
    </row>
    <row r="351" spans="1:20" x14ac:dyDescent="0.25">
      <c r="A351" t="s">
        <v>75</v>
      </c>
      <c r="B351" t="s">
        <v>77</v>
      </c>
      <c r="C351">
        <v>202408</v>
      </c>
      <c r="D351" s="47" t="str">
        <f>MID(C351,1,4)</f>
        <v>2024</v>
      </c>
      <c r="E351" t="str">
        <f>IF(Portfolio!$M$1=1,CONCATENATE(A351,C351),CONCATENATE(B351,C351))</f>
        <v>CHAMP RESTO202408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50000</v>
      </c>
      <c r="L351">
        <v>0</v>
      </c>
      <c r="M351">
        <v>0</v>
      </c>
      <c r="N351">
        <v>0</v>
      </c>
      <c r="O351">
        <v>0</v>
      </c>
      <c r="P351">
        <v>75</v>
      </c>
      <c r="Q351">
        <v>0</v>
      </c>
      <c r="R351">
        <v>0</v>
      </c>
      <c r="S351">
        <v>0</v>
      </c>
      <c r="T351">
        <v>0</v>
      </c>
    </row>
    <row r="352" spans="1:20" x14ac:dyDescent="0.25">
      <c r="A352" t="s">
        <v>75</v>
      </c>
      <c r="B352" t="s">
        <v>79</v>
      </c>
      <c r="C352">
        <v>202408</v>
      </c>
      <c r="D352" s="47" t="str">
        <f>MID(C352,1,4)</f>
        <v>2024</v>
      </c>
      <c r="E352" t="str">
        <f>IF(Portfolio!$M$1=1,CONCATENATE(A352,C352),CONCATENATE(B352,C352))</f>
        <v>CHAMP RESTO202408</v>
      </c>
      <c r="F352">
        <v>2</v>
      </c>
      <c r="G352">
        <v>1</v>
      </c>
      <c r="H352">
        <v>0</v>
      </c>
      <c r="I352">
        <v>0</v>
      </c>
      <c r="J352">
        <v>0</v>
      </c>
      <c r="K352">
        <v>386829</v>
      </c>
      <c r="L352">
        <v>311944</v>
      </c>
      <c r="M352">
        <v>0</v>
      </c>
      <c r="N352">
        <v>0</v>
      </c>
      <c r="O352">
        <v>0</v>
      </c>
      <c r="P352">
        <v>580</v>
      </c>
      <c r="Q352">
        <v>3119</v>
      </c>
      <c r="R352">
        <v>0</v>
      </c>
      <c r="S352">
        <v>0</v>
      </c>
      <c r="T352">
        <v>0</v>
      </c>
    </row>
    <row r="353" spans="1:20" x14ac:dyDescent="0.25">
      <c r="A353" t="s">
        <v>75</v>
      </c>
      <c r="B353" t="s">
        <v>83</v>
      </c>
      <c r="C353">
        <v>202408</v>
      </c>
      <c r="D353" s="47" t="str">
        <f>MID(C353,1,4)</f>
        <v>2024</v>
      </c>
      <c r="E353" t="str">
        <f>IF(Portfolio!$M$1=1,CONCATENATE(A353,C353),CONCATENATE(B353,C353))</f>
        <v>CHAMP RESTO202408</v>
      </c>
      <c r="F353">
        <v>0</v>
      </c>
      <c r="G353">
        <v>3</v>
      </c>
      <c r="H353">
        <v>0</v>
      </c>
      <c r="I353">
        <v>0</v>
      </c>
      <c r="J353">
        <v>4</v>
      </c>
      <c r="K353">
        <v>0</v>
      </c>
      <c r="L353">
        <v>548500</v>
      </c>
      <c r="M353">
        <v>0</v>
      </c>
      <c r="N353">
        <v>0</v>
      </c>
      <c r="O353">
        <v>1708000</v>
      </c>
      <c r="P353">
        <v>0</v>
      </c>
      <c r="Q353">
        <v>5485</v>
      </c>
      <c r="R353">
        <v>0</v>
      </c>
      <c r="S353">
        <v>0</v>
      </c>
      <c r="T353">
        <v>11956</v>
      </c>
    </row>
    <row r="354" spans="1:20" x14ac:dyDescent="0.25">
      <c r="A354" t="s">
        <v>75</v>
      </c>
      <c r="B354" t="s">
        <v>85</v>
      </c>
      <c r="C354">
        <v>202408</v>
      </c>
      <c r="D354" s="47" t="str">
        <f>MID(C354,1,4)</f>
        <v>2024</v>
      </c>
      <c r="E354" t="str">
        <f>IF(Portfolio!$M$1=1,CONCATENATE(A354,C354),CONCATENATE(B354,C354))</f>
        <v>CHAMP RESTO202408</v>
      </c>
      <c r="F354">
        <v>19</v>
      </c>
      <c r="G354">
        <v>32</v>
      </c>
      <c r="H354">
        <v>0</v>
      </c>
      <c r="I354">
        <v>0</v>
      </c>
      <c r="J354">
        <v>0</v>
      </c>
      <c r="K354">
        <v>3745194</v>
      </c>
      <c r="L354">
        <v>5693497</v>
      </c>
      <c r="M354">
        <v>0</v>
      </c>
      <c r="N354">
        <v>0</v>
      </c>
      <c r="O354">
        <v>0</v>
      </c>
      <c r="P354">
        <v>5618</v>
      </c>
      <c r="Q354">
        <v>56935</v>
      </c>
      <c r="R354">
        <v>0</v>
      </c>
      <c r="S354">
        <v>0</v>
      </c>
      <c r="T354">
        <v>0</v>
      </c>
    </row>
    <row r="355" spans="1:20" x14ac:dyDescent="0.25">
      <c r="A355" t="s">
        <v>75</v>
      </c>
      <c r="B355" t="s">
        <v>87</v>
      </c>
      <c r="C355">
        <v>202408</v>
      </c>
      <c r="D355" s="47" t="str">
        <f>MID(C355,1,4)</f>
        <v>2024</v>
      </c>
      <c r="E355" t="str">
        <f>IF(Portfolio!$M$1=1,CONCATENATE(A355,C355),CONCATENATE(B355,C355))</f>
        <v>CHAMP RESTO202408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346500</v>
      </c>
      <c r="M355">
        <v>0</v>
      </c>
      <c r="N355">
        <v>0</v>
      </c>
      <c r="O355">
        <v>0</v>
      </c>
      <c r="P355">
        <v>0</v>
      </c>
      <c r="Q355">
        <v>3465</v>
      </c>
      <c r="R355">
        <v>0</v>
      </c>
      <c r="S355">
        <v>0</v>
      </c>
      <c r="T355">
        <v>0</v>
      </c>
    </row>
    <row r="356" spans="1:20" x14ac:dyDescent="0.25">
      <c r="A356" t="s">
        <v>75</v>
      </c>
      <c r="B356" t="s">
        <v>91</v>
      </c>
      <c r="C356">
        <v>202408</v>
      </c>
      <c r="D356" s="47" t="str">
        <f>MID(C356,1,4)</f>
        <v>2024</v>
      </c>
      <c r="E356" t="str">
        <f>IF(Portfolio!$M$1=1,CONCATENATE(A356,C356),CONCATENATE(B356,C356))</f>
        <v>CHAMP RESTO202408</v>
      </c>
      <c r="F356">
        <v>6</v>
      </c>
      <c r="G356">
        <v>75</v>
      </c>
      <c r="H356">
        <v>2</v>
      </c>
      <c r="I356">
        <v>0</v>
      </c>
      <c r="J356">
        <v>0</v>
      </c>
      <c r="K356">
        <v>994812</v>
      </c>
      <c r="L356">
        <v>24031561</v>
      </c>
      <c r="M356">
        <v>379582</v>
      </c>
      <c r="N356">
        <v>0</v>
      </c>
      <c r="O356">
        <v>0</v>
      </c>
      <c r="P356">
        <v>1492</v>
      </c>
      <c r="Q356">
        <v>240316</v>
      </c>
      <c r="R356">
        <v>6832</v>
      </c>
      <c r="S356">
        <v>0</v>
      </c>
      <c r="T356">
        <v>0</v>
      </c>
    </row>
    <row r="357" spans="1:20" x14ac:dyDescent="0.25">
      <c r="A357" t="s">
        <v>75</v>
      </c>
      <c r="B357" t="s">
        <v>93</v>
      </c>
      <c r="C357">
        <v>202408</v>
      </c>
      <c r="D357" s="47" t="str">
        <f>MID(C357,1,4)</f>
        <v>2024</v>
      </c>
      <c r="E357" t="str">
        <f>IF(Portfolio!$M$1=1,CONCATENATE(A357,C357),CONCATENATE(B357,C357))</f>
        <v>CHAMP RESTO202408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1962000</v>
      </c>
      <c r="M357">
        <v>0</v>
      </c>
      <c r="N357">
        <v>0</v>
      </c>
      <c r="O357">
        <v>0</v>
      </c>
      <c r="P357">
        <v>0</v>
      </c>
      <c r="Q357">
        <v>19620</v>
      </c>
      <c r="R357">
        <v>0</v>
      </c>
      <c r="S357">
        <v>0</v>
      </c>
      <c r="T357">
        <v>0</v>
      </c>
    </row>
    <row r="358" spans="1:20" x14ac:dyDescent="0.25">
      <c r="A358" t="s">
        <v>75</v>
      </c>
      <c r="B358" t="s">
        <v>95</v>
      </c>
      <c r="C358">
        <v>202408</v>
      </c>
      <c r="D358" s="47" t="str">
        <f>MID(C358,1,4)</f>
        <v>2024</v>
      </c>
      <c r="E358" t="str">
        <f>IF(Portfolio!$M$1=1,CONCATENATE(A358,C358),CONCATENATE(B358,C358))</f>
        <v>CHAMP RESTO202408</v>
      </c>
      <c r="F358">
        <v>3</v>
      </c>
      <c r="G358">
        <v>3</v>
      </c>
      <c r="H358">
        <v>0</v>
      </c>
      <c r="I358">
        <v>0</v>
      </c>
      <c r="J358">
        <v>0</v>
      </c>
      <c r="K358">
        <v>584500</v>
      </c>
      <c r="L358">
        <v>776500</v>
      </c>
      <c r="M358">
        <v>0</v>
      </c>
      <c r="N358">
        <v>0</v>
      </c>
      <c r="O358">
        <v>0</v>
      </c>
      <c r="P358">
        <v>877</v>
      </c>
      <c r="Q358">
        <v>7765</v>
      </c>
      <c r="R358">
        <v>0</v>
      </c>
      <c r="S358">
        <v>0</v>
      </c>
      <c r="T358">
        <v>0</v>
      </c>
    </row>
    <row r="359" spans="1:20" x14ac:dyDescent="0.25">
      <c r="A359" t="s">
        <v>84</v>
      </c>
      <c r="B359" t="s">
        <v>84</v>
      </c>
      <c r="C359">
        <v>202408</v>
      </c>
      <c r="D359" s="47" t="str">
        <f>MID(C359,1,4)</f>
        <v>2024</v>
      </c>
      <c r="E359" t="str">
        <f>IF(Portfolio!$M$1=1,CONCATENATE(A359,C359),CONCATENATE(B359,C359))</f>
        <v>ES TELLER 77202408</v>
      </c>
      <c r="F359">
        <v>9</v>
      </c>
      <c r="G359">
        <v>5</v>
      </c>
      <c r="H359">
        <v>1</v>
      </c>
      <c r="I359">
        <v>0</v>
      </c>
      <c r="J359">
        <v>2</v>
      </c>
      <c r="K359">
        <v>551000</v>
      </c>
      <c r="L359">
        <v>572000</v>
      </c>
      <c r="M359">
        <v>35000</v>
      </c>
      <c r="N359">
        <v>0</v>
      </c>
      <c r="O359">
        <v>36015</v>
      </c>
      <c r="P359">
        <v>826</v>
      </c>
      <c r="Q359">
        <v>5720</v>
      </c>
      <c r="R359">
        <v>630</v>
      </c>
      <c r="S359">
        <v>0</v>
      </c>
      <c r="T359">
        <v>252</v>
      </c>
    </row>
    <row r="360" spans="1:20" x14ac:dyDescent="0.25">
      <c r="A360" t="s">
        <v>86</v>
      </c>
      <c r="B360" t="s">
        <v>86</v>
      </c>
      <c r="C360">
        <v>202408</v>
      </c>
      <c r="D360" s="47" t="str">
        <f>MID(C360,1,4)</f>
        <v>2024</v>
      </c>
      <c r="E360" t="str">
        <f>IF(Portfolio!$M$1=1,CONCATENATE(A360,C360),CONCATENATE(B360,C360))</f>
        <v>GRAMEDIA202408</v>
      </c>
      <c r="F360">
        <v>29</v>
      </c>
      <c r="G360">
        <v>1382</v>
      </c>
      <c r="H360">
        <v>126</v>
      </c>
      <c r="I360">
        <v>37</v>
      </c>
      <c r="J360">
        <v>5277</v>
      </c>
      <c r="K360">
        <v>5456200</v>
      </c>
      <c r="L360">
        <v>359305168</v>
      </c>
      <c r="M360">
        <v>51055264</v>
      </c>
      <c r="N360">
        <v>6469350</v>
      </c>
      <c r="O360">
        <v>959560923</v>
      </c>
      <c r="P360">
        <v>8184</v>
      </c>
      <c r="Q360">
        <v>3228693</v>
      </c>
      <c r="R360">
        <v>918995</v>
      </c>
      <c r="S360">
        <v>45285</v>
      </c>
      <c r="T360">
        <v>6716918</v>
      </c>
    </row>
    <row r="361" spans="1:20" x14ac:dyDescent="0.25">
      <c r="A361" t="s">
        <v>88</v>
      </c>
      <c r="B361" t="s">
        <v>88</v>
      </c>
      <c r="C361">
        <v>202408</v>
      </c>
      <c r="D361" s="47" t="str">
        <f>MID(C361,1,4)</f>
        <v>2024</v>
      </c>
      <c r="E361" t="str">
        <f>IF(Portfolio!$M$1=1,CONCATENATE(A361,C361),CONCATENATE(B361,C361))</f>
        <v>HAUS202408</v>
      </c>
      <c r="F361">
        <v>1</v>
      </c>
      <c r="G361">
        <v>2</v>
      </c>
      <c r="H361">
        <v>0</v>
      </c>
      <c r="I361">
        <v>7</v>
      </c>
      <c r="J361">
        <v>396</v>
      </c>
      <c r="K361">
        <v>46999</v>
      </c>
      <c r="L361">
        <v>63000</v>
      </c>
      <c r="M361">
        <v>0</v>
      </c>
      <c r="N361">
        <v>459000</v>
      </c>
      <c r="O361">
        <v>19444800</v>
      </c>
      <c r="P361">
        <v>70</v>
      </c>
      <c r="Q361">
        <v>630</v>
      </c>
      <c r="R361">
        <v>0</v>
      </c>
      <c r="S361">
        <v>1377</v>
      </c>
      <c r="T361">
        <v>58335</v>
      </c>
    </row>
    <row r="362" spans="1:20" x14ac:dyDescent="0.25">
      <c r="A362" t="s">
        <v>90</v>
      </c>
      <c r="B362" t="s">
        <v>90</v>
      </c>
      <c r="C362">
        <v>202408</v>
      </c>
      <c r="D362" s="47" t="str">
        <f>MID(C362,1,4)</f>
        <v>2024</v>
      </c>
      <c r="E362" t="str">
        <f>IF(Portfolio!$M$1=1,CONCATENATE(A362,C362),CONCATENATE(B362,C362))</f>
        <v>HEAVENLY WANG202408</v>
      </c>
      <c r="F362">
        <v>2</v>
      </c>
      <c r="G362">
        <v>0</v>
      </c>
      <c r="H362">
        <v>0</v>
      </c>
      <c r="I362">
        <v>0</v>
      </c>
      <c r="J362">
        <v>0</v>
      </c>
      <c r="K362">
        <v>345345</v>
      </c>
      <c r="L362">
        <v>0</v>
      </c>
      <c r="M362">
        <v>0</v>
      </c>
      <c r="N362">
        <v>0</v>
      </c>
      <c r="O362">
        <v>0</v>
      </c>
      <c r="P362">
        <v>518</v>
      </c>
      <c r="Q362">
        <v>0</v>
      </c>
      <c r="R362">
        <v>0</v>
      </c>
      <c r="S362">
        <v>0</v>
      </c>
      <c r="T362">
        <v>0</v>
      </c>
    </row>
    <row r="363" spans="1:20" x14ac:dyDescent="0.25">
      <c r="A363" t="s">
        <v>92</v>
      </c>
      <c r="B363" t="s">
        <v>108</v>
      </c>
      <c r="C363">
        <v>202408</v>
      </c>
      <c r="D363" s="47" t="str">
        <f>MID(C363,1,4)</f>
        <v>2024</v>
      </c>
      <c r="E363" t="str">
        <f>IF(Portfolio!$M$1=1,CONCATENATE(A363,C363),CONCATENATE(B363,C363))</f>
        <v>HERO GROUP202408</v>
      </c>
      <c r="F363">
        <v>47</v>
      </c>
      <c r="G363">
        <v>18</v>
      </c>
      <c r="H363">
        <v>2</v>
      </c>
      <c r="I363">
        <v>0</v>
      </c>
      <c r="J363">
        <v>23</v>
      </c>
      <c r="K363">
        <v>21097669</v>
      </c>
      <c r="L363">
        <v>9693098</v>
      </c>
      <c r="M363">
        <v>768978</v>
      </c>
      <c r="N363">
        <v>0</v>
      </c>
      <c r="O363">
        <v>1315000</v>
      </c>
      <c r="P363">
        <v>31646</v>
      </c>
      <c r="Q363">
        <v>47973</v>
      </c>
      <c r="R363">
        <v>15380</v>
      </c>
      <c r="S363">
        <v>0</v>
      </c>
      <c r="T363">
        <v>3945</v>
      </c>
    </row>
    <row r="364" spans="1:20" x14ac:dyDescent="0.25">
      <c r="A364" t="s">
        <v>96</v>
      </c>
      <c r="B364" t="s">
        <v>96</v>
      </c>
      <c r="C364">
        <v>202408</v>
      </c>
      <c r="D364" s="47" t="str">
        <f>MID(C364,1,4)</f>
        <v>2024</v>
      </c>
      <c r="E364" t="str">
        <f>IF(Portfolio!$M$1=1,CONCATENATE(A364,C364),CONCATENATE(B364,C364))</f>
        <v>HOKKAIDO BAKED CHEESE202408</v>
      </c>
      <c r="F364">
        <v>64</v>
      </c>
      <c r="G364">
        <v>807</v>
      </c>
      <c r="H364">
        <v>80</v>
      </c>
      <c r="I364">
        <v>123</v>
      </c>
      <c r="J364">
        <v>2412</v>
      </c>
      <c r="K364">
        <v>6354400</v>
      </c>
      <c r="L364">
        <v>82072024</v>
      </c>
      <c r="M364">
        <v>8812406</v>
      </c>
      <c r="N364">
        <v>12480413</v>
      </c>
      <c r="O364">
        <v>201187488</v>
      </c>
      <c r="P364">
        <v>9532</v>
      </c>
      <c r="Q364">
        <v>769818</v>
      </c>
      <c r="R364">
        <v>158623</v>
      </c>
      <c r="S364">
        <v>85718</v>
      </c>
      <c r="T364">
        <v>1390528</v>
      </c>
    </row>
    <row r="365" spans="1:20" x14ac:dyDescent="0.25">
      <c r="A365" t="s">
        <v>97</v>
      </c>
      <c r="B365" t="s">
        <v>97</v>
      </c>
      <c r="C365">
        <v>202408</v>
      </c>
      <c r="D365" s="47" t="str">
        <f>MID(C365,1,4)</f>
        <v>2024</v>
      </c>
      <c r="E365" t="str">
        <f>IF(Portfolio!$M$1=1,CONCATENATE(A365,C365),CONCATENATE(B365,C365))</f>
        <v>HOP HOP202408</v>
      </c>
      <c r="F365">
        <v>0</v>
      </c>
      <c r="G365">
        <v>0</v>
      </c>
      <c r="H365">
        <v>0</v>
      </c>
      <c r="I365">
        <v>10</v>
      </c>
      <c r="J365">
        <v>1015</v>
      </c>
      <c r="K365">
        <v>0</v>
      </c>
      <c r="L365">
        <v>0</v>
      </c>
      <c r="M365">
        <v>0</v>
      </c>
      <c r="N365">
        <v>576000</v>
      </c>
      <c r="O365">
        <v>50516000</v>
      </c>
      <c r="P365">
        <v>0</v>
      </c>
      <c r="Q365">
        <v>0</v>
      </c>
      <c r="R365">
        <v>0</v>
      </c>
      <c r="S365">
        <v>4032</v>
      </c>
      <c r="T365">
        <v>304448</v>
      </c>
    </row>
    <row r="366" spans="1:20" x14ac:dyDescent="0.25">
      <c r="A366" t="s">
        <v>99</v>
      </c>
      <c r="B366" t="s">
        <v>99</v>
      </c>
      <c r="C366">
        <v>202408</v>
      </c>
      <c r="D366" s="47" t="str">
        <f>MID(C366,1,4)</f>
        <v>2024</v>
      </c>
      <c r="E366" t="str">
        <f>IF(Portfolio!$M$1=1,CONCATENATE(A366,C366),CONCATENATE(B366,C366))</f>
        <v>IKEA202408</v>
      </c>
      <c r="F366">
        <v>13</v>
      </c>
      <c r="G366">
        <v>0</v>
      </c>
      <c r="H366">
        <v>0</v>
      </c>
      <c r="I366">
        <v>0</v>
      </c>
      <c r="J366">
        <v>0</v>
      </c>
      <c r="K366">
        <v>7268560</v>
      </c>
      <c r="L366">
        <v>0</v>
      </c>
      <c r="M366">
        <v>0</v>
      </c>
      <c r="N366">
        <v>0</v>
      </c>
      <c r="O366">
        <v>0</v>
      </c>
      <c r="P366">
        <v>10903</v>
      </c>
      <c r="Q366">
        <v>0</v>
      </c>
      <c r="R366">
        <v>0</v>
      </c>
      <c r="S366">
        <v>0</v>
      </c>
      <c r="T366">
        <v>0</v>
      </c>
    </row>
    <row r="367" spans="1:20" x14ac:dyDescent="0.25">
      <c r="A367" t="s">
        <v>101</v>
      </c>
      <c r="B367" t="s">
        <v>101</v>
      </c>
      <c r="C367">
        <v>202408</v>
      </c>
      <c r="D367" s="47" t="str">
        <f>MID(C367,1,4)</f>
        <v>2024</v>
      </c>
      <c r="E367" t="str">
        <f>IF(Portfolio!$M$1=1,CONCATENATE(A367,C367),CONCATENATE(B367,C367))</f>
        <v>INDOMARET202408</v>
      </c>
      <c r="F367">
        <v>32744</v>
      </c>
      <c r="G367">
        <v>83699</v>
      </c>
      <c r="H367">
        <v>11415</v>
      </c>
      <c r="I367">
        <v>9</v>
      </c>
      <c r="J367">
        <v>283</v>
      </c>
      <c r="K367">
        <v>3596426780</v>
      </c>
      <c r="L367">
        <v>7926457043</v>
      </c>
      <c r="M367">
        <v>1754795777</v>
      </c>
      <c r="N367">
        <v>1807600</v>
      </c>
      <c r="O367">
        <v>10531600</v>
      </c>
      <c r="P367">
        <v>5394638</v>
      </c>
      <c r="Q367">
        <v>69926721</v>
      </c>
      <c r="R367">
        <v>29340986</v>
      </c>
      <c r="S367">
        <v>12652</v>
      </c>
      <c r="T367">
        <v>73719</v>
      </c>
    </row>
    <row r="368" spans="1:20" x14ac:dyDescent="0.25">
      <c r="A368" t="s">
        <v>101</v>
      </c>
      <c r="B368" t="s">
        <v>117</v>
      </c>
      <c r="C368">
        <v>202408</v>
      </c>
      <c r="D368" s="47" t="str">
        <f>MID(C368,1,4)</f>
        <v>2024</v>
      </c>
      <c r="E368" t="str">
        <f>IF(Portfolio!$M$1=1,CONCATENATE(A368,C368),CONCATENATE(B368,C368))</f>
        <v>INDOMARET202408</v>
      </c>
      <c r="F368">
        <v>155</v>
      </c>
      <c r="G368">
        <v>435</v>
      </c>
      <c r="H368">
        <v>62</v>
      </c>
      <c r="I368">
        <v>0</v>
      </c>
      <c r="J368">
        <v>0</v>
      </c>
      <c r="K368">
        <v>11497018</v>
      </c>
      <c r="L368">
        <v>34965300</v>
      </c>
      <c r="M368">
        <v>8560800</v>
      </c>
      <c r="N368">
        <v>0</v>
      </c>
      <c r="O368">
        <v>0</v>
      </c>
      <c r="P368">
        <v>17246</v>
      </c>
      <c r="Q368">
        <v>313349</v>
      </c>
      <c r="R368">
        <v>141253</v>
      </c>
      <c r="S368">
        <v>0</v>
      </c>
      <c r="T368">
        <v>0</v>
      </c>
    </row>
    <row r="369" spans="1:20" x14ac:dyDescent="0.25">
      <c r="A369" t="s">
        <v>102</v>
      </c>
      <c r="B369" t="s">
        <v>121</v>
      </c>
      <c r="C369">
        <v>202408</v>
      </c>
      <c r="D369" s="47" t="str">
        <f>MID(C369,1,4)</f>
        <v>2024</v>
      </c>
      <c r="E369" t="str">
        <f>IF(Portfolio!$M$1=1,CONCATENATE(A369,C369),CONCATENATE(B369,C369))</f>
        <v>KAWAN LAMA202408</v>
      </c>
      <c r="F369">
        <v>4</v>
      </c>
      <c r="G369">
        <v>0</v>
      </c>
      <c r="H369">
        <v>0</v>
      </c>
      <c r="I369">
        <v>0</v>
      </c>
      <c r="J369">
        <v>0</v>
      </c>
      <c r="K369">
        <v>828050</v>
      </c>
      <c r="L369">
        <v>0</v>
      </c>
      <c r="M369">
        <v>0</v>
      </c>
      <c r="N369">
        <v>0</v>
      </c>
      <c r="O369">
        <v>0</v>
      </c>
      <c r="P369">
        <v>1242</v>
      </c>
      <c r="Q369">
        <v>0</v>
      </c>
      <c r="R369">
        <v>0</v>
      </c>
      <c r="S369">
        <v>0</v>
      </c>
      <c r="T369">
        <v>0</v>
      </c>
    </row>
    <row r="370" spans="1:20" x14ac:dyDescent="0.25">
      <c r="A370" t="s">
        <v>102</v>
      </c>
      <c r="B370" t="s">
        <v>123</v>
      </c>
      <c r="C370">
        <v>202408</v>
      </c>
      <c r="D370" s="47" t="str">
        <f>MID(C370,1,4)</f>
        <v>2024</v>
      </c>
      <c r="E370" t="str">
        <f>IF(Portfolio!$M$1=1,CONCATENATE(A370,C370),CONCATENATE(B370,C370))</f>
        <v>KAWAN LAMA202408</v>
      </c>
      <c r="F370">
        <v>1776</v>
      </c>
      <c r="G370">
        <v>129</v>
      </c>
      <c r="H370">
        <v>116</v>
      </c>
      <c r="I370">
        <v>0</v>
      </c>
      <c r="J370">
        <v>0</v>
      </c>
      <c r="K370">
        <v>1787082948</v>
      </c>
      <c r="L370">
        <v>94676462</v>
      </c>
      <c r="M370">
        <v>85230763</v>
      </c>
      <c r="N370">
        <v>0</v>
      </c>
      <c r="O370">
        <v>0</v>
      </c>
      <c r="P370">
        <v>2680622</v>
      </c>
      <c r="Q370">
        <v>477213</v>
      </c>
      <c r="R370">
        <v>1704615</v>
      </c>
      <c r="S370">
        <v>0</v>
      </c>
      <c r="T370">
        <v>0</v>
      </c>
    </row>
    <row r="371" spans="1:20" x14ac:dyDescent="0.25">
      <c r="A371" t="s">
        <v>102</v>
      </c>
      <c r="B371" t="s">
        <v>125</v>
      </c>
      <c r="C371">
        <v>202408</v>
      </c>
      <c r="D371" s="47" t="str">
        <f>MID(C371,1,4)</f>
        <v>2024</v>
      </c>
      <c r="E371" t="str">
        <f>IF(Portfolio!$M$1=1,CONCATENATE(A371,C371),CONCATENATE(B371,C371))</f>
        <v>KAWAN LAMA202408</v>
      </c>
      <c r="F371">
        <v>776</v>
      </c>
      <c r="G371">
        <v>0</v>
      </c>
      <c r="H371">
        <v>1</v>
      </c>
      <c r="I371">
        <v>77</v>
      </c>
      <c r="J371">
        <v>2</v>
      </c>
      <c r="K371">
        <v>44065100</v>
      </c>
      <c r="L371">
        <v>0</v>
      </c>
      <c r="M371">
        <v>80000</v>
      </c>
      <c r="N371">
        <v>2132700</v>
      </c>
      <c r="O371">
        <v>3</v>
      </c>
      <c r="P371">
        <v>66098</v>
      </c>
      <c r="Q371">
        <v>0</v>
      </c>
      <c r="R371">
        <v>1600</v>
      </c>
      <c r="S371">
        <v>6398</v>
      </c>
      <c r="T371">
        <v>0</v>
      </c>
    </row>
    <row r="372" spans="1:20" x14ac:dyDescent="0.25">
      <c r="A372" t="s">
        <v>102</v>
      </c>
      <c r="B372" t="s">
        <v>127</v>
      </c>
      <c r="C372">
        <v>202408</v>
      </c>
      <c r="D372" s="47" t="str">
        <f>MID(C372,1,4)</f>
        <v>2024</v>
      </c>
      <c r="E372" t="str">
        <f>IF(Portfolio!$M$1=1,CONCATENATE(A372,C372),CONCATENATE(B372,C372))</f>
        <v>KAWAN LAMA202408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43000</v>
      </c>
      <c r="L372">
        <v>0</v>
      </c>
      <c r="M372">
        <v>0</v>
      </c>
      <c r="N372">
        <v>0</v>
      </c>
      <c r="O372">
        <v>0</v>
      </c>
      <c r="P372">
        <v>64</v>
      </c>
      <c r="Q372">
        <v>0</v>
      </c>
      <c r="R372">
        <v>0</v>
      </c>
      <c r="S372">
        <v>0</v>
      </c>
      <c r="T372">
        <v>0</v>
      </c>
    </row>
    <row r="373" spans="1:20" x14ac:dyDescent="0.25">
      <c r="A373" t="s">
        <v>102</v>
      </c>
      <c r="B373" t="s">
        <v>129</v>
      </c>
      <c r="C373">
        <v>202408</v>
      </c>
      <c r="D373" s="47" t="str">
        <f>MID(C373,1,4)</f>
        <v>2024</v>
      </c>
      <c r="E373" t="str">
        <f>IF(Portfolio!$M$1=1,CONCATENATE(A373,C373),CONCATENATE(B373,C373))</f>
        <v>KAWAN LAMA202408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829171</v>
      </c>
      <c r="L373">
        <v>0</v>
      </c>
      <c r="M373">
        <v>0</v>
      </c>
      <c r="N373">
        <v>0</v>
      </c>
      <c r="O373">
        <v>0</v>
      </c>
      <c r="P373">
        <v>1244</v>
      </c>
      <c r="Q373">
        <v>0</v>
      </c>
      <c r="R373">
        <v>0</v>
      </c>
      <c r="S373">
        <v>0</v>
      </c>
      <c r="T373">
        <v>0</v>
      </c>
    </row>
    <row r="374" spans="1:20" x14ac:dyDescent="0.25">
      <c r="A374" t="s">
        <v>102</v>
      </c>
      <c r="B374" t="s">
        <v>131</v>
      </c>
      <c r="C374">
        <v>202408</v>
      </c>
      <c r="D374" s="47" t="str">
        <f>MID(C374,1,4)</f>
        <v>2024</v>
      </c>
      <c r="E374" t="str">
        <f>IF(Portfolio!$M$1=1,CONCATENATE(A374,C374),CONCATENATE(B374,C374))</f>
        <v>KAWAN LAMA202408</v>
      </c>
      <c r="F374">
        <v>13</v>
      </c>
      <c r="G374">
        <v>1</v>
      </c>
      <c r="H374">
        <v>0</v>
      </c>
      <c r="I374">
        <v>0</v>
      </c>
      <c r="J374">
        <v>0</v>
      </c>
      <c r="K374">
        <v>1014000</v>
      </c>
      <c r="L374">
        <v>135000</v>
      </c>
      <c r="M374">
        <v>0</v>
      </c>
      <c r="N374">
        <v>0</v>
      </c>
      <c r="O374">
        <v>0</v>
      </c>
      <c r="P374">
        <v>1521</v>
      </c>
      <c r="Q374">
        <v>1350</v>
      </c>
      <c r="R374">
        <v>0</v>
      </c>
      <c r="S374">
        <v>0</v>
      </c>
      <c r="T374">
        <v>0</v>
      </c>
    </row>
    <row r="375" spans="1:20" x14ac:dyDescent="0.25">
      <c r="A375" t="s">
        <v>102</v>
      </c>
      <c r="B375" t="s">
        <v>133</v>
      </c>
      <c r="C375">
        <v>202408</v>
      </c>
      <c r="D375" s="47" t="str">
        <f>MID(C375,1,4)</f>
        <v>2024</v>
      </c>
      <c r="E375" t="str">
        <f>IF(Portfolio!$M$1=1,CONCATENATE(A375,C375),CONCATENATE(B375,C375))</f>
        <v>KAWAN LAMA202408</v>
      </c>
      <c r="F375">
        <v>10</v>
      </c>
      <c r="G375">
        <v>0</v>
      </c>
      <c r="H375">
        <v>0</v>
      </c>
      <c r="I375">
        <v>0</v>
      </c>
      <c r="J375">
        <v>0</v>
      </c>
      <c r="K375">
        <v>1497000</v>
      </c>
      <c r="L375">
        <v>0</v>
      </c>
      <c r="M375">
        <v>0</v>
      </c>
      <c r="N375">
        <v>0</v>
      </c>
      <c r="O375">
        <v>0</v>
      </c>
      <c r="P375">
        <v>2246</v>
      </c>
      <c r="Q375">
        <v>0</v>
      </c>
      <c r="R375">
        <v>0</v>
      </c>
      <c r="S375">
        <v>0</v>
      </c>
      <c r="T375">
        <v>0</v>
      </c>
    </row>
    <row r="376" spans="1:20" x14ac:dyDescent="0.25">
      <c r="A376" t="s">
        <v>102</v>
      </c>
      <c r="B376" t="s">
        <v>135</v>
      </c>
      <c r="C376">
        <v>202408</v>
      </c>
      <c r="D376" s="47" t="str">
        <f>MID(C376,1,4)</f>
        <v>2024</v>
      </c>
      <c r="E376" t="str">
        <f>IF(Portfolio!$M$1=1,CONCATENATE(A376,C376),CONCATENATE(B376,C376))</f>
        <v>KAWAN LAMA202408</v>
      </c>
      <c r="F376">
        <v>475</v>
      </c>
      <c r="G376">
        <v>0</v>
      </c>
      <c r="H376">
        <v>0</v>
      </c>
      <c r="I376">
        <v>0</v>
      </c>
      <c r="J376">
        <v>0</v>
      </c>
      <c r="K376">
        <v>1649863190</v>
      </c>
      <c r="L376">
        <v>0</v>
      </c>
      <c r="M376">
        <v>0</v>
      </c>
      <c r="N376">
        <v>0</v>
      </c>
      <c r="O376">
        <v>0</v>
      </c>
      <c r="P376">
        <v>2474795</v>
      </c>
      <c r="Q376">
        <v>0</v>
      </c>
      <c r="R376">
        <v>0</v>
      </c>
      <c r="S376">
        <v>0</v>
      </c>
      <c r="T376">
        <v>0</v>
      </c>
    </row>
    <row r="377" spans="1:20" x14ac:dyDescent="0.25">
      <c r="A377" t="s">
        <v>102</v>
      </c>
      <c r="B377" t="s">
        <v>137</v>
      </c>
      <c r="C377">
        <v>202408</v>
      </c>
      <c r="D377" s="47" t="str">
        <f>MID(C377,1,4)</f>
        <v>2024</v>
      </c>
      <c r="E377" t="str">
        <f>IF(Portfolio!$M$1=1,CONCATENATE(A377,C377),CONCATENATE(B377,C377))</f>
        <v>KAWAN LAMA202408</v>
      </c>
      <c r="F377">
        <v>25</v>
      </c>
      <c r="G377">
        <v>0</v>
      </c>
      <c r="H377">
        <v>0</v>
      </c>
      <c r="I377">
        <v>0</v>
      </c>
      <c r="J377">
        <v>0</v>
      </c>
      <c r="K377">
        <v>119180320</v>
      </c>
      <c r="L377">
        <v>0</v>
      </c>
      <c r="M377">
        <v>0</v>
      </c>
      <c r="N377">
        <v>0</v>
      </c>
      <c r="O377">
        <v>0</v>
      </c>
      <c r="P377">
        <v>178770</v>
      </c>
      <c r="Q377">
        <v>0</v>
      </c>
      <c r="R377">
        <v>0</v>
      </c>
      <c r="S377">
        <v>0</v>
      </c>
      <c r="T377">
        <v>0</v>
      </c>
    </row>
    <row r="378" spans="1:20" x14ac:dyDescent="0.25">
      <c r="A378" t="s">
        <v>102</v>
      </c>
      <c r="B378" t="s">
        <v>142</v>
      </c>
      <c r="C378">
        <v>202408</v>
      </c>
      <c r="D378" s="47" t="str">
        <f>MID(C378,1,4)</f>
        <v>2024</v>
      </c>
      <c r="E378" t="str">
        <f>IF(Portfolio!$M$1=1,CONCATENATE(A378,C378),CONCATENATE(B378,C378))</f>
        <v>KAWAN LAMA202408</v>
      </c>
      <c r="F378">
        <v>4</v>
      </c>
      <c r="G378">
        <v>0</v>
      </c>
      <c r="H378">
        <v>0</v>
      </c>
      <c r="I378">
        <v>0</v>
      </c>
      <c r="J378">
        <v>0</v>
      </c>
      <c r="K378">
        <v>5421100</v>
      </c>
      <c r="L378">
        <v>0</v>
      </c>
      <c r="M378">
        <v>0</v>
      </c>
      <c r="N378">
        <v>0</v>
      </c>
      <c r="O378">
        <v>0</v>
      </c>
      <c r="P378">
        <v>8132</v>
      </c>
      <c r="Q378">
        <v>0</v>
      </c>
      <c r="R378">
        <v>0</v>
      </c>
      <c r="S378">
        <v>0</v>
      </c>
      <c r="T378">
        <v>0</v>
      </c>
    </row>
    <row r="379" spans="1:20" x14ac:dyDescent="0.25">
      <c r="A379" t="s">
        <v>103</v>
      </c>
      <c r="B379" t="s">
        <v>146</v>
      </c>
      <c r="C379">
        <v>202408</v>
      </c>
      <c r="D379" s="47" t="str">
        <f>MID(C379,1,4)</f>
        <v>2024</v>
      </c>
      <c r="E379" t="str">
        <f>IF(Portfolio!$M$1=1,CONCATENATE(A379,C379),CONCATENATE(B379,C379))</f>
        <v>KCIC202408</v>
      </c>
      <c r="F379">
        <v>75</v>
      </c>
      <c r="G379">
        <v>2722</v>
      </c>
      <c r="H379">
        <v>1194</v>
      </c>
      <c r="I379">
        <v>0</v>
      </c>
      <c r="J379">
        <v>0</v>
      </c>
      <c r="K379">
        <v>37649000</v>
      </c>
      <c r="L379">
        <v>1290198000</v>
      </c>
      <c r="M379">
        <v>778510000</v>
      </c>
      <c r="N379">
        <v>0</v>
      </c>
      <c r="O379">
        <v>0</v>
      </c>
      <c r="P379">
        <v>56474</v>
      </c>
      <c r="Q379">
        <v>11069960</v>
      </c>
      <c r="R379">
        <v>14013180</v>
      </c>
      <c r="S379">
        <v>0</v>
      </c>
      <c r="T379">
        <v>0</v>
      </c>
    </row>
    <row r="380" spans="1:20" x14ac:dyDescent="0.25">
      <c r="A380" t="s">
        <v>104</v>
      </c>
      <c r="B380" t="s">
        <v>147</v>
      </c>
      <c r="C380">
        <v>202408</v>
      </c>
      <c r="D380" s="47" t="str">
        <f>MID(C380,1,4)</f>
        <v>2024</v>
      </c>
      <c r="E380" t="str">
        <f>IF(Portfolio!$M$1=1,CONCATENATE(A380,C380),CONCATENATE(B380,C380))</f>
        <v>KIMIA FARMA202408</v>
      </c>
      <c r="F380">
        <v>5</v>
      </c>
      <c r="G380">
        <v>62</v>
      </c>
      <c r="H380">
        <v>15</v>
      </c>
      <c r="I380">
        <v>0</v>
      </c>
      <c r="J380">
        <v>0</v>
      </c>
      <c r="K380">
        <v>1842646</v>
      </c>
      <c r="L380">
        <v>15998417</v>
      </c>
      <c r="M380">
        <v>15186169</v>
      </c>
      <c r="N380">
        <v>0</v>
      </c>
      <c r="O380">
        <v>0</v>
      </c>
      <c r="P380">
        <v>2764</v>
      </c>
      <c r="Q380">
        <v>143829</v>
      </c>
      <c r="R380">
        <v>273351</v>
      </c>
      <c r="S380">
        <v>0</v>
      </c>
      <c r="T380">
        <v>0</v>
      </c>
    </row>
    <row r="381" spans="1:20" x14ac:dyDescent="0.25">
      <c r="A381" t="s">
        <v>107</v>
      </c>
      <c r="B381" t="s">
        <v>178</v>
      </c>
      <c r="C381">
        <v>202408</v>
      </c>
      <c r="D381" s="47" t="str">
        <f>MID(C381,1,4)</f>
        <v>2024</v>
      </c>
      <c r="E381" t="str">
        <f>IF(Portfolio!$M$1=1,CONCATENATE(A381,C381),CONCATENATE(B381,C381))</f>
        <v>MAP GROUP202408</v>
      </c>
      <c r="F381">
        <v>0</v>
      </c>
      <c r="G381">
        <v>40</v>
      </c>
      <c r="H381">
        <v>0</v>
      </c>
      <c r="I381">
        <v>0</v>
      </c>
      <c r="J381">
        <v>285</v>
      </c>
      <c r="K381">
        <v>0</v>
      </c>
      <c r="L381">
        <v>11116900</v>
      </c>
      <c r="M381">
        <v>0</v>
      </c>
      <c r="N381">
        <v>0</v>
      </c>
      <c r="O381">
        <v>37897600</v>
      </c>
      <c r="P381">
        <v>0</v>
      </c>
      <c r="Q381">
        <v>109529</v>
      </c>
      <c r="R381">
        <v>0</v>
      </c>
      <c r="S381">
        <v>0</v>
      </c>
      <c r="T381">
        <v>265281</v>
      </c>
    </row>
    <row r="382" spans="1:20" x14ac:dyDescent="0.25">
      <c r="A382" t="s">
        <v>107</v>
      </c>
      <c r="B382" t="s">
        <v>191</v>
      </c>
      <c r="C382">
        <v>202408</v>
      </c>
      <c r="D382" s="47" t="str">
        <f>MID(C382,1,4)</f>
        <v>2024</v>
      </c>
      <c r="E382" t="str">
        <f>IF(Portfolio!$M$1=1,CONCATENATE(A382,C382),CONCATENATE(B382,C382))</f>
        <v>MAP GROUP202408</v>
      </c>
      <c r="F382">
        <v>0</v>
      </c>
      <c r="G382">
        <v>0</v>
      </c>
      <c r="H382">
        <v>0</v>
      </c>
      <c r="I382">
        <v>15</v>
      </c>
      <c r="J382">
        <v>1</v>
      </c>
      <c r="K382">
        <v>0</v>
      </c>
      <c r="L382">
        <v>0</v>
      </c>
      <c r="M382">
        <v>0</v>
      </c>
      <c r="N382">
        <v>1500000</v>
      </c>
      <c r="O382">
        <v>58000</v>
      </c>
      <c r="P382">
        <v>0</v>
      </c>
      <c r="Q382">
        <v>0</v>
      </c>
      <c r="R382">
        <v>0</v>
      </c>
      <c r="S382">
        <v>4500</v>
      </c>
      <c r="T382">
        <v>174</v>
      </c>
    </row>
    <row r="383" spans="1:20" x14ac:dyDescent="0.25">
      <c r="A383" t="s">
        <v>109</v>
      </c>
      <c r="B383" t="s">
        <v>109</v>
      </c>
      <c r="C383">
        <v>202408</v>
      </c>
      <c r="D383" s="47" t="str">
        <f>MID(C383,1,4)</f>
        <v>2024</v>
      </c>
      <c r="E383" t="str">
        <f>IF(Portfolio!$M$1=1,CONCATENATE(A383,C383),CONCATENATE(B383,C383))</f>
        <v>MITRA10202408</v>
      </c>
      <c r="F383">
        <v>916</v>
      </c>
      <c r="G383">
        <v>6</v>
      </c>
      <c r="H383">
        <v>2</v>
      </c>
      <c r="I383">
        <v>0</v>
      </c>
      <c r="J383">
        <v>0</v>
      </c>
      <c r="K383">
        <v>2263336754</v>
      </c>
      <c r="L383">
        <v>4951377</v>
      </c>
      <c r="M383">
        <v>3081068</v>
      </c>
      <c r="N383">
        <v>0</v>
      </c>
      <c r="O383">
        <v>0</v>
      </c>
      <c r="P383">
        <v>3395002</v>
      </c>
      <c r="Q383">
        <v>42655</v>
      </c>
      <c r="R383">
        <v>55766</v>
      </c>
      <c r="S383">
        <v>0</v>
      </c>
      <c r="T383">
        <v>0</v>
      </c>
    </row>
    <row r="384" spans="1:20" x14ac:dyDescent="0.25">
      <c r="A384" t="s">
        <v>110</v>
      </c>
      <c r="B384" t="s">
        <v>110</v>
      </c>
      <c r="C384">
        <v>202408</v>
      </c>
      <c r="D384" s="47" t="str">
        <f>MID(C384,1,4)</f>
        <v>2024</v>
      </c>
      <c r="E384" t="str">
        <f>IF(Portfolio!$M$1=1,CONCATENATE(A384,C384),CONCATENATE(B384,C384))</f>
        <v>OPTIK MELAWAI202408</v>
      </c>
      <c r="F384">
        <v>75</v>
      </c>
      <c r="G384">
        <v>284</v>
      </c>
      <c r="H384">
        <v>6</v>
      </c>
      <c r="I384">
        <v>0</v>
      </c>
      <c r="J384">
        <v>0</v>
      </c>
      <c r="K384">
        <v>73881000</v>
      </c>
      <c r="L384">
        <v>397456500</v>
      </c>
      <c r="M384">
        <v>5414000</v>
      </c>
      <c r="N384">
        <v>0</v>
      </c>
      <c r="O384">
        <v>0</v>
      </c>
      <c r="P384">
        <v>110822</v>
      </c>
      <c r="Q384">
        <v>3974565</v>
      </c>
      <c r="R384">
        <v>97452</v>
      </c>
      <c r="S384">
        <v>0</v>
      </c>
      <c r="T384">
        <v>0</v>
      </c>
    </row>
    <row r="385" spans="1:20" x14ac:dyDescent="0.25">
      <c r="A385" t="s">
        <v>112</v>
      </c>
      <c r="B385" t="s">
        <v>215</v>
      </c>
      <c r="C385">
        <v>202408</v>
      </c>
      <c r="D385" s="47" t="str">
        <f>MID(C385,1,4)</f>
        <v>2024</v>
      </c>
      <c r="E385" t="str">
        <f>IF(Portfolio!$M$1=1,CONCATENATE(A385,C385),CONCATENATE(B385,C385))</f>
        <v>PERTAMINA RETAIL202408</v>
      </c>
      <c r="F385">
        <v>17</v>
      </c>
      <c r="G385">
        <v>4913</v>
      </c>
      <c r="H385">
        <v>205</v>
      </c>
      <c r="I385">
        <v>0</v>
      </c>
      <c r="J385">
        <v>0</v>
      </c>
      <c r="K385">
        <v>1173800</v>
      </c>
      <c r="L385">
        <v>691404692</v>
      </c>
      <c r="M385">
        <v>34258738</v>
      </c>
      <c r="N385">
        <v>0</v>
      </c>
      <c r="O385">
        <v>0</v>
      </c>
      <c r="P385">
        <v>1761</v>
      </c>
      <c r="Q385">
        <v>6591327</v>
      </c>
      <c r="R385">
        <v>618336</v>
      </c>
      <c r="S385">
        <v>0</v>
      </c>
      <c r="T385">
        <v>0</v>
      </c>
    </row>
    <row r="386" spans="1:20" x14ac:dyDescent="0.25">
      <c r="A386" t="s">
        <v>112</v>
      </c>
      <c r="B386" t="s">
        <v>216</v>
      </c>
      <c r="C386">
        <v>202408</v>
      </c>
      <c r="D386" s="47" t="str">
        <f>MID(C386,1,4)</f>
        <v>2024</v>
      </c>
      <c r="E386" t="str">
        <f>IF(Portfolio!$M$1=1,CONCATENATE(A386,C386),CONCATENATE(B386,C386))</f>
        <v>PERTAMINA RETAIL202408</v>
      </c>
      <c r="F386">
        <v>598</v>
      </c>
      <c r="G386">
        <v>85656</v>
      </c>
      <c r="H386">
        <v>547</v>
      </c>
      <c r="I386">
        <v>11</v>
      </c>
      <c r="J386">
        <v>773</v>
      </c>
      <c r="K386">
        <v>128060071</v>
      </c>
      <c r="L386">
        <v>19624572076</v>
      </c>
      <c r="M386">
        <v>191479409</v>
      </c>
      <c r="N386">
        <v>1275000</v>
      </c>
      <c r="O386">
        <v>109308289</v>
      </c>
      <c r="P386">
        <v>192090</v>
      </c>
      <c r="Q386">
        <v>98316960</v>
      </c>
      <c r="R386">
        <v>3446629</v>
      </c>
      <c r="S386">
        <v>5100</v>
      </c>
      <c r="T386">
        <v>437234</v>
      </c>
    </row>
    <row r="387" spans="1:20" x14ac:dyDescent="0.25">
      <c r="A387" t="s">
        <v>114</v>
      </c>
      <c r="B387" t="s">
        <v>217</v>
      </c>
      <c r="C387">
        <v>202408</v>
      </c>
      <c r="D387" s="47" t="str">
        <f>MID(C387,1,4)</f>
        <v>2024</v>
      </c>
      <c r="E387" t="str">
        <f>IF(Portfolio!$M$1=1,CONCATENATE(A387,C387),CONCATENATE(B387,C387))</f>
        <v>PIZZA HUT202408</v>
      </c>
      <c r="F387">
        <v>31</v>
      </c>
      <c r="G387">
        <v>0</v>
      </c>
      <c r="H387">
        <v>0</v>
      </c>
      <c r="I387">
        <v>0</v>
      </c>
      <c r="J387">
        <v>0</v>
      </c>
      <c r="K387">
        <v>4961018</v>
      </c>
      <c r="L387">
        <v>0</v>
      </c>
      <c r="M387">
        <v>0</v>
      </c>
      <c r="N387">
        <v>0</v>
      </c>
      <c r="O387">
        <v>0</v>
      </c>
      <c r="P387">
        <v>7441</v>
      </c>
      <c r="Q387">
        <v>0</v>
      </c>
      <c r="R387">
        <v>0</v>
      </c>
      <c r="S387">
        <v>0</v>
      </c>
      <c r="T387">
        <v>0</v>
      </c>
    </row>
    <row r="388" spans="1:20" x14ac:dyDescent="0.25">
      <c r="A388" t="s">
        <v>114</v>
      </c>
      <c r="B388" t="s">
        <v>218</v>
      </c>
      <c r="C388">
        <v>202408</v>
      </c>
      <c r="D388" s="47" t="str">
        <f>MID(C388,1,4)</f>
        <v>2024</v>
      </c>
      <c r="E388" t="str">
        <f>IF(Portfolio!$M$1=1,CONCATENATE(A388,C388),CONCATENATE(B388,C388))</f>
        <v>PIZZA HUT202408</v>
      </c>
      <c r="F388">
        <v>280</v>
      </c>
      <c r="G388">
        <v>0</v>
      </c>
      <c r="H388">
        <v>0</v>
      </c>
      <c r="I388">
        <v>0</v>
      </c>
      <c r="J388">
        <v>0</v>
      </c>
      <c r="K388">
        <v>72793177</v>
      </c>
      <c r="L388">
        <v>0</v>
      </c>
      <c r="M388">
        <v>0</v>
      </c>
      <c r="N388">
        <v>0</v>
      </c>
      <c r="O388">
        <v>0</v>
      </c>
      <c r="P388">
        <v>109189</v>
      </c>
      <c r="Q388">
        <v>0</v>
      </c>
      <c r="R388">
        <v>0</v>
      </c>
      <c r="S388">
        <v>0</v>
      </c>
      <c r="T388">
        <v>0</v>
      </c>
    </row>
    <row r="389" spans="1:20" x14ac:dyDescent="0.25">
      <c r="A389" t="s">
        <v>115</v>
      </c>
      <c r="B389" t="s">
        <v>115</v>
      </c>
      <c r="C389">
        <v>202408</v>
      </c>
      <c r="D389" s="47" t="str">
        <f>MID(C389,1,4)</f>
        <v>2024</v>
      </c>
      <c r="E389" t="str">
        <f>IF(Portfolio!$M$1=1,CONCATENATE(A389,C389),CONCATENATE(B389,C389))</f>
        <v>PLATINUM CINEPLEX202408</v>
      </c>
      <c r="F389">
        <v>19</v>
      </c>
      <c r="G389">
        <v>84</v>
      </c>
      <c r="H389">
        <v>5</v>
      </c>
      <c r="I389">
        <v>18</v>
      </c>
      <c r="J389">
        <v>346</v>
      </c>
      <c r="K389">
        <v>1634000</v>
      </c>
      <c r="L389">
        <v>9508000</v>
      </c>
      <c r="M389">
        <v>3560000</v>
      </c>
      <c r="N389">
        <v>1617000</v>
      </c>
      <c r="O389">
        <v>26893000</v>
      </c>
      <c r="P389">
        <v>2451</v>
      </c>
      <c r="Q389">
        <v>84000</v>
      </c>
      <c r="R389">
        <v>64080</v>
      </c>
      <c r="S389">
        <v>11319</v>
      </c>
      <c r="T389">
        <v>188251</v>
      </c>
    </row>
    <row r="390" spans="1:20" x14ac:dyDescent="0.25">
      <c r="A390" t="s">
        <v>118</v>
      </c>
      <c r="B390" t="s">
        <v>118</v>
      </c>
      <c r="C390">
        <v>202408</v>
      </c>
      <c r="D390" s="47" t="str">
        <f>MID(C390,1,4)</f>
        <v>2024</v>
      </c>
      <c r="E390" t="str">
        <f>IF(Portfolio!$M$1=1,CONCATENATE(A390,C390),CONCATENATE(B390,C390))</f>
        <v>SARINAH202408</v>
      </c>
      <c r="F390">
        <v>16</v>
      </c>
      <c r="G390">
        <v>509</v>
      </c>
      <c r="H390">
        <v>489</v>
      </c>
      <c r="I390">
        <v>0</v>
      </c>
      <c r="J390">
        <v>0</v>
      </c>
      <c r="K390">
        <v>6757610</v>
      </c>
      <c r="L390">
        <v>452841299</v>
      </c>
      <c r="M390">
        <v>537654526</v>
      </c>
      <c r="N390">
        <v>0</v>
      </c>
      <c r="O390">
        <v>0</v>
      </c>
      <c r="P390">
        <v>10136</v>
      </c>
      <c r="Q390">
        <v>3241114</v>
      </c>
      <c r="R390">
        <v>9677781</v>
      </c>
      <c r="S390">
        <v>0</v>
      </c>
      <c r="T390">
        <v>0</v>
      </c>
    </row>
    <row r="391" spans="1:20" x14ac:dyDescent="0.25">
      <c r="A391" t="s">
        <v>120</v>
      </c>
      <c r="B391" t="s">
        <v>120</v>
      </c>
      <c r="C391">
        <v>202408</v>
      </c>
      <c r="D391" s="47" t="str">
        <f>MID(C391,1,4)</f>
        <v>2024</v>
      </c>
      <c r="E391" t="str">
        <f>IF(Portfolio!$M$1=1,CONCATENATE(A391,C391),CONCATENATE(B391,C391))</f>
        <v>SHIHLIN202408</v>
      </c>
      <c r="F391">
        <v>1102</v>
      </c>
      <c r="G391">
        <v>6</v>
      </c>
      <c r="H391">
        <v>1</v>
      </c>
      <c r="I391">
        <v>86</v>
      </c>
      <c r="J391">
        <v>7</v>
      </c>
      <c r="K391">
        <v>85107000</v>
      </c>
      <c r="L391">
        <v>411000</v>
      </c>
      <c r="M391">
        <v>54000</v>
      </c>
      <c r="N391">
        <v>6189000</v>
      </c>
      <c r="O391">
        <v>210047</v>
      </c>
      <c r="P391">
        <v>127660</v>
      </c>
      <c r="Q391">
        <v>3570</v>
      </c>
      <c r="R391">
        <v>972</v>
      </c>
      <c r="S391">
        <v>43323</v>
      </c>
      <c r="T391">
        <v>1470</v>
      </c>
    </row>
    <row r="392" spans="1:20" x14ac:dyDescent="0.25">
      <c r="A392" t="s">
        <v>122</v>
      </c>
      <c r="B392" t="s">
        <v>122</v>
      </c>
      <c r="C392">
        <v>202408</v>
      </c>
      <c r="D392" s="47" t="str">
        <f>MID(C392,1,4)</f>
        <v>2024</v>
      </c>
      <c r="E392" t="str">
        <f>IF(Portfolio!$M$1=1,CONCATENATE(A392,C392),CONCATENATE(B392,C392))</f>
        <v>SOLARIA202408</v>
      </c>
      <c r="F392">
        <v>1802</v>
      </c>
      <c r="G392">
        <v>0</v>
      </c>
      <c r="H392">
        <v>0</v>
      </c>
      <c r="I392">
        <v>0</v>
      </c>
      <c r="J392">
        <v>0</v>
      </c>
      <c r="K392">
        <v>288448200</v>
      </c>
      <c r="L392">
        <v>0</v>
      </c>
      <c r="M392">
        <v>0</v>
      </c>
      <c r="N392">
        <v>0</v>
      </c>
      <c r="O392">
        <v>0</v>
      </c>
      <c r="P392">
        <v>432672</v>
      </c>
      <c r="Q392">
        <v>0</v>
      </c>
      <c r="R392">
        <v>0</v>
      </c>
      <c r="S392">
        <v>0</v>
      </c>
      <c r="T392">
        <v>0</v>
      </c>
    </row>
    <row r="393" spans="1:20" x14ac:dyDescent="0.25">
      <c r="A393" t="s">
        <v>124</v>
      </c>
      <c r="B393" t="s">
        <v>124</v>
      </c>
      <c r="C393">
        <v>202408</v>
      </c>
      <c r="D393" s="47" t="str">
        <f>MID(C393,1,4)</f>
        <v>2024</v>
      </c>
      <c r="E393" t="str">
        <f>IF(Portfolio!$M$1=1,CONCATENATE(A393,C393),CONCATENATE(B393,C393))</f>
        <v>SOUR SALLY202408</v>
      </c>
      <c r="F393">
        <v>7</v>
      </c>
      <c r="G393">
        <v>0</v>
      </c>
      <c r="H393">
        <v>0</v>
      </c>
      <c r="I393">
        <v>0</v>
      </c>
      <c r="J393">
        <v>1</v>
      </c>
      <c r="K393">
        <v>982000</v>
      </c>
      <c r="L393">
        <v>0</v>
      </c>
      <c r="M393">
        <v>0</v>
      </c>
      <c r="N393">
        <v>0</v>
      </c>
      <c r="O393">
        <v>15</v>
      </c>
      <c r="P393">
        <v>1473</v>
      </c>
      <c r="Q393">
        <v>0</v>
      </c>
      <c r="R393">
        <v>0</v>
      </c>
      <c r="S393">
        <v>0</v>
      </c>
      <c r="T393">
        <v>0</v>
      </c>
    </row>
    <row r="394" spans="1:20" x14ac:dyDescent="0.25">
      <c r="A394" t="s">
        <v>126</v>
      </c>
      <c r="B394" t="s">
        <v>220</v>
      </c>
      <c r="C394">
        <v>202408</v>
      </c>
      <c r="D394" s="47" t="str">
        <f>MID(C394,1,4)</f>
        <v>2024</v>
      </c>
      <c r="E394" t="str">
        <f>IF(Portfolio!$M$1=1,CONCATENATE(A394,C394),CONCATENATE(B394,C394))</f>
        <v>STEVEN GROUP202408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22500</v>
      </c>
      <c r="O394">
        <v>0</v>
      </c>
      <c r="P394">
        <v>0</v>
      </c>
      <c r="Q394">
        <v>0</v>
      </c>
      <c r="R394">
        <v>0</v>
      </c>
      <c r="S394">
        <v>68</v>
      </c>
      <c r="T394">
        <v>0</v>
      </c>
    </row>
    <row r="395" spans="1:20" x14ac:dyDescent="0.25">
      <c r="A395" t="s">
        <v>126</v>
      </c>
      <c r="B395" t="s">
        <v>221</v>
      </c>
      <c r="C395">
        <v>202408</v>
      </c>
      <c r="D395" s="47" t="str">
        <f>MID(C395,1,4)</f>
        <v>2024</v>
      </c>
      <c r="E395" t="str">
        <f>IF(Portfolio!$M$1=1,CONCATENATE(A395,C395),CONCATENATE(B395,C395))</f>
        <v>STEVEN GROUP202408</v>
      </c>
      <c r="F395">
        <v>0</v>
      </c>
      <c r="G395">
        <v>0</v>
      </c>
      <c r="H395">
        <v>0</v>
      </c>
      <c r="I395">
        <v>0</v>
      </c>
      <c r="J395">
        <v>25</v>
      </c>
      <c r="K395">
        <v>0</v>
      </c>
      <c r="L395">
        <v>0</v>
      </c>
      <c r="M395">
        <v>0</v>
      </c>
      <c r="N395">
        <v>0</v>
      </c>
      <c r="O395">
        <v>851002</v>
      </c>
      <c r="P395">
        <v>0</v>
      </c>
      <c r="Q395">
        <v>0</v>
      </c>
      <c r="R395">
        <v>0</v>
      </c>
      <c r="S395">
        <v>0</v>
      </c>
      <c r="T395">
        <v>2553</v>
      </c>
    </row>
    <row r="396" spans="1:20" x14ac:dyDescent="0.25">
      <c r="A396" t="s">
        <v>126</v>
      </c>
      <c r="B396" t="s">
        <v>224</v>
      </c>
      <c r="C396">
        <v>202408</v>
      </c>
      <c r="D396" s="47" t="str">
        <f>MID(C396,1,4)</f>
        <v>2024</v>
      </c>
      <c r="E396" t="str">
        <f>IF(Portfolio!$M$1=1,CONCATENATE(A396,C396),CONCATENATE(B396,C396))</f>
        <v>STEVEN GROUP202408</v>
      </c>
      <c r="F396">
        <v>0</v>
      </c>
      <c r="G396">
        <v>0</v>
      </c>
      <c r="H396">
        <v>0</v>
      </c>
      <c r="I396">
        <v>1</v>
      </c>
      <c r="J396">
        <v>2</v>
      </c>
      <c r="K396">
        <v>0</v>
      </c>
      <c r="L396">
        <v>0</v>
      </c>
      <c r="M396">
        <v>0</v>
      </c>
      <c r="N396">
        <v>330000</v>
      </c>
      <c r="O396">
        <v>22500</v>
      </c>
      <c r="P396">
        <v>0</v>
      </c>
      <c r="Q396">
        <v>0</v>
      </c>
      <c r="R396">
        <v>0</v>
      </c>
      <c r="S396">
        <v>990</v>
      </c>
      <c r="T396">
        <v>67</v>
      </c>
    </row>
    <row r="397" spans="1:20" x14ac:dyDescent="0.25">
      <c r="A397" t="s">
        <v>134</v>
      </c>
      <c r="B397" t="s">
        <v>134</v>
      </c>
      <c r="C397">
        <v>202408</v>
      </c>
      <c r="D397" s="47" t="str">
        <f>MID(C397,1,4)</f>
        <v>2024</v>
      </c>
      <c r="E397" t="str">
        <f>IF(Portfolio!$M$1=1,CONCATENATE(A397,C397),CONCATENATE(B397,C397))</f>
        <v>TAMANI202408</v>
      </c>
      <c r="F397">
        <v>2</v>
      </c>
      <c r="G397">
        <v>2</v>
      </c>
      <c r="H397">
        <v>0</v>
      </c>
      <c r="I397">
        <v>0</v>
      </c>
      <c r="J397">
        <v>0</v>
      </c>
      <c r="K397">
        <v>377300</v>
      </c>
      <c r="L397">
        <v>939950</v>
      </c>
      <c r="M397">
        <v>0</v>
      </c>
      <c r="N397">
        <v>0</v>
      </c>
      <c r="O397">
        <v>0</v>
      </c>
      <c r="P397">
        <v>566</v>
      </c>
      <c r="Q397">
        <v>9400</v>
      </c>
      <c r="R397">
        <v>0</v>
      </c>
      <c r="S397">
        <v>0</v>
      </c>
      <c r="T397">
        <v>0</v>
      </c>
    </row>
    <row r="398" spans="1:20" x14ac:dyDescent="0.25">
      <c r="A398" t="s">
        <v>138</v>
      </c>
      <c r="B398" t="s">
        <v>138</v>
      </c>
      <c r="C398">
        <v>202408</v>
      </c>
      <c r="D398" s="47" t="str">
        <f>MID(C398,1,4)</f>
        <v>2024</v>
      </c>
      <c r="E398" t="str">
        <f>IF(Portfolio!$M$1=1,CONCATENATE(A398,C398),CONCATENATE(B398,C398))</f>
        <v>YOSHINOYA202408</v>
      </c>
      <c r="F398">
        <v>14</v>
      </c>
      <c r="G398">
        <v>0</v>
      </c>
      <c r="H398">
        <v>0</v>
      </c>
      <c r="I398">
        <v>0</v>
      </c>
      <c r="J398">
        <v>0</v>
      </c>
      <c r="K398">
        <v>718000</v>
      </c>
      <c r="L398">
        <v>0</v>
      </c>
      <c r="M398">
        <v>0</v>
      </c>
      <c r="N398">
        <v>0</v>
      </c>
      <c r="O398">
        <v>0</v>
      </c>
      <c r="P398">
        <v>1077</v>
      </c>
      <c r="Q398">
        <v>0</v>
      </c>
      <c r="R398">
        <v>0</v>
      </c>
      <c r="S398">
        <v>0</v>
      </c>
      <c r="T398">
        <v>0</v>
      </c>
    </row>
    <row r="399" spans="1:20" x14ac:dyDescent="0.25">
      <c r="A399" t="s">
        <v>67</v>
      </c>
      <c r="B399" t="s">
        <v>68</v>
      </c>
      <c r="C399">
        <v>202409</v>
      </c>
      <c r="D399" s="47" t="str">
        <f>MID(C399,1,4)</f>
        <v>2024</v>
      </c>
      <c r="E399" t="str">
        <f>IF(Portfolio!$M$1=1,CONCATENATE(A399,C399),CONCATENATE(B399,C399))</f>
        <v>ALFA GROUP202409</v>
      </c>
      <c r="F399">
        <v>22785</v>
      </c>
      <c r="G399">
        <v>77924</v>
      </c>
      <c r="H399">
        <v>19834</v>
      </c>
      <c r="I399">
        <v>11</v>
      </c>
      <c r="J399">
        <v>40</v>
      </c>
      <c r="K399">
        <v>2251173800</v>
      </c>
      <c r="L399">
        <v>8147163509</v>
      </c>
      <c r="M399">
        <v>2989267541</v>
      </c>
      <c r="N399">
        <v>89000</v>
      </c>
      <c r="O399">
        <v>1909000</v>
      </c>
      <c r="P399">
        <v>7164789</v>
      </c>
      <c r="Q399">
        <v>74266494</v>
      </c>
      <c r="R399">
        <v>53776590</v>
      </c>
      <c r="S399">
        <v>267</v>
      </c>
      <c r="T399">
        <v>5727</v>
      </c>
    </row>
    <row r="400" spans="1:20" x14ac:dyDescent="0.25">
      <c r="A400" t="s">
        <v>67</v>
      </c>
      <c r="B400" t="s">
        <v>69</v>
      </c>
      <c r="C400">
        <v>202409</v>
      </c>
      <c r="D400" s="47" t="str">
        <f>MID(C400,1,4)</f>
        <v>2024</v>
      </c>
      <c r="E400" t="str">
        <f>IF(Portfolio!$M$1=1,CONCATENATE(A400,C400),CONCATENATE(B400,C400))</f>
        <v>ALFA GROUP202409</v>
      </c>
      <c r="F400">
        <v>13</v>
      </c>
      <c r="G400">
        <v>63</v>
      </c>
      <c r="H400">
        <v>31</v>
      </c>
      <c r="I400">
        <v>0</v>
      </c>
      <c r="J400">
        <v>0</v>
      </c>
      <c r="K400">
        <v>2159011</v>
      </c>
      <c r="L400">
        <v>8033210</v>
      </c>
      <c r="M400">
        <v>8329365</v>
      </c>
      <c r="N400">
        <v>0</v>
      </c>
      <c r="O400">
        <v>0</v>
      </c>
      <c r="P400">
        <v>5789</v>
      </c>
      <c r="Q400">
        <v>60256</v>
      </c>
      <c r="R400">
        <v>149929</v>
      </c>
      <c r="S400">
        <v>0</v>
      </c>
      <c r="T400">
        <v>0</v>
      </c>
    </row>
    <row r="401" spans="1:20" x14ac:dyDescent="0.25">
      <c r="A401" t="s">
        <v>67</v>
      </c>
      <c r="B401" t="s">
        <v>72</v>
      </c>
      <c r="C401">
        <v>202409</v>
      </c>
      <c r="D401" s="47" t="str">
        <f>MID(C401,1,4)</f>
        <v>2024</v>
      </c>
      <c r="E401" t="str">
        <f>IF(Portfolio!$M$1=1,CONCATENATE(A401,C401),CONCATENATE(B401,C401))</f>
        <v>ALFA GROUP202409</v>
      </c>
      <c r="F401">
        <v>474</v>
      </c>
      <c r="G401">
        <v>1394</v>
      </c>
      <c r="H401">
        <v>192</v>
      </c>
      <c r="I401">
        <v>0</v>
      </c>
      <c r="J401">
        <v>0</v>
      </c>
      <c r="K401">
        <v>73174755</v>
      </c>
      <c r="L401">
        <v>219556464</v>
      </c>
      <c r="M401">
        <v>34862398</v>
      </c>
      <c r="N401">
        <v>0</v>
      </c>
      <c r="O401">
        <v>0</v>
      </c>
      <c r="P401">
        <v>256246</v>
      </c>
      <c r="Q401">
        <v>2110843</v>
      </c>
      <c r="R401">
        <v>622208</v>
      </c>
      <c r="S401">
        <v>0</v>
      </c>
      <c r="T401">
        <v>0</v>
      </c>
    </row>
    <row r="402" spans="1:20" x14ac:dyDescent="0.25">
      <c r="A402" t="s">
        <v>70</v>
      </c>
      <c r="B402" t="s">
        <v>70</v>
      </c>
      <c r="C402">
        <v>202409</v>
      </c>
      <c r="D402" s="47" t="str">
        <f>MID(C402,1,4)</f>
        <v>2024</v>
      </c>
      <c r="E402" t="str">
        <f>IF(Portfolio!$M$1=1,CONCATENATE(A402,C402),CONCATENATE(B402,C402))</f>
        <v>ANCOL202409</v>
      </c>
      <c r="F402">
        <v>2</v>
      </c>
      <c r="G402">
        <v>3</v>
      </c>
      <c r="H402">
        <v>1</v>
      </c>
      <c r="I402">
        <v>0</v>
      </c>
      <c r="J402">
        <v>1</v>
      </c>
      <c r="K402">
        <v>67900</v>
      </c>
      <c r="L402">
        <v>621800</v>
      </c>
      <c r="M402">
        <v>104000</v>
      </c>
      <c r="N402">
        <v>0</v>
      </c>
      <c r="O402">
        <v>1000</v>
      </c>
      <c r="P402">
        <v>732</v>
      </c>
      <c r="Q402">
        <v>4693</v>
      </c>
      <c r="R402">
        <v>1716</v>
      </c>
      <c r="S402">
        <v>0</v>
      </c>
      <c r="T402">
        <v>3</v>
      </c>
    </row>
    <row r="403" spans="1:20" x14ac:dyDescent="0.25">
      <c r="A403" t="s">
        <v>73</v>
      </c>
      <c r="B403" t="s">
        <v>73</v>
      </c>
      <c r="C403">
        <v>202409</v>
      </c>
      <c r="D403" s="47" t="str">
        <f>MID(C403,1,4)</f>
        <v>2024</v>
      </c>
      <c r="E403" t="str">
        <f>IF(Portfolio!$M$1=1,CONCATENATE(A403,C403),CONCATENATE(B403,C403))</f>
        <v>BANBAN TEA202409</v>
      </c>
      <c r="F403">
        <v>94</v>
      </c>
      <c r="G403">
        <v>0</v>
      </c>
      <c r="H403">
        <v>0</v>
      </c>
      <c r="I403">
        <v>89</v>
      </c>
      <c r="J403">
        <v>3</v>
      </c>
      <c r="K403">
        <v>6429590</v>
      </c>
      <c r="L403">
        <v>0</v>
      </c>
      <c r="M403">
        <v>0</v>
      </c>
      <c r="N403">
        <v>6499092</v>
      </c>
      <c r="O403">
        <v>317300</v>
      </c>
      <c r="P403">
        <v>18556</v>
      </c>
      <c r="Q403">
        <v>0</v>
      </c>
      <c r="R403">
        <v>0</v>
      </c>
      <c r="S403">
        <v>45489</v>
      </c>
      <c r="T403">
        <v>2221</v>
      </c>
    </row>
    <row r="404" spans="1:20" x14ac:dyDescent="0.25">
      <c r="A404" t="s">
        <v>75</v>
      </c>
      <c r="B404" t="s">
        <v>77</v>
      </c>
      <c r="C404">
        <v>202409</v>
      </c>
      <c r="D404" s="47" t="str">
        <f>MID(C404,1,4)</f>
        <v>2024</v>
      </c>
      <c r="E404" t="str">
        <f>IF(Portfolio!$M$1=1,CONCATENATE(A404,C404),CONCATENATE(B404,C404))</f>
        <v>CHAMP RESTO202409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69000</v>
      </c>
      <c r="M404">
        <v>0</v>
      </c>
      <c r="N404">
        <v>0</v>
      </c>
      <c r="O404">
        <v>0</v>
      </c>
      <c r="P404">
        <v>0</v>
      </c>
      <c r="Q404">
        <v>690</v>
      </c>
      <c r="R404">
        <v>0</v>
      </c>
      <c r="S404">
        <v>0</v>
      </c>
      <c r="T404">
        <v>0</v>
      </c>
    </row>
    <row r="405" spans="1:20" x14ac:dyDescent="0.25">
      <c r="A405" t="s">
        <v>75</v>
      </c>
      <c r="B405" t="s">
        <v>79</v>
      </c>
      <c r="C405">
        <v>202409</v>
      </c>
      <c r="D405" s="47" t="str">
        <f>MID(C405,1,4)</f>
        <v>2024</v>
      </c>
      <c r="E405" t="str">
        <f>IF(Portfolio!$M$1=1,CONCATENATE(A405,C405),CONCATENATE(B405,C405))</f>
        <v>CHAMP RESTO202409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523762</v>
      </c>
      <c r="M405">
        <v>0</v>
      </c>
      <c r="N405">
        <v>0</v>
      </c>
      <c r="O405">
        <v>0</v>
      </c>
      <c r="P405">
        <v>0</v>
      </c>
      <c r="Q405">
        <v>5238</v>
      </c>
      <c r="R405">
        <v>0</v>
      </c>
      <c r="S405">
        <v>0</v>
      </c>
      <c r="T405">
        <v>0</v>
      </c>
    </row>
    <row r="406" spans="1:20" x14ac:dyDescent="0.25">
      <c r="A406" t="s">
        <v>75</v>
      </c>
      <c r="B406" t="s">
        <v>83</v>
      </c>
      <c r="C406">
        <v>202409</v>
      </c>
      <c r="D406" s="47" t="str">
        <f>MID(C406,1,4)</f>
        <v>2024</v>
      </c>
      <c r="E406" t="str">
        <f>IF(Portfolio!$M$1=1,CONCATENATE(A406,C406),CONCATENATE(B406,C406))</f>
        <v>CHAMP RESTO202409</v>
      </c>
      <c r="F406">
        <v>0</v>
      </c>
      <c r="G406">
        <v>0</v>
      </c>
      <c r="H406">
        <v>1</v>
      </c>
      <c r="I406">
        <v>4</v>
      </c>
      <c r="J406">
        <v>60</v>
      </c>
      <c r="K406">
        <v>0</v>
      </c>
      <c r="L406">
        <v>0</v>
      </c>
      <c r="M406">
        <v>62500</v>
      </c>
      <c r="N406">
        <v>68400</v>
      </c>
      <c r="O406">
        <v>3685400</v>
      </c>
      <c r="P406">
        <v>0</v>
      </c>
      <c r="Q406">
        <v>0</v>
      </c>
      <c r="R406">
        <v>1125</v>
      </c>
      <c r="S406">
        <v>205</v>
      </c>
      <c r="T406">
        <v>21028</v>
      </c>
    </row>
    <row r="407" spans="1:20" x14ac:dyDescent="0.25">
      <c r="A407" t="s">
        <v>75</v>
      </c>
      <c r="B407" t="s">
        <v>85</v>
      </c>
      <c r="C407">
        <v>202409</v>
      </c>
      <c r="D407" s="47" t="str">
        <f>MID(C407,1,4)</f>
        <v>2024</v>
      </c>
      <c r="E407" t="str">
        <f>IF(Portfolio!$M$1=1,CONCATENATE(A407,C407),CONCATENATE(B407,C407))</f>
        <v>CHAMP RESTO202409</v>
      </c>
      <c r="F407">
        <v>8</v>
      </c>
      <c r="G407">
        <v>41</v>
      </c>
      <c r="H407">
        <v>0</v>
      </c>
      <c r="I407">
        <v>0</v>
      </c>
      <c r="J407">
        <v>0</v>
      </c>
      <c r="K407">
        <v>1423978</v>
      </c>
      <c r="L407">
        <v>6858909</v>
      </c>
      <c r="M407">
        <v>0</v>
      </c>
      <c r="N407">
        <v>0</v>
      </c>
      <c r="O407">
        <v>0</v>
      </c>
      <c r="P407">
        <v>10750</v>
      </c>
      <c r="Q407">
        <v>68589</v>
      </c>
      <c r="R407">
        <v>0</v>
      </c>
      <c r="S407">
        <v>0</v>
      </c>
      <c r="T407">
        <v>0</v>
      </c>
    </row>
    <row r="408" spans="1:20" x14ac:dyDescent="0.25">
      <c r="A408" t="s">
        <v>75</v>
      </c>
      <c r="B408" t="s">
        <v>91</v>
      </c>
      <c r="C408">
        <v>202409</v>
      </c>
      <c r="D408" s="47" t="str">
        <f>MID(C408,1,4)</f>
        <v>2024</v>
      </c>
      <c r="E408" t="str">
        <f>IF(Portfolio!$M$1=1,CONCATENATE(A408,C408),CONCATENATE(B408,C408))</f>
        <v>CHAMP RESTO202409</v>
      </c>
      <c r="F408">
        <v>5</v>
      </c>
      <c r="G408">
        <v>20</v>
      </c>
      <c r="H408">
        <v>1</v>
      </c>
      <c r="I408">
        <v>0</v>
      </c>
      <c r="J408">
        <v>0</v>
      </c>
      <c r="K408">
        <v>1082170</v>
      </c>
      <c r="L408">
        <v>4568324</v>
      </c>
      <c r="M408">
        <v>82775</v>
      </c>
      <c r="N408">
        <v>0</v>
      </c>
      <c r="O408">
        <v>0</v>
      </c>
      <c r="P408">
        <v>8480</v>
      </c>
      <c r="Q408">
        <v>45683</v>
      </c>
      <c r="R408">
        <v>1490</v>
      </c>
      <c r="S408">
        <v>0</v>
      </c>
      <c r="T408">
        <v>0</v>
      </c>
    </row>
    <row r="409" spans="1:20" x14ac:dyDescent="0.25">
      <c r="A409" t="s">
        <v>75</v>
      </c>
      <c r="B409" t="s">
        <v>93</v>
      </c>
      <c r="C409">
        <v>202409</v>
      </c>
      <c r="D409" s="47" t="str">
        <f>MID(C409,1,4)</f>
        <v>2024</v>
      </c>
      <c r="E409" t="str">
        <f>IF(Portfolio!$M$1=1,CONCATENATE(A409,C409),CONCATENATE(B409,C409))</f>
        <v>CHAMP RESTO202409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1384000</v>
      </c>
      <c r="M409">
        <v>0</v>
      </c>
      <c r="N409">
        <v>0</v>
      </c>
      <c r="O409">
        <v>0</v>
      </c>
      <c r="P409">
        <v>0</v>
      </c>
      <c r="Q409">
        <v>13840</v>
      </c>
      <c r="R409">
        <v>0</v>
      </c>
      <c r="S409">
        <v>0</v>
      </c>
      <c r="T409">
        <v>0</v>
      </c>
    </row>
    <row r="410" spans="1:20" x14ac:dyDescent="0.25">
      <c r="A410" t="s">
        <v>75</v>
      </c>
      <c r="B410" t="s">
        <v>95</v>
      </c>
      <c r="C410">
        <v>202409</v>
      </c>
      <c r="D410" s="47" t="str">
        <f>MID(C410,1,4)</f>
        <v>2024</v>
      </c>
      <c r="E410" t="str">
        <f>IF(Portfolio!$M$1=1,CONCATENATE(A410,C410),CONCATENATE(B410,C410))</f>
        <v>CHAMP RESTO202409</v>
      </c>
      <c r="F410">
        <v>7</v>
      </c>
      <c r="G410">
        <v>4</v>
      </c>
      <c r="H410">
        <v>0</v>
      </c>
      <c r="I410">
        <v>0</v>
      </c>
      <c r="J410">
        <v>0</v>
      </c>
      <c r="K410">
        <v>1849500</v>
      </c>
      <c r="L410">
        <v>1297507</v>
      </c>
      <c r="M410">
        <v>0</v>
      </c>
      <c r="N410">
        <v>0</v>
      </c>
      <c r="O410">
        <v>0</v>
      </c>
      <c r="P410">
        <v>2774</v>
      </c>
      <c r="Q410">
        <v>12975</v>
      </c>
      <c r="R410">
        <v>0</v>
      </c>
      <c r="S410">
        <v>0</v>
      </c>
      <c r="T410">
        <v>0</v>
      </c>
    </row>
    <row r="411" spans="1:20" x14ac:dyDescent="0.25">
      <c r="A411" t="s">
        <v>84</v>
      </c>
      <c r="B411" t="s">
        <v>84</v>
      </c>
      <c r="C411">
        <v>202409</v>
      </c>
      <c r="D411" s="47" t="str">
        <f>MID(C411,1,4)</f>
        <v>2024</v>
      </c>
      <c r="E411" t="str">
        <f>IF(Portfolio!$M$1=1,CONCATENATE(A411,C411),CONCATENATE(B411,C411))</f>
        <v>ES TELLER 77202409</v>
      </c>
      <c r="F411">
        <v>1</v>
      </c>
      <c r="G411">
        <v>6</v>
      </c>
      <c r="H411">
        <v>0</v>
      </c>
      <c r="I411">
        <v>0</v>
      </c>
      <c r="J411">
        <v>2</v>
      </c>
      <c r="K411">
        <v>143000</v>
      </c>
      <c r="L411">
        <v>679000</v>
      </c>
      <c r="M411">
        <v>0</v>
      </c>
      <c r="N411">
        <v>0</v>
      </c>
      <c r="O411">
        <v>120014</v>
      </c>
      <c r="P411">
        <v>214</v>
      </c>
      <c r="Q411">
        <v>6790</v>
      </c>
      <c r="R411">
        <v>0</v>
      </c>
      <c r="S411">
        <v>0</v>
      </c>
      <c r="T411">
        <v>840</v>
      </c>
    </row>
    <row r="412" spans="1:20" x14ac:dyDescent="0.25">
      <c r="A412" t="s">
        <v>86</v>
      </c>
      <c r="B412" t="s">
        <v>86</v>
      </c>
      <c r="C412">
        <v>202409</v>
      </c>
      <c r="D412" s="47" t="str">
        <f>MID(C412,1,4)</f>
        <v>2024</v>
      </c>
      <c r="E412" t="str">
        <f>IF(Portfolio!$M$1=1,CONCATENATE(A412,C412),CONCATENATE(B412,C412))</f>
        <v>GRAMEDIA202409</v>
      </c>
      <c r="F412">
        <v>47</v>
      </c>
      <c r="G412">
        <v>1611</v>
      </c>
      <c r="H412">
        <v>181</v>
      </c>
      <c r="I412">
        <v>39</v>
      </c>
      <c r="J412">
        <v>4077</v>
      </c>
      <c r="K412">
        <v>15481987</v>
      </c>
      <c r="L412">
        <v>407480202</v>
      </c>
      <c r="M412">
        <v>65222235</v>
      </c>
      <c r="N412">
        <v>10523441</v>
      </c>
      <c r="O412">
        <v>663878543</v>
      </c>
      <c r="P412">
        <v>54754</v>
      </c>
      <c r="Q412">
        <v>3980798</v>
      </c>
      <c r="R412">
        <v>1174000</v>
      </c>
      <c r="S412">
        <v>73665</v>
      </c>
      <c r="T412">
        <v>4647143</v>
      </c>
    </row>
    <row r="413" spans="1:20" x14ac:dyDescent="0.25">
      <c r="A413" t="s">
        <v>88</v>
      </c>
      <c r="B413" t="s">
        <v>88</v>
      </c>
      <c r="C413">
        <v>202409</v>
      </c>
      <c r="D413" s="47" t="str">
        <f>MID(C413,1,4)</f>
        <v>2024</v>
      </c>
      <c r="E413" t="str">
        <f>IF(Portfolio!$M$1=1,CONCATENATE(A413,C413),CONCATENATE(B413,C413))</f>
        <v>HAUS202409</v>
      </c>
      <c r="F413">
        <v>1</v>
      </c>
      <c r="G413">
        <v>27</v>
      </c>
      <c r="H413">
        <v>0</v>
      </c>
      <c r="I413">
        <v>4</v>
      </c>
      <c r="J413">
        <v>370</v>
      </c>
      <c r="K413">
        <v>41000</v>
      </c>
      <c r="L413">
        <v>1327997</v>
      </c>
      <c r="M413">
        <v>0</v>
      </c>
      <c r="N413">
        <v>195500</v>
      </c>
      <c r="O413">
        <v>16888800</v>
      </c>
      <c r="P413">
        <v>62</v>
      </c>
      <c r="Q413">
        <v>13280</v>
      </c>
      <c r="R413">
        <v>0</v>
      </c>
      <c r="S413">
        <v>587</v>
      </c>
      <c r="T413">
        <v>50666</v>
      </c>
    </row>
    <row r="414" spans="1:20" x14ac:dyDescent="0.25">
      <c r="A414" t="s">
        <v>90</v>
      </c>
      <c r="B414" t="s">
        <v>90</v>
      </c>
      <c r="C414">
        <v>202409</v>
      </c>
      <c r="D414" s="47" t="str">
        <f>MID(C414,1,4)</f>
        <v>2024</v>
      </c>
      <c r="E414" t="str">
        <f>IF(Portfolio!$M$1=1,CONCATENATE(A414,C414),CONCATENATE(B414,C414))</f>
        <v>HEAVENLY WANG202409</v>
      </c>
      <c r="F414">
        <v>1</v>
      </c>
      <c r="G414">
        <v>1</v>
      </c>
      <c r="H414">
        <v>0</v>
      </c>
      <c r="I414">
        <v>0</v>
      </c>
      <c r="J414">
        <v>0</v>
      </c>
      <c r="K414">
        <v>104100</v>
      </c>
      <c r="L414">
        <v>221760</v>
      </c>
      <c r="M414">
        <v>0</v>
      </c>
      <c r="N414">
        <v>0</v>
      </c>
      <c r="O414">
        <v>0</v>
      </c>
      <c r="P414">
        <v>156</v>
      </c>
      <c r="Q414">
        <v>2218</v>
      </c>
      <c r="R414">
        <v>0</v>
      </c>
      <c r="S414">
        <v>0</v>
      </c>
      <c r="T414">
        <v>0</v>
      </c>
    </row>
    <row r="415" spans="1:20" x14ac:dyDescent="0.25">
      <c r="A415" t="s">
        <v>92</v>
      </c>
      <c r="B415" t="s">
        <v>108</v>
      </c>
      <c r="C415">
        <v>202409</v>
      </c>
      <c r="D415" s="47" t="str">
        <f>MID(C415,1,4)</f>
        <v>2024</v>
      </c>
      <c r="E415" t="str">
        <f>IF(Portfolio!$M$1=1,CONCATENATE(A415,C415),CONCATENATE(B415,C415))</f>
        <v>HERO GROUP202409</v>
      </c>
      <c r="F415">
        <v>43</v>
      </c>
      <c r="G415">
        <v>11</v>
      </c>
      <c r="H415">
        <v>4</v>
      </c>
      <c r="I415">
        <v>1</v>
      </c>
      <c r="J415">
        <v>150</v>
      </c>
      <c r="K415">
        <v>21491834</v>
      </c>
      <c r="L415">
        <v>4607077</v>
      </c>
      <c r="M415">
        <v>2319401</v>
      </c>
      <c r="N415">
        <v>31000</v>
      </c>
      <c r="O415">
        <v>4817000</v>
      </c>
      <c r="P415">
        <v>82852</v>
      </c>
      <c r="Q415">
        <v>46071</v>
      </c>
      <c r="R415">
        <v>46388</v>
      </c>
      <c r="S415">
        <v>93</v>
      </c>
      <c r="T415">
        <v>14451</v>
      </c>
    </row>
    <row r="416" spans="1:20" x14ac:dyDescent="0.25">
      <c r="A416" t="s">
        <v>96</v>
      </c>
      <c r="B416" t="s">
        <v>96</v>
      </c>
      <c r="C416">
        <v>202409</v>
      </c>
      <c r="D416" s="47" t="str">
        <f>MID(C416,1,4)</f>
        <v>2024</v>
      </c>
      <c r="E416" t="str">
        <f>IF(Portfolio!$M$1=1,CONCATENATE(A416,C416),CONCATENATE(B416,C416))</f>
        <v>HOKKAIDO BAKED CHEESE202409</v>
      </c>
      <c r="F416">
        <v>44</v>
      </c>
      <c r="G416">
        <v>488</v>
      </c>
      <c r="H416">
        <v>10</v>
      </c>
      <c r="I416">
        <v>104</v>
      </c>
      <c r="J416">
        <v>2154</v>
      </c>
      <c r="K416">
        <v>4622208</v>
      </c>
      <c r="L416">
        <v>49748871</v>
      </c>
      <c r="M416">
        <v>886000</v>
      </c>
      <c r="N416">
        <v>11875411</v>
      </c>
      <c r="O416">
        <v>174741145</v>
      </c>
      <c r="P416">
        <v>11801</v>
      </c>
      <c r="Q416">
        <v>497489</v>
      </c>
      <c r="R416">
        <v>15948</v>
      </c>
      <c r="S416">
        <v>81412</v>
      </c>
      <c r="T416">
        <v>1184324</v>
      </c>
    </row>
    <row r="417" spans="1:20" x14ac:dyDescent="0.25">
      <c r="A417" t="s">
        <v>97</v>
      </c>
      <c r="B417" t="s">
        <v>97</v>
      </c>
      <c r="C417">
        <v>202409</v>
      </c>
      <c r="D417" s="47" t="str">
        <f>MID(C417,1,4)</f>
        <v>2024</v>
      </c>
      <c r="E417" t="str">
        <f>IF(Portfolio!$M$1=1,CONCATENATE(A417,C417),CONCATENATE(B417,C417))</f>
        <v>HOP HOP202409</v>
      </c>
      <c r="F417">
        <v>0</v>
      </c>
      <c r="G417">
        <v>0</v>
      </c>
      <c r="H417">
        <v>0</v>
      </c>
      <c r="I417">
        <v>2</v>
      </c>
      <c r="J417">
        <v>1024</v>
      </c>
      <c r="K417">
        <v>0</v>
      </c>
      <c r="L417">
        <v>0</v>
      </c>
      <c r="M417">
        <v>0</v>
      </c>
      <c r="N417">
        <v>55000</v>
      </c>
      <c r="O417">
        <v>38201002</v>
      </c>
      <c r="P417">
        <v>0</v>
      </c>
      <c r="Q417">
        <v>0</v>
      </c>
      <c r="R417">
        <v>0</v>
      </c>
      <c r="S417">
        <v>385</v>
      </c>
      <c r="T417">
        <v>247675</v>
      </c>
    </row>
    <row r="418" spans="1:20" x14ac:dyDescent="0.25">
      <c r="A418" t="s">
        <v>99</v>
      </c>
      <c r="B418" t="s">
        <v>99</v>
      </c>
      <c r="C418">
        <v>202409</v>
      </c>
      <c r="D418" s="47" t="str">
        <f>MID(C418,1,4)</f>
        <v>2024</v>
      </c>
      <c r="E418" t="str">
        <f>IF(Portfolio!$M$1=1,CONCATENATE(A418,C418),CONCATENATE(B418,C418))</f>
        <v>IKEA202409</v>
      </c>
      <c r="F418">
        <v>32</v>
      </c>
      <c r="G418">
        <v>0</v>
      </c>
      <c r="H418">
        <v>0</v>
      </c>
      <c r="I418">
        <v>0</v>
      </c>
      <c r="J418">
        <v>0</v>
      </c>
      <c r="K418">
        <v>30217993</v>
      </c>
      <c r="L418">
        <v>0</v>
      </c>
      <c r="M418">
        <v>0</v>
      </c>
      <c r="N418">
        <v>0</v>
      </c>
      <c r="O418">
        <v>0</v>
      </c>
      <c r="P418">
        <v>128459</v>
      </c>
      <c r="Q418">
        <v>0</v>
      </c>
      <c r="R418">
        <v>0</v>
      </c>
      <c r="S418">
        <v>0</v>
      </c>
      <c r="T418">
        <v>0</v>
      </c>
    </row>
    <row r="419" spans="1:20" x14ac:dyDescent="0.25">
      <c r="A419" t="s">
        <v>101</v>
      </c>
      <c r="B419" t="s">
        <v>101</v>
      </c>
      <c r="C419">
        <v>202409</v>
      </c>
      <c r="D419" s="47" t="str">
        <f>MID(C419,1,4)</f>
        <v>2024</v>
      </c>
      <c r="E419" t="str">
        <f>IF(Portfolio!$M$1=1,CONCATENATE(A419,C419),CONCATENATE(B419,C419))</f>
        <v>INDOMARET202409</v>
      </c>
      <c r="F419">
        <v>31884</v>
      </c>
      <c r="G419">
        <v>78365</v>
      </c>
      <c r="H419">
        <v>14616</v>
      </c>
      <c r="I419">
        <v>7</v>
      </c>
      <c r="J419">
        <v>508</v>
      </c>
      <c r="K419">
        <v>3349617355</v>
      </c>
      <c r="L419">
        <v>7218660582</v>
      </c>
      <c r="M419">
        <v>2101761576</v>
      </c>
      <c r="N419">
        <v>279600</v>
      </c>
      <c r="O419">
        <v>19181281</v>
      </c>
      <c r="P419">
        <v>9648346</v>
      </c>
      <c r="Q419">
        <v>66265113</v>
      </c>
      <c r="R419">
        <v>35166444</v>
      </c>
      <c r="S419">
        <v>1956</v>
      </c>
      <c r="T419">
        <v>134269</v>
      </c>
    </row>
    <row r="420" spans="1:20" x14ac:dyDescent="0.25">
      <c r="A420" t="s">
        <v>101</v>
      </c>
      <c r="B420" t="s">
        <v>117</v>
      </c>
      <c r="C420">
        <v>202409</v>
      </c>
      <c r="D420" s="47" t="str">
        <f>MID(C420,1,4)</f>
        <v>2024</v>
      </c>
      <c r="E420" t="str">
        <f>IF(Portfolio!$M$1=1,CONCATENATE(A420,C420),CONCATENATE(B420,C420))</f>
        <v>INDOMARET202409</v>
      </c>
      <c r="F420">
        <v>147</v>
      </c>
      <c r="G420">
        <v>313</v>
      </c>
      <c r="H420">
        <v>64</v>
      </c>
      <c r="I420">
        <v>0</v>
      </c>
      <c r="J420">
        <v>0</v>
      </c>
      <c r="K420">
        <v>9172700</v>
      </c>
      <c r="L420">
        <v>25103300</v>
      </c>
      <c r="M420">
        <v>9817400</v>
      </c>
      <c r="N420">
        <v>0</v>
      </c>
      <c r="O420">
        <v>0</v>
      </c>
      <c r="P420">
        <v>25842</v>
      </c>
      <c r="Q420">
        <v>222522</v>
      </c>
      <c r="R420">
        <v>161987</v>
      </c>
      <c r="S420">
        <v>0</v>
      </c>
      <c r="T420">
        <v>0</v>
      </c>
    </row>
    <row r="421" spans="1:20" x14ac:dyDescent="0.25">
      <c r="A421" t="s">
        <v>102</v>
      </c>
      <c r="B421" t="s">
        <v>121</v>
      </c>
      <c r="C421">
        <v>202409</v>
      </c>
      <c r="D421" s="47" t="str">
        <f>MID(C421,1,4)</f>
        <v>2024</v>
      </c>
      <c r="E421" t="str">
        <f>IF(Portfolio!$M$1=1,CONCATENATE(A421,C421),CONCATENATE(B421,C421))</f>
        <v>KAWAN LAMA202409</v>
      </c>
      <c r="F421">
        <v>8</v>
      </c>
      <c r="G421">
        <v>0</v>
      </c>
      <c r="H421">
        <v>0</v>
      </c>
      <c r="I421">
        <v>0</v>
      </c>
      <c r="J421">
        <v>0</v>
      </c>
      <c r="K421">
        <v>1434900</v>
      </c>
      <c r="L421">
        <v>0</v>
      </c>
      <c r="M421">
        <v>0</v>
      </c>
      <c r="N421">
        <v>0</v>
      </c>
      <c r="O421">
        <v>0</v>
      </c>
      <c r="P421">
        <v>9610</v>
      </c>
      <c r="Q421">
        <v>0</v>
      </c>
      <c r="R421">
        <v>0</v>
      </c>
      <c r="S421">
        <v>0</v>
      </c>
      <c r="T421">
        <v>0</v>
      </c>
    </row>
    <row r="422" spans="1:20" x14ac:dyDescent="0.25">
      <c r="A422" t="s">
        <v>102</v>
      </c>
      <c r="B422" t="s">
        <v>123</v>
      </c>
      <c r="C422">
        <v>202409</v>
      </c>
      <c r="D422" s="47" t="str">
        <f>MID(C422,1,4)</f>
        <v>2024</v>
      </c>
      <c r="E422" t="str">
        <f>IF(Portfolio!$M$1=1,CONCATENATE(A422,C422),CONCATENATE(B422,C422))</f>
        <v>KAWAN LAMA202409</v>
      </c>
      <c r="F422">
        <v>1553</v>
      </c>
      <c r="G422">
        <v>196</v>
      </c>
      <c r="H422">
        <v>330</v>
      </c>
      <c r="I422">
        <v>0</v>
      </c>
      <c r="J422">
        <v>0</v>
      </c>
      <c r="K422">
        <v>1662429950</v>
      </c>
      <c r="L422">
        <v>146517784</v>
      </c>
      <c r="M422">
        <v>250699941</v>
      </c>
      <c r="N422">
        <v>0</v>
      </c>
      <c r="O422">
        <v>0</v>
      </c>
      <c r="P422">
        <v>7297008</v>
      </c>
      <c r="Q422">
        <v>738755</v>
      </c>
      <c r="R422">
        <v>5013999</v>
      </c>
      <c r="S422">
        <v>0</v>
      </c>
      <c r="T422">
        <v>0</v>
      </c>
    </row>
    <row r="423" spans="1:20" x14ac:dyDescent="0.25">
      <c r="A423" t="s">
        <v>102</v>
      </c>
      <c r="B423" t="s">
        <v>125</v>
      </c>
      <c r="C423">
        <v>202409</v>
      </c>
      <c r="D423" s="47" t="str">
        <f>MID(C423,1,4)</f>
        <v>2024</v>
      </c>
      <c r="E423" t="str">
        <f>IF(Portfolio!$M$1=1,CONCATENATE(A423,C423),CONCATENATE(B423,C423))</f>
        <v>KAWAN LAMA202409</v>
      </c>
      <c r="F423">
        <v>561</v>
      </c>
      <c r="G423">
        <v>0</v>
      </c>
      <c r="H423">
        <v>0</v>
      </c>
      <c r="I423">
        <v>0</v>
      </c>
      <c r="J423">
        <v>0</v>
      </c>
      <c r="K423">
        <v>33531000</v>
      </c>
      <c r="L423">
        <v>0</v>
      </c>
      <c r="M423">
        <v>0</v>
      </c>
      <c r="N423">
        <v>0</v>
      </c>
      <c r="O423">
        <v>0</v>
      </c>
      <c r="P423">
        <v>101726</v>
      </c>
      <c r="Q423">
        <v>0</v>
      </c>
      <c r="R423">
        <v>0</v>
      </c>
      <c r="S423">
        <v>0</v>
      </c>
      <c r="T423">
        <v>0</v>
      </c>
    </row>
    <row r="424" spans="1:20" x14ac:dyDescent="0.25">
      <c r="A424" t="s">
        <v>102</v>
      </c>
      <c r="B424" t="s">
        <v>127</v>
      </c>
      <c r="C424">
        <v>202409</v>
      </c>
      <c r="D424" s="47" t="str">
        <f>MID(C424,1,4)</f>
        <v>2024</v>
      </c>
      <c r="E424" t="str">
        <f>IF(Portfolio!$M$1=1,CONCATENATE(A424,C424),CONCATENATE(B424,C424))</f>
        <v>KAWAN LAMA202409</v>
      </c>
      <c r="F424">
        <v>5</v>
      </c>
      <c r="G424">
        <v>0</v>
      </c>
      <c r="H424">
        <v>0</v>
      </c>
      <c r="I424">
        <v>0</v>
      </c>
      <c r="J424">
        <v>0</v>
      </c>
      <c r="K424">
        <v>301000</v>
      </c>
      <c r="L424">
        <v>0</v>
      </c>
      <c r="M424">
        <v>0</v>
      </c>
      <c r="N424">
        <v>0</v>
      </c>
      <c r="O424">
        <v>0</v>
      </c>
      <c r="P424">
        <v>3689</v>
      </c>
      <c r="Q424">
        <v>0</v>
      </c>
      <c r="R424">
        <v>0</v>
      </c>
      <c r="S424">
        <v>0</v>
      </c>
      <c r="T424">
        <v>0</v>
      </c>
    </row>
    <row r="425" spans="1:20" x14ac:dyDescent="0.25">
      <c r="A425" t="s">
        <v>102</v>
      </c>
      <c r="B425" t="s">
        <v>131</v>
      </c>
      <c r="C425">
        <v>202409</v>
      </c>
      <c r="D425" s="47" t="str">
        <f>MID(C425,1,4)</f>
        <v>2024</v>
      </c>
      <c r="E425" t="str">
        <f>IF(Portfolio!$M$1=1,CONCATENATE(A425,C425),CONCATENATE(B425,C425))</f>
        <v>KAWAN LAMA202409</v>
      </c>
      <c r="F425">
        <v>14</v>
      </c>
      <c r="G425">
        <v>0</v>
      </c>
      <c r="H425">
        <v>0</v>
      </c>
      <c r="I425">
        <v>0</v>
      </c>
      <c r="J425">
        <v>0</v>
      </c>
      <c r="K425">
        <v>1584000</v>
      </c>
      <c r="L425">
        <v>0</v>
      </c>
      <c r="M425">
        <v>0</v>
      </c>
      <c r="N425">
        <v>0</v>
      </c>
      <c r="O425">
        <v>0</v>
      </c>
      <c r="P425">
        <v>3282</v>
      </c>
      <c r="Q425">
        <v>0</v>
      </c>
      <c r="R425">
        <v>0</v>
      </c>
      <c r="S425">
        <v>0</v>
      </c>
      <c r="T425">
        <v>0</v>
      </c>
    </row>
    <row r="426" spans="1:20" x14ac:dyDescent="0.25">
      <c r="A426" t="s">
        <v>102</v>
      </c>
      <c r="B426" t="s">
        <v>133</v>
      </c>
      <c r="C426">
        <v>202409</v>
      </c>
      <c r="D426" s="47" t="str">
        <f>MID(C426,1,4)</f>
        <v>2024</v>
      </c>
      <c r="E426" t="str">
        <f>IF(Portfolio!$M$1=1,CONCATENATE(A426,C426),CONCATENATE(B426,C426))</f>
        <v>KAWAN LAMA202409</v>
      </c>
      <c r="F426">
        <v>11</v>
      </c>
      <c r="G426">
        <v>0</v>
      </c>
      <c r="H426">
        <v>0</v>
      </c>
      <c r="I426">
        <v>0</v>
      </c>
      <c r="J426">
        <v>0</v>
      </c>
      <c r="K426">
        <v>2018000</v>
      </c>
      <c r="L426">
        <v>0</v>
      </c>
      <c r="M426">
        <v>0</v>
      </c>
      <c r="N426">
        <v>0</v>
      </c>
      <c r="O426">
        <v>0</v>
      </c>
      <c r="P426">
        <v>7892</v>
      </c>
      <c r="Q426">
        <v>0</v>
      </c>
      <c r="R426">
        <v>0</v>
      </c>
      <c r="S426">
        <v>0</v>
      </c>
      <c r="T426">
        <v>0</v>
      </c>
    </row>
    <row r="427" spans="1:20" x14ac:dyDescent="0.25">
      <c r="A427" t="s">
        <v>102</v>
      </c>
      <c r="B427" t="s">
        <v>135</v>
      </c>
      <c r="C427">
        <v>202409</v>
      </c>
      <c r="D427" s="47" t="str">
        <f>MID(C427,1,4)</f>
        <v>2024</v>
      </c>
      <c r="E427" t="str">
        <f>IF(Portfolio!$M$1=1,CONCATENATE(A427,C427),CONCATENATE(B427,C427))</f>
        <v>KAWAN LAMA202409</v>
      </c>
      <c r="F427">
        <v>414</v>
      </c>
      <c r="G427">
        <v>0</v>
      </c>
      <c r="H427">
        <v>0</v>
      </c>
      <c r="I427">
        <v>0</v>
      </c>
      <c r="J427">
        <v>0</v>
      </c>
      <c r="K427">
        <v>1184867527</v>
      </c>
      <c r="L427">
        <v>0</v>
      </c>
      <c r="M427">
        <v>0</v>
      </c>
      <c r="N427">
        <v>0</v>
      </c>
      <c r="O427">
        <v>0</v>
      </c>
      <c r="P427">
        <v>3841009</v>
      </c>
      <c r="Q427">
        <v>0</v>
      </c>
      <c r="R427">
        <v>0</v>
      </c>
      <c r="S427">
        <v>0</v>
      </c>
      <c r="T427">
        <v>0</v>
      </c>
    </row>
    <row r="428" spans="1:20" x14ac:dyDescent="0.25">
      <c r="A428" t="s">
        <v>102</v>
      </c>
      <c r="B428" t="s">
        <v>137</v>
      </c>
      <c r="C428">
        <v>202409</v>
      </c>
      <c r="D428" s="47" t="str">
        <f>MID(C428,1,4)</f>
        <v>2024</v>
      </c>
      <c r="E428" t="str">
        <f>IF(Portfolio!$M$1=1,CONCATENATE(A428,C428),CONCATENATE(B428,C428))</f>
        <v>KAWAN LAMA202409</v>
      </c>
      <c r="F428">
        <v>16</v>
      </c>
      <c r="G428">
        <v>0</v>
      </c>
      <c r="H428">
        <v>0</v>
      </c>
      <c r="I428">
        <v>0</v>
      </c>
      <c r="J428">
        <v>0</v>
      </c>
      <c r="K428">
        <v>42483645</v>
      </c>
      <c r="L428">
        <v>0</v>
      </c>
      <c r="M428">
        <v>0</v>
      </c>
      <c r="N428">
        <v>0</v>
      </c>
      <c r="O428">
        <v>0</v>
      </c>
      <c r="P428">
        <v>68824</v>
      </c>
      <c r="Q428">
        <v>0</v>
      </c>
      <c r="R428">
        <v>0</v>
      </c>
      <c r="S428">
        <v>0</v>
      </c>
      <c r="T428">
        <v>0</v>
      </c>
    </row>
    <row r="429" spans="1:20" x14ac:dyDescent="0.25">
      <c r="A429" t="s">
        <v>102</v>
      </c>
      <c r="B429" t="s">
        <v>142</v>
      </c>
      <c r="C429">
        <v>202409</v>
      </c>
      <c r="D429" s="47" t="str">
        <f>MID(C429,1,4)</f>
        <v>2024</v>
      </c>
      <c r="E429" t="str">
        <f>IF(Portfolio!$M$1=1,CONCATENATE(A429,C429),CONCATENATE(B429,C429))</f>
        <v>KAWAN LAMA202409</v>
      </c>
      <c r="F429">
        <v>5</v>
      </c>
      <c r="G429">
        <v>0</v>
      </c>
      <c r="H429">
        <v>0</v>
      </c>
      <c r="I429">
        <v>0</v>
      </c>
      <c r="J429">
        <v>0</v>
      </c>
      <c r="K429">
        <v>9052700</v>
      </c>
      <c r="L429">
        <v>0</v>
      </c>
      <c r="M429">
        <v>0</v>
      </c>
      <c r="N429">
        <v>0</v>
      </c>
      <c r="O429">
        <v>0</v>
      </c>
      <c r="P429">
        <v>14564</v>
      </c>
      <c r="Q429">
        <v>0</v>
      </c>
      <c r="R429">
        <v>0</v>
      </c>
      <c r="S429">
        <v>0</v>
      </c>
      <c r="T429">
        <v>0</v>
      </c>
    </row>
    <row r="430" spans="1:20" x14ac:dyDescent="0.25">
      <c r="A430" t="s">
        <v>103</v>
      </c>
      <c r="B430" t="s">
        <v>146</v>
      </c>
      <c r="C430">
        <v>202409</v>
      </c>
      <c r="D430" s="47" t="str">
        <f>MID(C430,1,4)</f>
        <v>2024</v>
      </c>
      <c r="E430" t="str">
        <f>IF(Portfolio!$M$1=1,CONCATENATE(A430,C430),CONCATENATE(B430,C430))</f>
        <v>KCIC202409</v>
      </c>
      <c r="F430">
        <v>61</v>
      </c>
      <c r="G430">
        <v>2087</v>
      </c>
      <c r="H430">
        <v>947</v>
      </c>
      <c r="I430">
        <v>0</v>
      </c>
      <c r="J430">
        <v>0</v>
      </c>
      <c r="K430">
        <v>25925000</v>
      </c>
      <c r="L430">
        <v>1103050000</v>
      </c>
      <c r="M430">
        <v>774300000</v>
      </c>
      <c r="N430">
        <v>0</v>
      </c>
      <c r="O430">
        <v>0</v>
      </c>
      <c r="P430">
        <v>116025</v>
      </c>
      <c r="Q430">
        <v>10076750</v>
      </c>
      <c r="R430">
        <v>13937400</v>
      </c>
      <c r="S430">
        <v>0</v>
      </c>
      <c r="T430">
        <v>0</v>
      </c>
    </row>
    <row r="431" spans="1:20" x14ac:dyDescent="0.25">
      <c r="A431" t="s">
        <v>107</v>
      </c>
      <c r="B431" t="s">
        <v>162</v>
      </c>
      <c r="C431">
        <v>202409</v>
      </c>
      <c r="D431" s="47" t="str">
        <f>MID(C431,1,4)</f>
        <v>2024</v>
      </c>
      <c r="E431" t="str">
        <f>IF(Portfolio!$M$1=1,CONCATENATE(A431,C431),CONCATENATE(B431,C431))</f>
        <v>MAP GROUP202409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104900</v>
      </c>
      <c r="M431">
        <v>0</v>
      </c>
      <c r="N431">
        <v>0</v>
      </c>
      <c r="O431">
        <v>0</v>
      </c>
      <c r="P431">
        <v>0</v>
      </c>
      <c r="Q431">
        <v>1049</v>
      </c>
      <c r="R431">
        <v>0</v>
      </c>
      <c r="S431">
        <v>0</v>
      </c>
      <c r="T431">
        <v>0</v>
      </c>
    </row>
    <row r="432" spans="1:20" x14ac:dyDescent="0.25">
      <c r="A432" t="s">
        <v>107</v>
      </c>
      <c r="B432" t="s">
        <v>178</v>
      </c>
      <c r="C432">
        <v>202409</v>
      </c>
      <c r="D432" s="47" t="str">
        <f>MID(C432,1,4)</f>
        <v>2024</v>
      </c>
      <c r="E432" t="str">
        <f>IF(Portfolio!$M$1=1,CONCATENATE(A432,C432),CONCATENATE(B432,C432))</f>
        <v>MAP GROUP202409</v>
      </c>
      <c r="F432">
        <v>1</v>
      </c>
      <c r="G432">
        <v>70</v>
      </c>
      <c r="H432">
        <v>0</v>
      </c>
      <c r="I432">
        <v>2</v>
      </c>
      <c r="J432">
        <v>346</v>
      </c>
      <c r="K432">
        <v>53000</v>
      </c>
      <c r="L432">
        <v>21632100</v>
      </c>
      <c r="M432">
        <v>0</v>
      </c>
      <c r="N432">
        <v>444715</v>
      </c>
      <c r="O432">
        <v>53338600</v>
      </c>
      <c r="P432">
        <v>80</v>
      </c>
      <c r="Q432">
        <v>216321</v>
      </c>
      <c r="R432">
        <v>0</v>
      </c>
      <c r="S432">
        <v>3113</v>
      </c>
      <c r="T432">
        <v>372831</v>
      </c>
    </row>
    <row r="433" spans="1:20" x14ac:dyDescent="0.25">
      <c r="A433" t="s">
        <v>107</v>
      </c>
      <c r="B433" t="s">
        <v>191</v>
      </c>
      <c r="C433">
        <v>202409</v>
      </c>
      <c r="D433" s="47" t="str">
        <f>MID(C433,1,4)</f>
        <v>2024</v>
      </c>
      <c r="E433" t="str">
        <f>IF(Portfolio!$M$1=1,CONCATENATE(A433,C433),CONCATENATE(B433,C433))</f>
        <v>MAP GROUP202409</v>
      </c>
      <c r="F433">
        <v>0</v>
      </c>
      <c r="G433">
        <v>0</v>
      </c>
      <c r="H433">
        <v>0</v>
      </c>
      <c r="I433">
        <v>2</v>
      </c>
      <c r="J433">
        <v>18</v>
      </c>
      <c r="K433">
        <v>0</v>
      </c>
      <c r="L433">
        <v>0</v>
      </c>
      <c r="M433">
        <v>0</v>
      </c>
      <c r="N433">
        <v>91500</v>
      </c>
      <c r="O433">
        <v>650500</v>
      </c>
      <c r="P433">
        <v>0</v>
      </c>
      <c r="Q433">
        <v>0</v>
      </c>
      <c r="R433">
        <v>0</v>
      </c>
      <c r="S433">
        <v>274</v>
      </c>
      <c r="T433">
        <v>1952</v>
      </c>
    </row>
    <row r="434" spans="1:20" x14ac:dyDescent="0.25">
      <c r="A434" t="s">
        <v>109</v>
      </c>
      <c r="B434" t="s">
        <v>109</v>
      </c>
      <c r="C434">
        <v>202409</v>
      </c>
      <c r="D434" s="47" t="str">
        <f>MID(C434,1,4)</f>
        <v>2024</v>
      </c>
      <c r="E434" t="str">
        <f>IF(Portfolio!$M$1=1,CONCATENATE(A434,C434),CONCATENATE(B434,C434))</f>
        <v>MITRA10202409</v>
      </c>
      <c r="F434">
        <v>878</v>
      </c>
      <c r="G434">
        <v>6</v>
      </c>
      <c r="H434">
        <v>1</v>
      </c>
      <c r="I434">
        <v>0</v>
      </c>
      <c r="J434">
        <v>0</v>
      </c>
      <c r="K434">
        <v>2169579380</v>
      </c>
      <c r="L434">
        <v>7185136</v>
      </c>
      <c r="M434">
        <v>169760</v>
      </c>
      <c r="N434">
        <v>0</v>
      </c>
      <c r="O434">
        <v>0</v>
      </c>
      <c r="P434">
        <v>8749163</v>
      </c>
      <c r="Q434">
        <v>71851</v>
      </c>
      <c r="R434">
        <v>3395</v>
      </c>
      <c r="S434">
        <v>0</v>
      </c>
      <c r="T434">
        <v>0</v>
      </c>
    </row>
    <row r="435" spans="1:20" x14ac:dyDescent="0.25">
      <c r="A435" t="s">
        <v>110</v>
      </c>
      <c r="B435" t="s">
        <v>110</v>
      </c>
      <c r="C435">
        <v>202409</v>
      </c>
      <c r="D435" s="47" t="str">
        <f>MID(C435,1,4)</f>
        <v>2024</v>
      </c>
      <c r="E435" t="str">
        <f>IF(Portfolio!$M$1=1,CONCATENATE(A435,C435),CONCATENATE(B435,C435))</f>
        <v>OPTIK MELAWAI202409</v>
      </c>
      <c r="F435">
        <v>100</v>
      </c>
      <c r="G435">
        <v>704</v>
      </c>
      <c r="H435">
        <v>18</v>
      </c>
      <c r="I435">
        <v>0</v>
      </c>
      <c r="J435">
        <v>0</v>
      </c>
      <c r="K435">
        <v>159632000</v>
      </c>
      <c r="L435">
        <v>1247286500</v>
      </c>
      <c r="M435">
        <v>24875500</v>
      </c>
      <c r="N435">
        <v>0</v>
      </c>
      <c r="O435">
        <v>0</v>
      </c>
      <c r="P435">
        <v>442345</v>
      </c>
      <c r="Q435">
        <v>12472865</v>
      </c>
      <c r="R435">
        <v>459542</v>
      </c>
      <c r="S435">
        <v>0</v>
      </c>
      <c r="T435">
        <v>0</v>
      </c>
    </row>
    <row r="436" spans="1:20" x14ac:dyDescent="0.25">
      <c r="A436" t="s">
        <v>111</v>
      </c>
      <c r="B436" t="s">
        <v>214</v>
      </c>
      <c r="C436">
        <v>202409</v>
      </c>
      <c r="D436" s="47" t="str">
        <f>MID(C436,1,4)</f>
        <v>2024</v>
      </c>
      <c r="E436" t="str">
        <f>IF(Portfolio!$M$1=1,CONCATENATE(A436,C436),CONCATENATE(B436,C436))</f>
        <v>PATRA JASA202409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300000</v>
      </c>
      <c r="L436">
        <v>0</v>
      </c>
      <c r="M436">
        <v>0</v>
      </c>
      <c r="N436">
        <v>0</v>
      </c>
      <c r="O436">
        <v>0</v>
      </c>
      <c r="P436">
        <v>450</v>
      </c>
      <c r="Q436">
        <v>0</v>
      </c>
      <c r="R436">
        <v>0</v>
      </c>
      <c r="S436">
        <v>0</v>
      </c>
      <c r="T436">
        <v>0</v>
      </c>
    </row>
    <row r="437" spans="1:20" x14ac:dyDescent="0.25">
      <c r="A437" t="s">
        <v>112</v>
      </c>
      <c r="B437" t="s">
        <v>215</v>
      </c>
      <c r="C437">
        <v>202409</v>
      </c>
      <c r="D437" s="47" t="str">
        <f>MID(C437,1,4)</f>
        <v>2024</v>
      </c>
      <c r="E437" t="str">
        <f>IF(Portfolio!$M$1=1,CONCATENATE(A437,C437),CONCATENATE(B437,C437))</f>
        <v>PERTAMINA RETAIL202409</v>
      </c>
      <c r="F437">
        <v>24</v>
      </c>
      <c r="G437">
        <v>5042</v>
      </c>
      <c r="H437">
        <v>283</v>
      </c>
      <c r="I437">
        <v>0</v>
      </c>
      <c r="J437">
        <v>3</v>
      </c>
      <c r="K437">
        <v>1118600</v>
      </c>
      <c r="L437">
        <v>771512917</v>
      </c>
      <c r="M437">
        <v>65624642</v>
      </c>
      <c r="N437">
        <v>0</v>
      </c>
      <c r="O437">
        <v>330000</v>
      </c>
      <c r="P437">
        <v>4445</v>
      </c>
      <c r="Q437">
        <v>7443208</v>
      </c>
      <c r="R437">
        <v>1182125</v>
      </c>
      <c r="S437">
        <v>0</v>
      </c>
      <c r="T437">
        <v>1980</v>
      </c>
    </row>
    <row r="438" spans="1:20" x14ac:dyDescent="0.25">
      <c r="A438" t="s">
        <v>112</v>
      </c>
      <c r="B438" t="s">
        <v>216</v>
      </c>
      <c r="C438">
        <v>202409</v>
      </c>
      <c r="D438" s="47" t="str">
        <f>MID(C438,1,4)</f>
        <v>2024</v>
      </c>
      <c r="E438" t="str">
        <f>IF(Portfolio!$M$1=1,CONCATENATE(A438,C438),CONCATENATE(B438,C438))</f>
        <v>PERTAMINA RETAIL202409</v>
      </c>
      <c r="F438">
        <v>528</v>
      </c>
      <c r="G438">
        <v>78076</v>
      </c>
      <c r="H438">
        <v>603</v>
      </c>
      <c r="I438">
        <v>48</v>
      </c>
      <c r="J438">
        <v>2370</v>
      </c>
      <c r="K438">
        <v>108714435</v>
      </c>
      <c r="L438">
        <v>17125127899</v>
      </c>
      <c r="M438">
        <v>225716075</v>
      </c>
      <c r="N438">
        <v>6626601</v>
      </c>
      <c r="O438">
        <v>454341362</v>
      </c>
      <c r="P438">
        <v>211282</v>
      </c>
      <c r="Q438">
        <v>86619862</v>
      </c>
      <c r="R438">
        <v>4062889</v>
      </c>
      <c r="S438">
        <v>26507</v>
      </c>
      <c r="T438">
        <v>1817369</v>
      </c>
    </row>
    <row r="439" spans="1:20" x14ac:dyDescent="0.25">
      <c r="A439" t="s">
        <v>114</v>
      </c>
      <c r="B439" t="s">
        <v>217</v>
      </c>
      <c r="C439">
        <v>202409</v>
      </c>
      <c r="D439" s="47" t="str">
        <f>MID(C439,1,4)</f>
        <v>2024</v>
      </c>
      <c r="E439" t="str">
        <f>IF(Portfolio!$M$1=1,CONCATENATE(A439,C439),CONCATENATE(B439,C439))</f>
        <v>PIZZA HUT202409</v>
      </c>
      <c r="F439">
        <v>24</v>
      </c>
      <c r="G439">
        <v>0</v>
      </c>
      <c r="H439">
        <v>0</v>
      </c>
      <c r="I439">
        <v>0</v>
      </c>
      <c r="J439">
        <v>0</v>
      </c>
      <c r="K439">
        <v>4692517</v>
      </c>
      <c r="L439">
        <v>0</v>
      </c>
      <c r="M439">
        <v>0</v>
      </c>
      <c r="N439">
        <v>0</v>
      </c>
      <c r="O439">
        <v>0</v>
      </c>
      <c r="P439">
        <v>22689</v>
      </c>
      <c r="Q439">
        <v>0</v>
      </c>
      <c r="R439">
        <v>0</v>
      </c>
      <c r="S439">
        <v>0</v>
      </c>
      <c r="T439">
        <v>0</v>
      </c>
    </row>
    <row r="440" spans="1:20" x14ac:dyDescent="0.25">
      <c r="A440" t="s">
        <v>114</v>
      </c>
      <c r="B440" t="s">
        <v>218</v>
      </c>
      <c r="C440">
        <v>202409</v>
      </c>
      <c r="D440" s="47" t="str">
        <f>MID(C440,1,4)</f>
        <v>2024</v>
      </c>
      <c r="E440" t="str">
        <f>IF(Portfolio!$M$1=1,CONCATENATE(A440,C440),CONCATENATE(B440,C440))</f>
        <v>PIZZA HUT202409</v>
      </c>
      <c r="F440">
        <v>292</v>
      </c>
      <c r="G440">
        <v>1</v>
      </c>
      <c r="H440">
        <v>0</v>
      </c>
      <c r="I440">
        <v>0</v>
      </c>
      <c r="J440">
        <v>0</v>
      </c>
      <c r="K440">
        <v>79540014</v>
      </c>
      <c r="L440">
        <v>126999</v>
      </c>
      <c r="M440">
        <v>0</v>
      </c>
      <c r="N440">
        <v>0</v>
      </c>
      <c r="O440">
        <v>0</v>
      </c>
      <c r="P440">
        <v>262098</v>
      </c>
      <c r="Q440">
        <v>1270</v>
      </c>
      <c r="R440">
        <v>0</v>
      </c>
      <c r="S440">
        <v>0</v>
      </c>
      <c r="T440">
        <v>0</v>
      </c>
    </row>
    <row r="441" spans="1:20" x14ac:dyDescent="0.25">
      <c r="A441" t="s">
        <v>115</v>
      </c>
      <c r="B441" t="s">
        <v>115</v>
      </c>
      <c r="C441">
        <v>202409</v>
      </c>
      <c r="D441" s="47" t="str">
        <f>MID(C441,1,4)</f>
        <v>2024</v>
      </c>
      <c r="E441" t="str">
        <f>IF(Portfolio!$M$1=1,CONCATENATE(A441,C441),CONCATENATE(B441,C441))</f>
        <v>PLATINUM CINEPLEX202409</v>
      </c>
      <c r="F441">
        <v>14</v>
      </c>
      <c r="G441">
        <v>70</v>
      </c>
      <c r="H441">
        <v>2</v>
      </c>
      <c r="I441">
        <v>21</v>
      </c>
      <c r="J441">
        <v>333</v>
      </c>
      <c r="K441">
        <v>1451000</v>
      </c>
      <c r="L441">
        <v>9134000</v>
      </c>
      <c r="M441">
        <v>900000</v>
      </c>
      <c r="N441">
        <v>1639000</v>
      </c>
      <c r="O441">
        <v>28715000</v>
      </c>
      <c r="P441">
        <v>3332</v>
      </c>
      <c r="Q441">
        <v>90290</v>
      </c>
      <c r="R441">
        <v>16200</v>
      </c>
      <c r="S441">
        <v>11473</v>
      </c>
      <c r="T441">
        <v>201005</v>
      </c>
    </row>
    <row r="442" spans="1:20" x14ac:dyDescent="0.25">
      <c r="A442" t="s">
        <v>118</v>
      </c>
      <c r="B442" t="s">
        <v>118</v>
      </c>
      <c r="C442">
        <v>202409</v>
      </c>
      <c r="D442" s="47" t="str">
        <f>MID(C442,1,4)</f>
        <v>2024</v>
      </c>
      <c r="E442" t="str">
        <f>IF(Portfolio!$M$1=1,CONCATENATE(A442,C442),CONCATENATE(B442,C442))</f>
        <v>SARINAH202409</v>
      </c>
      <c r="F442">
        <v>11</v>
      </c>
      <c r="G442">
        <v>413</v>
      </c>
      <c r="H442">
        <v>470</v>
      </c>
      <c r="I442">
        <v>0</v>
      </c>
      <c r="J442">
        <v>0</v>
      </c>
      <c r="K442">
        <v>11669680</v>
      </c>
      <c r="L442">
        <v>370295801</v>
      </c>
      <c r="M442">
        <v>571114173</v>
      </c>
      <c r="N442">
        <v>0</v>
      </c>
      <c r="O442">
        <v>0</v>
      </c>
      <c r="P442">
        <v>155922</v>
      </c>
      <c r="Q442">
        <v>2918355</v>
      </c>
      <c r="R442">
        <v>10280055</v>
      </c>
      <c r="S442">
        <v>0</v>
      </c>
      <c r="T442">
        <v>0</v>
      </c>
    </row>
    <row r="443" spans="1:20" x14ac:dyDescent="0.25">
      <c r="A443" t="s">
        <v>120</v>
      </c>
      <c r="B443" t="s">
        <v>120</v>
      </c>
      <c r="C443">
        <v>202409</v>
      </c>
      <c r="D443" s="47" t="str">
        <f>MID(C443,1,4)</f>
        <v>2024</v>
      </c>
      <c r="E443" t="str">
        <f>IF(Portfolio!$M$1=1,CONCATENATE(A443,C443),CONCATENATE(B443,C443))</f>
        <v>SHIHLIN202409</v>
      </c>
      <c r="F443">
        <v>518</v>
      </c>
      <c r="G443">
        <v>8</v>
      </c>
      <c r="H443">
        <v>1</v>
      </c>
      <c r="I443">
        <v>372</v>
      </c>
      <c r="J443">
        <v>7</v>
      </c>
      <c r="K443">
        <v>41174500</v>
      </c>
      <c r="L443">
        <v>489000</v>
      </c>
      <c r="M443">
        <v>48000</v>
      </c>
      <c r="N443">
        <v>25997515</v>
      </c>
      <c r="O443">
        <v>141060</v>
      </c>
      <c r="P443">
        <v>147001</v>
      </c>
      <c r="Q443">
        <v>4890</v>
      </c>
      <c r="R443">
        <v>864</v>
      </c>
      <c r="S443">
        <v>181981</v>
      </c>
      <c r="T443">
        <v>987</v>
      </c>
    </row>
    <row r="444" spans="1:20" x14ac:dyDescent="0.25">
      <c r="A444" t="s">
        <v>122</v>
      </c>
      <c r="B444" t="s">
        <v>122</v>
      </c>
      <c r="C444">
        <v>202409</v>
      </c>
      <c r="D444" s="47" t="str">
        <f>MID(C444,1,4)</f>
        <v>2024</v>
      </c>
      <c r="E444" t="str">
        <f>IF(Portfolio!$M$1=1,CONCATENATE(A444,C444),CONCATENATE(B444,C444))</f>
        <v>SOLARIA202409</v>
      </c>
      <c r="F444">
        <v>1786</v>
      </c>
      <c r="G444">
        <v>1</v>
      </c>
      <c r="H444">
        <v>0</v>
      </c>
      <c r="I444">
        <v>0</v>
      </c>
      <c r="J444">
        <v>0</v>
      </c>
      <c r="K444">
        <v>292266488</v>
      </c>
      <c r="L444">
        <v>53000</v>
      </c>
      <c r="M444">
        <v>0</v>
      </c>
      <c r="N444">
        <v>0</v>
      </c>
      <c r="O444">
        <v>0</v>
      </c>
      <c r="P444">
        <v>1010189</v>
      </c>
      <c r="Q444">
        <v>530</v>
      </c>
      <c r="R444">
        <v>0</v>
      </c>
      <c r="S444">
        <v>0</v>
      </c>
      <c r="T444">
        <v>0</v>
      </c>
    </row>
    <row r="445" spans="1:20" x14ac:dyDescent="0.25">
      <c r="A445" t="s">
        <v>124</v>
      </c>
      <c r="B445" t="s">
        <v>124</v>
      </c>
      <c r="C445">
        <v>202409</v>
      </c>
      <c r="D445" s="47" t="str">
        <f>MID(C445,1,4)</f>
        <v>2024</v>
      </c>
      <c r="E445" t="str">
        <f>IF(Portfolio!$M$1=1,CONCATENATE(A445,C445),CONCATENATE(B445,C445))</f>
        <v>SOUR SALLY202409</v>
      </c>
      <c r="F445">
        <v>0</v>
      </c>
      <c r="G445">
        <v>0</v>
      </c>
      <c r="H445">
        <v>0</v>
      </c>
      <c r="I445">
        <v>0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30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x14ac:dyDescent="0.25">
      <c r="A446" t="s">
        <v>126</v>
      </c>
      <c r="B446" t="s">
        <v>220</v>
      </c>
      <c r="C446">
        <v>202409</v>
      </c>
      <c r="D446" s="47" t="str">
        <f>MID(C446,1,4)</f>
        <v>2024</v>
      </c>
      <c r="E446" t="str">
        <f>IF(Portfolio!$M$1=1,CONCATENATE(A446,C446),CONCATENATE(B446,C446))</f>
        <v>STEVEN GROUP202409</v>
      </c>
      <c r="F446">
        <v>0</v>
      </c>
      <c r="G446">
        <v>0</v>
      </c>
      <c r="H446">
        <v>0</v>
      </c>
      <c r="I446">
        <v>0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54000</v>
      </c>
      <c r="P446">
        <v>0</v>
      </c>
      <c r="Q446">
        <v>0</v>
      </c>
      <c r="R446">
        <v>0</v>
      </c>
      <c r="S446">
        <v>0</v>
      </c>
      <c r="T446">
        <v>162</v>
      </c>
    </row>
    <row r="447" spans="1:20" x14ac:dyDescent="0.25">
      <c r="A447" t="s">
        <v>126</v>
      </c>
      <c r="B447" t="s">
        <v>221</v>
      </c>
      <c r="C447">
        <v>202409</v>
      </c>
      <c r="D447" s="47" t="str">
        <f>MID(C447,1,4)</f>
        <v>2024</v>
      </c>
      <c r="E447" t="str">
        <f>IF(Portfolio!$M$1=1,CONCATENATE(A447,C447),CONCATENATE(B447,C447))</f>
        <v>STEVEN GROUP202409</v>
      </c>
      <c r="F447">
        <v>0</v>
      </c>
      <c r="G447">
        <v>0</v>
      </c>
      <c r="H447">
        <v>0</v>
      </c>
      <c r="I447">
        <v>0</v>
      </c>
      <c r="J447">
        <v>65</v>
      </c>
      <c r="K447">
        <v>0</v>
      </c>
      <c r="L447">
        <v>0</v>
      </c>
      <c r="M447">
        <v>0</v>
      </c>
      <c r="N447">
        <v>0</v>
      </c>
      <c r="O447">
        <v>3557001</v>
      </c>
      <c r="P447">
        <v>0</v>
      </c>
      <c r="Q447">
        <v>0</v>
      </c>
      <c r="R447">
        <v>0</v>
      </c>
      <c r="S447">
        <v>0</v>
      </c>
      <c r="T447">
        <v>10671</v>
      </c>
    </row>
    <row r="448" spans="1:20" x14ac:dyDescent="0.25">
      <c r="A448" t="s">
        <v>126</v>
      </c>
      <c r="B448" t="s">
        <v>224</v>
      </c>
      <c r="C448">
        <v>202409</v>
      </c>
      <c r="D448" s="47" t="str">
        <f>MID(C448,1,4)</f>
        <v>2024</v>
      </c>
      <c r="E448" t="str">
        <f>IF(Portfolio!$M$1=1,CONCATENATE(A448,C448),CONCATENATE(B448,C448))</f>
        <v>STEVEN GROUP202409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67200</v>
      </c>
      <c r="P448">
        <v>0</v>
      </c>
      <c r="Q448">
        <v>0</v>
      </c>
      <c r="R448">
        <v>0</v>
      </c>
      <c r="S448">
        <v>0</v>
      </c>
      <c r="T448">
        <v>202</v>
      </c>
    </row>
    <row r="449" spans="1:20" x14ac:dyDescent="0.25">
      <c r="A449" t="s">
        <v>134</v>
      </c>
      <c r="B449" t="s">
        <v>134</v>
      </c>
      <c r="C449">
        <v>202409</v>
      </c>
      <c r="D449" s="47" t="str">
        <f>MID(C449,1,4)</f>
        <v>2024</v>
      </c>
      <c r="E449" t="str">
        <f>IF(Portfolio!$M$1=1,CONCATENATE(A449,C449),CONCATENATE(B449,C449))</f>
        <v>TAMANI202409</v>
      </c>
      <c r="F449">
        <v>20</v>
      </c>
      <c r="G449">
        <v>4</v>
      </c>
      <c r="H449">
        <v>2</v>
      </c>
      <c r="I449">
        <v>0</v>
      </c>
      <c r="J449">
        <v>0</v>
      </c>
      <c r="K449">
        <v>7159900</v>
      </c>
      <c r="L449">
        <v>2646600</v>
      </c>
      <c r="M449">
        <v>741950</v>
      </c>
      <c r="N449">
        <v>0</v>
      </c>
      <c r="O449">
        <v>0</v>
      </c>
      <c r="P449">
        <v>13789</v>
      </c>
      <c r="Q449">
        <v>26466</v>
      </c>
      <c r="R449">
        <v>13355</v>
      </c>
      <c r="S449">
        <v>0</v>
      </c>
      <c r="T449">
        <v>0</v>
      </c>
    </row>
    <row r="450" spans="1:20" x14ac:dyDescent="0.25">
      <c r="A450" t="s">
        <v>138</v>
      </c>
      <c r="B450" t="s">
        <v>138</v>
      </c>
      <c r="C450">
        <v>202409</v>
      </c>
      <c r="D450" s="47" t="str">
        <f>MID(C450,1,4)</f>
        <v>2024</v>
      </c>
      <c r="E450" t="str">
        <f>IF(Portfolio!$M$1=1,CONCATENATE(A450,C450),CONCATENATE(B450,C450))</f>
        <v>YOSHINOYA202409</v>
      </c>
      <c r="F450">
        <v>22</v>
      </c>
      <c r="G450">
        <v>3</v>
      </c>
      <c r="H450">
        <v>3</v>
      </c>
      <c r="I450">
        <v>0</v>
      </c>
      <c r="J450">
        <v>0</v>
      </c>
      <c r="K450">
        <v>2576500</v>
      </c>
      <c r="L450">
        <v>178000</v>
      </c>
      <c r="M450">
        <v>233000</v>
      </c>
      <c r="N450">
        <v>0</v>
      </c>
      <c r="O450">
        <v>0</v>
      </c>
      <c r="P450">
        <v>6606</v>
      </c>
      <c r="Q450">
        <v>1780</v>
      </c>
      <c r="R450">
        <v>2563</v>
      </c>
      <c r="S450">
        <v>0</v>
      </c>
      <c r="T450">
        <v>0</v>
      </c>
    </row>
    <row r="451" spans="1:20" x14ac:dyDescent="0.25">
      <c r="A451" t="s">
        <v>67</v>
      </c>
      <c r="B451" t="s">
        <v>68</v>
      </c>
      <c r="C451">
        <v>202410</v>
      </c>
      <c r="D451" s="47" t="str">
        <f>MID(C451,1,4)</f>
        <v>2024</v>
      </c>
      <c r="E451" t="str">
        <f>IF(Portfolio!$M$1=1,CONCATENATE(A451,C451),CONCATENATE(B451,C451))</f>
        <v>ALFA GROUP202410</v>
      </c>
      <c r="F451">
        <v>23769</v>
      </c>
      <c r="G451">
        <v>72595</v>
      </c>
      <c r="H451">
        <v>22301</v>
      </c>
      <c r="I451">
        <v>9</v>
      </c>
      <c r="J451">
        <v>90</v>
      </c>
      <c r="K451">
        <v>2275290675</v>
      </c>
      <c r="L451">
        <v>7258397652</v>
      </c>
      <c r="M451">
        <v>3281250247</v>
      </c>
      <c r="N451">
        <v>122200</v>
      </c>
      <c r="O451">
        <v>1336468</v>
      </c>
      <c r="P451">
        <v>3412933</v>
      </c>
      <c r="Q451">
        <v>72583178</v>
      </c>
      <c r="R451">
        <v>59017832</v>
      </c>
      <c r="S451">
        <v>0</v>
      </c>
      <c r="T451">
        <v>1596</v>
      </c>
    </row>
    <row r="452" spans="1:20" x14ac:dyDescent="0.25">
      <c r="A452" t="s">
        <v>67</v>
      </c>
      <c r="B452" t="s">
        <v>69</v>
      </c>
      <c r="C452">
        <v>202410</v>
      </c>
      <c r="D452" s="47" t="str">
        <f>MID(C452,1,4)</f>
        <v>2024</v>
      </c>
      <c r="E452" t="str">
        <f>IF(Portfolio!$M$1=1,CONCATENATE(A452,C452),CONCATENATE(B452,C452))</f>
        <v>ALFA GROUP202410</v>
      </c>
      <c r="F452">
        <v>15</v>
      </c>
      <c r="G452">
        <v>58</v>
      </c>
      <c r="H452">
        <v>35</v>
      </c>
      <c r="I452">
        <v>0</v>
      </c>
      <c r="J452">
        <v>0</v>
      </c>
      <c r="K452">
        <v>1695119</v>
      </c>
      <c r="L452">
        <v>9075353</v>
      </c>
      <c r="M452">
        <v>6834185</v>
      </c>
      <c r="N452">
        <v>0</v>
      </c>
      <c r="O452">
        <v>0</v>
      </c>
      <c r="P452">
        <v>2543</v>
      </c>
      <c r="Q452">
        <v>90754</v>
      </c>
      <c r="R452">
        <v>123015</v>
      </c>
      <c r="S452">
        <v>0</v>
      </c>
      <c r="T452">
        <v>0</v>
      </c>
    </row>
    <row r="453" spans="1:20" x14ac:dyDescent="0.25">
      <c r="A453" t="s">
        <v>67</v>
      </c>
      <c r="B453" t="s">
        <v>72</v>
      </c>
      <c r="C453">
        <v>202410</v>
      </c>
      <c r="D453" s="47" t="str">
        <f>MID(C453,1,4)</f>
        <v>2024</v>
      </c>
      <c r="E453" t="str">
        <f>IF(Portfolio!$M$1=1,CONCATENATE(A453,C453),CONCATENATE(B453,C453))</f>
        <v>ALFA GROUP202410</v>
      </c>
      <c r="F453">
        <v>472</v>
      </c>
      <c r="G453">
        <v>1487</v>
      </c>
      <c r="H453">
        <v>280</v>
      </c>
      <c r="I453">
        <v>0</v>
      </c>
      <c r="J453">
        <v>0</v>
      </c>
      <c r="K453">
        <v>68753325</v>
      </c>
      <c r="L453">
        <v>223558405</v>
      </c>
      <c r="M453">
        <v>47313087</v>
      </c>
      <c r="N453">
        <v>0</v>
      </c>
      <c r="O453">
        <v>0</v>
      </c>
      <c r="P453">
        <v>103130</v>
      </c>
      <c r="Q453">
        <v>2235584</v>
      </c>
      <c r="R453">
        <v>846490</v>
      </c>
      <c r="S453">
        <v>0</v>
      </c>
      <c r="T453">
        <v>0</v>
      </c>
    </row>
    <row r="454" spans="1:20" x14ac:dyDescent="0.25">
      <c r="A454" t="s">
        <v>70</v>
      </c>
      <c r="B454" t="s">
        <v>70</v>
      </c>
      <c r="C454">
        <v>202410</v>
      </c>
      <c r="D454" s="47" t="str">
        <f>MID(C454,1,4)</f>
        <v>2024</v>
      </c>
      <c r="E454" t="str">
        <f>IF(Portfolio!$M$1=1,CONCATENATE(A454,C454),CONCATENATE(B454,C454))</f>
        <v>ANCOL202410</v>
      </c>
      <c r="F454">
        <v>1</v>
      </c>
      <c r="G454">
        <v>10</v>
      </c>
      <c r="H454">
        <v>4</v>
      </c>
      <c r="I454">
        <v>0</v>
      </c>
      <c r="J454">
        <v>0</v>
      </c>
      <c r="K454">
        <v>387900</v>
      </c>
      <c r="L454">
        <v>3646200</v>
      </c>
      <c r="M454">
        <v>1226800</v>
      </c>
      <c r="N454">
        <v>0</v>
      </c>
      <c r="O454">
        <v>0</v>
      </c>
      <c r="P454">
        <v>582</v>
      </c>
      <c r="Q454">
        <v>36462</v>
      </c>
      <c r="R454">
        <v>20242</v>
      </c>
      <c r="S454">
        <v>0</v>
      </c>
      <c r="T454">
        <v>0</v>
      </c>
    </row>
    <row r="455" spans="1:20" x14ac:dyDescent="0.25">
      <c r="A455" t="s">
        <v>73</v>
      </c>
      <c r="B455" t="s">
        <v>73</v>
      </c>
      <c r="C455">
        <v>202410</v>
      </c>
      <c r="D455" s="47" t="str">
        <f>MID(C455,1,4)</f>
        <v>2024</v>
      </c>
      <c r="E455" t="str">
        <f>IF(Portfolio!$M$1=1,CONCATENATE(A455,C455),CONCATENATE(B455,C455))</f>
        <v>BANBAN TEA202410</v>
      </c>
      <c r="F455">
        <v>72</v>
      </c>
      <c r="G455">
        <v>2</v>
      </c>
      <c r="H455">
        <v>0</v>
      </c>
      <c r="I455">
        <v>94</v>
      </c>
      <c r="J455">
        <v>6</v>
      </c>
      <c r="K455">
        <v>4928392</v>
      </c>
      <c r="L455">
        <v>276999</v>
      </c>
      <c r="M455">
        <v>0</v>
      </c>
      <c r="N455">
        <v>5922192</v>
      </c>
      <c r="O455">
        <v>424380</v>
      </c>
      <c r="P455">
        <v>7393</v>
      </c>
      <c r="Q455">
        <v>2770</v>
      </c>
      <c r="R455">
        <v>0</v>
      </c>
      <c r="S455">
        <v>41449</v>
      </c>
      <c r="T455">
        <v>2971</v>
      </c>
    </row>
    <row r="456" spans="1:20" x14ac:dyDescent="0.25">
      <c r="A456" t="s">
        <v>75</v>
      </c>
      <c r="B456" t="s">
        <v>79</v>
      </c>
      <c r="C456">
        <v>202410</v>
      </c>
      <c r="D456" s="47" t="str">
        <f>MID(C456,1,4)</f>
        <v>2024</v>
      </c>
      <c r="E456" t="str">
        <f>IF(Portfolio!$M$1=1,CONCATENATE(A456,C456),CONCATENATE(B456,C456))</f>
        <v>CHAMP RESTO202410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112810</v>
      </c>
      <c r="L456">
        <v>0</v>
      </c>
      <c r="M456">
        <v>0</v>
      </c>
      <c r="N456">
        <v>0</v>
      </c>
      <c r="O456">
        <v>0</v>
      </c>
      <c r="P456">
        <v>169</v>
      </c>
      <c r="Q456">
        <v>0</v>
      </c>
      <c r="R456">
        <v>0</v>
      </c>
      <c r="S456">
        <v>0</v>
      </c>
      <c r="T456">
        <v>0</v>
      </c>
    </row>
    <row r="457" spans="1:20" x14ac:dyDescent="0.25">
      <c r="A457" t="s">
        <v>75</v>
      </c>
      <c r="B457" t="s">
        <v>83</v>
      </c>
      <c r="C457">
        <v>202410</v>
      </c>
      <c r="D457" s="47" t="str">
        <f>MID(C457,1,4)</f>
        <v>2024</v>
      </c>
      <c r="E457" t="str">
        <f>IF(Portfolio!$M$1=1,CONCATENATE(A457,C457),CONCATENATE(B457,C457))</f>
        <v>CHAMP RESTO202410</v>
      </c>
      <c r="F457">
        <v>0</v>
      </c>
      <c r="G457">
        <v>0</v>
      </c>
      <c r="H457">
        <v>0</v>
      </c>
      <c r="I457">
        <v>7</v>
      </c>
      <c r="J457">
        <v>73</v>
      </c>
      <c r="K457">
        <v>0</v>
      </c>
      <c r="L457">
        <v>0</v>
      </c>
      <c r="M457">
        <v>0</v>
      </c>
      <c r="N457">
        <v>188400</v>
      </c>
      <c r="O457">
        <v>12141100</v>
      </c>
      <c r="P457">
        <v>0</v>
      </c>
      <c r="Q457">
        <v>0</v>
      </c>
      <c r="R457">
        <v>0</v>
      </c>
      <c r="S457">
        <v>0</v>
      </c>
      <c r="T457">
        <v>34354</v>
      </c>
    </row>
    <row r="458" spans="1:20" x14ac:dyDescent="0.25">
      <c r="A458" t="s">
        <v>75</v>
      </c>
      <c r="B458" t="s">
        <v>85</v>
      </c>
      <c r="C458">
        <v>202410</v>
      </c>
      <c r="D458" s="47" t="str">
        <f>MID(C458,1,4)</f>
        <v>2024</v>
      </c>
      <c r="E458" t="str">
        <f>IF(Portfolio!$M$1=1,CONCATENATE(A458,C458),CONCATENATE(B458,C458))</f>
        <v>CHAMP RESTO202410</v>
      </c>
      <c r="F458">
        <v>10</v>
      </c>
      <c r="G458">
        <v>17</v>
      </c>
      <c r="H458">
        <v>0</v>
      </c>
      <c r="I458">
        <v>0</v>
      </c>
      <c r="J458">
        <v>0</v>
      </c>
      <c r="K458">
        <v>1682000</v>
      </c>
      <c r="L458">
        <v>2767486</v>
      </c>
      <c r="M458">
        <v>0</v>
      </c>
      <c r="N458">
        <v>0</v>
      </c>
      <c r="O458">
        <v>0</v>
      </c>
      <c r="P458">
        <v>2523</v>
      </c>
      <c r="Q458">
        <v>27675</v>
      </c>
      <c r="R458">
        <v>0</v>
      </c>
      <c r="S458">
        <v>0</v>
      </c>
      <c r="T458">
        <v>0</v>
      </c>
    </row>
    <row r="459" spans="1:20" x14ac:dyDescent="0.25">
      <c r="A459" t="s">
        <v>75</v>
      </c>
      <c r="B459" t="s">
        <v>91</v>
      </c>
      <c r="C459">
        <v>202410</v>
      </c>
      <c r="D459" s="47" t="str">
        <f>MID(C459,1,4)</f>
        <v>2024</v>
      </c>
      <c r="E459" t="str">
        <f>IF(Portfolio!$M$1=1,CONCATENATE(A459,C459),CONCATENATE(B459,C459))</f>
        <v>CHAMP RESTO202410</v>
      </c>
      <c r="F459">
        <v>3</v>
      </c>
      <c r="G459">
        <v>15</v>
      </c>
      <c r="H459">
        <v>0</v>
      </c>
      <c r="I459">
        <v>0</v>
      </c>
      <c r="J459">
        <v>0</v>
      </c>
      <c r="K459">
        <v>884583</v>
      </c>
      <c r="L459">
        <v>4879789</v>
      </c>
      <c r="M459">
        <v>0</v>
      </c>
      <c r="N459">
        <v>0</v>
      </c>
      <c r="O459">
        <v>0</v>
      </c>
      <c r="P459">
        <v>1327</v>
      </c>
      <c r="Q459">
        <v>48798</v>
      </c>
      <c r="R459">
        <v>0</v>
      </c>
      <c r="S459">
        <v>0</v>
      </c>
      <c r="T459">
        <v>0</v>
      </c>
    </row>
    <row r="460" spans="1:20" x14ac:dyDescent="0.25">
      <c r="A460" t="s">
        <v>75</v>
      </c>
      <c r="B460" t="s">
        <v>93</v>
      </c>
      <c r="C460">
        <v>202410</v>
      </c>
      <c r="D460" s="47" t="str">
        <f>MID(C460,1,4)</f>
        <v>2024</v>
      </c>
      <c r="E460" t="str">
        <f>IF(Portfolio!$M$1=1,CONCATENATE(A460,C460),CONCATENATE(B460,C460))</f>
        <v>CHAMP RESTO202410</v>
      </c>
      <c r="F460">
        <v>2</v>
      </c>
      <c r="G460">
        <v>1</v>
      </c>
      <c r="H460">
        <v>0</v>
      </c>
      <c r="I460">
        <v>0</v>
      </c>
      <c r="J460">
        <v>17</v>
      </c>
      <c r="K460">
        <v>2625000</v>
      </c>
      <c r="L460">
        <v>298000</v>
      </c>
      <c r="M460">
        <v>0</v>
      </c>
      <c r="N460">
        <v>0</v>
      </c>
      <c r="O460">
        <v>3342000</v>
      </c>
      <c r="P460">
        <v>3938</v>
      </c>
      <c r="Q460">
        <v>2980</v>
      </c>
      <c r="R460">
        <v>0</v>
      </c>
      <c r="S460">
        <v>0</v>
      </c>
      <c r="T460">
        <v>9900</v>
      </c>
    </row>
    <row r="461" spans="1:20" x14ac:dyDescent="0.25">
      <c r="A461" t="s">
        <v>75</v>
      </c>
      <c r="B461" t="s">
        <v>95</v>
      </c>
      <c r="C461">
        <v>202410</v>
      </c>
      <c r="D461" s="47" t="str">
        <f>MID(C461,1,4)</f>
        <v>2024</v>
      </c>
      <c r="E461" t="str">
        <f>IF(Portfolio!$M$1=1,CONCATENATE(A461,C461),CONCATENATE(B461,C461))</f>
        <v>CHAMP RESTO202410</v>
      </c>
      <c r="F461">
        <v>3</v>
      </c>
      <c r="G461">
        <v>1</v>
      </c>
      <c r="H461">
        <v>0</v>
      </c>
      <c r="I461">
        <v>0</v>
      </c>
      <c r="J461">
        <v>0</v>
      </c>
      <c r="K461">
        <v>642003</v>
      </c>
      <c r="L461">
        <v>151000</v>
      </c>
      <c r="M461">
        <v>0</v>
      </c>
      <c r="N461">
        <v>0</v>
      </c>
      <c r="O461">
        <v>0</v>
      </c>
      <c r="P461">
        <v>963</v>
      </c>
      <c r="Q461">
        <v>1510</v>
      </c>
      <c r="R461">
        <v>0</v>
      </c>
      <c r="S461">
        <v>0</v>
      </c>
      <c r="T461">
        <v>0</v>
      </c>
    </row>
    <row r="462" spans="1:20" x14ac:dyDescent="0.25">
      <c r="A462" t="s">
        <v>84</v>
      </c>
      <c r="B462" t="s">
        <v>84</v>
      </c>
      <c r="C462">
        <v>202410</v>
      </c>
      <c r="D462" s="47" t="str">
        <f>MID(C462,1,4)</f>
        <v>2024</v>
      </c>
      <c r="E462" t="str">
        <f>IF(Portfolio!$M$1=1,CONCATENATE(A462,C462),CONCATENATE(B462,C462))</f>
        <v>ES TELLER 77202410</v>
      </c>
      <c r="F462">
        <v>5</v>
      </c>
      <c r="G462">
        <v>11</v>
      </c>
      <c r="H462">
        <v>0</v>
      </c>
      <c r="I462">
        <v>0</v>
      </c>
      <c r="J462">
        <v>1</v>
      </c>
      <c r="K462">
        <v>510000</v>
      </c>
      <c r="L462">
        <v>814001</v>
      </c>
      <c r="M462">
        <v>0</v>
      </c>
      <c r="N462">
        <v>0</v>
      </c>
      <c r="O462">
        <v>10000</v>
      </c>
      <c r="P462">
        <v>765</v>
      </c>
      <c r="Q462">
        <v>8140</v>
      </c>
      <c r="R462">
        <v>0</v>
      </c>
      <c r="S462">
        <v>0</v>
      </c>
      <c r="T462">
        <v>0</v>
      </c>
    </row>
    <row r="463" spans="1:20" x14ac:dyDescent="0.25">
      <c r="A463" t="s">
        <v>86</v>
      </c>
      <c r="B463" t="s">
        <v>86</v>
      </c>
      <c r="C463">
        <v>202410</v>
      </c>
      <c r="D463" s="47" t="str">
        <f>MID(C463,1,4)</f>
        <v>2024</v>
      </c>
      <c r="E463" t="str">
        <f>IF(Portfolio!$M$1=1,CONCATENATE(A463,C463),CONCATENATE(B463,C463))</f>
        <v>GRAMEDIA202410</v>
      </c>
      <c r="F463">
        <v>33</v>
      </c>
      <c r="G463">
        <v>753</v>
      </c>
      <c r="H463">
        <v>133</v>
      </c>
      <c r="I463">
        <v>15</v>
      </c>
      <c r="J463">
        <v>1490</v>
      </c>
      <c r="K463">
        <v>10882270</v>
      </c>
      <c r="L463">
        <v>201631925</v>
      </c>
      <c r="M463">
        <v>68475590</v>
      </c>
      <c r="N463">
        <v>1316750</v>
      </c>
      <c r="O463">
        <v>217994651</v>
      </c>
      <c r="P463">
        <v>16323</v>
      </c>
      <c r="Q463">
        <v>2016319</v>
      </c>
      <c r="R463">
        <v>1240259</v>
      </c>
      <c r="S463">
        <v>8332</v>
      </c>
      <c r="T463">
        <v>1525963</v>
      </c>
    </row>
    <row r="464" spans="1:20" x14ac:dyDescent="0.25">
      <c r="A464" t="s">
        <v>88</v>
      </c>
      <c r="B464" t="s">
        <v>88</v>
      </c>
      <c r="C464">
        <v>202410</v>
      </c>
      <c r="D464" s="47" t="str">
        <f>MID(C464,1,4)</f>
        <v>2024</v>
      </c>
      <c r="E464" t="str">
        <f>IF(Portfolio!$M$1=1,CONCATENATE(A464,C464),CONCATENATE(B464,C464))</f>
        <v>HAUS202410</v>
      </c>
      <c r="F464">
        <v>1</v>
      </c>
      <c r="G464">
        <v>39</v>
      </c>
      <c r="H464">
        <v>1</v>
      </c>
      <c r="I464">
        <v>5</v>
      </c>
      <c r="J464">
        <v>601</v>
      </c>
      <c r="K464">
        <v>32000</v>
      </c>
      <c r="L464">
        <v>1904000</v>
      </c>
      <c r="M464">
        <v>40000</v>
      </c>
      <c r="N464">
        <v>220000</v>
      </c>
      <c r="O464">
        <v>20060088</v>
      </c>
      <c r="P464">
        <v>48</v>
      </c>
      <c r="Q464">
        <v>19040</v>
      </c>
      <c r="R464">
        <v>720</v>
      </c>
      <c r="S464">
        <v>378</v>
      </c>
      <c r="T464">
        <v>7520</v>
      </c>
    </row>
    <row r="465" spans="1:20" x14ac:dyDescent="0.25">
      <c r="A465" t="s">
        <v>90</v>
      </c>
      <c r="B465" t="s">
        <v>90</v>
      </c>
      <c r="C465">
        <v>202410</v>
      </c>
      <c r="D465" s="47" t="str">
        <f>MID(C465,1,4)</f>
        <v>2024</v>
      </c>
      <c r="E465" t="str">
        <f>IF(Portfolio!$M$1=1,CONCATENATE(A465,C465),CONCATENATE(B465,C465))</f>
        <v>HEAVENLY WANG202410</v>
      </c>
      <c r="F465">
        <v>7</v>
      </c>
      <c r="G465">
        <v>0</v>
      </c>
      <c r="H465">
        <v>1</v>
      </c>
      <c r="I465">
        <v>0</v>
      </c>
      <c r="J465">
        <v>0</v>
      </c>
      <c r="K465">
        <v>726495</v>
      </c>
      <c r="L465">
        <v>0</v>
      </c>
      <c r="M465">
        <v>146685</v>
      </c>
      <c r="N465">
        <v>0</v>
      </c>
      <c r="O465">
        <v>0</v>
      </c>
      <c r="P465">
        <v>1090</v>
      </c>
      <c r="Q465">
        <v>0</v>
      </c>
      <c r="R465">
        <v>2640</v>
      </c>
      <c r="S465">
        <v>0</v>
      </c>
      <c r="T465">
        <v>0</v>
      </c>
    </row>
    <row r="466" spans="1:20" x14ac:dyDescent="0.25">
      <c r="A466" t="s">
        <v>92</v>
      </c>
      <c r="B466" t="s">
        <v>108</v>
      </c>
      <c r="C466">
        <v>202410</v>
      </c>
      <c r="D466" s="47" t="str">
        <f>MID(C466,1,4)</f>
        <v>2024</v>
      </c>
      <c r="E466" t="str">
        <f>IF(Portfolio!$M$1=1,CONCATENATE(A466,C466),CONCATENATE(B466,C466))</f>
        <v>HERO GROUP202410</v>
      </c>
      <c r="F466">
        <v>42</v>
      </c>
      <c r="G466">
        <v>5</v>
      </c>
      <c r="H466">
        <v>1</v>
      </c>
      <c r="I466">
        <v>0</v>
      </c>
      <c r="J466">
        <v>79</v>
      </c>
      <c r="K466">
        <v>18454740</v>
      </c>
      <c r="L466">
        <v>2301305</v>
      </c>
      <c r="M466">
        <v>749700</v>
      </c>
      <c r="N466">
        <v>0</v>
      </c>
      <c r="O466">
        <v>3089000</v>
      </c>
      <c r="P466">
        <v>27682</v>
      </c>
      <c r="Q466">
        <v>23013</v>
      </c>
      <c r="R466">
        <v>14994</v>
      </c>
      <c r="S466">
        <v>0</v>
      </c>
      <c r="T466">
        <v>375</v>
      </c>
    </row>
    <row r="467" spans="1:20" x14ac:dyDescent="0.25">
      <c r="A467" t="s">
        <v>96</v>
      </c>
      <c r="B467" t="s">
        <v>96</v>
      </c>
      <c r="C467">
        <v>202410</v>
      </c>
      <c r="D467" s="47" t="str">
        <f>MID(C467,1,4)</f>
        <v>2024</v>
      </c>
      <c r="E467" t="str">
        <f>IF(Portfolio!$M$1=1,CONCATENATE(A467,C467),CONCATENATE(B467,C467))</f>
        <v>HOKKAIDO BAKED CHEESE202410</v>
      </c>
      <c r="F467">
        <v>39</v>
      </c>
      <c r="G467">
        <v>600</v>
      </c>
      <c r="H467">
        <v>3</v>
      </c>
      <c r="I467">
        <v>74</v>
      </c>
      <c r="J467">
        <v>3042</v>
      </c>
      <c r="K467">
        <v>4425000</v>
      </c>
      <c r="L467">
        <v>59280226</v>
      </c>
      <c r="M467">
        <v>526000</v>
      </c>
      <c r="N467">
        <v>7402400</v>
      </c>
      <c r="O467">
        <v>240739860</v>
      </c>
      <c r="P467">
        <v>6638</v>
      </c>
      <c r="Q467">
        <v>592802</v>
      </c>
      <c r="R467">
        <v>9468</v>
      </c>
      <c r="S467">
        <v>51337</v>
      </c>
      <c r="T467">
        <v>1559382</v>
      </c>
    </row>
    <row r="468" spans="1:20" x14ac:dyDescent="0.25">
      <c r="A468" t="s">
        <v>97</v>
      </c>
      <c r="B468" t="s">
        <v>97</v>
      </c>
      <c r="C468">
        <v>202410</v>
      </c>
      <c r="D468" s="47" t="str">
        <f>MID(C468,1,4)</f>
        <v>2024</v>
      </c>
      <c r="E468" t="str">
        <f>IF(Portfolio!$M$1=1,CONCATENATE(A468,C468),CONCATENATE(B468,C468))</f>
        <v>HOP HOP202410</v>
      </c>
      <c r="F468">
        <v>0</v>
      </c>
      <c r="G468">
        <v>0</v>
      </c>
      <c r="H468">
        <v>0</v>
      </c>
      <c r="I468">
        <v>156</v>
      </c>
      <c r="J468">
        <v>623</v>
      </c>
      <c r="K468">
        <v>0</v>
      </c>
      <c r="L468">
        <v>0</v>
      </c>
      <c r="M468">
        <v>0</v>
      </c>
      <c r="N468">
        <v>6188001</v>
      </c>
      <c r="O468">
        <v>21997002</v>
      </c>
      <c r="P468">
        <v>0</v>
      </c>
      <c r="Q468">
        <v>0</v>
      </c>
      <c r="R468">
        <v>0</v>
      </c>
      <c r="S468">
        <v>2025</v>
      </c>
      <c r="T468">
        <v>144474</v>
      </c>
    </row>
    <row r="469" spans="1:20" x14ac:dyDescent="0.25">
      <c r="A469" t="s">
        <v>97</v>
      </c>
      <c r="B469" t="s">
        <v>113</v>
      </c>
      <c r="C469">
        <v>202410</v>
      </c>
      <c r="D469" s="47" t="str">
        <f>MID(C469,1,4)</f>
        <v>2024</v>
      </c>
      <c r="E469" t="str">
        <f>IF(Portfolio!$M$1=1,CONCATENATE(A469,C469),CONCATENATE(B469,C469))</f>
        <v>HOP HOP202410</v>
      </c>
      <c r="F469">
        <v>0</v>
      </c>
      <c r="G469">
        <v>0</v>
      </c>
      <c r="H469">
        <v>0</v>
      </c>
      <c r="I469">
        <v>23</v>
      </c>
      <c r="J469">
        <v>75</v>
      </c>
      <c r="K469">
        <v>0</v>
      </c>
      <c r="L469">
        <v>0</v>
      </c>
      <c r="M469">
        <v>0</v>
      </c>
      <c r="N469">
        <v>1223000</v>
      </c>
      <c r="O469">
        <v>2077001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25">
      <c r="A470" t="s">
        <v>99</v>
      </c>
      <c r="B470" t="s">
        <v>99</v>
      </c>
      <c r="C470">
        <v>202410</v>
      </c>
      <c r="D470" s="47" t="str">
        <f>MID(C470,1,4)</f>
        <v>2024</v>
      </c>
      <c r="E470" t="str">
        <f>IF(Portfolio!$M$1=1,CONCATENATE(A470,C470),CONCATENATE(B470,C470))</f>
        <v>IKEA202410</v>
      </c>
      <c r="F470">
        <v>23</v>
      </c>
      <c r="G470">
        <v>0</v>
      </c>
      <c r="H470">
        <v>0</v>
      </c>
      <c r="I470">
        <v>0</v>
      </c>
      <c r="J470">
        <v>0</v>
      </c>
      <c r="K470">
        <v>23365800</v>
      </c>
      <c r="L470">
        <v>0</v>
      </c>
      <c r="M470">
        <v>0</v>
      </c>
      <c r="N470">
        <v>0</v>
      </c>
      <c r="O470">
        <v>0</v>
      </c>
      <c r="P470">
        <v>35049</v>
      </c>
      <c r="Q470">
        <v>0</v>
      </c>
      <c r="R470">
        <v>0</v>
      </c>
      <c r="S470">
        <v>0</v>
      </c>
      <c r="T470">
        <v>0</v>
      </c>
    </row>
    <row r="471" spans="1:20" x14ac:dyDescent="0.25">
      <c r="A471" t="s">
        <v>101</v>
      </c>
      <c r="B471" t="s">
        <v>101</v>
      </c>
      <c r="C471">
        <v>202410</v>
      </c>
      <c r="D471" s="47" t="str">
        <f>MID(C471,1,4)</f>
        <v>2024</v>
      </c>
      <c r="E471" t="str">
        <f>IF(Portfolio!$M$1=1,CONCATENATE(A471,C471),CONCATENATE(B471,C471))</f>
        <v>INDOMARET202410</v>
      </c>
      <c r="F471">
        <v>33793</v>
      </c>
      <c r="G471">
        <v>72048</v>
      </c>
      <c r="H471">
        <v>17114</v>
      </c>
      <c r="I471">
        <v>5</v>
      </c>
      <c r="J471">
        <v>320</v>
      </c>
      <c r="K471">
        <v>3292867160</v>
      </c>
      <c r="L471">
        <v>6402880027</v>
      </c>
      <c r="M471">
        <v>2245576456</v>
      </c>
      <c r="N471">
        <v>136900</v>
      </c>
      <c r="O471">
        <v>12371400</v>
      </c>
      <c r="P471">
        <v>4939298</v>
      </c>
      <c r="Q471">
        <v>64028800</v>
      </c>
      <c r="R471">
        <v>37611917</v>
      </c>
      <c r="S471">
        <v>958</v>
      </c>
      <c r="T471">
        <v>85244</v>
      </c>
    </row>
    <row r="472" spans="1:20" x14ac:dyDescent="0.25">
      <c r="A472" t="s">
        <v>101</v>
      </c>
      <c r="B472" t="s">
        <v>117</v>
      </c>
      <c r="C472">
        <v>202410</v>
      </c>
      <c r="D472" s="47" t="str">
        <f>MID(C472,1,4)</f>
        <v>2024</v>
      </c>
      <c r="E472" t="str">
        <f>IF(Portfolio!$M$1=1,CONCATENATE(A472,C472),CONCATENATE(B472,C472))</f>
        <v>INDOMARET202410</v>
      </c>
      <c r="F472">
        <v>115</v>
      </c>
      <c r="G472">
        <v>302</v>
      </c>
      <c r="H472">
        <v>95</v>
      </c>
      <c r="I472">
        <v>0</v>
      </c>
      <c r="J472">
        <v>0</v>
      </c>
      <c r="K472">
        <v>7655290</v>
      </c>
      <c r="L472">
        <v>22212900</v>
      </c>
      <c r="M472">
        <v>12498300</v>
      </c>
      <c r="N472">
        <v>0</v>
      </c>
      <c r="O472">
        <v>0</v>
      </c>
      <c r="P472">
        <v>11483</v>
      </c>
      <c r="Q472">
        <v>222129</v>
      </c>
      <c r="R472">
        <v>206222</v>
      </c>
      <c r="S472">
        <v>0</v>
      </c>
      <c r="T472">
        <v>0</v>
      </c>
    </row>
    <row r="473" spans="1:20" x14ac:dyDescent="0.25">
      <c r="A473" t="s">
        <v>102</v>
      </c>
      <c r="B473" t="s">
        <v>121</v>
      </c>
      <c r="C473">
        <v>202410</v>
      </c>
      <c r="D473" s="47" t="str">
        <f>MID(C473,1,4)</f>
        <v>2024</v>
      </c>
      <c r="E473" t="str">
        <f>IF(Portfolio!$M$1=1,CONCATENATE(A473,C473),CONCATENATE(B473,C473))</f>
        <v>KAWAN LAMA202410</v>
      </c>
      <c r="F473">
        <v>3</v>
      </c>
      <c r="G473">
        <v>0</v>
      </c>
      <c r="H473">
        <v>0</v>
      </c>
      <c r="I473">
        <v>0</v>
      </c>
      <c r="J473">
        <v>0</v>
      </c>
      <c r="K473">
        <v>302300</v>
      </c>
      <c r="L473">
        <v>0</v>
      </c>
      <c r="M473">
        <v>0</v>
      </c>
      <c r="N473">
        <v>0</v>
      </c>
      <c r="O473">
        <v>0</v>
      </c>
      <c r="P473">
        <v>453</v>
      </c>
      <c r="Q473">
        <v>0</v>
      </c>
      <c r="R473">
        <v>0</v>
      </c>
      <c r="S473">
        <v>0</v>
      </c>
      <c r="T473">
        <v>0</v>
      </c>
    </row>
    <row r="474" spans="1:20" x14ac:dyDescent="0.25">
      <c r="A474" t="s">
        <v>102</v>
      </c>
      <c r="B474" t="s">
        <v>123</v>
      </c>
      <c r="C474">
        <v>202410</v>
      </c>
      <c r="D474" s="47" t="str">
        <f>MID(C474,1,4)</f>
        <v>2024</v>
      </c>
      <c r="E474" t="str">
        <f>IF(Portfolio!$M$1=1,CONCATENATE(A474,C474),CONCATENATE(B474,C474))</f>
        <v>KAWAN LAMA202410</v>
      </c>
      <c r="F474">
        <v>1545</v>
      </c>
      <c r="G474">
        <v>0</v>
      </c>
      <c r="H474">
        <v>213</v>
      </c>
      <c r="I474">
        <v>0</v>
      </c>
      <c r="J474">
        <v>0</v>
      </c>
      <c r="K474">
        <v>1680000393</v>
      </c>
      <c r="L474">
        <v>0</v>
      </c>
      <c r="M474">
        <v>175399149</v>
      </c>
      <c r="N474">
        <v>0</v>
      </c>
      <c r="O474">
        <v>0</v>
      </c>
      <c r="P474">
        <v>2519998</v>
      </c>
      <c r="Q474">
        <v>0</v>
      </c>
      <c r="R474">
        <v>3507983</v>
      </c>
      <c r="S474">
        <v>0</v>
      </c>
      <c r="T474">
        <v>0</v>
      </c>
    </row>
    <row r="475" spans="1:20" x14ac:dyDescent="0.25">
      <c r="A475" t="s">
        <v>102</v>
      </c>
      <c r="B475" t="s">
        <v>125</v>
      </c>
      <c r="C475">
        <v>202410</v>
      </c>
      <c r="D475" s="47" t="str">
        <f>MID(C475,1,4)</f>
        <v>2024</v>
      </c>
      <c r="E475" t="str">
        <f>IF(Portfolio!$M$1=1,CONCATENATE(A475,C475),CONCATENATE(B475,C475))</f>
        <v>KAWAN LAMA202410</v>
      </c>
      <c r="F475">
        <v>577</v>
      </c>
      <c r="G475">
        <v>0</v>
      </c>
      <c r="H475">
        <v>0</v>
      </c>
      <c r="I475">
        <v>0</v>
      </c>
      <c r="J475">
        <v>0</v>
      </c>
      <c r="K475">
        <v>34192000</v>
      </c>
      <c r="L475">
        <v>0</v>
      </c>
      <c r="M475">
        <v>0</v>
      </c>
      <c r="N475">
        <v>0</v>
      </c>
      <c r="O475">
        <v>0</v>
      </c>
      <c r="P475">
        <v>51288</v>
      </c>
      <c r="Q475">
        <v>0</v>
      </c>
      <c r="R475">
        <v>0</v>
      </c>
      <c r="S475">
        <v>0</v>
      </c>
      <c r="T475">
        <v>0</v>
      </c>
    </row>
    <row r="476" spans="1:20" x14ac:dyDescent="0.25">
      <c r="A476" t="s">
        <v>102</v>
      </c>
      <c r="B476" t="s">
        <v>127</v>
      </c>
      <c r="C476">
        <v>202410</v>
      </c>
      <c r="D476" s="47" t="str">
        <f>MID(C476,1,4)</f>
        <v>2024</v>
      </c>
      <c r="E476" t="str">
        <f>IF(Portfolio!$M$1=1,CONCATENATE(A476,C476),CONCATENATE(B476,C476))</f>
        <v>KAWAN LAMA202410</v>
      </c>
      <c r="F476">
        <v>2</v>
      </c>
      <c r="G476">
        <v>0</v>
      </c>
      <c r="H476">
        <v>0</v>
      </c>
      <c r="I476">
        <v>0</v>
      </c>
      <c r="J476">
        <v>0</v>
      </c>
      <c r="K476">
        <v>49000</v>
      </c>
      <c r="L476">
        <v>0</v>
      </c>
      <c r="M476">
        <v>0</v>
      </c>
      <c r="N476">
        <v>0</v>
      </c>
      <c r="O476">
        <v>0</v>
      </c>
      <c r="P476">
        <v>74</v>
      </c>
      <c r="Q476">
        <v>0</v>
      </c>
      <c r="R476">
        <v>0</v>
      </c>
      <c r="S476">
        <v>0</v>
      </c>
      <c r="T476">
        <v>0</v>
      </c>
    </row>
    <row r="477" spans="1:20" x14ac:dyDescent="0.25">
      <c r="A477" t="s">
        <v>102</v>
      </c>
      <c r="B477" t="s">
        <v>131</v>
      </c>
      <c r="C477">
        <v>202410</v>
      </c>
      <c r="D477" s="47" t="str">
        <f>MID(C477,1,4)</f>
        <v>2024</v>
      </c>
      <c r="E477" t="str">
        <f>IF(Portfolio!$M$1=1,CONCATENATE(A477,C477),CONCATENATE(B477,C477))</f>
        <v>KAWAN LAMA202410</v>
      </c>
      <c r="F477">
        <v>7</v>
      </c>
      <c r="G477">
        <v>0</v>
      </c>
      <c r="H477">
        <v>0</v>
      </c>
      <c r="I477">
        <v>0</v>
      </c>
      <c r="J477">
        <v>0</v>
      </c>
      <c r="K477">
        <v>879000</v>
      </c>
      <c r="L477">
        <v>0</v>
      </c>
      <c r="M477">
        <v>0</v>
      </c>
      <c r="N477">
        <v>0</v>
      </c>
      <c r="O477">
        <v>0</v>
      </c>
      <c r="P477">
        <v>1318</v>
      </c>
      <c r="Q477">
        <v>0</v>
      </c>
      <c r="R477">
        <v>0</v>
      </c>
      <c r="S477">
        <v>0</v>
      </c>
      <c r="T477">
        <v>0</v>
      </c>
    </row>
    <row r="478" spans="1:20" x14ac:dyDescent="0.25">
      <c r="A478" t="s">
        <v>102</v>
      </c>
      <c r="B478" t="s">
        <v>133</v>
      </c>
      <c r="C478">
        <v>202410</v>
      </c>
      <c r="D478" s="47" t="str">
        <f>MID(C478,1,4)</f>
        <v>2024</v>
      </c>
      <c r="E478" t="str">
        <f>IF(Portfolio!$M$1=1,CONCATENATE(A478,C478),CONCATENATE(B478,C478))</f>
        <v>KAWAN LAMA202410</v>
      </c>
      <c r="F478">
        <v>12</v>
      </c>
      <c r="G478">
        <v>0</v>
      </c>
      <c r="H478">
        <v>0</v>
      </c>
      <c r="I478">
        <v>0</v>
      </c>
      <c r="J478">
        <v>0</v>
      </c>
      <c r="K478">
        <v>1965000</v>
      </c>
      <c r="L478">
        <v>0</v>
      </c>
      <c r="M478">
        <v>0</v>
      </c>
      <c r="N478">
        <v>0</v>
      </c>
      <c r="O478">
        <v>0</v>
      </c>
      <c r="P478">
        <v>2948</v>
      </c>
      <c r="Q478">
        <v>0</v>
      </c>
      <c r="R478">
        <v>0</v>
      </c>
      <c r="S478">
        <v>0</v>
      </c>
      <c r="T478">
        <v>0</v>
      </c>
    </row>
    <row r="479" spans="1:20" x14ac:dyDescent="0.25">
      <c r="A479" t="s">
        <v>102</v>
      </c>
      <c r="B479" t="s">
        <v>135</v>
      </c>
      <c r="C479">
        <v>202410</v>
      </c>
      <c r="D479" s="47" t="str">
        <f>MID(C479,1,4)</f>
        <v>2024</v>
      </c>
      <c r="E479" t="str">
        <f>IF(Portfolio!$M$1=1,CONCATENATE(A479,C479),CONCATENATE(B479,C479))</f>
        <v>KAWAN LAMA202410</v>
      </c>
      <c r="F479">
        <v>433</v>
      </c>
      <c r="G479">
        <v>0</v>
      </c>
      <c r="H479">
        <v>0</v>
      </c>
      <c r="I479">
        <v>0</v>
      </c>
      <c r="J479">
        <v>0</v>
      </c>
      <c r="K479">
        <v>1400141541</v>
      </c>
      <c r="L479">
        <v>0</v>
      </c>
      <c r="M479">
        <v>0</v>
      </c>
      <c r="N479">
        <v>0</v>
      </c>
      <c r="O479">
        <v>0</v>
      </c>
      <c r="P479">
        <v>2100212</v>
      </c>
      <c r="Q479">
        <v>0</v>
      </c>
      <c r="R479">
        <v>0</v>
      </c>
      <c r="S479">
        <v>0</v>
      </c>
      <c r="T479">
        <v>0</v>
      </c>
    </row>
    <row r="480" spans="1:20" x14ac:dyDescent="0.25">
      <c r="A480" t="s">
        <v>102</v>
      </c>
      <c r="B480" t="s">
        <v>137</v>
      </c>
      <c r="C480">
        <v>202410</v>
      </c>
      <c r="D480" s="47" t="str">
        <f>MID(C480,1,4)</f>
        <v>2024</v>
      </c>
      <c r="E480" t="str">
        <f>IF(Portfolio!$M$1=1,CONCATENATE(A480,C480),CONCATENATE(B480,C480))</f>
        <v>KAWAN LAMA202410</v>
      </c>
      <c r="F480">
        <v>16</v>
      </c>
      <c r="G480">
        <v>0</v>
      </c>
      <c r="H480">
        <v>0</v>
      </c>
      <c r="I480">
        <v>0</v>
      </c>
      <c r="J480">
        <v>0</v>
      </c>
      <c r="K480">
        <v>41733240</v>
      </c>
      <c r="L480">
        <v>0</v>
      </c>
      <c r="M480">
        <v>0</v>
      </c>
      <c r="N480">
        <v>0</v>
      </c>
      <c r="O480">
        <v>0</v>
      </c>
      <c r="P480">
        <v>62600</v>
      </c>
      <c r="Q480">
        <v>0</v>
      </c>
      <c r="R480">
        <v>0</v>
      </c>
      <c r="S480">
        <v>0</v>
      </c>
      <c r="T480">
        <v>0</v>
      </c>
    </row>
    <row r="481" spans="1:20" x14ac:dyDescent="0.25">
      <c r="A481" t="s">
        <v>102</v>
      </c>
      <c r="B481" t="s">
        <v>142</v>
      </c>
      <c r="C481">
        <v>202410</v>
      </c>
      <c r="D481" s="47" t="str">
        <f>MID(C481,1,4)</f>
        <v>2024</v>
      </c>
      <c r="E481" t="str">
        <f>IF(Portfolio!$M$1=1,CONCATENATE(A481,C481),CONCATENATE(B481,C481))</f>
        <v>KAWAN LAMA202410</v>
      </c>
      <c r="F481">
        <v>1</v>
      </c>
      <c r="G481">
        <v>0</v>
      </c>
      <c r="H481">
        <v>0</v>
      </c>
      <c r="I481">
        <v>1</v>
      </c>
      <c r="J481">
        <v>3</v>
      </c>
      <c r="K481">
        <v>78000</v>
      </c>
      <c r="L481">
        <v>0</v>
      </c>
      <c r="M481">
        <v>0</v>
      </c>
      <c r="N481">
        <v>1000</v>
      </c>
      <c r="O481">
        <v>219001</v>
      </c>
      <c r="P481">
        <v>117</v>
      </c>
      <c r="Q481">
        <v>0</v>
      </c>
      <c r="R481">
        <v>0</v>
      </c>
      <c r="S481">
        <v>7</v>
      </c>
      <c r="T481">
        <v>1533</v>
      </c>
    </row>
    <row r="482" spans="1:20" x14ac:dyDescent="0.25">
      <c r="A482" t="s">
        <v>103</v>
      </c>
      <c r="B482" t="s">
        <v>146</v>
      </c>
      <c r="C482">
        <v>202410</v>
      </c>
      <c r="D482" s="47" t="str">
        <f>MID(C482,1,4)</f>
        <v>2024</v>
      </c>
      <c r="E482" t="str">
        <f>IF(Portfolio!$M$1=1,CONCATENATE(A482,C482),CONCATENATE(B482,C482))</f>
        <v>KCIC202410</v>
      </c>
      <c r="F482">
        <v>77</v>
      </c>
      <c r="G482">
        <v>1783</v>
      </c>
      <c r="H482">
        <v>885</v>
      </c>
      <c r="I482">
        <v>0</v>
      </c>
      <c r="J482">
        <v>0</v>
      </c>
      <c r="K482">
        <v>34425000</v>
      </c>
      <c r="L482">
        <v>928890000</v>
      </c>
      <c r="M482">
        <v>605000000</v>
      </c>
      <c r="N482">
        <v>0</v>
      </c>
      <c r="O482">
        <v>0</v>
      </c>
      <c r="P482">
        <v>51638</v>
      </c>
      <c r="Q482">
        <v>9288900</v>
      </c>
      <c r="R482">
        <v>10890000</v>
      </c>
      <c r="S482">
        <v>0</v>
      </c>
      <c r="T482">
        <v>0</v>
      </c>
    </row>
    <row r="483" spans="1:20" x14ac:dyDescent="0.25">
      <c r="A483" t="s">
        <v>107</v>
      </c>
      <c r="B483" t="s">
        <v>162</v>
      </c>
      <c r="C483">
        <v>202410</v>
      </c>
      <c r="D483" s="47" t="str">
        <f>MID(C483,1,4)</f>
        <v>2024</v>
      </c>
      <c r="E483" t="str">
        <f>IF(Portfolio!$M$1=1,CONCATENATE(A483,C483),CONCATENATE(B483,C483))</f>
        <v>MAP GROUP202410</v>
      </c>
      <c r="F483">
        <v>0</v>
      </c>
      <c r="G483">
        <v>3</v>
      </c>
      <c r="H483">
        <v>0</v>
      </c>
      <c r="I483">
        <v>0</v>
      </c>
      <c r="J483">
        <v>0</v>
      </c>
      <c r="K483">
        <v>0</v>
      </c>
      <c r="L483">
        <v>210200</v>
      </c>
      <c r="M483">
        <v>0</v>
      </c>
      <c r="N483">
        <v>0</v>
      </c>
      <c r="O483">
        <v>0</v>
      </c>
      <c r="P483">
        <v>0</v>
      </c>
      <c r="Q483">
        <v>2102</v>
      </c>
      <c r="R483">
        <v>0</v>
      </c>
      <c r="S483">
        <v>0</v>
      </c>
      <c r="T483">
        <v>0</v>
      </c>
    </row>
    <row r="484" spans="1:20" x14ac:dyDescent="0.25">
      <c r="A484" t="s">
        <v>107</v>
      </c>
      <c r="B484" t="s">
        <v>178</v>
      </c>
      <c r="C484">
        <v>202410</v>
      </c>
      <c r="D484" s="47" t="str">
        <f>MID(C484,1,4)</f>
        <v>2024</v>
      </c>
      <c r="E484" t="str">
        <f>IF(Portfolio!$M$1=1,CONCATENATE(A484,C484),CONCATENATE(B484,C484))</f>
        <v>MAP GROUP202410</v>
      </c>
      <c r="F484">
        <v>0</v>
      </c>
      <c r="G484">
        <v>93</v>
      </c>
      <c r="H484">
        <v>4</v>
      </c>
      <c r="I484">
        <v>1</v>
      </c>
      <c r="J484">
        <v>575</v>
      </c>
      <c r="K484">
        <v>0</v>
      </c>
      <c r="L484">
        <v>23561000</v>
      </c>
      <c r="M484">
        <v>442300</v>
      </c>
      <c r="N484">
        <v>5000</v>
      </c>
      <c r="O484">
        <v>55670511</v>
      </c>
      <c r="P484">
        <v>0</v>
      </c>
      <c r="Q484">
        <v>235610</v>
      </c>
      <c r="R484">
        <v>7961</v>
      </c>
      <c r="S484">
        <v>0</v>
      </c>
      <c r="T484">
        <v>383351</v>
      </c>
    </row>
    <row r="485" spans="1:20" x14ac:dyDescent="0.25">
      <c r="A485" t="s">
        <v>107</v>
      </c>
      <c r="B485" t="s">
        <v>191</v>
      </c>
      <c r="C485">
        <v>202410</v>
      </c>
      <c r="D485" s="47" t="str">
        <f>MID(C485,1,4)</f>
        <v>2024</v>
      </c>
      <c r="E485" t="str">
        <f>IF(Portfolio!$M$1=1,CONCATENATE(A485,C485),CONCATENATE(B485,C485))</f>
        <v>MAP GROUP202410</v>
      </c>
      <c r="F485">
        <v>0</v>
      </c>
      <c r="G485">
        <v>0</v>
      </c>
      <c r="H485">
        <v>0</v>
      </c>
      <c r="I485">
        <v>1</v>
      </c>
      <c r="J485">
        <v>100</v>
      </c>
      <c r="K485">
        <v>0</v>
      </c>
      <c r="L485">
        <v>0</v>
      </c>
      <c r="M485">
        <v>0</v>
      </c>
      <c r="N485">
        <v>38000</v>
      </c>
      <c r="O485">
        <v>3345000</v>
      </c>
      <c r="P485">
        <v>0</v>
      </c>
      <c r="Q485">
        <v>0</v>
      </c>
      <c r="R485">
        <v>0</v>
      </c>
      <c r="S485">
        <v>0</v>
      </c>
      <c r="T485">
        <v>1873</v>
      </c>
    </row>
    <row r="486" spans="1:20" x14ac:dyDescent="0.25">
      <c r="A486" t="s">
        <v>109</v>
      </c>
      <c r="B486" t="s">
        <v>109</v>
      </c>
      <c r="C486">
        <v>202410</v>
      </c>
      <c r="D486" s="47" t="str">
        <f>MID(C486,1,4)</f>
        <v>2024</v>
      </c>
      <c r="E486" t="str">
        <f>IF(Portfolio!$M$1=1,CONCATENATE(A486,C486),CONCATENATE(B486,C486))</f>
        <v>MITRA10202410</v>
      </c>
      <c r="F486">
        <v>572</v>
      </c>
      <c r="G486">
        <v>3</v>
      </c>
      <c r="H486">
        <v>1</v>
      </c>
      <c r="I486">
        <v>0</v>
      </c>
      <c r="J486">
        <v>0</v>
      </c>
      <c r="K486">
        <v>1359626639</v>
      </c>
      <c r="L486">
        <v>2015935</v>
      </c>
      <c r="M486">
        <v>253606</v>
      </c>
      <c r="N486">
        <v>0</v>
      </c>
      <c r="O486">
        <v>0</v>
      </c>
      <c r="P486">
        <v>2039438</v>
      </c>
      <c r="Q486">
        <v>20159</v>
      </c>
      <c r="R486">
        <v>5072</v>
      </c>
      <c r="S486">
        <v>0</v>
      </c>
      <c r="T486">
        <v>0</v>
      </c>
    </row>
    <row r="487" spans="1:20" x14ac:dyDescent="0.25">
      <c r="A487" t="s">
        <v>110</v>
      </c>
      <c r="B487" t="s">
        <v>110</v>
      </c>
      <c r="C487">
        <v>202410</v>
      </c>
      <c r="D487" s="47" t="str">
        <f>MID(C487,1,4)</f>
        <v>2024</v>
      </c>
      <c r="E487" t="str">
        <f>IF(Portfolio!$M$1=1,CONCATENATE(A487,C487),CONCATENATE(B487,C487))</f>
        <v>OPTIK MELAWAI202410</v>
      </c>
      <c r="F487">
        <v>111</v>
      </c>
      <c r="G487">
        <v>653</v>
      </c>
      <c r="H487">
        <v>54</v>
      </c>
      <c r="I487">
        <v>0</v>
      </c>
      <c r="J487">
        <v>0</v>
      </c>
      <c r="K487">
        <v>156629000</v>
      </c>
      <c r="L487">
        <v>990244000</v>
      </c>
      <c r="M487">
        <v>45175000</v>
      </c>
      <c r="N487">
        <v>0</v>
      </c>
      <c r="O487">
        <v>0</v>
      </c>
      <c r="P487">
        <v>234944</v>
      </c>
      <c r="Q487">
        <v>9902440</v>
      </c>
      <c r="R487">
        <v>829754</v>
      </c>
      <c r="S487">
        <v>0</v>
      </c>
      <c r="T487">
        <v>0</v>
      </c>
    </row>
    <row r="488" spans="1:20" x14ac:dyDescent="0.25">
      <c r="A488" t="s">
        <v>111</v>
      </c>
      <c r="B488" t="s">
        <v>214</v>
      </c>
      <c r="C488">
        <v>202410</v>
      </c>
      <c r="D488" s="47" t="str">
        <f>MID(C488,1,4)</f>
        <v>2024</v>
      </c>
      <c r="E488" t="str">
        <f>IF(Portfolio!$M$1=1,CONCATENATE(A488,C488),CONCATENATE(B488,C488))</f>
        <v>PATRA JASA202410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2500000</v>
      </c>
      <c r="M488">
        <v>0</v>
      </c>
      <c r="N488">
        <v>0</v>
      </c>
      <c r="O488">
        <v>0</v>
      </c>
      <c r="P488">
        <v>0</v>
      </c>
      <c r="Q488">
        <v>25000</v>
      </c>
      <c r="R488">
        <v>0</v>
      </c>
      <c r="S488">
        <v>0</v>
      </c>
      <c r="T488">
        <v>0</v>
      </c>
    </row>
    <row r="489" spans="1:20" x14ac:dyDescent="0.25">
      <c r="A489" t="s">
        <v>112</v>
      </c>
      <c r="B489" t="s">
        <v>215</v>
      </c>
      <c r="C489">
        <v>202410</v>
      </c>
      <c r="D489" s="47" t="str">
        <f>MID(C489,1,4)</f>
        <v>2024</v>
      </c>
      <c r="E489" t="str">
        <f>IF(Portfolio!$M$1=1,CONCATENATE(A489,C489),CONCATENATE(B489,C489))</f>
        <v>PERTAMINA RETAIL202410</v>
      </c>
      <c r="F489">
        <v>28</v>
      </c>
      <c r="G489">
        <v>4678</v>
      </c>
      <c r="H489">
        <v>320</v>
      </c>
      <c r="I489">
        <v>0</v>
      </c>
      <c r="J489">
        <v>0</v>
      </c>
      <c r="K489">
        <v>1437100</v>
      </c>
      <c r="L489">
        <v>560201566</v>
      </c>
      <c r="M489">
        <v>101063042</v>
      </c>
      <c r="N489">
        <v>0</v>
      </c>
      <c r="O489">
        <v>0</v>
      </c>
      <c r="P489">
        <v>2156</v>
      </c>
      <c r="Q489">
        <v>5602016</v>
      </c>
      <c r="R489">
        <v>1820788</v>
      </c>
      <c r="S489">
        <v>0</v>
      </c>
      <c r="T489">
        <v>0</v>
      </c>
    </row>
    <row r="490" spans="1:20" x14ac:dyDescent="0.25">
      <c r="A490" t="s">
        <v>112</v>
      </c>
      <c r="B490" t="s">
        <v>216</v>
      </c>
      <c r="C490">
        <v>202410</v>
      </c>
      <c r="D490" s="47" t="str">
        <f>MID(C490,1,4)</f>
        <v>2024</v>
      </c>
      <c r="E490" t="str">
        <f>IF(Portfolio!$M$1=1,CONCATENATE(A490,C490),CONCATENATE(B490,C490))</f>
        <v>PERTAMINA RETAIL202410</v>
      </c>
      <c r="F490">
        <v>514</v>
      </c>
      <c r="G490">
        <v>75361</v>
      </c>
      <c r="H490">
        <v>866</v>
      </c>
      <c r="I490">
        <v>27</v>
      </c>
      <c r="J490">
        <v>2844</v>
      </c>
      <c r="K490">
        <v>114336322</v>
      </c>
      <c r="L490">
        <v>16982093626</v>
      </c>
      <c r="M490">
        <v>296811043</v>
      </c>
      <c r="N490">
        <v>6564058</v>
      </c>
      <c r="O490">
        <v>495311297</v>
      </c>
      <c r="P490">
        <v>171504</v>
      </c>
      <c r="Q490">
        <v>89430351</v>
      </c>
      <c r="R490">
        <v>5342599</v>
      </c>
      <c r="S490">
        <v>26257</v>
      </c>
      <c r="T490">
        <v>1981243</v>
      </c>
    </row>
    <row r="491" spans="1:20" x14ac:dyDescent="0.25">
      <c r="A491" t="s">
        <v>114</v>
      </c>
      <c r="B491" t="s">
        <v>217</v>
      </c>
      <c r="C491">
        <v>202410</v>
      </c>
      <c r="D491" s="47" t="str">
        <f>MID(C491,1,4)</f>
        <v>2024</v>
      </c>
      <c r="E491" t="str">
        <f>IF(Portfolio!$M$1=1,CONCATENATE(A491,C491),CONCATENATE(B491,C491))</f>
        <v>PIZZA HUT202410</v>
      </c>
      <c r="F491">
        <v>28</v>
      </c>
      <c r="G491">
        <v>0</v>
      </c>
      <c r="H491">
        <v>0</v>
      </c>
      <c r="I491">
        <v>0</v>
      </c>
      <c r="J491">
        <v>0</v>
      </c>
      <c r="K491">
        <v>4799916</v>
      </c>
      <c r="L491">
        <v>0</v>
      </c>
      <c r="M491">
        <v>0</v>
      </c>
      <c r="N491">
        <v>0</v>
      </c>
      <c r="O491">
        <v>0</v>
      </c>
      <c r="P491">
        <v>7200</v>
      </c>
      <c r="Q491">
        <v>0</v>
      </c>
      <c r="R491">
        <v>0</v>
      </c>
      <c r="S491">
        <v>0</v>
      </c>
      <c r="T491">
        <v>0</v>
      </c>
    </row>
    <row r="492" spans="1:20" x14ac:dyDescent="0.25">
      <c r="A492" t="s">
        <v>114</v>
      </c>
      <c r="B492" t="s">
        <v>218</v>
      </c>
      <c r="C492">
        <v>202410</v>
      </c>
      <c r="D492" s="47" t="str">
        <f>MID(C492,1,4)</f>
        <v>2024</v>
      </c>
      <c r="E492" t="str">
        <f>IF(Portfolio!$M$1=1,CONCATENATE(A492,C492),CONCATENATE(B492,C492))</f>
        <v>PIZZA HUT202410</v>
      </c>
      <c r="F492">
        <v>315</v>
      </c>
      <c r="G492">
        <v>1</v>
      </c>
      <c r="H492">
        <v>0</v>
      </c>
      <c r="I492">
        <v>0</v>
      </c>
      <c r="J492">
        <v>0</v>
      </c>
      <c r="K492">
        <v>82115549</v>
      </c>
      <c r="L492">
        <v>204001</v>
      </c>
      <c r="M492">
        <v>0</v>
      </c>
      <c r="N492">
        <v>0</v>
      </c>
      <c r="O492">
        <v>0</v>
      </c>
      <c r="P492">
        <v>123173</v>
      </c>
      <c r="Q492">
        <v>2040</v>
      </c>
      <c r="R492">
        <v>0</v>
      </c>
      <c r="S492">
        <v>0</v>
      </c>
      <c r="T492">
        <v>0</v>
      </c>
    </row>
    <row r="493" spans="1:20" x14ac:dyDescent="0.25">
      <c r="A493" t="s">
        <v>115</v>
      </c>
      <c r="B493" t="s">
        <v>115</v>
      </c>
      <c r="C493">
        <v>202410</v>
      </c>
      <c r="D493" s="47" t="str">
        <f>MID(C493,1,4)</f>
        <v>2024</v>
      </c>
      <c r="E493" t="str">
        <f>IF(Portfolio!$M$1=1,CONCATENATE(A493,C493),CONCATENATE(B493,C493))</f>
        <v>PLATINUM CINEPLEX202410</v>
      </c>
      <c r="F493">
        <v>17</v>
      </c>
      <c r="G493">
        <v>40</v>
      </c>
      <c r="H493">
        <v>3</v>
      </c>
      <c r="I493">
        <v>20</v>
      </c>
      <c r="J493">
        <v>204</v>
      </c>
      <c r="K493">
        <v>1218000</v>
      </c>
      <c r="L493">
        <v>3665000</v>
      </c>
      <c r="M493">
        <v>785000</v>
      </c>
      <c r="N493">
        <v>1582000</v>
      </c>
      <c r="O493">
        <v>13098000</v>
      </c>
      <c r="P493">
        <v>1827</v>
      </c>
      <c r="Q493">
        <v>36650</v>
      </c>
      <c r="R493">
        <v>14130</v>
      </c>
      <c r="S493">
        <v>11074</v>
      </c>
      <c r="T493">
        <v>91686</v>
      </c>
    </row>
    <row r="494" spans="1:20" x14ac:dyDescent="0.25">
      <c r="A494" t="s">
        <v>118</v>
      </c>
      <c r="B494" t="s">
        <v>118</v>
      </c>
      <c r="C494">
        <v>202410</v>
      </c>
      <c r="D494" s="47" t="str">
        <f>MID(C494,1,4)</f>
        <v>2024</v>
      </c>
      <c r="E494" t="str">
        <f>IF(Portfolio!$M$1=1,CONCATENATE(A494,C494),CONCATENATE(B494,C494))</f>
        <v>SARINAH202410</v>
      </c>
      <c r="F494">
        <v>11</v>
      </c>
      <c r="G494">
        <v>289</v>
      </c>
      <c r="H494">
        <v>378</v>
      </c>
      <c r="I494">
        <v>0</v>
      </c>
      <c r="J494">
        <v>5</v>
      </c>
      <c r="K494">
        <v>13567700</v>
      </c>
      <c r="L494">
        <v>289673979</v>
      </c>
      <c r="M494">
        <v>391970126</v>
      </c>
      <c r="N494">
        <v>0</v>
      </c>
      <c r="O494">
        <v>196000</v>
      </c>
      <c r="P494">
        <v>20352</v>
      </c>
      <c r="Q494">
        <v>2896740</v>
      </c>
      <c r="R494">
        <v>7055462</v>
      </c>
      <c r="S494">
        <v>0</v>
      </c>
      <c r="T494">
        <v>0</v>
      </c>
    </row>
    <row r="495" spans="1:20" x14ac:dyDescent="0.25">
      <c r="A495" t="s">
        <v>120</v>
      </c>
      <c r="B495" t="s">
        <v>120</v>
      </c>
      <c r="C495">
        <v>202410</v>
      </c>
      <c r="D495" s="47" t="str">
        <f>MID(C495,1,4)</f>
        <v>2024</v>
      </c>
      <c r="E495" t="str">
        <f>IF(Portfolio!$M$1=1,CONCATENATE(A495,C495),CONCATENATE(B495,C495))</f>
        <v>SHIHLIN202410</v>
      </c>
      <c r="F495">
        <v>366</v>
      </c>
      <c r="G495">
        <v>12</v>
      </c>
      <c r="H495">
        <v>1</v>
      </c>
      <c r="I495">
        <v>527</v>
      </c>
      <c r="J495">
        <v>15</v>
      </c>
      <c r="K495">
        <v>27604100</v>
      </c>
      <c r="L495">
        <v>673000</v>
      </c>
      <c r="M495">
        <v>94000</v>
      </c>
      <c r="N495">
        <v>34203500</v>
      </c>
      <c r="O495">
        <v>463031</v>
      </c>
      <c r="P495">
        <v>41406</v>
      </c>
      <c r="Q495">
        <v>6730</v>
      </c>
      <c r="R495">
        <v>1692</v>
      </c>
      <c r="S495">
        <v>239424</v>
      </c>
      <c r="T495">
        <v>3241</v>
      </c>
    </row>
    <row r="496" spans="1:20" x14ac:dyDescent="0.25">
      <c r="A496" t="s">
        <v>122</v>
      </c>
      <c r="B496" t="s">
        <v>122</v>
      </c>
      <c r="C496">
        <v>202410</v>
      </c>
      <c r="D496" s="47" t="str">
        <f>MID(C496,1,4)</f>
        <v>2024</v>
      </c>
      <c r="E496" t="str">
        <f>IF(Portfolio!$M$1=1,CONCATENATE(A496,C496),CONCATENATE(B496,C496))</f>
        <v>SOLARIA202410</v>
      </c>
      <c r="F496">
        <v>1767</v>
      </c>
      <c r="G496">
        <v>2</v>
      </c>
      <c r="H496">
        <v>0</v>
      </c>
      <c r="I496">
        <v>0</v>
      </c>
      <c r="J496">
        <v>0</v>
      </c>
      <c r="K496">
        <v>281032300</v>
      </c>
      <c r="L496">
        <v>126000</v>
      </c>
      <c r="M496">
        <v>0</v>
      </c>
      <c r="N496">
        <v>0</v>
      </c>
      <c r="O496">
        <v>0</v>
      </c>
      <c r="P496">
        <v>421548</v>
      </c>
      <c r="Q496">
        <v>1260</v>
      </c>
      <c r="R496">
        <v>0</v>
      </c>
      <c r="S496">
        <v>0</v>
      </c>
      <c r="T496">
        <v>0</v>
      </c>
    </row>
    <row r="497" spans="1:20" x14ac:dyDescent="0.25">
      <c r="A497" t="s">
        <v>124</v>
      </c>
      <c r="B497" t="s">
        <v>124</v>
      </c>
      <c r="C497">
        <v>202410</v>
      </c>
      <c r="D497" s="47" t="str">
        <f>MID(C497,1,4)</f>
        <v>2024</v>
      </c>
      <c r="E497" t="str">
        <f>IF(Portfolio!$M$1=1,CONCATENATE(A497,C497),CONCATENATE(B497,C497))</f>
        <v>SOUR SALLY202410</v>
      </c>
      <c r="F497">
        <v>1</v>
      </c>
      <c r="G497">
        <v>0</v>
      </c>
      <c r="H497">
        <v>0</v>
      </c>
      <c r="I497">
        <v>1</v>
      </c>
      <c r="J497">
        <v>0</v>
      </c>
      <c r="K497">
        <v>62000</v>
      </c>
      <c r="L497">
        <v>0</v>
      </c>
      <c r="M497">
        <v>0</v>
      </c>
      <c r="N497">
        <v>143000</v>
      </c>
      <c r="O497">
        <v>0</v>
      </c>
      <c r="P497">
        <v>93</v>
      </c>
      <c r="Q497">
        <v>0</v>
      </c>
      <c r="R497">
        <v>0</v>
      </c>
      <c r="S497">
        <v>1001</v>
      </c>
      <c r="T497">
        <v>0</v>
      </c>
    </row>
    <row r="498" spans="1:20" x14ac:dyDescent="0.25">
      <c r="A498" t="s">
        <v>126</v>
      </c>
      <c r="B498" t="s">
        <v>220</v>
      </c>
      <c r="C498">
        <v>202410</v>
      </c>
      <c r="D498" s="47" t="str">
        <f>MID(C498,1,4)</f>
        <v>2024</v>
      </c>
      <c r="E498" t="str">
        <f>IF(Portfolio!$M$1=1,CONCATENATE(A498,C498),CONCATENATE(B498,C498))</f>
        <v>STEVEN GROUP202410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1200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 x14ac:dyDescent="0.25">
      <c r="A499" t="s">
        <v>126</v>
      </c>
      <c r="B499" t="s">
        <v>221</v>
      </c>
      <c r="C499">
        <v>202410</v>
      </c>
      <c r="D499" s="47" t="str">
        <f>MID(C499,1,4)</f>
        <v>2024</v>
      </c>
      <c r="E499" t="str">
        <f>IF(Portfolio!$M$1=1,CONCATENATE(A499,C499),CONCATENATE(B499,C499))</f>
        <v>STEVEN GROUP202410</v>
      </c>
      <c r="F499">
        <v>0</v>
      </c>
      <c r="G499">
        <v>2</v>
      </c>
      <c r="H499">
        <v>1</v>
      </c>
      <c r="I499">
        <v>0</v>
      </c>
      <c r="J499">
        <v>0</v>
      </c>
      <c r="K499">
        <v>0</v>
      </c>
      <c r="L499">
        <v>103000</v>
      </c>
      <c r="M499">
        <v>39000</v>
      </c>
      <c r="N499">
        <v>0</v>
      </c>
      <c r="O499">
        <v>0</v>
      </c>
      <c r="P499">
        <v>0</v>
      </c>
      <c r="Q499">
        <v>1030</v>
      </c>
      <c r="R499">
        <v>780</v>
      </c>
      <c r="S499">
        <v>0</v>
      </c>
      <c r="T499">
        <v>0</v>
      </c>
    </row>
    <row r="500" spans="1:20" x14ac:dyDescent="0.25">
      <c r="A500" t="s">
        <v>126</v>
      </c>
      <c r="B500" t="s">
        <v>228</v>
      </c>
      <c r="C500">
        <v>202410</v>
      </c>
      <c r="D500" s="47" t="str">
        <f>MID(C500,1,4)</f>
        <v>2024</v>
      </c>
      <c r="E500" t="str">
        <f>IF(Portfolio!$M$1=1,CONCATENATE(A500,C500),CONCATENATE(B500,C500))</f>
        <v>STEVEN GROUP202410</v>
      </c>
      <c r="F500">
        <v>0</v>
      </c>
      <c r="G500">
        <v>0</v>
      </c>
      <c r="H500">
        <v>0</v>
      </c>
      <c r="I500">
        <v>0</v>
      </c>
      <c r="J500">
        <v>41</v>
      </c>
      <c r="K500">
        <v>0</v>
      </c>
      <c r="L500">
        <v>0</v>
      </c>
      <c r="M500">
        <v>0</v>
      </c>
      <c r="N500">
        <v>0</v>
      </c>
      <c r="O500">
        <v>2985701</v>
      </c>
      <c r="P500">
        <v>0</v>
      </c>
      <c r="Q500">
        <v>0</v>
      </c>
      <c r="R500">
        <v>0</v>
      </c>
      <c r="S500">
        <v>0</v>
      </c>
      <c r="T500">
        <v>3879</v>
      </c>
    </row>
    <row r="501" spans="1:20" x14ac:dyDescent="0.25">
      <c r="A501" t="s">
        <v>134</v>
      </c>
      <c r="B501" t="s">
        <v>134</v>
      </c>
      <c r="C501">
        <v>202410</v>
      </c>
      <c r="D501" s="47" t="str">
        <f>MID(C501,1,4)</f>
        <v>2024</v>
      </c>
      <c r="E501" t="str">
        <f>IF(Portfolio!$M$1=1,CONCATENATE(A501,C501),CONCATENATE(B501,C501))</f>
        <v>TAMANI202410</v>
      </c>
      <c r="F501">
        <v>18</v>
      </c>
      <c r="G501">
        <v>8</v>
      </c>
      <c r="H501">
        <v>1</v>
      </c>
      <c r="I501">
        <v>0</v>
      </c>
      <c r="J501">
        <v>0</v>
      </c>
      <c r="K501">
        <v>5923700</v>
      </c>
      <c r="L501">
        <v>3194400</v>
      </c>
      <c r="M501">
        <v>272800</v>
      </c>
      <c r="N501">
        <v>0</v>
      </c>
      <c r="O501">
        <v>0</v>
      </c>
      <c r="P501">
        <v>8886</v>
      </c>
      <c r="Q501">
        <v>31944</v>
      </c>
      <c r="R501">
        <v>4910</v>
      </c>
      <c r="S501">
        <v>0</v>
      </c>
      <c r="T501">
        <v>0</v>
      </c>
    </row>
    <row r="502" spans="1:20" x14ac:dyDescent="0.25">
      <c r="A502" t="s">
        <v>138</v>
      </c>
      <c r="B502" t="s">
        <v>138</v>
      </c>
      <c r="C502">
        <v>202410</v>
      </c>
      <c r="D502" s="47" t="str">
        <f>MID(C502,1,4)</f>
        <v>2024</v>
      </c>
      <c r="E502" t="str">
        <f>IF(Portfolio!$M$1=1,CONCATENATE(A502,C502),CONCATENATE(B502,C502))</f>
        <v>YOSHINOYA202410</v>
      </c>
      <c r="F502">
        <v>2569</v>
      </c>
      <c r="G502">
        <v>9078</v>
      </c>
      <c r="H502">
        <v>7026</v>
      </c>
      <c r="I502">
        <v>0</v>
      </c>
      <c r="J502">
        <v>0</v>
      </c>
      <c r="K502">
        <v>254471700</v>
      </c>
      <c r="L502">
        <v>1335252900</v>
      </c>
      <c r="M502">
        <v>1236962000</v>
      </c>
      <c r="N502">
        <v>0</v>
      </c>
      <c r="O502">
        <v>0</v>
      </c>
      <c r="P502">
        <v>381708</v>
      </c>
      <c r="Q502">
        <v>13352529</v>
      </c>
      <c r="R502">
        <v>13606582</v>
      </c>
      <c r="S502">
        <v>0</v>
      </c>
      <c r="T502">
        <v>0</v>
      </c>
    </row>
    <row r="503" spans="1:20" x14ac:dyDescent="0.25">
      <c r="A503" t="s">
        <v>67</v>
      </c>
      <c r="B503" t="s">
        <v>68</v>
      </c>
      <c r="C503">
        <v>202411</v>
      </c>
      <c r="D503" s="47" t="str">
        <f>MID(C503,1,4)</f>
        <v>2024</v>
      </c>
      <c r="E503" t="str">
        <f>IF(Portfolio!$M$1=1,CONCATENATE(A503,C503),CONCATENATE(B503,C503))</f>
        <v>ALFA GROUP202411</v>
      </c>
      <c r="F503">
        <v>22620</v>
      </c>
      <c r="G503">
        <v>69222</v>
      </c>
      <c r="H503">
        <v>24967</v>
      </c>
      <c r="I503">
        <v>185</v>
      </c>
      <c r="J503">
        <v>167</v>
      </c>
      <c r="K503">
        <v>2198012533</v>
      </c>
      <c r="L503">
        <v>7112207640</v>
      </c>
      <c r="M503">
        <v>3722843770</v>
      </c>
      <c r="N503">
        <v>18197515</v>
      </c>
      <c r="O503">
        <v>1840107</v>
      </c>
      <c r="P503">
        <v>3297016</v>
      </c>
      <c r="Q503">
        <v>71122076</v>
      </c>
      <c r="R503">
        <v>66961355</v>
      </c>
      <c r="S503">
        <v>2046</v>
      </c>
      <c r="T503">
        <v>382</v>
      </c>
    </row>
    <row r="504" spans="1:20" x14ac:dyDescent="0.25">
      <c r="A504" t="s">
        <v>67</v>
      </c>
      <c r="B504" t="s">
        <v>69</v>
      </c>
      <c r="C504">
        <v>202411</v>
      </c>
      <c r="D504" s="47" t="str">
        <f>MID(C504,1,4)</f>
        <v>2024</v>
      </c>
      <c r="E504" t="str">
        <f>IF(Portfolio!$M$1=1,CONCATENATE(A504,C504),CONCATENATE(B504,C504))</f>
        <v>ALFA GROUP202411</v>
      </c>
      <c r="F504">
        <v>17</v>
      </c>
      <c r="G504">
        <v>57</v>
      </c>
      <c r="H504">
        <v>30</v>
      </c>
      <c r="I504">
        <v>3</v>
      </c>
      <c r="J504">
        <v>45</v>
      </c>
      <c r="K504">
        <v>2380900</v>
      </c>
      <c r="L504">
        <v>7097268</v>
      </c>
      <c r="M504">
        <v>6154789</v>
      </c>
      <c r="N504">
        <v>139400</v>
      </c>
      <c r="O504">
        <v>1397300</v>
      </c>
      <c r="P504">
        <v>3571</v>
      </c>
      <c r="Q504">
        <v>70973</v>
      </c>
      <c r="R504">
        <v>110786</v>
      </c>
      <c r="S504">
        <v>975</v>
      </c>
      <c r="T504">
        <v>9782</v>
      </c>
    </row>
    <row r="505" spans="1:20" x14ac:dyDescent="0.25">
      <c r="A505" t="s">
        <v>67</v>
      </c>
      <c r="B505" t="s">
        <v>72</v>
      </c>
      <c r="C505">
        <v>202411</v>
      </c>
      <c r="D505" s="47" t="str">
        <f>MID(C505,1,4)</f>
        <v>2024</v>
      </c>
      <c r="E505" t="str">
        <f>IF(Portfolio!$M$1=1,CONCATENATE(A505,C505),CONCATENATE(B505,C505))</f>
        <v>ALFA GROUP202411</v>
      </c>
      <c r="F505">
        <v>411</v>
      </c>
      <c r="G505">
        <v>1313</v>
      </c>
      <c r="H505">
        <v>254</v>
      </c>
      <c r="I505">
        <v>0</v>
      </c>
      <c r="J505">
        <v>0</v>
      </c>
      <c r="K505">
        <v>63753805</v>
      </c>
      <c r="L505">
        <v>219018655</v>
      </c>
      <c r="M505">
        <v>47679000</v>
      </c>
      <c r="N505">
        <v>0</v>
      </c>
      <c r="O505">
        <v>0</v>
      </c>
      <c r="P505">
        <v>95631</v>
      </c>
      <c r="Q505">
        <v>2190187</v>
      </c>
      <c r="R505">
        <v>854109</v>
      </c>
      <c r="S505">
        <v>0</v>
      </c>
      <c r="T505">
        <v>0</v>
      </c>
    </row>
    <row r="506" spans="1:20" x14ac:dyDescent="0.25">
      <c r="A506" t="s">
        <v>70</v>
      </c>
      <c r="B506" t="s">
        <v>70</v>
      </c>
      <c r="C506">
        <v>202411</v>
      </c>
      <c r="D506" s="47" t="str">
        <f>MID(C506,1,4)</f>
        <v>2024</v>
      </c>
      <c r="E506" t="str">
        <f>IF(Portfolio!$M$1=1,CONCATENATE(A506,C506),CONCATENATE(B506,C506))</f>
        <v>ANCOL202411</v>
      </c>
      <c r="F506">
        <v>0</v>
      </c>
      <c r="G506">
        <v>5</v>
      </c>
      <c r="H506">
        <v>2</v>
      </c>
      <c r="I506">
        <v>0</v>
      </c>
      <c r="J506">
        <v>0</v>
      </c>
      <c r="K506">
        <v>0</v>
      </c>
      <c r="L506">
        <v>1374700</v>
      </c>
      <c r="M506">
        <v>948200</v>
      </c>
      <c r="N506">
        <v>0</v>
      </c>
      <c r="O506">
        <v>0</v>
      </c>
      <c r="P506">
        <v>0</v>
      </c>
      <c r="Q506">
        <v>13747</v>
      </c>
      <c r="R506">
        <v>15645</v>
      </c>
      <c r="S506">
        <v>0</v>
      </c>
      <c r="T506">
        <v>0</v>
      </c>
    </row>
    <row r="507" spans="1:20" x14ac:dyDescent="0.25">
      <c r="A507" t="s">
        <v>73</v>
      </c>
      <c r="B507" t="s">
        <v>73</v>
      </c>
      <c r="C507">
        <v>202411</v>
      </c>
      <c r="D507" s="47" t="str">
        <f>MID(C507,1,4)</f>
        <v>2024</v>
      </c>
      <c r="E507" t="str">
        <f>IF(Portfolio!$M$1=1,CONCATENATE(A507,C507),CONCATENATE(B507,C507))</f>
        <v>BANBAN TEA202411</v>
      </c>
      <c r="F507">
        <v>71</v>
      </c>
      <c r="G507">
        <v>0</v>
      </c>
      <c r="H507">
        <v>0</v>
      </c>
      <c r="I507">
        <v>96</v>
      </c>
      <c r="J507">
        <v>1</v>
      </c>
      <c r="K507">
        <v>4363042</v>
      </c>
      <c r="L507">
        <v>0</v>
      </c>
      <c r="M507">
        <v>0</v>
      </c>
      <c r="N507">
        <v>5909791</v>
      </c>
      <c r="O507">
        <v>27500</v>
      </c>
      <c r="P507">
        <v>6544</v>
      </c>
      <c r="Q507">
        <v>0</v>
      </c>
      <c r="R507">
        <v>0</v>
      </c>
      <c r="S507">
        <v>41363</v>
      </c>
      <c r="T507">
        <v>192</v>
      </c>
    </row>
    <row r="508" spans="1:20" x14ac:dyDescent="0.25">
      <c r="A508" t="s">
        <v>75</v>
      </c>
      <c r="B508" t="s">
        <v>81</v>
      </c>
      <c r="C508">
        <v>202411</v>
      </c>
      <c r="D508" s="47" t="str">
        <f>MID(C508,1,4)</f>
        <v>2024</v>
      </c>
      <c r="E508" t="str">
        <f>IF(Portfolio!$M$1=1,CONCATENATE(A508,C508),CONCATENATE(B508,C508))</f>
        <v>CHAMP RESTO202411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368500</v>
      </c>
      <c r="L508">
        <v>0</v>
      </c>
      <c r="M508">
        <v>0</v>
      </c>
      <c r="N508">
        <v>0</v>
      </c>
      <c r="O508">
        <v>0</v>
      </c>
      <c r="P508">
        <v>553</v>
      </c>
      <c r="Q508">
        <v>0</v>
      </c>
      <c r="R508">
        <v>0</v>
      </c>
      <c r="S508">
        <v>0</v>
      </c>
      <c r="T508">
        <v>0</v>
      </c>
    </row>
    <row r="509" spans="1:20" x14ac:dyDescent="0.25">
      <c r="A509" t="s">
        <v>75</v>
      </c>
      <c r="B509" t="s">
        <v>83</v>
      </c>
      <c r="C509">
        <v>202411</v>
      </c>
      <c r="D509" s="47" t="str">
        <f>MID(C509,1,4)</f>
        <v>2024</v>
      </c>
      <c r="E509" t="str">
        <f>IF(Portfolio!$M$1=1,CONCATENATE(A509,C509),CONCATENATE(B509,C509))</f>
        <v>CHAMP RESTO202411</v>
      </c>
      <c r="F509">
        <v>0</v>
      </c>
      <c r="G509">
        <v>0</v>
      </c>
      <c r="H509">
        <v>0</v>
      </c>
      <c r="I509">
        <v>6</v>
      </c>
      <c r="J509">
        <v>82</v>
      </c>
      <c r="K509">
        <v>0</v>
      </c>
      <c r="L509">
        <v>0</v>
      </c>
      <c r="M509">
        <v>0</v>
      </c>
      <c r="N509">
        <v>173700</v>
      </c>
      <c r="O509">
        <v>2595300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25">
      <c r="A510" t="s">
        <v>75</v>
      </c>
      <c r="B510" t="s">
        <v>85</v>
      </c>
      <c r="C510">
        <v>202411</v>
      </c>
      <c r="D510" s="47" t="str">
        <f>MID(C510,1,4)</f>
        <v>2024</v>
      </c>
      <c r="E510" t="str">
        <f>IF(Portfolio!$M$1=1,CONCATENATE(A510,C510),CONCATENATE(B510,C510))</f>
        <v>CHAMP RESTO202411</v>
      </c>
      <c r="F510">
        <v>10</v>
      </c>
      <c r="G510">
        <v>15</v>
      </c>
      <c r="H510">
        <v>0</v>
      </c>
      <c r="I510">
        <v>0</v>
      </c>
      <c r="J510">
        <v>0</v>
      </c>
      <c r="K510">
        <v>1619488</v>
      </c>
      <c r="L510">
        <v>2496989</v>
      </c>
      <c r="M510">
        <v>0</v>
      </c>
      <c r="N510">
        <v>0</v>
      </c>
      <c r="O510">
        <v>0</v>
      </c>
      <c r="P510">
        <v>2429</v>
      </c>
      <c r="Q510">
        <v>24970</v>
      </c>
      <c r="R510">
        <v>0</v>
      </c>
      <c r="S510">
        <v>0</v>
      </c>
      <c r="T510">
        <v>0</v>
      </c>
    </row>
    <row r="511" spans="1:20" x14ac:dyDescent="0.25">
      <c r="A511" t="s">
        <v>75</v>
      </c>
      <c r="B511" t="s">
        <v>91</v>
      </c>
      <c r="C511">
        <v>202411</v>
      </c>
      <c r="D511" s="47" t="str">
        <f>MID(C511,1,4)</f>
        <v>2024</v>
      </c>
      <c r="E511" t="str">
        <f>IF(Portfolio!$M$1=1,CONCATENATE(A511,C511),CONCATENATE(B511,C511))</f>
        <v>CHAMP RESTO202411</v>
      </c>
      <c r="F511">
        <v>2</v>
      </c>
      <c r="G511">
        <v>8</v>
      </c>
      <c r="H511">
        <v>0</v>
      </c>
      <c r="I511">
        <v>0</v>
      </c>
      <c r="J511">
        <v>0</v>
      </c>
      <c r="K511">
        <v>293700</v>
      </c>
      <c r="L511">
        <v>1935659</v>
      </c>
      <c r="M511">
        <v>0</v>
      </c>
      <c r="N511">
        <v>0</v>
      </c>
      <c r="O511">
        <v>0</v>
      </c>
      <c r="P511">
        <v>441</v>
      </c>
      <c r="Q511">
        <v>19357</v>
      </c>
      <c r="R511">
        <v>0</v>
      </c>
      <c r="S511">
        <v>0</v>
      </c>
      <c r="T511">
        <v>0</v>
      </c>
    </row>
    <row r="512" spans="1:20" x14ac:dyDescent="0.25">
      <c r="A512" t="s">
        <v>75</v>
      </c>
      <c r="B512" t="s">
        <v>93</v>
      </c>
      <c r="C512">
        <v>202411</v>
      </c>
      <c r="D512" s="47" t="str">
        <f>MID(C512,1,4)</f>
        <v>2024</v>
      </c>
      <c r="E512" t="str">
        <f>IF(Portfolio!$M$1=1,CONCATENATE(A512,C512),CONCATENATE(B512,C512))</f>
        <v>CHAMP RESTO202411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332000</v>
      </c>
      <c r="M512">
        <v>0</v>
      </c>
      <c r="N512">
        <v>0</v>
      </c>
      <c r="O512">
        <v>0</v>
      </c>
      <c r="P512">
        <v>0</v>
      </c>
      <c r="Q512">
        <v>3320</v>
      </c>
      <c r="R512">
        <v>0</v>
      </c>
      <c r="S512">
        <v>0</v>
      </c>
      <c r="T512">
        <v>0</v>
      </c>
    </row>
    <row r="513" spans="1:20" x14ac:dyDescent="0.25">
      <c r="A513" t="s">
        <v>75</v>
      </c>
      <c r="B513" t="s">
        <v>95</v>
      </c>
      <c r="C513">
        <v>202411</v>
      </c>
      <c r="D513" s="47" t="str">
        <f>MID(C513,1,4)</f>
        <v>2024</v>
      </c>
      <c r="E513" t="str">
        <f>IF(Portfolio!$M$1=1,CONCATENATE(A513,C513),CONCATENATE(B513,C513))</f>
        <v>CHAMP RESTO202411</v>
      </c>
      <c r="F513">
        <v>2</v>
      </c>
      <c r="G513">
        <v>1</v>
      </c>
      <c r="H513">
        <v>0</v>
      </c>
      <c r="I513">
        <v>0</v>
      </c>
      <c r="J513">
        <v>0</v>
      </c>
      <c r="K513">
        <v>328003</v>
      </c>
      <c r="L513">
        <v>253000</v>
      </c>
      <c r="M513">
        <v>0</v>
      </c>
      <c r="N513">
        <v>0</v>
      </c>
      <c r="O513">
        <v>0</v>
      </c>
      <c r="P513">
        <v>492</v>
      </c>
      <c r="Q513">
        <v>2530</v>
      </c>
      <c r="R513">
        <v>0</v>
      </c>
      <c r="S513">
        <v>0</v>
      </c>
      <c r="T513">
        <v>0</v>
      </c>
    </row>
    <row r="514" spans="1:20" x14ac:dyDescent="0.25">
      <c r="A514" t="s">
        <v>80</v>
      </c>
      <c r="B514" t="s">
        <v>80</v>
      </c>
      <c r="C514">
        <v>202411</v>
      </c>
      <c r="D514" s="47" t="str">
        <f>MID(C514,1,4)</f>
        <v>2024</v>
      </c>
      <c r="E514" t="str">
        <f>IF(Portfolio!$M$1=1,CONCATENATE(A514,C514),CONCATENATE(B514,C514))</f>
        <v>DWIDAYA202411</v>
      </c>
      <c r="F514">
        <v>3</v>
      </c>
      <c r="G514">
        <v>1</v>
      </c>
      <c r="H514">
        <v>0</v>
      </c>
      <c r="I514">
        <v>1</v>
      </c>
      <c r="J514">
        <v>8</v>
      </c>
      <c r="K514">
        <v>41216000</v>
      </c>
      <c r="L514">
        <v>10000</v>
      </c>
      <c r="M514">
        <v>0</v>
      </c>
      <c r="N514">
        <v>5000000</v>
      </c>
      <c r="O514">
        <v>3220007</v>
      </c>
      <c r="P514">
        <v>61824</v>
      </c>
      <c r="Q514">
        <v>100</v>
      </c>
      <c r="R514">
        <v>0</v>
      </c>
      <c r="S514">
        <v>35000</v>
      </c>
      <c r="T514">
        <v>22540</v>
      </c>
    </row>
    <row r="515" spans="1:20" x14ac:dyDescent="0.25">
      <c r="A515" t="s">
        <v>84</v>
      </c>
      <c r="B515" t="s">
        <v>84</v>
      </c>
      <c r="C515">
        <v>202411</v>
      </c>
      <c r="D515" s="47" t="str">
        <f>MID(C515,1,4)</f>
        <v>2024</v>
      </c>
      <c r="E515" t="str">
        <f>IF(Portfolio!$M$1=1,CONCATENATE(A515,C515),CONCATENATE(B515,C515))</f>
        <v>ES TELLER 77202411</v>
      </c>
      <c r="F515">
        <v>6</v>
      </c>
      <c r="G515">
        <v>4</v>
      </c>
      <c r="H515">
        <v>0</v>
      </c>
      <c r="I515">
        <v>0</v>
      </c>
      <c r="J515">
        <v>3</v>
      </c>
      <c r="K515">
        <v>721800</v>
      </c>
      <c r="L515">
        <v>559000</v>
      </c>
      <c r="M515">
        <v>0</v>
      </c>
      <c r="N515">
        <v>0</v>
      </c>
      <c r="O515">
        <v>90000</v>
      </c>
      <c r="P515">
        <v>1083</v>
      </c>
      <c r="Q515">
        <v>5590</v>
      </c>
      <c r="R515">
        <v>0</v>
      </c>
      <c r="S515">
        <v>0</v>
      </c>
      <c r="T515">
        <v>0</v>
      </c>
    </row>
    <row r="516" spans="1:20" x14ac:dyDescent="0.25">
      <c r="A516" t="s">
        <v>86</v>
      </c>
      <c r="B516" t="s">
        <v>86</v>
      </c>
      <c r="C516">
        <v>202411</v>
      </c>
      <c r="D516" s="47" t="str">
        <f>MID(C516,1,4)</f>
        <v>2024</v>
      </c>
      <c r="E516" t="str">
        <f>IF(Portfolio!$M$1=1,CONCATENATE(A516,C516),CONCATENATE(B516,C516))</f>
        <v>GRAMEDIA202411</v>
      </c>
      <c r="F516">
        <v>31</v>
      </c>
      <c r="G516">
        <v>11</v>
      </c>
      <c r="H516">
        <v>6</v>
      </c>
      <c r="I516">
        <v>6</v>
      </c>
      <c r="J516">
        <v>9</v>
      </c>
      <c r="K516">
        <v>11895370</v>
      </c>
      <c r="L516">
        <v>3784150</v>
      </c>
      <c r="M516">
        <v>1896800</v>
      </c>
      <c r="N516">
        <v>720700</v>
      </c>
      <c r="O516">
        <v>416905</v>
      </c>
      <c r="P516">
        <v>17843</v>
      </c>
      <c r="Q516">
        <v>37842</v>
      </c>
      <c r="R516">
        <v>34142</v>
      </c>
      <c r="S516">
        <v>4659</v>
      </c>
      <c r="T516">
        <v>2919</v>
      </c>
    </row>
    <row r="517" spans="1:20" x14ac:dyDescent="0.25">
      <c r="A517" t="s">
        <v>88</v>
      </c>
      <c r="B517" t="s">
        <v>88</v>
      </c>
      <c r="C517">
        <v>202411</v>
      </c>
      <c r="D517" s="47" t="str">
        <f>MID(C517,1,4)</f>
        <v>2024</v>
      </c>
      <c r="E517" t="str">
        <f>IF(Portfolio!$M$1=1,CONCATENATE(A517,C517),CONCATENATE(B517,C517))</f>
        <v>HAUS202411</v>
      </c>
      <c r="F517">
        <v>1</v>
      </c>
      <c r="G517">
        <v>39</v>
      </c>
      <c r="H517">
        <v>1</v>
      </c>
      <c r="I517">
        <v>94</v>
      </c>
      <c r="J517">
        <v>28812</v>
      </c>
      <c r="K517">
        <v>100000</v>
      </c>
      <c r="L517">
        <v>2443998</v>
      </c>
      <c r="M517">
        <v>42000</v>
      </c>
      <c r="N517">
        <v>3872998</v>
      </c>
      <c r="O517">
        <v>1131433087</v>
      </c>
      <c r="P517">
        <v>150</v>
      </c>
      <c r="Q517">
        <v>24440</v>
      </c>
      <c r="R517">
        <v>756</v>
      </c>
      <c r="S517">
        <v>26117</v>
      </c>
      <c r="T517">
        <v>7792976</v>
      </c>
    </row>
    <row r="518" spans="1:20" x14ac:dyDescent="0.25">
      <c r="A518" t="s">
        <v>90</v>
      </c>
      <c r="B518" t="s">
        <v>90</v>
      </c>
      <c r="C518">
        <v>202411</v>
      </c>
      <c r="D518" s="47" t="str">
        <f>MID(C518,1,4)</f>
        <v>2024</v>
      </c>
      <c r="E518" t="str">
        <f>IF(Portfolio!$M$1=1,CONCATENATE(A518,C518),CONCATENATE(B518,C518))</f>
        <v>HEAVENLY WANG202411</v>
      </c>
      <c r="F518">
        <v>4</v>
      </c>
      <c r="G518">
        <v>0</v>
      </c>
      <c r="H518">
        <v>0</v>
      </c>
      <c r="I518">
        <v>0</v>
      </c>
      <c r="J518">
        <v>0</v>
      </c>
      <c r="K518">
        <v>446985</v>
      </c>
      <c r="L518">
        <v>0</v>
      </c>
      <c r="M518">
        <v>0</v>
      </c>
      <c r="N518">
        <v>0</v>
      </c>
      <c r="O518">
        <v>0</v>
      </c>
      <c r="P518">
        <v>670</v>
      </c>
      <c r="Q518">
        <v>0</v>
      </c>
      <c r="R518">
        <v>0</v>
      </c>
      <c r="S518">
        <v>0</v>
      </c>
      <c r="T518">
        <v>0</v>
      </c>
    </row>
    <row r="519" spans="1:20" x14ac:dyDescent="0.25">
      <c r="A519" t="s">
        <v>92</v>
      </c>
      <c r="B519" t="s">
        <v>108</v>
      </c>
      <c r="C519">
        <v>202411</v>
      </c>
      <c r="D519" s="47" t="str">
        <f>MID(C519,1,4)</f>
        <v>2024</v>
      </c>
      <c r="E519" t="str">
        <f>IF(Portfolio!$M$1=1,CONCATENATE(A519,C519),CONCATENATE(B519,C519))</f>
        <v>HERO GROUP202411</v>
      </c>
      <c r="F519">
        <v>57</v>
      </c>
      <c r="G519">
        <v>7</v>
      </c>
      <c r="H519">
        <v>4</v>
      </c>
      <c r="I519">
        <v>0</v>
      </c>
      <c r="J519">
        <v>37</v>
      </c>
      <c r="K519">
        <v>26532691</v>
      </c>
      <c r="L519">
        <v>3076206</v>
      </c>
      <c r="M519">
        <v>2105892</v>
      </c>
      <c r="N519">
        <v>0</v>
      </c>
      <c r="O519">
        <v>1304100</v>
      </c>
      <c r="P519">
        <v>39799</v>
      </c>
      <c r="Q519">
        <v>30762</v>
      </c>
      <c r="R519">
        <v>42118</v>
      </c>
      <c r="S519">
        <v>0</v>
      </c>
      <c r="T519">
        <v>0</v>
      </c>
    </row>
    <row r="520" spans="1:20" x14ac:dyDescent="0.25">
      <c r="A520" t="s">
        <v>96</v>
      </c>
      <c r="B520" t="s">
        <v>96</v>
      </c>
      <c r="C520">
        <v>202411</v>
      </c>
      <c r="D520" s="47" t="str">
        <f>MID(C520,1,4)</f>
        <v>2024</v>
      </c>
      <c r="E520" t="str">
        <f>IF(Portfolio!$M$1=1,CONCATENATE(A520,C520),CONCATENATE(B520,C520))</f>
        <v>HOKKAIDO BAKED CHEESE202411</v>
      </c>
      <c r="F520">
        <v>71</v>
      </c>
      <c r="G520">
        <v>764</v>
      </c>
      <c r="H520">
        <v>20</v>
      </c>
      <c r="I520">
        <v>102</v>
      </c>
      <c r="J520">
        <v>4266</v>
      </c>
      <c r="K520">
        <v>7750034</v>
      </c>
      <c r="L520">
        <v>77219455</v>
      </c>
      <c r="M520">
        <v>2075400</v>
      </c>
      <c r="N520">
        <v>9902800</v>
      </c>
      <c r="O520">
        <v>358281300</v>
      </c>
      <c r="P520">
        <v>11625</v>
      </c>
      <c r="Q520">
        <v>772195</v>
      </c>
      <c r="R520">
        <v>39740</v>
      </c>
      <c r="S520">
        <v>68340</v>
      </c>
      <c r="T520">
        <v>2385180</v>
      </c>
    </row>
    <row r="521" spans="1:20" x14ac:dyDescent="0.25">
      <c r="A521" t="s">
        <v>97</v>
      </c>
      <c r="B521" t="s">
        <v>97</v>
      </c>
      <c r="C521">
        <v>202411</v>
      </c>
      <c r="D521" s="47" t="str">
        <f>MID(C521,1,4)</f>
        <v>2024</v>
      </c>
      <c r="E521" t="str">
        <f>IF(Portfolio!$M$1=1,CONCATENATE(A521,C521),CONCATENATE(B521,C521))</f>
        <v>HOP HOP202411</v>
      </c>
      <c r="F521">
        <v>0</v>
      </c>
      <c r="G521">
        <v>0</v>
      </c>
      <c r="H521">
        <v>0</v>
      </c>
      <c r="I521">
        <v>151</v>
      </c>
      <c r="J521">
        <v>247</v>
      </c>
      <c r="K521">
        <v>0</v>
      </c>
      <c r="L521">
        <v>0</v>
      </c>
      <c r="M521">
        <v>0</v>
      </c>
      <c r="N521">
        <v>6198200</v>
      </c>
      <c r="O521">
        <v>9266001</v>
      </c>
      <c r="P521">
        <v>0</v>
      </c>
      <c r="Q521">
        <v>0</v>
      </c>
      <c r="R521">
        <v>0</v>
      </c>
      <c r="S521">
        <v>1023</v>
      </c>
      <c r="T521">
        <v>42131</v>
      </c>
    </row>
    <row r="522" spans="1:20" x14ac:dyDescent="0.25">
      <c r="A522" t="s">
        <v>97</v>
      </c>
      <c r="B522" t="s">
        <v>113</v>
      </c>
      <c r="C522">
        <v>202411</v>
      </c>
      <c r="D522" s="47" t="str">
        <f>MID(C522,1,4)</f>
        <v>2024</v>
      </c>
      <c r="E522" t="str">
        <f>IF(Portfolio!$M$1=1,CONCATENATE(A522,C522),CONCATENATE(B522,C522))</f>
        <v>HOP HOP202411</v>
      </c>
      <c r="F522">
        <v>0</v>
      </c>
      <c r="G522">
        <v>0</v>
      </c>
      <c r="H522">
        <v>0</v>
      </c>
      <c r="I522">
        <v>45</v>
      </c>
      <c r="J522">
        <v>103</v>
      </c>
      <c r="K522">
        <v>0</v>
      </c>
      <c r="L522">
        <v>0</v>
      </c>
      <c r="M522">
        <v>0</v>
      </c>
      <c r="N522">
        <v>2553000</v>
      </c>
      <c r="O522">
        <v>3642000</v>
      </c>
      <c r="P522">
        <v>0</v>
      </c>
      <c r="Q522">
        <v>0</v>
      </c>
      <c r="R522">
        <v>0</v>
      </c>
      <c r="S522">
        <v>1539</v>
      </c>
      <c r="T522">
        <v>0</v>
      </c>
    </row>
    <row r="523" spans="1:20" x14ac:dyDescent="0.25">
      <c r="A523" t="s">
        <v>99</v>
      </c>
      <c r="B523" t="s">
        <v>99</v>
      </c>
      <c r="C523">
        <v>202411</v>
      </c>
      <c r="D523" s="47" t="str">
        <f>MID(C523,1,4)</f>
        <v>2024</v>
      </c>
      <c r="E523" t="str">
        <f>IF(Portfolio!$M$1=1,CONCATENATE(A523,C523),CONCATENATE(B523,C523))</f>
        <v>IKEA202411</v>
      </c>
      <c r="F523">
        <v>20</v>
      </c>
      <c r="G523">
        <v>0</v>
      </c>
      <c r="H523">
        <v>0</v>
      </c>
      <c r="I523">
        <v>0</v>
      </c>
      <c r="J523">
        <v>0</v>
      </c>
      <c r="K523">
        <v>11559800</v>
      </c>
      <c r="L523">
        <v>0</v>
      </c>
      <c r="M523">
        <v>0</v>
      </c>
      <c r="N523">
        <v>0</v>
      </c>
      <c r="O523">
        <v>0</v>
      </c>
      <c r="P523">
        <v>17340</v>
      </c>
      <c r="Q523">
        <v>0</v>
      </c>
      <c r="R523">
        <v>0</v>
      </c>
      <c r="S523">
        <v>0</v>
      </c>
      <c r="T523">
        <v>0</v>
      </c>
    </row>
    <row r="524" spans="1:20" x14ac:dyDescent="0.25">
      <c r="A524" t="s">
        <v>101</v>
      </c>
      <c r="B524" t="s">
        <v>101</v>
      </c>
      <c r="C524">
        <v>202411</v>
      </c>
      <c r="D524" s="47" t="str">
        <f>MID(C524,1,4)</f>
        <v>2024</v>
      </c>
      <c r="E524" t="str">
        <f>IF(Portfolio!$M$1=1,CONCATENATE(A524,C524),CONCATENATE(B524,C524))</f>
        <v>INDOMARET202411</v>
      </c>
      <c r="F524">
        <v>31309</v>
      </c>
      <c r="G524">
        <v>67520</v>
      </c>
      <c r="H524">
        <v>20491</v>
      </c>
      <c r="I524">
        <v>5</v>
      </c>
      <c r="J524">
        <v>270</v>
      </c>
      <c r="K524">
        <v>3138443642</v>
      </c>
      <c r="L524">
        <v>6199033947</v>
      </c>
      <c r="M524">
        <v>2727628761</v>
      </c>
      <c r="N524">
        <v>1319200</v>
      </c>
      <c r="O524">
        <v>11892101</v>
      </c>
      <c r="P524">
        <v>4707663</v>
      </c>
      <c r="Q524">
        <v>61990339</v>
      </c>
      <c r="R524">
        <v>45629418</v>
      </c>
      <c r="S524">
        <v>9235</v>
      </c>
      <c r="T524">
        <v>79420</v>
      </c>
    </row>
    <row r="525" spans="1:20" x14ac:dyDescent="0.25">
      <c r="A525" t="s">
        <v>101</v>
      </c>
      <c r="B525" t="s">
        <v>117</v>
      </c>
      <c r="C525">
        <v>202411</v>
      </c>
      <c r="D525" s="47" t="str">
        <f>MID(C525,1,4)</f>
        <v>2024</v>
      </c>
      <c r="E525" t="str">
        <f>IF(Portfolio!$M$1=1,CONCATENATE(A525,C525),CONCATENATE(B525,C525))</f>
        <v>INDOMARET202411</v>
      </c>
      <c r="F525">
        <v>147</v>
      </c>
      <c r="G525">
        <v>298</v>
      </c>
      <c r="H525">
        <v>104</v>
      </c>
      <c r="I525">
        <v>0</v>
      </c>
      <c r="J525">
        <v>0</v>
      </c>
      <c r="K525">
        <v>10677980</v>
      </c>
      <c r="L525">
        <v>22186704</v>
      </c>
      <c r="M525">
        <v>15236000</v>
      </c>
      <c r="N525">
        <v>0</v>
      </c>
      <c r="O525">
        <v>0</v>
      </c>
      <c r="P525">
        <v>16017</v>
      </c>
      <c r="Q525">
        <v>221867</v>
      </c>
      <c r="R525">
        <v>251394</v>
      </c>
      <c r="S525">
        <v>0</v>
      </c>
      <c r="T525">
        <v>0</v>
      </c>
    </row>
    <row r="526" spans="1:20" x14ac:dyDescent="0.25">
      <c r="A526" t="s">
        <v>102</v>
      </c>
      <c r="B526" t="s">
        <v>123</v>
      </c>
      <c r="C526">
        <v>202411</v>
      </c>
      <c r="D526" s="47" t="str">
        <f>MID(C526,1,4)</f>
        <v>2024</v>
      </c>
      <c r="E526" t="str">
        <f>IF(Portfolio!$M$1=1,CONCATENATE(A526,C526),CONCATENATE(B526,C526))</f>
        <v>KAWAN LAMA202411</v>
      </c>
      <c r="F526">
        <v>1657</v>
      </c>
      <c r="G526">
        <v>1</v>
      </c>
      <c r="H526">
        <v>50</v>
      </c>
      <c r="I526">
        <v>0</v>
      </c>
      <c r="J526">
        <v>0</v>
      </c>
      <c r="K526">
        <v>1885109091</v>
      </c>
      <c r="L526">
        <v>535800</v>
      </c>
      <c r="M526">
        <v>43465995</v>
      </c>
      <c r="N526">
        <v>0</v>
      </c>
      <c r="O526">
        <v>0</v>
      </c>
      <c r="P526">
        <v>2827661</v>
      </c>
      <c r="Q526">
        <v>5358</v>
      </c>
      <c r="R526">
        <v>869320</v>
      </c>
      <c r="S526">
        <v>0</v>
      </c>
      <c r="T526">
        <v>0</v>
      </c>
    </row>
    <row r="527" spans="1:20" x14ac:dyDescent="0.25">
      <c r="A527" t="s">
        <v>102</v>
      </c>
      <c r="B527" t="s">
        <v>125</v>
      </c>
      <c r="C527">
        <v>202411</v>
      </c>
      <c r="D527" s="47" t="str">
        <f>MID(C527,1,4)</f>
        <v>2024</v>
      </c>
      <c r="E527" t="str">
        <f>IF(Portfolio!$M$1=1,CONCATENATE(A527,C527),CONCATENATE(B527,C527))</f>
        <v>KAWAN LAMA202411</v>
      </c>
      <c r="F527">
        <v>487</v>
      </c>
      <c r="G527">
        <v>0</v>
      </c>
      <c r="H527">
        <v>0</v>
      </c>
      <c r="I527">
        <v>0</v>
      </c>
      <c r="J527">
        <v>0</v>
      </c>
      <c r="K527">
        <v>27648000</v>
      </c>
      <c r="L527">
        <v>0</v>
      </c>
      <c r="M527">
        <v>0</v>
      </c>
      <c r="N527">
        <v>0</v>
      </c>
      <c r="O527">
        <v>0</v>
      </c>
      <c r="P527">
        <v>41472</v>
      </c>
      <c r="Q527">
        <v>0</v>
      </c>
      <c r="R527">
        <v>0</v>
      </c>
      <c r="S527">
        <v>0</v>
      </c>
      <c r="T527">
        <v>0</v>
      </c>
    </row>
    <row r="528" spans="1:20" x14ac:dyDescent="0.25">
      <c r="A528" t="s">
        <v>102</v>
      </c>
      <c r="B528" t="s">
        <v>127</v>
      </c>
      <c r="C528">
        <v>202411</v>
      </c>
      <c r="D528" s="47" t="str">
        <f>MID(C528,1,4)</f>
        <v>2024</v>
      </c>
      <c r="E528" t="str">
        <f>IF(Portfolio!$M$1=1,CONCATENATE(A528,C528),CONCATENATE(B528,C528))</f>
        <v>KAWAN LAMA202411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30000</v>
      </c>
      <c r="L528">
        <v>0</v>
      </c>
      <c r="M528">
        <v>0</v>
      </c>
      <c r="N528">
        <v>0</v>
      </c>
      <c r="O528">
        <v>0</v>
      </c>
      <c r="P528">
        <v>45</v>
      </c>
      <c r="Q528">
        <v>0</v>
      </c>
      <c r="R528">
        <v>0</v>
      </c>
      <c r="S528">
        <v>0</v>
      </c>
      <c r="T528">
        <v>0</v>
      </c>
    </row>
    <row r="529" spans="1:20" x14ac:dyDescent="0.25">
      <c r="A529" t="s">
        <v>102</v>
      </c>
      <c r="B529" t="s">
        <v>131</v>
      </c>
      <c r="C529">
        <v>202411</v>
      </c>
      <c r="D529" s="47" t="str">
        <f>MID(C529,1,4)</f>
        <v>2024</v>
      </c>
      <c r="E529" t="str">
        <f>IF(Portfolio!$M$1=1,CONCATENATE(A529,C529),CONCATENATE(B529,C529))</f>
        <v>KAWAN LAMA202411</v>
      </c>
      <c r="F529">
        <v>12</v>
      </c>
      <c r="G529">
        <v>0</v>
      </c>
      <c r="H529">
        <v>0</v>
      </c>
      <c r="I529">
        <v>0</v>
      </c>
      <c r="J529">
        <v>0</v>
      </c>
      <c r="K529">
        <v>997000</v>
      </c>
      <c r="L529">
        <v>0</v>
      </c>
      <c r="M529">
        <v>0</v>
      </c>
      <c r="N529">
        <v>0</v>
      </c>
      <c r="O529">
        <v>0</v>
      </c>
      <c r="P529">
        <v>1496</v>
      </c>
      <c r="Q529">
        <v>0</v>
      </c>
      <c r="R529">
        <v>0</v>
      </c>
      <c r="S529">
        <v>0</v>
      </c>
      <c r="T529">
        <v>0</v>
      </c>
    </row>
    <row r="530" spans="1:20" x14ac:dyDescent="0.25">
      <c r="A530" t="s">
        <v>102</v>
      </c>
      <c r="B530" t="s">
        <v>133</v>
      </c>
      <c r="C530">
        <v>202411</v>
      </c>
      <c r="D530" s="47" t="str">
        <f>MID(C530,1,4)</f>
        <v>2024</v>
      </c>
      <c r="E530" t="str">
        <f>IF(Portfolio!$M$1=1,CONCATENATE(A530,C530),CONCATENATE(B530,C530))</f>
        <v>KAWAN LAMA202411</v>
      </c>
      <c r="F530">
        <v>10</v>
      </c>
      <c r="G530">
        <v>0</v>
      </c>
      <c r="H530">
        <v>0</v>
      </c>
      <c r="I530">
        <v>0</v>
      </c>
      <c r="J530">
        <v>0</v>
      </c>
      <c r="K530">
        <v>1914000</v>
      </c>
      <c r="L530">
        <v>0</v>
      </c>
      <c r="M530">
        <v>0</v>
      </c>
      <c r="N530">
        <v>0</v>
      </c>
      <c r="O530">
        <v>0</v>
      </c>
      <c r="P530">
        <v>2871</v>
      </c>
      <c r="Q530">
        <v>0</v>
      </c>
      <c r="R530">
        <v>0</v>
      </c>
      <c r="S530">
        <v>0</v>
      </c>
      <c r="T530">
        <v>0</v>
      </c>
    </row>
    <row r="531" spans="1:20" x14ac:dyDescent="0.25">
      <c r="A531" t="s">
        <v>102</v>
      </c>
      <c r="B531" t="s">
        <v>135</v>
      </c>
      <c r="C531">
        <v>202411</v>
      </c>
      <c r="D531" s="47" t="str">
        <f>MID(C531,1,4)</f>
        <v>2024</v>
      </c>
      <c r="E531" t="str">
        <f>IF(Portfolio!$M$1=1,CONCATENATE(A531,C531),CONCATENATE(B531,C531))</f>
        <v>KAWAN LAMA202411</v>
      </c>
      <c r="F531">
        <v>352</v>
      </c>
      <c r="G531">
        <v>2</v>
      </c>
      <c r="H531">
        <v>0</v>
      </c>
      <c r="I531">
        <v>0</v>
      </c>
      <c r="J531">
        <v>0</v>
      </c>
      <c r="K531">
        <v>1277411330</v>
      </c>
      <c r="L531">
        <v>7068840</v>
      </c>
      <c r="M531">
        <v>0</v>
      </c>
      <c r="N531">
        <v>0</v>
      </c>
      <c r="O531">
        <v>0</v>
      </c>
      <c r="P531">
        <v>1916117</v>
      </c>
      <c r="Q531">
        <v>70688</v>
      </c>
      <c r="R531">
        <v>0</v>
      </c>
      <c r="S531">
        <v>0</v>
      </c>
      <c r="T531">
        <v>0</v>
      </c>
    </row>
    <row r="532" spans="1:20" x14ac:dyDescent="0.25">
      <c r="A532" t="s">
        <v>102</v>
      </c>
      <c r="B532" t="s">
        <v>137</v>
      </c>
      <c r="C532">
        <v>202411</v>
      </c>
      <c r="D532" s="47" t="str">
        <f>MID(C532,1,4)</f>
        <v>2024</v>
      </c>
      <c r="E532" t="str">
        <f>IF(Portfolio!$M$1=1,CONCATENATE(A532,C532),CONCATENATE(B532,C532))</f>
        <v>KAWAN LAMA202411</v>
      </c>
      <c r="F532">
        <v>13</v>
      </c>
      <c r="G532">
        <v>0</v>
      </c>
      <c r="H532">
        <v>0</v>
      </c>
      <c r="I532">
        <v>0</v>
      </c>
      <c r="J532">
        <v>0</v>
      </c>
      <c r="K532">
        <v>59884750</v>
      </c>
      <c r="L532">
        <v>0</v>
      </c>
      <c r="M532">
        <v>0</v>
      </c>
      <c r="N532">
        <v>0</v>
      </c>
      <c r="O532">
        <v>0</v>
      </c>
      <c r="P532">
        <v>89827</v>
      </c>
      <c r="Q532">
        <v>0</v>
      </c>
      <c r="R532">
        <v>0</v>
      </c>
      <c r="S532">
        <v>0</v>
      </c>
      <c r="T532">
        <v>0</v>
      </c>
    </row>
    <row r="533" spans="1:20" x14ac:dyDescent="0.25">
      <c r="A533" t="s">
        <v>102</v>
      </c>
      <c r="B533" t="s">
        <v>142</v>
      </c>
      <c r="C533">
        <v>202411</v>
      </c>
      <c r="D533" s="47" t="str">
        <f>MID(C533,1,4)</f>
        <v>2024</v>
      </c>
      <c r="E533" t="str">
        <f>IF(Portfolio!$M$1=1,CONCATENATE(A533,C533),CONCATENATE(B533,C533))</f>
        <v>KAWAN LAMA202411</v>
      </c>
      <c r="F533">
        <v>1</v>
      </c>
      <c r="G533">
        <v>0</v>
      </c>
      <c r="H533">
        <v>0</v>
      </c>
      <c r="I533">
        <v>0</v>
      </c>
      <c r="J533">
        <v>7</v>
      </c>
      <c r="K533">
        <v>507000</v>
      </c>
      <c r="L533">
        <v>0</v>
      </c>
      <c r="M533">
        <v>0</v>
      </c>
      <c r="N533">
        <v>0</v>
      </c>
      <c r="O533">
        <v>1287359</v>
      </c>
      <c r="P533">
        <v>760</v>
      </c>
      <c r="Q533">
        <v>0</v>
      </c>
      <c r="R533">
        <v>0</v>
      </c>
      <c r="S533">
        <v>0</v>
      </c>
      <c r="T533">
        <v>9012</v>
      </c>
    </row>
    <row r="534" spans="1:20" x14ac:dyDescent="0.25">
      <c r="A534" t="s">
        <v>103</v>
      </c>
      <c r="B534" t="s">
        <v>146</v>
      </c>
      <c r="C534">
        <v>202411</v>
      </c>
      <c r="D534" s="47" t="str">
        <f>MID(C534,1,4)</f>
        <v>2024</v>
      </c>
      <c r="E534" t="str">
        <f>IF(Portfolio!$M$1=1,CONCATENATE(A534,C534),CONCATENATE(B534,C534))</f>
        <v>KCIC202411</v>
      </c>
      <c r="F534">
        <v>92</v>
      </c>
      <c r="G534">
        <v>1630</v>
      </c>
      <c r="H534">
        <v>1023</v>
      </c>
      <c r="I534">
        <v>0</v>
      </c>
      <c r="J534">
        <v>0</v>
      </c>
      <c r="K534">
        <v>48225000</v>
      </c>
      <c r="L534">
        <v>867777500</v>
      </c>
      <c r="M534">
        <v>786550000</v>
      </c>
      <c r="N534">
        <v>0</v>
      </c>
      <c r="O534">
        <v>0</v>
      </c>
      <c r="P534">
        <v>72338</v>
      </c>
      <c r="Q534">
        <v>8677775</v>
      </c>
      <c r="R534">
        <v>14157900</v>
      </c>
      <c r="S534">
        <v>0</v>
      </c>
      <c r="T534">
        <v>0</v>
      </c>
    </row>
    <row r="535" spans="1:20" x14ac:dyDescent="0.25">
      <c r="A535" t="s">
        <v>107</v>
      </c>
      <c r="B535" t="s">
        <v>162</v>
      </c>
      <c r="C535">
        <v>202411</v>
      </c>
      <c r="D535" s="47" t="str">
        <f>MID(C535,1,4)</f>
        <v>2024</v>
      </c>
      <c r="E535" t="str">
        <f>IF(Portfolio!$M$1=1,CONCATENATE(A535,C535),CONCATENATE(B535,C535))</f>
        <v>MAP GROUP202411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61600</v>
      </c>
      <c r="M535">
        <v>0</v>
      </c>
      <c r="N535">
        <v>0</v>
      </c>
      <c r="O535">
        <v>0</v>
      </c>
      <c r="P535">
        <v>0</v>
      </c>
      <c r="Q535">
        <v>616</v>
      </c>
      <c r="R535">
        <v>0</v>
      </c>
      <c r="S535">
        <v>0</v>
      </c>
      <c r="T535">
        <v>0</v>
      </c>
    </row>
    <row r="536" spans="1:20" x14ac:dyDescent="0.25">
      <c r="A536" t="s">
        <v>107</v>
      </c>
      <c r="B536" t="s">
        <v>178</v>
      </c>
      <c r="C536">
        <v>202411</v>
      </c>
      <c r="D536" s="47" t="str">
        <f>MID(C536,1,4)</f>
        <v>2024</v>
      </c>
      <c r="E536" t="str">
        <f>IF(Portfolio!$M$1=1,CONCATENATE(A536,C536),CONCATENATE(B536,C536))</f>
        <v>MAP GROUP202411</v>
      </c>
      <c r="F536">
        <v>3</v>
      </c>
      <c r="G536">
        <v>87</v>
      </c>
      <c r="H536">
        <v>4</v>
      </c>
      <c r="I536">
        <v>5</v>
      </c>
      <c r="J536">
        <v>486</v>
      </c>
      <c r="K536">
        <v>151300</v>
      </c>
      <c r="L536">
        <v>20477500</v>
      </c>
      <c r="M536">
        <v>567200</v>
      </c>
      <c r="N536">
        <v>849800</v>
      </c>
      <c r="O536">
        <v>60952700</v>
      </c>
      <c r="P536">
        <v>227</v>
      </c>
      <c r="Q536">
        <v>204775</v>
      </c>
      <c r="R536">
        <v>10210</v>
      </c>
      <c r="S536">
        <v>5914</v>
      </c>
      <c r="T536">
        <v>423120</v>
      </c>
    </row>
    <row r="537" spans="1:20" x14ac:dyDescent="0.25">
      <c r="A537" t="s">
        <v>107</v>
      </c>
      <c r="B537" t="s">
        <v>191</v>
      </c>
      <c r="C537">
        <v>202411</v>
      </c>
      <c r="D537" s="47" t="str">
        <f>MID(C537,1,4)</f>
        <v>2024</v>
      </c>
      <c r="E537" t="str">
        <f>IF(Portfolio!$M$1=1,CONCATENATE(A537,C537),CONCATENATE(B537,C537))</f>
        <v>MAP GROUP202411</v>
      </c>
      <c r="F537">
        <v>0</v>
      </c>
      <c r="G537">
        <v>0</v>
      </c>
      <c r="H537">
        <v>0</v>
      </c>
      <c r="I537">
        <v>2</v>
      </c>
      <c r="J537">
        <v>38</v>
      </c>
      <c r="K537">
        <v>0</v>
      </c>
      <c r="L537">
        <v>0</v>
      </c>
      <c r="M537">
        <v>0</v>
      </c>
      <c r="N537">
        <v>138500</v>
      </c>
      <c r="O537">
        <v>1434500</v>
      </c>
      <c r="P537">
        <v>0</v>
      </c>
      <c r="Q537">
        <v>0</v>
      </c>
      <c r="R537">
        <v>0</v>
      </c>
      <c r="S537">
        <v>340</v>
      </c>
      <c r="T537">
        <v>780</v>
      </c>
    </row>
    <row r="538" spans="1:20" x14ac:dyDescent="0.25">
      <c r="A538" t="s">
        <v>107</v>
      </c>
      <c r="B538" t="s">
        <v>208</v>
      </c>
      <c r="C538">
        <v>202411</v>
      </c>
      <c r="D538" s="47" t="str">
        <f>MID(C538,1,4)</f>
        <v>2024</v>
      </c>
      <c r="E538" t="str">
        <f>IF(Portfolio!$M$1=1,CONCATENATE(A538,C538),CONCATENATE(B538,C538))</f>
        <v>MAP GROUP202411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252500</v>
      </c>
      <c r="M538">
        <v>0</v>
      </c>
      <c r="N538">
        <v>0</v>
      </c>
      <c r="O538">
        <v>0</v>
      </c>
      <c r="P538">
        <v>0</v>
      </c>
      <c r="Q538">
        <v>2525</v>
      </c>
      <c r="R538">
        <v>0</v>
      </c>
      <c r="S538">
        <v>0</v>
      </c>
      <c r="T538">
        <v>0</v>
      </c>
    </row>
    <row r="539" spans="1:20" x14ac:dyDescent="0.25">
      <c r="A539" t="s">
        <v>109</v>
      </c>
      <c r="B539" t="s">
        <v>109</v>
      </c>
      <c r="C539">
        <v>202411</v>
      </c>
      <c r="D539" s="47" t="str">
        <f>MID(C539,1,4)</f>
        <v>2024</v>
      </c>
      <c r="E539" t="str">
        <f>IF(Portfolio!$M$1=1,CONCATENATE(A539,C539),CONCATENATE(B539,C539))</f>
        <v>MITRA10202411</v>
      </c>
      <c r="F539">
        <v>521</v>
      </c>
      <c r="G539">
        <v>1</v>
      </c>
      <c r="H539">
        <v>1</v>
      </c>
      <c r="I539">
        <v>0</v>
      </c>
      <c r="J539">
        <v>0</v>
      </c>
      <c r="K539">
        <v>1055253904</v>
      </c>
      <c r="L539">
        <v>462598</v>
      </c>
      <c r="M539">
        <v>1587576</v>
      </c>
      <c r="N539">
        <v>0</v>
      </c>
      <c r="O539">
        <v>0</v>
      </c>
      <c r="P539">
        <v>1582879</v>
      </c>
      <c r="Q539">
        <v>4626</v>
      </c>
      <c r="R539">
        <v>31752</v>
      </c>
      <c r="S539">
        <v>0</v>
      </c>
      <c r="T539">
        <v>0</v>
      </c>
    </row>
    <row r="540" spans="1:20" x14ac:dyDescent="0.25">
      <c r="A540" t="s">
        <v>110</v>
      </c>
      <c r="B540" t="s">
        <v>110</v>
      </c>
      <c r="C540">
        <v>202411</v>
      </c>
      <c r="D540" s="47" t="str">
        <f>MID(C540,1,4)</f>
        <v>2024</v>
      </c>
      <c r="E540" t="str">
        <f>IF(Portfolio!$M$1=1,CONCATENATE(A540,C540),CONCATENATE(B540,C540))</f>
        <v>OPTIK MELAWAI202411</v>
      </c>
      <c r="F540">
        <v>77</v>
      </c>
      <c r="G540">
        <v>695</v>
      </c>
      <c r="H540">
        <v>25</v>
      </c>
      <c r="I540">
        <v>0</v>
      </c>
      <c r="J540">
        <v>0</v>
      </c>
      <c r="K540">
        <v>89067000</v>
      </c>
      <c r="L540">
        <v>1160604700</v>
      </c>
      <c r="M540">
        <v>39652500</v>
      </c>
      <c r="N540">
        <v>0</v>
      </c>
      <c r="O540">
        <v>0</v>
      </c>
      <c r="P540">
        <v>133600</v>
      </c>
      <c r="Q540">
        <v>11606047</v>
      </c>
      <c r="R540">
        <v>744012</v>
      </c>
      <c r="S540">
        <v>0</v>
      </c>
      <c r="T540">
        <v>0</v>
      </c>
    </row>
    <row r="541" spans="1:20" x14ac:dyDescent="0.25">
      <c r="A541" t="s">
        <v>111</v>
      </c>
      <c r="B541" t="s">
        <v>214</v>
      </c>
      <c r="C541">
        <v>202411</v>
      </c>
      <c r="D541" s="47" t="str">
        <f>MID(C541,1,4)</f>
        <v>2024</v>
      </c>
      <c r="E541" t="str">
        <f>IF(Portfolio!$M$1=1,CONCATENATE(A541,C541),CONCATENATE(B541,C541))</f>
        <v>PATRA JASA202411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850000</v>
      </c>
      <c r="M541">
        <v>0</v>
      </c>
      <c r="N541">
        <v>0</v>
      </c>
      <c r="O541">
        <v>0</v>
      </c>
      <c r="P541">
        <v>0</v>
      </c>
      <c r="Q541">
        <v>8500</v>
      </c>
      <c r="R541">
        <v>0</v>
      </c>
      <c r="S541">
        <v>0</v>
      </c>
      <c r="T541">
        <v>0</v>
      </c>
    </row>
    <row r="542" spans="1:20" x14ac:dyDescent="0.25">
      <c r="A542" t="s">
        <v>112</v>
      </c>
      <c r="B542" t="s">
        <v>215</v>
      </c>
      <c r="C542">
        <v>202411</v>
      </c>
      <c r="D542" s="47" t="str">
        <f>MID(C542,1,4)</f>
        <v>2024</v>
      </c>
      <c r="E542" t="str">
        <f>IF(Portfolio!$M$1=1,CONCATENATE(A542,C542),CONCATENATE(B542,C542))</f>
        <v>PERTAMINA RETAIL202411</v>
      </c>
      <c r="F542">
        <v>14</v>
      </c>
      <c r="G542">
        <v>4271</v>
      </c>
      <c r="H542">
        <v>328</v>
      </c>
      <c r="I542">
        <v>0</v>
      </c>
      <c r="J542">
        <v>1</v>
      </c>
      <c r="K542">
        <v>938200</v>
      </c>
      <c r="L542">
        <v>620060252</v>
      </c>
      <c r="M542">
        <v>58939984</v>
      </c>
      <c r="N542">
        <v>0</v>
      </c>
      <c r="O542">
        <v>250000</v>
      </c>
      <c r="P542">
        <v>1407</v>
      </c>
      <c r="Q542">
        <v>6200603</v>
      </c>
      <c r="R542">
        <v>1062305</v>
      </c>
      <c r="S542">
        <v>0</v>
      </c>
      <c r="T542">
        <v>1500</v>
      </c>
    </row>
    <row r="543" spans="1:20" x14ac:dyDescent="0.25">
      <c r="A543" t="s">
        <v>112</v>
      </c>
      <c r="B543" t="s">
        <v>216</v>
      </c>
      <c r="C543">
        <v>202411</v>
      </c>
      <c r="D543" s="47" t="str">
        <f>MID(C543,1,4)</f>
        <v>2024</v>
      </c>
      <c r="E543" t="str">
        <f>IF(Portfolio!$M$1=1,CONCATENATE(A543,C543),CONCATENATE(B543,C543))</f>
        <v>PERTAMINA RETAIL202411</v>
      </c>
      <c r="F543">
        <v>447</v>
      </c>
      <c r="G543">
        <v>60178</v>
      </c>
      <c r="H543">
        <v>597</v>
      </c>
      <c r="I543">
        <v>19</v>
      </c>
      <c r="J543">
        <v>2971</v>
      </c>
      <c r="K543">
        <v>97222034</v>
      </c>
      <c r="L543">
        <v>13596296983</v>
      </c>
      <c r="M543">
        <v>213491656</v>
      </c>
      <c r="N543">
        <v>3676502</v>
      </c>
      <c r="O543">
        <v>561092080</v>
      </c>
      <c r="P543">
        <v>145833</v>
      </c>
      <c r="Q543">
        <v>71135529</v>
      </c>
      <c r="R543">
        <v>3842850</v>
      </c>
      <c r="S543">
        <v>14705</v>
      </c>
      <c r="T543">
        <v>2244372</v>
      </c>
    </row>
    <row r="544" spans="1:20" x14ac:dyDescent="0.25">
      <c r="A544" t="s">
        <v>114</v>
      </c>
      <c r="B544" t="s">
        <v>217</v>
      </c>
      <c r="C544">
        <v>202411</v>
      </c>
      <c r="D544" s="47" t="str">
        <f>MID(C544,1,4)</f>
        <v>2024</v>
      </c>
      <c r="E544" t="str">
        <f>IF(Portfolio!$M$1=1,CONCATENATE(A544,C544),CONCATENATE(B544,C544))</f>
        <v>PIZZA HUT202411</v>
      </c>
      <c r="F544">
        <v>27</v>
      </c>
      <c r="G544">
        <v>0</v>
      </c>
      <c r="H544">
        <v>0</v>
      </c>
      <c r="I544">
        <v>0</v>
      </c>
      <c r="J544">
        <v>0</v>
      </c>
      <c r="K544">
        <v>3700503</v>
      </c>
      <c r="L544">
        <v>0</v>
      </c>
      <c r="M544">
        <v>0</v>
      </c>
      <c r="N544">
        <v>0</v>
      </c>
      <c r="O544">
        <v>0</v>
      </c>
      <c r="P544">
        <v>5551</v>
      </c>
      <c r="Q544">
        <v>0</v>
      </c>
      <c r="R544">
        <v>0</v>
      </c>
      <c r="S544">
        <v>0</v>
      </c>
      <c r="T544">
        <v>0</v>
      </c>
    </row>
    <row r="545" spans="1:20" x14ac:dyDescent="0.25">
      <c r="A545" t="s">
        <v>114</v>
      </c>
      <c r="B545" t="s">
        <v>218</v>
      </c>
      <c r="C545">
        <v>202411</v>
      </c>
      <c r="D545" s="47" t="str">
        <f>MID(C545,1,4)</f>
        <v>2024</v>
      </c>
      <c r="E545" t="str">
        <f>IF(Portfolio!$M$1=1,CONCATENATE(A545,C545),CONCATENATE(B545,C545))</f>
        <v>PIZZA HUT202411</v>
      </c>
      <c r="F545">
        <v>302</v>
      </c>
      <c r="G545">
        <v>1</v>
      </c>
      <c r="H545">
        <v>0</v>
      </c>
      <c r="I545">
        <v>0</v>
      </c>
      <c r="J545">
        <v>0</v>
      </c>
      <c r="K545">
        <v>83284527</v>
      </c>
      <c r="L545">
        <v>302000</v>
      </c>
      <c r="M545">
        <v>0</v>
      </c>
      <c r="N545">
        <v>0</v>
      </c>
      <c r="O545">
        <v>0</v>
      </c>
      <c r="P545">
        <v>124926</v>
      </c>
      <c r="Q545">
        <v>3020</v>
      </c>
      <c r="R545">
        <v>0</v>
      </c>
      <c r="S545">
        <v>0</v>
      </c>
      <c r="T545">
        <v>0</v>
      </c>
    </row>
    <row r="546" spans="1:20" x14ac:dyDescent="0.25">
      <c r="A546" t="s">
        <v>115</v>
      </c>
      <c r="B546" t="s">
        <v>115</v>
      </c>
      <c r="C546">
        <v>202411</v>
      </c>
      <c r="D546" s="47" t="str">
        <f>MID(C546,1,4)</f>
        <v>2024</v>
      </c>
      <c r="E546" t="str">
        <f>IF(Portfolio!$M$1=1,CONCATENATE(A546,C546),CONCATENATE(B546,C546))</f>
        <v>PLATINUM CINEPLEX202411</v>
      </c>
      <c r="F546">
        <v>28</v>
      </c>
      <c r="G546">
        <v>720</v>
      </c>
      <c r="H546">
        <v>35</v>
      </c>
      <c r="I546">
        <v>51</v>
      </c>
      <c r="J546">
        <v>2542</v>
      </c>
      <c r="K546">
        <v>2794000</v>
      </c>
      <c r="L546">
        <v>82990000</v>
      </c>
      <c r="M546">
        <v>5030000</v>
      </c>
      <c r="N546">
        <v>4075000</v>
      </c>
      <c r="O546">
        <v>271767013</v>
      </c>
      <c r="P546">
        <v>4191</v>
      </c>
      <c r="Q546">
        <v>829900</v>
      </c>
      <c r="R546">
        <v>90540</v>
      </c>
      <c r="S546">
        <v>28525</v>
      </c>
      <c r="T546">
        <v>1902369</v>
      </c>
    </row>
    <row r="547" spans="1:20" x14ac:dyDescent="0.25">
      <c r="A547" t="s">
        <v>118</v>
      </c>
      <c r="B547" t="s">
        <v>118</v>
      </c>
      <c r="C547">
        <v>202411</v>
      </c>
      <c r="D547" s="47" t="str">
        <f>MID(C547,1,4)</f>
        <v>2024</v>
      </c>
      <c r="E547" t="str">
        <f>IF(Portfolio!$M$1=1,CONCATENATE(A547,C547),CONCATENATE(B547,C547))</f>
        <v>SARINAH202411</v>
      </c>
      <c r="F547">
        <v>19</v>
      </c>
      <c r="G547">
        <v>239</v>
      </c>
      <c r="H547">
        <v>479</v>
      </c>
      <c r="I547">
        <v>7</v>
      </c>
      <c r="J547">
        <v>467</v>
      </c>
      <c r="K547">
        <v>13950620</v>
      </c>
      <c r="L547">
        <v>200095351</v>
      </c>
      <c r="M547">
        <v>586098459</v>
      </c>
      <c r="N547">
        <v>323000</v>
      </c>
      <c r="O547">
        <v>21410000</v>
      </c>
      <c r="P547">
        <v>20926</v>
      </c>
      <c r="Q547">
        <v>2000954</v>
      </c>
      <c r="R547">
        <v>10549772</v>
      </c>
      <c r="S547">
        <v>2261</v>
      </c>
      <c r="T547">
        <v>149380</v>
      </c>
    </row>
    <row r="548" spans="1:20" x14ac:dyDescent="0.25">
      <c r="A548" t="s">
        <v>120</v>
      </c>
      <c r="B548" t="s">
        <v>120</v>
      </c>
      <c r="C548">
        <v>202411</v>
      </c>
      <c r="D548" s="47" t="str">
        <f>MID(C548,1,4)</f>
        <v>2024</v>
      </c>
      <c r="E548" t="str">
        <f>IF(Portfolio!$M$1=1,CONCATENATE(A548,C548),CONCATENATE(B548,C548))</f>
        <v>SHIHLIN202411</v>
      </c>
      <c r="F548">
        <v>520</v>
      </c>
      <c r="G548">
        <v>21</v>
      </c>
      <c r="H548">
        <v>2</v>
      </c>
      <c r="I548">
        <v>891</v>
      </c>
      <c r="J548">
        <v>10</v>
      </c>
      <c r="K548">
        <v>37310300</v>
      </c>
      <c r="L548">
        <v>1409200</v>
      </c>
      <c r="M548">
        <v>127000</v>
      </c>
      <c r="N548">
        <v>57160000</v>
      </c>
      <c r="O548">
        <v>506000</v>
      </c>
      <c r="P548">
        <v>55965</v>
      </c>
      <c r="Q548">
        <v>14092</v>
      </c>
      <c r="R548">
        <v>2286</v>
      </c>
      <c r="S548">
        <v>400120</v>
      </c>
      <c r="T548">
        <v>3542</v>
      </c>
    </row>
    <row r="549" spans="1:20" x14ac:dyDescent="0.25">
      <c r="A549" t="s">
        <v>122</v>
      </c>
      <c r="B549" t="s">
        <v>122</v>
      </c>
      <c r="C549">
        <v>202411</v>
      </c>
      <c r="D549" s="47" t="str">
        <f>MID(C549,1,4)</f>
        <v>2024</v>
      </c>
      <c r="E549" t="str">
        <f>IF(Portfolio!$M$1=1,CONCATENATE(A549,C549),CONCATENATE(B549,C549))</f>
        <v>SOLARIA202411</v>
      </c>
      <c r="F549">
        <v>1791</v>
      </c>
      <c r="G549">
        <v>1</v>
      </c>
      <c r="H549">
        <v>0</v>
      </c>
      <c r="I549">
        <v>0</v>
      </c>
      <c r="J549">
        <v>0</v>
      </c>
      <c r="K549">
        <v>283152500</v>
      </c>
      <c r="L549">
        <v>384000</v>
      </c>
      <c r="M549">
        <v>0</v>
      </c>
      <c r="N549">
        <v>0</v>
      </c>
      <c r="O549">
        <v>0</v>
      </c>
      <c r="P549">
        <v>424729</v>
      </c>
      <c r="Q549">
        <v>3840</v>
      </c>
      <c r="R549">
        <v>0</v>
      </c>
      <c r="S549">
        <v>0</v>
      </c>
      <c r="T549">
        <v>0</v>
      </c>
    </row>
    <row r="550" spans="1:20" x14ac:dyDescent="0.25">
      <c r="A550" t="s">
        <v>124</v>
      </c>
      <c r="B550" t="s">
        <v>124</v>
      </c>
      <c r="C550">
        <v>202411</v>
      </c>
      <c r="D550" s="47" t="str">
        <f>MID(C550,1,4)</f>
        <v>2024</v>
      </c>
      <c r="E550" t="str">
        <f>IF(Portfolio!$M$1=1,CONCATENATE(A550,C550),CONCATENATE(B550,C550))</f>
        <v>SOUR SALLY202411</v>
      </c>
      <c r="F550">
        <v>5</v>
      </c>
      <c r="G550">
        <v>0</v>
      </c>
      <c r="H550">
        <v>0</v>
      </c>
      <c r="I550">
        <v>0</v>
      </c>
      <c r="J550">
        <v>1</v>
      </c>
      <c r="K550">
        <v>578000</v>
      </c>
      <c r="L550">
        <v>0</v>
      </c>
      <c r="M550">
        <v>0</v>
      </c>
      <c r="N550">
        <v>0</v>
      </c>
      <c r="O550">
        <v>1</v>
      </c>
      <c r="P550">
        <v>867</v>
      </c>
      <c r="Q550">
        <v>0</v>
      </c>
      <c r="R550">
        <v>0</v>
      </c>
      <c r="S550">
        <v>0</v>
      </c>
      <c r="T550">
        <v>0</v>
      </c>
    </row>
    <row r="551" spans="1:20" x14ac:dyDescent="0.25">
      <c r="A551" t="s">
        <v>126</v>
      </c>
      <c r="B551" t="s">
        <v>223</v>
      </c>
      <c r="C551">
        <v>202411</v>
      </c>
      <c r="D551" s="47" t="str">
        <f>MID(C551,1,4)</f>
        <v>2024</v>
      </c>
      <c r="E551" t="str">
        <f>IF(Portfolio!$M$1=1,CONCATENATE(A551,C551),CONCATENATE(B551,C551))</f>
        <v>STEVEN GROUP202411</v>
      </c>
      <c r="F551">
        <v>0</v>
      </c>
      <c r="G551">
        <v>21</v>
      </c>
      <c r="H551">
        <v>4</v>
      </c>
      <c r="I551">
        <v>0</v>
      </c>
      <c r="J551">
        <v>0</v>
      </c>
      <c r="K551">
        <v>0</v>
      </c>
      <c r="L551">
        <v>1275800</v>
      </c>
      <c r="M551">
        <v>258000</v>
      </c>
      <c r="N551">
        <v>0</v>
      </c>
      <c r="O551">
        <v>0</v>
      </c>
      <c r="P551">
        <v>0</v>
      </c>
      <c r="Q551">
        <v>12758</v>
      </c>
      <c r="R551">
        <v>5160</v>
      </c>
      <c r="S551">
        <v>0</v>
      </c>
      <c r="T551">
        <v>0</v>
      </c>
    </row>
    <row r="552" spans="1:20" x14ac:dyDescent="0.25">
      <c r="A552" t="s">
        <v>126</v>
      </c>
      <c r="B552" t="s">
        <v>224</v>
      </c>
      <c r="C552">
        <v>202411</v>
      </c>
      <c r="D552" s="47" t="str">
        <f>MID(C552,1,4)</f>
        <v>2024</v>
      </c>
      <c r="E552" t="str">
        <f>IF(Portfolio!$M$1=1,CONCATENATE(A552,C552),CONCATENATE(B552,C552))</f>
        <v>STEVEN GROUP202411</v>
      </c>
      <c r="F552">
        <v>1</v>
      </c>
      <c r="G552">
        <v>2</v>
      </c>
      <c r="H552">
        <v>0</v>
      </c>
      <c r="I552">
        <v>2</v>
      </c>
      <c r="J552">
        <v>3</v>
      </c>
      <c r="K552">
        <v>330000</v>
      </c>
      <c r="L552">
        <v>1948000</v>
      </c>
      <c r="M552">
        <v>0</v>
      </c>
      <c r="N552">
        <v>560000</v>
      </c>
      <c r="O552">
        <v>3</v>
      </c>
      <c r="P552">
        <v>495</v>
      </c>
      <c r="Q552">
        <v>19480</v>
      </c>
      <c r="R552">
        <v>0</v>
      </c>
      <c r="S552">
        <v>1680</v>
      </c>
      <c r="T552">
        <v>0</v>
      </c>
    </row>
    <row r="553" spans="1:20" x14ac:dyDescent="0.25">
      <c r="A553" t="s">
        <v>126</v>
      </c>
      <c r="B553" t="s">
        <v>228</v>
      </c>
      <c r="C553">
        <v>202411</v>
      </c>
      <c r="D553" s="47" t="str">
        <f>MID(C553,1,4)</f>
        <v>2024</v>
      </c>
      <c r="E553" t="str">
        <f>IF(Portfolio!$M$1=1,CONCATENATE(A553,C553),CONCATENATE(B553,C553))</f>
        <v>STEVEN GROUP202411</v>
      </c>
      <c r="F553">
        <v>0</v>
      </c>
      <c r="G553">
        <v>0</v>
      </c>
      <c r="H553">
        <v>0</v>
      </c>
      <c r="I553">
        <v>6</v>
      </c>
      <c r="J553">
        <v>2164</v>
      </c>
      <c r="K553">
        <v>0</v>
      </c>
      <c r="L553">
        <v>0</v>
      </c>
      <c r="M553">
        <v>0</v>
      </c>
      <c r="N553">
        <v>627200</v>
      </c>
      <c r="O553">
        <v>160063800</v>
      </c>
      <c r="P553">
        <v>0</v>
      </c>
      <c r="Q553">
        <v>0</v>
      </c>
      <c r="R553">
        <v>0</v>
      </c>
      <c r="S553">
        <v>1182</v>
      </c>
      <c r="T553">
        <v>179666</v>
      </c>
    </row>
    <row r="554" spans="1:20" x14ac:dyDescent="0.25">
      <c r="A554" t="s">
        <v>126</v>
      </c>
      <c r="B554" t="s">
        <v>136</v>
      </c>
      <c r="C554">
        <v>202411</v>
      </c>
      <c r="D554" s="47" t="str">
        <f>MID(C554,1,4)</f>
        <v>2024</v>
      </c>
      <c r="E554" t="str">
        <f>IF(Portfolio!$M$1=1,CONCATENATE(A554,C554),CONCATENATE(B554,C554))</f>
        <v>STEVEN GROUP202411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10000</v>
      </c>
      <c r="N554">
        <v>0</v>
      </c>
      <c r="O554">
        <v>0</v>
      </c>
      <c r="P554">
        <v>0</v>
      </c>
      <c r="Q554">
        <v>0</v>
      </c>
      <c r="R554">
        <v>200</v>
      </c>
      <c r="S554">
        <v>0</v>
      </c>
      <c r="T554">
        <v>0</v>
      </c>
    </row>
    <row r="555" spans="1:20" x14ac:dyDescent="0.25">
      <c r="A555" t="s">
        <v>134</v>
      </c>
      <c r="B555" t="s">
        <v>134</v>
      </c>
      <c r="C555">
        <v>202411</v>
      </c>
      <c r="D555" s="47" t="str">
        <f>MID(C555,1,4)</f>
        <v>2024</v>
      </c>
      <c r="E555" t="str">
        <f>IF(Portfolio!$M$1=1,CONCATENATE(A555,C555),CONCATENATE(B555,C555))</f>
        <v>TAMANI202411</v>
      </c>
      <c r="F555">
        <v>31</v>
      </c>
      <c r="G555">
        <v>4</v>
      </c>
      <c r="H555">
        <v>17</v>
      </c>
      <c r="I555">
        <v>0</v>
      </c>
      <c r="J555">
        <v>0</v>
      </c>
      <c r="K555">
        <v>8745550</v>
      </c>
      <c r="L555">
        <v>1318900</v>
      </c>
      <c r="M555">
        <v>7315550</v>
      </c>
      <c r="N555">
        <v>0</v>
      </c>
      <c r="O555">
        <v>0</v>
      </c>
      <c r="P555">
        <v>13118</v>
      </c>
      <c r="Q555">
        <v>13189</v>
      </c>
      <c r="R555">
        <v>131680</v>
      </c>
      <c r="S555">
        <v>0</v>
      </c>
      <c r="T555">
        <v>0</v>
      </c>
    </row>
    <row r="556" spans="1:20" x14ac:dyDescent="0.25">
      <c r="A556" t="s">
        <v>138</v>
      </c>
      <c r="B556" t="s">
        <v>138</v>
      </c>
      <c r="C556">
        <v>202411</v>
      </c>
      <c r="D556" s="47" t="str">
        <f>MID(C556,1,4)</f>
        <v>2024</v>
      </c>
      <c r="E556" t="str">
        <f>IF(Portfolio!$M$1=1,CONCATENATE(A556,C556),CONCATENATE(B556,C556))</f>
        <v>YOSHINOYA202411</v>
      </c>
      <c r="F556">
        <v>978</v>
      </c>
      <c r="G556">
        <v>5808</v>
      </c>
      <c r="H556">
        <v>3008</v>
      </c>
      <c r="I556">
        <v>0</v>
      </c>
      <c r="J556">
        <v>0</v>
      </c>
      <c r="K556">
        <v>107775700</v>
      </c>
      <c r="L556">
        <v>867301100</v>
      </c>
      <c r="M556">
        <v>413598800</v>
      </c>
      <c r="N556">
        <v>0</v>
      </c>
      <c r="O556">
        <v>0</v>
      </c>
      <c r="P556">
        <v>161664</v>
      </c>
      <c r="Q556">
        <v>8673011</v>
      </c>
      <c r="R556">
        <v>4549587</v>
      </c>
      <c r="S556">
        <v>0</v>
      </c>
      <c r="T556">
        <v>0</v>
      </c>
    </row>
    <row r="557" spans="1:20" x14ac:dyDescent="0.25">
      <c r="A557" t="s">
        <v>67</v>
      </c>
      <c r="B557" t="s">
        <v>68</v>
      </c>
      <c r="C557">
        <v>202412</v>
      </c>
      <c r="D557" s="47" t="str">
        <f>MID(C557,1,4)</f>
        <v>2024</v>
      </c>
      <c r="E557" t="str">
        <f>IF(Portfolio!$M$1=1,CONCATENATE(A557,C557),CONCATENATE(B557,C557))</f>
        <v>ALFA GROUP202412</v>
      </c>
      <c r="F557">
        <v>22949</v>
      </c>
      <c r="G557">
        <v>69579</v>
      </c>
      <c r="H557">
        <v>21938</v>
      </c>
      <c r="I557">
        <v>12</v>
      </c>
      <c r="J557">
        <v>110</v>
      </c>
      <c r="K557">
        <v>2325195373</v>
      </c>
      <c r="L557">
        <v>7372786128</v>
      </c>
      <c r="M557">
        <v>3296798174</v>
      </c>
      <c r="N557">
        <v>1202000</v>
      </c>
      <c r="O557">
        <v>4646550</v>
      </c>
      <c r="P557">
        <v>3487790</v>
      </c>
      <c r="Q557">
        <v>73727861</v>
      </c>
      <c r="R557">
        <v>59292122</v>
      </c>
      <c r="S557">
        <v>0</v>
      </c>
      <c r="T557">
        <v>2427</v>
      </c>
    </row>
    <row r="558" spans="1:20" x14ac:dyDescent="0.25">
      <c r="A558" t="s">
        <v>67</v>
      </c>
      <c r="B558" t="s">
        <v>69</v>
      </c>
      <c r="C558">
        <v>202412</v>
      </c>
      <c r="D558" s="47" t="str">
        <f>MID(C558,1,4)</f>
        <v>2024</v>
      </c>
      <c r="E558" t="str">
        <f>IF(Portfolio!$M$1=1,CONCATENATE(A558,C558),CONCATENATE(B558,C558))</f>
        <v>ALFA GROUP202412</v>
      </c>
      <c r="F558">
        <v>22</v>
      </c>
      <c r="G558">
        <v>66</v>
      </c>
      <c r="H558">
        <v>38</v>
      </c>
      <c r="I558">
        <v>14</v>
      </c>
      <c r="J558">
        <v>136</v>
      </c>
      <c r="K558">
        <v>2605657</v>
      </c>
      <c r="L558">
        <v>9710436</v>
      </c>
      <c r="M558">
        <v>8441674</v>
      </c>
      <c r="N558">
        <v>165800</v>
      </c>
      <c r="O558">
        <v>4458199</v>
      </c>
      <c r="P558">
        <v>3908</v>
      </c>
      <c r="Q558">
        <v>97104</v>
      </c>
      <c r="R558">
        <v>151950</v>
      </c>
      <c r="S558">
        <v>1153</v>
      </c>
      <c r="T558">
        <v>31209</v>
      </c>
    </row>
    <row r="559" spans="1:20" x14ac:dyDescent="0.25">
      <c r="A559" t="s">
        <v>67</v>
      </c>
      <c r="B559" t="s">
        <v>72</v>
      </c>
      <c r="C559">
        <v>202412</v>
      </c>
      <c r="D559" s="47" t="str">
        <f>MID(C559,1,4)</f>
        <v>2024</v>
      </c>
      <c r="E559" t="str">
        <f>IF(Portfolio!$M$1=1,CONCATENATE(A559,C559),CONCATENATE(B559,C559))</f>
        <v>ALFA GROUP202412</v>
      </c>
      <c r="F559">
        <v>447</v>
      </c>
      <c r="G559">
        <v>1370</v>
      </c>
      <c r="H559">
        <v>251</v>
      </c>
      <c r="I559">
        <v>0</v>
      </c>
      <c r="J559">
        <v>0</v>
      </c>
      <c r="K559">
        <v>76826934</v>
      </c>
      <c r="L559">
        <v>224135254</v>
      </c>
      <c r="M559">
        <v>47743303</v>
      </c>
      <c r="N559">
        <v>0</v>
      </c>
      <c r="O559">
        <v>0</v>
      </c>
      <c r="P559">
        <v>115240</v>
      </c>
      <c r="Q559">
        <v>2241353</v>
      </c>
      <c r="R559">
        <v>853870</v>
      </c>
      <c r="S559">
        <v>0</v>
      </c>
      <c r="T559">
        <v>0</v>
      </c>
    </row>
    <row r="560" spans="1:20" x14ac:dyDescent="0.25">
      <c r="A560" t="s">
        <v>70</v>
      </c>
      <c r="B560" t="s">
        <v>70</v>
      </c>
      <c r="C560">
        <v>202412</v>
      </c>
      <c r="D560" s="47" t="str">
        <f>MID(C560,1,4)</f>
        <v>2024</v>
      </c>
      <c r="E560" t="str">
        <f>IF(Portfolio!$M$1=1,CONCATENATE(A560,C560),CONCATENATE(B560,C560))</f>
        <v>ANCOL202412</v>
      </c>
      <c r="F560">
        <v>3</v>
      </c>
      <c r="G560">
        <v>4</v>
      </c>
      <c r="H560">
        <v>3</v>
      </c>
      <c r="I560">
        <v>0</v>
      </c>
      <c r="J560">
        <v>0</v>
      </c>
      <c r="K560">
        <v>534200</v>
      </c>
      <c r="L560">
        <v>4122000</v>
      </c>
      <c r="M560">
        <v>373300</v>
      </c>
      <c r="N560">
        <v>0</v>
      </c>
      <c r="O560">
        <v>0</v>
      </c>
      <c r="P560">
        <v>801</v>
      </c>
      <c r="Q560">
        <v>41220</v>
      </c>
      <c r="R560">
        <v>6159</v>
      </c>
      <c r="S560">
        <v>0</v>
      </c>
      <c r="T560">
        <v>0</v>
      </c>
    </row>
    <row r="561" spans="1:20" x14ac:dyDescent="0.25">
      <c r="A561" t="s">
        <v>73</v>
      </c>
      <c r="B561" t="s">
        <v>73</v>
      </c>
      <c r="C561">
        <v>202412</v>
      </c>
      <c r="D561" s="47" t="str">
        <f>MID(C561,1,4)</f>
        <v>2024</v>
      </c>
      <c r="E561" t="str">
        <f>IF(Portfolio!$M$1=1,CONCATENATE(A561,C561),CONCATENATE(B561,C561))</f>
        <v>BANBAN TEA202412</v>
      </c>
      <c r="F561">
        <v>58</v>
      </c>
      <c r="G561">
        <v>11</v>
      </c>
      <c r="H561">
        <v>2</v>
      </c>
      <c r="I561">
        <v>97</v>
      </c>
      <c r="J561">
        <v>0</v>
      </c>
      <c r="K561">
        <v>3820797</v>
      </c>
      <c r="L561">
        <v>647199</v>
      </c>
      <c r="M561">
        <v>232698</v>
      </c>
      <c r="N561">
        <v>6888893</v>
      </c>
      <c r="O561">
        <v>0</v>
      </c>
      <c r="P561">
        <v>5731</v>
      </c>
      <c r="Q561">
        <v>6472</v>
      </c>
      <c r="R561">
        <v>4189</v>
      </c>
      <c r="S561">
        <v>48220</v>
      </c>
      <c r="T561">
        <v>0</v>
      </c>
    </row>
    <row r="562" spans="1:20" x14ac:dyDescent="0.25">
      <c r="A562" t="s">
        <v>75</v>
      </c>
      <c r="B562" t="s">
        <v>81</v>
      </c>
      <c r="C562">
        <v>202412</v>
      </c>
      <c r="D562" s="47" t="str">
        <f>MID(C562,1,4)</f>
        <v>2024</v>
      </c>
      <c r="E562" t="str">
        <f>IF(Portfolio!$M$1=1,CONCATENATE(A562,C562),CONCATENATE(B562,C562))</f>
        <v>CHAMP RESTO202412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275000</v>
      </c>
      <c r="M562">
        <v>0</v>
      </c>
      <c r="N562">
        <v>0</v>
      </c>
      <c r="O562">
        <v>0</v>
      </c>
      <c r="P562">
        <v>0</v>
      </c>
      <c r="Q562">
        <v>2750</v>
      </c>
      <c r="R562">
        <v>0</v>
      </c>
      <c r="S562">
        <v>0</v>
      </c>
      <c r="T562">
        <v>0</v>
      </c>
    </row>
    <row r="563" spans="1:20" x14ac:dyDescent="0.25">
      <c r="A563" t="s">
        <v>75</v>
      </c>
      <c r="B563" t="s">
        <v>83</v>
      </c>
      <c r="C563">
        <v>202412</v>
      </c>
      <c r="D563" s="47" t="str">
        <f>MID(C563,1,4)</f>
        <v>2024</v>
      </c>
      <c r="E563" t="str">
        <f>IF(Portfolio!$M$1=1,CONCATENATE(A563,C563),CONCATENATE(B563,C563))</f>
        <v>CHAMP RESTO202412</v>
      </c>
      <c r="F563">
        <v>2</v>
      </c>
      <c r="G563">
        <v>5</v>
      </c>
      <c r="H563">
        <v>1</v>
      </c>
      <c r="I563">
        <v>4</v>
      </c>
      <c r="J563">
        <v>69</v>
      </c>
      <c r="K563">
        <v>1400000</v>
      </c>
      <c r="L563">
        <v>4240000</v>
      </c>
      <c r="M563">
        <v>383500</v>
      </c>
      <c r="N563">
        <v>144700</v>
      </c>
      <c r="O563">
        <v>3678700</v>
      </c>
      <c r="P563">
        <v>2100</v>
      </c>
      <c r="Q563">
        <v>42400</v>
      </c>
      <c r="R563">
        <v>6903</v>
      </c>
      <c r="S563">
        <v>0</v>
      </c>
      <c r="T563">
        <v>11725</v>
      </c>
    </row>
    <row r="564" spans="1:20" x14ac:dyDescent="0.25">
      <c r="A564" t="s">
        <v>75</v>
      </c>
      <c r="B564" t="s">
        <v>85</v>
      </c>
      <c r="C564">
        <v>202412</v>
      </c>
      <c r="D564" s="47" t="str">
        <f>MID(C564,1,4)</f>
        <v>2024</v>
      </c>
      <c r="E564" t="str">
        <f>IF(Portfolio!$M$1=1,CONCATENATE(A564,C564),CONCATENATE(B564,C564))</f>
        <v>CHAMP RESTO202412</v>
      </c>
      <c r="F564">
        <v>10</v>
      </c>
      <c r="G564">
        <v>13</v>
      </c>
      <c r="H564">
        <v>1</v>
      </c>
      <c r="I564">
        <v>0</v>
      </c>
      <c r="J564">
        <v>0</v>
      </c>
      <c r="K564">
        <v>1532978</v>
      </c>
      <c r="L564">
        <v>2344490</v>
      </c>
      <c r="M564">
        <v>132500</v>
      </c>
      <c r="N564">
        <v>0</v>
      </c>
      <c r="O564">
        <v>0</v>
      </c>
      <c r="P564">
        <v>2299</v>
      </c>
      <c r="Q564">
        <v>23445</v>
      </c>
      <c r="R564">
        <v>2385</v>
      </c>
      <c r="S564">
        <v>0</v>
      </c>
      <c r="T564">
        <v>0</v>
      </c>
    </row>
    <row r="565" spans="1:20" x14ac:dyDescent="0.25">
      <c r="A565" t="s">
        <v>75</v>
      </c>
      <c r="B565" t="s">
        <v>89</v>
      </c>
      <c r="C565">
        <v>202412</v>
      </c>
      <c r="D565" s="47" t="str">
        <f>MID(C565,1,4)</f>
        <v>2024</v>
      </c>
      <c r="E565" t="str">
        <f>IF(Portfolio!$M$1=1,CONCATENATE(A565,C565),CONCATENATE(B565,C565))</f>
        <v>CHAMP RESTO202412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423997</v>
      </c>
      <c r="L565">
        <v>0</v>
      </c>
      <c r="M565">
        <v>0</v>
      </c>
      <c r="N565">
        <v>0</v>
      </c>
      <c r="O565">
        <v>0</v>
      </c>
      <c r="P565">
        <v>636</v>
      </c>
      <c r="Q565">
        <v>0</v>
      </c>
      <c r="R565">
        <v>0</v>
      </c>
      <c r="S565">
        <v>0</v>
      </c>
      <c r="T565">
        <v>0</v>
      </c>
    </row>
    <row r="566" spans="1:20" x14ac:dyDescent="0.25">
      <c r="A566" t="s">
        <v>75</v>
      </c>
      <c r="B566" t="s">
        <v>91</v>
      </c>
      <c r="C566">
        <v>202412</v>
      </c>
      <c r="D566" s="47" t="str">
        <f>MID(C566,1,4)</f>
        <v>2024</v>
      </c>
      <c r="E566" t="str">
        <f>IF(Portfolio!$M$1=1,CONCATENATE(A566,C566),CONCATENATE(B566,C566))</f>
        <v>CHAMP RESTO202412</v>
      </c>
      <c r="F566">
        <v>5</v>
      </c>
      <c r="G566">
        <v>12</v>
      </c>
      <c r="H566">
        <v>0</v>
      </c>
      <c r="I566">
        <v>0</v>
      </c>
      <c r="J566">
        <v>0</v>
      </c>
      <c r="K566">
        <v>1606568</v>
      </c>
      <c r="L566">
        <v>4570025</v>
      </c>
      <c r="M566">
        <v>0</v>
      </c>
      <c r="N566">
        <v>0</v>
      </c>
      <c r="O566">
        <v>0</v>
      </c>
      <c r="P566">
        <v>2410</v>
      </c>
      <c r="Q566">
        <v>45700</v>
      </c>
      <c r="R566">
        <v>0</v>
      </c>
      <c r="S566">
        <v>0</v>
      </c>
      <c r="T566">
        <v>0</v>
      </c>
    </row>
    <row r="567" spans="1:20" x14ac:dyDescent="0.25">
      <c r="A567" t="s">
        <v>75</v>
      </c>
      <c r="B567" t="s">
        <v>93</v>
      </c>
      <c r="C567">
        <v>202412</v>
      </c>
      <c r="D567" s="47" t="str">
        <f>MID(C567,1,4)</f>
        <v>2024</v>
      </c>
      <c r="E567" t="str">
        <f>IF(Portfolio!$M$1=1,CONCATENATE(A567,C567),CONCATENATE(B567,C567))</f>
        <v>CHAMP RESTO202412</v>
      </c>
      <c r="F567">
        <v>1</v>
      </c>
      <c r="G567">
        <v>1</v>
      </c>
      <c r="H567">
        <v>0</v>
      </c>
      <c r="I567">
        <v>1</v>
      </c>
      <c r="J567">
        <v>83</v>
      </c>
      <c r="K567">
        <v>158000</v>
      </c>
      <c r="L567">
        <v>95000</v>
      </c>
      <c r="M567">
        <v>0</v>
      </c>
      <c r="N567">
        <v>1000</v>
      </c>
      <c r="O567">
        <v>1717000</v>
      </c>
      <c r="P567">
        <v>237</v>
      </c>
      <c r="Q567">
        <v>950</v>
      </c>
      <c r="R567">
        <v>0</v>
      </c>
      <c r="S567">
        <v>0</v>
      </c>
      <c r="T567">
        <v>0</v>
      </c>
    </row>
    <row r="568" spans="1:20" x14ac:dyDescent="0.25">
      <c r="A568" t="s">
        <v>75</v>
      </c>
      <c r="B568" t="s">
        <v>95</v>
      </c>
      <c r="C568">
        <v>202412</v>
      </c>
      <c r="D568" s="47" t="str">
        <f>MID(C568,1,4)</f>
        <v>2024</v>
      </c>
      <c r="E568" t="str">
        <f>IF(Portfolio!$M$1=1,CONCATENATE(A568,C568),CONCATENATE(B568,C568))</f>
        <v>CHAMP RESTO202412</v>
      </c>
      <c r="F568">
        <v>5</v>
      </c>
      <c r="G568">
        <v>1</v>
      </c>
      <c r="H568">
        <v>0</v>
      </c>
      <c r="I568">
        <v>0</v>
      </c>
      <c r="J568">
        <v>0</v>
      </c>
      <c r="K568">
        <v>1140004</v>
      </c>
      <c r="L568">
        <v>306500</v>
      </c>
      <c r="M568">
        <v>0</v>
      </c>
      <c r="N568">
        <v>0</v>
      </c>
      <c r="O568">
        <v>0</v>
      </c>
      <c r="P568">
        <v>1710</v>
      </c>
      <c r="Q568">
        <v>3065</v>
      </c>
      <c r="R568">
        <v>0</v>
      </c>
      <c r="S568">
        <v>0</v>
      </c>
      <c r="T568">
        <v>0</v>
      </c>
    </row>
    <row r="569" spans="1:20" x14ac:dyDescent="0.25">
      <c r="A569" t="s">
        <v>76</v>
      </c>
      <c r="B569" t="s">
        <v>76</v>
      </c>
      <c r="C569">
        <v>202412</v>
      </c>
      <c r="D569" s="47" t="str">
        <f>MID(C569,1,4)</f>
        <v>2024</v>
      </c>
      <c r="E569" t="str">
        <f>IF(Portfolio!$M$1=1,CONCATENATE(A569,C569),CONCATENATE(B569,C569))</f>
        <v>DAMRI202412</v>
      </c>
      <c r="F569">
        <v>0</v>
      </c>
      <c r="G569">
        <v>2</v>
      </c>
      <c r="H569">
        <v>11</v>
      </c>
      <c r="I569">
        <v>0</v>
      </c>
      <c r="J569">
        <v>4</v>
      </c>
      <c r="K569">
        <v>0</v>
      </c>
      <c r="L569">
        <v>2280000</v>
      </c>
      <c r="M569">
        <v>110000</v>
      </c>
      <c r="N569">
        <v>0</v>
      </c>
      <c r="O569">
        <v>360003</v>
      </c>
      <c r="P569">
        <v>0</v>
      </c>
      <c r="Q569">
        <v>22800</v>
      </c>
      <c r="R569">
        <v>2200</v>
      </c>
      <c r="S569">
        <v>0</v>
      </c>
      <c r="T569">
        <v>2520</v>
      </c>
    </row>
    <row r="570" spans="1:20" x14ac:dyDescent="0.25">
      <c r="A570" t="s">
        <v>80</v>
      </c>
      <c r="B570" t="s">
        <v>80</v>
      </c>
      <c r="C570">
        <v>202412</v>
      </c>
      <c r="D570" s="47" t="str">
        <f>MID(C570,1,4)</f>
        <v>2024</v>
      </c>
      <c r="E570" t="str">
        <f>IF(Portfolio!$M$1=1,CONCATENATE(A570,C570),CONCATENATE(B570,C570))</f>
        <v>DWIDAYA202412</v>
      </c>
      <c r="F570">
        <v>0</v>
      </c>
      <c r="G570">
        <v>0</v>
      </c>
      <c r="H570">
        <v>0</v>
      </c>
      <c r="I570">
        <v>1</v>
      </c>
      <c r="J570">
        <v>21</v>
      </c>
      <c r="K570">
        <v>0</v>
      </c>
      <c r="L570">
        <v>0</v>
      </c>
      <c r="M570">
        <v>0</v>
      </c>
      <c r="N570">
        <v>1</v>
      </c>
      <c r="O570">
        <v>70542240</v>
      </c>
      <c r="P570">
        <v>0</v>
      </c>
      <c r="Q570">
        <v>0</v>
      </c>
      <c r="R570">
        <v>0</v>
      </c>
      <c r="S570">
        <v>0</v>
      </c>
      <c r="T570">
        <v>493795</v>
      </c>
    </row>
    <row r="571" spans="1:20" x14ac:dyDescent="0.25">
      <c r="A571" t="s">
        <v>84</v>
      </c>
      <c r="B571" t="s">
        <v>84</v>
      </c>
      <c r="C571">
        <v>202412</v>
      </c>
      <c r="D571" s="47" t="str">
        <f>MID(C571,1,4)</f>
        <v>2024</v>
      </c>
      <c r="E571" t="str">
        <f>IF(Portfolio!$M$1=1,CONCATENATE(A571,C571),CONCATENATE(B571,C571))</f>
        <v>ES TELLER 77202412</v>
      </c>
      <c r="F571">
        <v>2</v>
      </c>
      <c r="G571">
        <v>0</v>
      </c>
      <c r="H571">
        <v>0</v>
      </c>
      <c r="I571">
        <v>0</v>
      </c>
      <c r="J571">
        <v>0</v>
      </c>
      <c r="K571">
        <v>409000</v>
      </c>
      <c r="L571">
        <v>0</v>
      </c>
      <c r="M571">
        <v>0</v>
      </c>
      <c r="N571">
        <v>0</v>
      </c>
      <c r="O571">
        <v>0</v>
      </c>
      <c r="P571">
        <v>614</v>
      </c>
      <c r="Q571">
        <v>0</v>
      </c>
      <c r="R571">
        <v>0</v>
      </c>
      <c r="S571">
        <v>0</v>
      </c>
      <c r="T571">
        <v>0</v>
      </c>
    </row>
    <row r="572" spans="1:20" x14ac:dyDescent="0.25">
      <c r="A572" t="s">
        <v>86</v>
      </c>
      <c r="B572" t="s">
        <v>86</v>
      </c>
      <c r="C572">
        <v>202412</v>
      </c>
      <c r="D572" s="47" t="str">
        <f>MID(C572,1,4)</f>
        <v>2024</v>
      </c>
      <c r="E572" t="str">
        <f>IF(Portfolio!$M$1=1,CONCATENATE(A572,C572),CONCATENATE(B572,C572))</f>
        <v>GRAMEDIA202412</v>
      </c>
      <c r="F572">
        <v>19</v>
      </c>
      <c r="G572">
        <v>4</v>
      </c>
      <c r="H572">
        <v>2</v>
      </c>
      <c r="I572">
        <v>11</v>
      </c>
      <c r="J572">
        <v>108</v>
      </c>
      <c r="K572">
        <v>8198630</v>
      </c>
      <c r="L572">
        <v>1304500</v>
      </c>
      <c r="M572">
        <v>1091500</v>
      </c>
      <c r="N572">
        <v>2073930</v>
      </c>
      <c r="O572">
        <v>16495014</v>
      </c>
      <c r="P572">
        <v>12298</v>
      </c>
      <c r="Q572">
        <v>13045</v>
      </c>
      <c r="R572">
        <v>19647</v>
      </c>
      <c r="S572">
        <v>13579</v>
      </c>
      <c r="T572">
        <v>115465</v>
      </c>
    </row>
    <row r="573" spans="1:20" x14ac:dyDescent="0.25">
      <c r="A573" t="s">
        <v>88</v>
      </c>
      <c r="B573" t="s">
        <v>88</v>
      </c>
      <c r="C573">
        <v>202412</v>
      </c>
      <c r="D573" s="47" t="str">
        <f>MID(C573,1,4)</f>
        <v>2024</v>
      </c>
      <c r="E573" t="str">
        <f>IF(Portfolio!$M$1=1,CONCATENATE(A573,C573),CONCATENATE(B573,C573))</f>
        <v>HAUS202412</v>
      </c>
      <c r="F573">
        <v>1</v>
      </c>
      <c r="G573">
        <v>39</v>
      </c>
      <c r="H573">
        <v>1</v>
      </c>
      <c r="I573">
        <v>280</v>
      </c>
      <c r="J573">
        <v>61075</v>
      </c>
      <c r="K573">
        <v>42000</v>
      </c>
      <c r="L573">
        <v>1789998</v>
      </c>
      <c r="M573">
        <v>55000</v>
      </c>
      <c r="N573">
        <v>12263222</v>
      </c>
      <c r="O573">
        <v>2502335975</v>
      </c>
      <c r="P573">
        <v>63</v>
      </c>
      <c r="Q573">
        <v>17900</v>
      </c>
      <c r="R573">
        <v>990</v>
      </c>
      <c r="S573">
        <v>82224</v>
      </c>
      <c r="T573">
        <v>17309714</v>
      </c>
    </row>
    <row r="574" spans="1:20" x14ac:dyDescent="0.25">
      <c r="A574" t="s">
        <v>90</v>
      </c>
      <c r="B574" t="s">
        <v>90</v>
      </c>
      <c r="C574">
        <v>202412</v>
      </c>
      <c r="D574" s="47" t="str">
        <f>MID(C574,1,4)</f>
        <v>2024</v>
      </c>
      <c r="E574" t="str">
        <f>IF(Portfolio!$M$1=1,CONCATENATE(A574,C574),CONCATENATE(B574,C574))</f>
        <v>HEAVENLY WANG202412</v>
      </c>
      <c r="F574">
        <v>8</v>
      </c>
      <c r="G574">
        <v>0</v>
      </c>
      <c r="H574">
        <v>0</v>
      </c>
      <c r="I574">
        <v>0</v>
      </c>
      <c r="J574">
        <v>0</v>
      </c>
      <c r="K574">
        <v>1320858</v>
      </c>
      <c r="L574">
        <v>0</v>
      </c>
      <c r="M574">
        <v>0</v>
      </c>
      <c r="N574">
        <v>0</v>
      </c>
      <c r="O574">
        <v>0</v>
      </c>
      <c r="P574">
        <v>1981</v>
      </c>
      <c r="Q574">
        <v>0</v>
      </c>
      <c r="R574">
        <v>0</v>
      </c>
      <c r="S574">
        <v>0</v>
      </c>
      <c r="T574">
        <v>0</v>
      </c>
    </row>
    <row r="575" spans="1:20" x14ac:dyDescent="0.25">
      <c r="A575" t="s">
        <v>92</v>
      </c>
      <c r="B575" t="s">
        <v>108</v>
      </c>
      <c r="C575">
        <v>202412</v>
      </c>
      <c r="D575" s="47" t="str">
        <f>MID(C575,1,4)</f>
        <v>2024</v>
      </c>
      <c r="E575" t="str">
        <f>IF(Portfolio!$M$1=1,CONCATENATE(A575,C575),CONCATENATE(B575,C575))</f>
        <v>HERO GROUP202412</v>
      </c>
      <c r="F575">
        <v>51</v>
      </c>
      <c r="G575">
        <v>6</v>
      </c>
      <c r="H575">
        <v>1</v>
      </c>
      <c r="I575">
        <v>0</v>
      </c>
      <c r="J575">
        <v>73</v>
      </c>
      <c r="K575">
        <v>30892020</v>
      </c>
      <c r="L575">
        <v>1466500</v>
      </c>
      <c r="M575">
        <v>421044</v>
      </c>
      <c r="N575">
        <v>0</v>
      </c>
      <c r="O575">
        <v>5289000</v>
      </c>
      <c r="P575">
        <v>46338</v>
      </c>
      <c r="Q575">
        <v>14665</v>
      </c>
      <c r="R575">
        <v>8421</v>
      </c>
      <c r="S575">
        <v>0</v>
      </c>
      <c r="T575">
        <v>1800</v>
      </c>
    </row>
    <row r="576" spans="1:20" x14ac:dyDescent="0.25">
      <c r="A576" t="s">
        <v>96</v>
      </c>
      <c r="B576" t="s">
        <v>96</v>
      </c>
      <c r="C576">
        <v>202412</v>
      </c>
      <c r="D576" s="47" t="str">
        <f>MID(C576,1,4)</f>
        <v>2024</v>
      </c>
      <c r="E576" t="str">
        <f>IF(Portfolio!$M$1=1,CONCATENATE(A576,C576),CONCATENATE(B576,C576))</f>
        <v>HOKKAIDO BAKED CHEESE202412</v>
      </c>
      <c r="F576">
        <v>49</v>
      </c>
      <c r="G576">
        <v>465</v>
      </c>
      <c r="H576">
        <v>20</v>
      </c>
      <c r="I576">
        <v>76</v>
      </c>
      <c r="J576">
        <v>2404</v>
      </c>
      <c r="K576">
        <v>4741422</v>
      </c>
      <c r="L576">
        <v>46673411</v>
      </c>
      <c r="M576">
        <v>1730000</v>
      </c>
      <c r="N576">
        <v>7158006</v>
      </c>
      <c r="O576">
        <v>203660297</v>
      </c>
      <c r="P576">
        <v>7112</v>
      </c>
      <c r="Q576">
        <v>466734</v>
      </c>
      <c r="R576">
        <v>32398</v>
      </c>
      <c r="S576">
        <v>47642</v>
      </c>
      <c r="T576">
        <v>1259023</v>
      </c>
    </row>
    <row r="577" spans="1:20" x14ac:dyDescent="0.25">
      <c r="A577" t="s">
        <v>97</v>
      </c>
      <c r="B577" t="s">
        <v>97</v>
      </c>
      <c r="C577">
        <v>202412</v>
      </c>
      <c r="D577" s="47" t="str">
        <f>MID(C577,1,4)</f>
        <v>2024</v>
      </c>
      <c r="E577" t="str">
        <f>IF(Portfolio!$M$1=1,CONCATENATE(A577,C577),CONCATENATE(B577,C577))</f>
        <v>HOP HOP202412</v>
      </c>
      <c r="F577">
        <v>0</v>
      </c>
      <c r="G577">
        <v>0</v>
      </c>
      <c r="H577">
        <v>0</v>
      </c>
      <c r="I577">
        <v>291</v>
      </c>
      <c r="J577">
        <v>334</v>
      </c>
      <c r="K577">
        <v>0</v>
      </c>
      <c r="L577">
        <v>0</v>
      </c>
      <c r="M577">
        <v>0</v>
      </c>
      <c r="N577">
        <v>11416000</v>
      </c>
      <c r="O577">
        <v>14579000</v>
      </c>
      <c r="P577">
        <v>0</v>
      </c>
      <c r="Q577">
        <v>0</v>
      </c>
      <c r="R577">
        <v>0</v>
      </c>
      <c r="S577">
        <v>0</v>
      </c>
      <c r="T577">
        <v>4065</v>
      </c>
    </row>
    <row r="578" spans="1:20" x14ac:dyDescent="0.25">
      <c r="A578" t="s">
        <v>97</v>
      </c>
      <c r="B578" t="s">
        <v>113</v>
      </c>
      <c r="C578">
        <v>202412</v>
      </c>
      <c r="D578" s="47" t="str">
        <f>MID(C578,1,4)</f>
        <v>2024</v>
      </c>
      <c r="E578" t="str">
        <f>IF(Portfolio!$M$1=1,CONCATENATE(A578,C578),CONCATENATE(B578,C578))</f>
        <v>HOP HOP202412</v>
      </c>
      <c r="F578">
        <v>0</v>
      </c>
      <c r="G578">
        <v>0</v>
      </c>
      <c r="H578">
        <v>0</v>
      </c>
      <c r="I578">
        <v>67</v>
      </c>
      <c r="J578">
        <v>13</v>
      </c>
      <c r="K578">
        <v>0</v>
      </c>
      <c r="L578">
        <v>0</v>
      </c>
      <c r="M578">
        <v>0</v>
      </c>
      <c r="N578">
        <v>3380000</v>
      </c>
      <c r="O578">
        <v>441000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25">
      <c r="A579" t="s">
        <v>99</v>
      </c>
      <c r="B579" t="s">
        <v>99</v>
      </c>
      <c r="C579">
        <v>202412</v>
      </c>
      <c r="D579" s="47" t="str">
        <f>MID(C579,1,4)</f>
        <v>2024</v>
      </c>
      <c r="E579" t="str">
        <f>IF(Portfolio!$M$1=1,CONCATENATE(A579,C579),CONCATENATE(B579,C579))</f>
        <v>IKEA202412</v>
      </c>
      <c r="F579">
        <v>26</v>
      </c>
      <c r="G579">
        <v>0</v>
      </c>
      <c r="H579">
        <v>0</v>
      </c>
      <c r="I579">
        <v>0</v>
      </c>
      <c r="J579">
        <v>0</v>
      </c>
      <c r="K579">
        <v>25358900</v>
      </c>
      <c r="L579">
        <v>0</v>
      </c>
      <c r="M579">
        <v>0</v>
      </c>
      <c r="N579">
        <v>0</v>
      </c>
      <c r="O579">
        <v>0</v>
      </c>
      <c r="P579">
        <v>38038</v>
      </c>
      <c r="Q579">
        <v>0</v>
      </c>
      <c r="R579">
        <v>0</v>
      </c>
      <c r="S579">
        <v>0</v>
      </c>
      <c r="T579">
        <v>0</v>
      </c>
    </row>
    <row r="580" spans="1:20" x14ac:dyDescent="0.25">
      <c r="A580" t="s">
        <v>101</v>
      </c>
      <c r="B580" t="s">
        <v>101</v>
      </c>
      <c r="C580">
        <v>202412</v>
      </c>
      <c r="D580" s="47" t="str">
        <f>MID(C580,1,4)</f>
        <v>2024</v>
      </c>
      <c r="E580" t="str">
        <f>IF(Portfolio!$M$1=1,CONCATENATE(A580,C580),CONCATENATE(B580,C580))</f>
        <v>INDOMARET202412</v>
      </c>
      <c r="F580">
        <v>33155</v>
      </c>
      <c r="G580">
        <v>74700</v>
      </c>
      <c r="H580">
        <v>20638</v>
      </c>
      <c r="I580">
        <v>10</v>
      </c>
      <c r="J580">
        <v>331</v>
      </c>
      <c r="K580">
        <v>3361901623</v>
      </c>
      <c r="L580">
        <v>7004882498</v>
      </c>
      <c r="M580">
        <v>2836230132</v>
      </c>
      <c r="N580">
        <v>303400</v>
      </c>
      <c r="O580">
        <v>12404100</v>
      </c>
      <c r="P580">
        <v>5042850</v>
      </c>
      <c r="Q580">
        <v>70046995</v>
      </c>
      <c r="R580">
        <v>47421362</v>
      </c>
      <c r="S580">
        <v>2123</v>
      </c>
      <c r="T580">
        <v>82248</v>
      </c>
    </row>
    <row r="581" spans="1:20" x14ac:dyDescent="0.25">
      <c r="A581" t="s">
        <v>101</v>
      </c>
      <c r="B581" t="s">
        <v>117</v>
      </c>
      <c r="C581">
        <v>202412</v>
      </c>
      <c r="D581" s="47" t="str">
        <f>MID(C581,1,4)</f>
        <v>2024</v>
      </c>
      <c r="E581" t="str">
        <f>IF(Portfolio!$M$1=1,CONCATENATE(A581,C581),CONCATENATE(B581,C581))</f>
        <v>INDOMARET202412</v>
      </c>
      <c r="F581">
        <v>146</v>
      </c>
      <c r="G581">
        <v>308</v>
      </c>
      <c r="H581">
        <v>92</v>
      </c>
      <c r="I581">
        <v>4</v>
      </c>
      <c r="J581">
        <v>17</v>
      </c>
      <c r="K581">
        <v>11261390</v>
      </c>
      <c r="L581">
        <v>24757800</v>
      </c>
      <c r="M581">
        <v>10872300</v>
      </c>
      <c r="N581">
        <v>311000</v>
      </c>
      <c r="O581">
        <v>1725000</v>
      </c>
      <c r="P581">
        <v>16892</v>
      </c>
      <c r="Q581">
        <v>247578</v>
      </c>
      <c r="R581">
        <v>179393</v>
      </c>
      <c r="S581">
        <v>0</v>
      </c>
      <c r="T581">
        <v>0</v>
      </c>
    </row>
    <row r="582" spans="1:20" x14ac:dyDescent="0.25">
      <c r="A582" t="s">
        <v>102</v>
      </c>
      <c r="B582" t="s">
        <v>123</v>
      </c>
      <c r="C582">
        <v>202412</v>
      </c>
      <c r="D582" s="47" t="str">
        <f>MID(C582,1,4)</f>
        <v>2024</v>
      </c>
      <c r="E582" t="str">
        <f>IF(Portfolio!$M$1=1,CONCATENATE(A582,C582),CONCATENATE(B582,C582))</f>
        <v>KAWAN LAMA202412</v>
      </c>
      <c r="F582">
        <v>2412</v>
      </c>
      <c r="G582">
        <v>0</v>
      </c>
      <c r="H582">
        <v>11</v>
      </c>
      <c r="I582">
        <v>0</v>
      </c>
      <c r="J582">
        <v>0</v>
      </c>
      <c r="K582">
        <v>2474773432</v>
      </c>
      <c r="L582">
        <v>0</v>
      </c>
      <c r="M582">
        <v>11349050</v>
      </c>
      <c r="N582">
        <v>0</v>
      </c>
      <c r="O582">
        <v>0</v>
      </c>
      <c r="P582">
        <v>3712156</v>
      </c>
      <c r="Q582">
        <v>0</v>
      </c>
      <c r="R582">
        <v>226981</v>
      </c>
      <c r="S582">
        <v>0</v>
      </c>
      <c r="T582">
        <v>0</v>
      </c>
    </row>
    <row r="583" spans="1:20" x14ac:dyDescent="0.25">
      <c r="A583" t="s">
        <v>102</v>
      </c>
      <c r="B583" t="s">
        <v>125</v>
      </c>
      <c r="C583">
        <v>202412</v>
      </c>
      <c r="D583" s="47" t="str">
        <f>MID(C583,1,4)</f>
        <v>2024</v>
      </c>
      <c r="E583" t="str">
        <f>IF(Portfolio!$M$1=1,CONCATENATE(A583,C583),CONCATENATE(B583,C583))</f>
        <v>KAWAN LAMA202412</v>
      </c>
      <c r="F583">
        <v>681</v>
      </c>
      <c r="G583">
        <v>0</v>
      </c>
      <c r="H583">
        <v>0</v>
      </c>
      <c r="I583">
        <v>0</v>
      </c>
      <c r="J583">
        <v>0</v>
      </c>
      <c r="K583">
        <v>52774530</v>
      </c>
      <c r="L583">
        <v>0</v>
      </c>
      <c r="M583">
        <v>0</v>
      </c>
      <c r="N583">
        <v>0</v>
      </c>
      <c r="O583">
        <v>0</v>
      </c>
      <c r="P583">
        <v>79162</v>
      </c>
      <c r="Q583">
        <v>0</v>
      </c>
      <c r="R583">
        <v>0</v>
      </c>
      <c r="S583">
        <v>0</v>
      </c>
      <c r="T583">
        <v>0</v>
      </c>
    </row>
    <row r="584" spans="1:20" x14ac:dyDescent="0.25">
      <c r="A584" t="s">
        <v>102</v>
      </c>
      <c r="B584" t="s">
        <v>131</v>
      </c>
      <c r="C584">
        <v>202412</v>
      </c>
      <c r="D584" s="47" t="str">
        <f>MID(C584,1,4)</f>
        <v>2024</v>
      </c>
      <c r="E584" t="str">
        <f>IF(Portfolio!$M$1=1,CONCATENATE(A584,C584),CONCATENATE(B584,C584))</f>
        <v>KAWAN LAMA202412</v>
      </c>
      <c r="F584">
        <v>12</v>
      </c>
      <c r="G584">
        <v>0</v>
      </c>
      <c r="H584">
        <v>0</v>
      </c>
      <c r="I584">
        <v>0</v>
      </c>
      <c r="J584">
        <v>0</v>
      </c>
      <c r="K584">
        <v>1032000</v>
      </c>
      <c r="L584">
        <v>0</v>
      </c>
      <c r="M584">
        <v>0</v>
      </c>
      <c r="N584">
        <v>0</v>
      </c>
      <c r="O584">
        <v>0</v>
      </c>
      <c r="P584">
        <v>1548</v>
      </c>
      <c r="Q584">
        <v>0</v>
      </c>
      <c r="R584">
        <v>0</v>
      </c>
      <c r="S584">
        <v>0</v>
      </c>
      <c r="T584">
        <v>0</v>
      </c>
    </row>
    <row r="585" spans="1:20" x14ac:dyDescent="0.25">
      <c r="A585" t="s">
        <v>102</v>
      </c>
      <c r="B585" t="s">
        <v>133</v>
      </c>
      <c r="C585">
        <v>202412</v>
      </c>
      <c r="D585" s="47" t="str">
        <f>MID(C585,1,4)</f>
        <v>2024</v>
      </c>
      <c r="E585" t="str">
        <f>IF(Portfolio!$M$1=1,CONCATENATE(A585,C585),CONCATENATE(B585,C585))</f>
        <v>KAWAN LAMA202412</v>
      </c>
      <c r="F585">
        <v>33</v>
      </c>
      <c r="G585">
        <v>0</v>
      </c>
      <c r="H585">
        <v>0</v>
      </c>
      <c r="I585">
        <v>0</v>
      </c>
      <c r="J585">
        <v>0</v>
      </c>
      <c r="K585">
        <v>5845000</v>
      </c>
      <c r="L585">
        <v>0</v>
      </c>
      <c r="M585">
        <v>0</v>
      </c>
      <c r="N585">
        <v>0</v>
      </c>
      <c r="O585">
        <v>0</v>
      </c>
      <c r="P585">
        <v>8768</v>
      </c>
      <c r="Q585">
        <v>0</v>
      </c>
      <c r="R585">
        <v>0</v>
      </c>
      <c r="S585">
        <v>0</v>
      </c>
      <c r="T585">
        <v>0</v>
      </c>
    </row>
    <row r="586" spans="1:20" x14ac:dyDescent="0.25">
      <c r="A586" t="s">
        <v>102</v>
      </c>
      <c r="B586" t="s">
        <v>135</v>
      </c>
      <c r="C586">
        <v>202412</v>
      </c>
      <c r="D586" s="47" t="str">
        <f>MID(C586,1,4)</f>
        <v>2024</v>
      </c>
      <c r="E586" t="str">
        <f>IF(Portfolio!$M$1=1,CONCATENATE(A586,C586),CONCATENATE(B586,C586))</f>
        <v>KAWAN LAMA202412</v>
      </c>
      <c r="F586">
        <v>664</v>
      </c>
      <c r="G586">
        <v>1</v>
      </c>
      <c r="H586">
        <v>0</v>
      </c>
      <c r="I586">
        <v>0</v>
      </c>
      <c r="J586">
        <v>0</v>
      </c>
      <c r="K586">
        <v>2018141722</v>
      </c>
      <c r="L586">
        <v>11875897</v>
      </c>
      <c r="M586">
        <v>0</v>
      </c>
      <c r="N586">
        <v>0</v>
      </c>
      <c r="O586">
        <v>0</v>
      </c>
      <c r="P586">
        <v>3027212</v>
      </c>
      <c r="Q586">
        <v>118759</v>
      </c>
      <c r="R586">
        <v>0</v>
      </c>
      <c r="S586">
        <v>0</v>
      </c>
      <c r="T586">
        <v>0</v>
      </c>
    </row>
    <row r="587" spans="1:20" x14ac:dyDescent="0.25">
      <c r="A587" t="s">
        <v>102</v>
      </c>
      <c r="B587" t="s">
        <v>137</v>
      </c>
      <c r="C587">
        <v>202412</v>
      </c>
      <c r="D587" s="47" t="str">
        <f>MID(C587,1,4)</f>
        <v>2024</v>
      </c>
      <c r="E587" t="str">
        <f>IF(Portfolio!$M$1=1,CONCATENATE(A587,C587),CONCATENATE(B587,C587))</f>
        <v>KAWAN LAMA202412</v>
      </c>
      <c r="F587">
        <v>26</v>
      </c>
      <c r="G587">
        <v>0</v>
      </c>
      <c r="H587">
        <v>0</v>
      </c>
      <c r="I587">
        <v>0</v>
      </c>
      <c r="J587">
        <v>0</v>
      </c>
      <c r="K587">
        <v>111515376</v>
      </c>
      <c r="L587">
        <v>0</v>
      </c>
      <c r="M587">
        <v>0</v>
      </c>
      <c r="N587">
        <v>0</v>
      </c>
      <c r="O587">
        <v>0</v>
      </c>
      <c r="P587">
        <v>167273</v>
      </c>
      <c r="Q587">
        <v>0</v>
      </c>
      <c r="R587">
        <v>0</v>
      </c>
      <c r="S587">
        <v>0</v>
      </c>
      <c r="T587">
        <v>0</v>
      </c>
    </row>
    <row r="588" spans="1:20" x14ac:dyDescent="0.25">
      <c r="A588" t="s">
        <v>102</v>
      </c>
      <c r="B588" t="s">
        <v>142</v>
      </c>
      <c r="C588">
        <v>202412</v>
      </c>
      <c r="D588" s="47" t="str">
        <f>MID(C588,1,4)</f>
        <v>2024</v>
      </c>
      <c r="E588" t="str">
        <f>IF(Portfolio!$M$1=1,CONCATENATE(A588,C588),CONCATENATE(B588,C588))</f>
        <v>KAWAN LAMA202412</v>
      </c>
      <c r="F588">
        <v>2</v>
      </c>
      <c r="G588">
        <v>0</v>
      </c>
      <c r="H588">
        <v>0</v>
      </c>
      <c r="I588">
        <v>0</v>
      </c>
      <c r="J588">
        <v>14</v>
      </c>
      <c r="K588">
        <v>1619000</v>
      </c>
      <c r="L588">
        <v>0</v>
      </c>
      <c r="M588">
        <v>0</v>
      </c>
      <c r="N588">
        <v>0</v>
      </c>
      <c r="O588">
        <v>1645500</v>
      </c>
      <c r="P588">
        <v>2428</v>
      </c>
      <c r="Q588">
        <v>0</v>
      </c>
      <c r="R588">
        <v>0</v>
      </c>
      <c r="S588">
        <v>0</v>
      </c>
      <c r="T588">
        <v>11519</v>
      </c>
    </row>
    <row r="589" spans="1:20" x14ac:dyDescent="0.25">
      <c r="A589" t="s">
        <v>102</v>
      </c>
      <c r="B589" t="s">
        <v>145</v>
      </c>
      <c r="C589">
        <v>202412</v>
      </c>
      <c r="D589" s="47" t="str">
        <f>MID(C589,1,4)</f>
        <v>2024</v>
      </c>
      <c r="E589" t="str">
        <f>IF(Portfolio!$M$1=1,CONCATENATE(A589,C589),CONCATENATE(B589,C589))</f>
        <v>KAWAN LAMA202412</v>
      </c>
      <c r="F589">
        <v>0</v>
      </c>
      <c r="G589">
        <v>0</v>
      </c>
      <c r="H589">
        <v>0</v>
      </c>
      <c r="I589">
        <v>0</v>
      </c>
      <c r="J589">
        <v>11</v>
      </c>
      <c r="K589">
        <v>0</v>
      </c>
      <c r="L589">
        <v>0</v>
      </c>
      <c r="M589">
        <v>0</v>
      </c>
      <c r="N589">
        <v>0</v>
      </c>
      <c r="O589">
        <v>11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25">
      <c r="A590" t="s">
        <v>103</v>
      </c>
      <c r="B590" t="s">
        <v>146</v>
      </c>
      <c r="C590">
        <v>202412</v>
      </c>
      <c r="D590" s="47" t="str">
        <f>MID(C590,1,4)</f>
        <v>2024</v>
      </c>
      <c r="E590" t="str">
        <f>IF(Portfolio!$M$1=1,CONCATENATE(A590,C590),CONCATENATE(B590,C590))</f>
        <v>KCIC202412</v>
      </c>
      <c r="F590">
        <v>86</v>
      </c>
      <c r="G590">
        <v>1612</v>
      </c>
      <c r="H590">
        <v>974</v>
      </c>
      <c r="I590">
        <v>0</v>
      </c>
      <c r="J590">
        <v>0</v>
      </c>
      <c r="K590">
        <v>62875000</v>
      </c>
      <c r="L590">
        <v>967850000</v>
      </c>
      <c r="M590">
        <v>777750000</v>
      </c>
      <c r="N590">
        <v>0</v>
      </c>
      <c r="O590">
        <v>0</v>
      </c>
      <c r="P590">
        <v>94312</v>
      </c>
      <c r="Q590">
        <v>9678500</v>
      </c>
      <c r="R590">
        <v>13999500</v>
      </c>
      <c r="S590">
        <v>0</v>
      </c>
      <c r="T590">
        <v>0</v>
      </c>
    </row>
    <row r="591" spans="1:20" x14ac:dyDescent="0.25">
      <c r="A591" t="s">
        <v>104</v>
      </c>
      <c r="B591" t="s">
        <v>147</v>
      </c>
      <c r="C591">
        <v>202412</v>
      </c>
      <c r="D591" s="47" t="str">
        <f>MID(C591,1,4)</f>
        <v>2024</v>
      </c>
      <c r="E591" t="str">
        <f>IF(Portfolio!$M$1=1,CONCATENATE(A591,C591),CONCATENATE(B591,C591))</f>
        <v>KIMIA FARMA202412</v>
      </c>
      <c r="F591">
        <v>0</v>
      </c>
      <c r="G591">
        <v>0</v>
      </c>
      <c r="H591">
        <v>0</v>
      </c>
      <c r="I591">
        <v>2</v>
      </c>
      <c r="J591">
        <v>2</v>
      </c>
      <c r="K591">
        <v>0</v>
      </c>
      <c r="L591">
        <v>0</v>
      </c>
      <c r="M591">
        <v>0</v>
      </c>
      <c r="N591">
        <v>63600</v>
      </c>
      <c r="O591">
        <v>563991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 x14ac:dyDescent="0.25">
      <c r="A592" t="s">
        <v>107</v>
      </c>
      <c r="B592" t="s">
        <v>162</v>
      </c>
      <c r="C592">
        <v>202412</v>
      </c>
      <c r="D592" s="47" t="str">
        <f>MID(C592,1,4)</f>
        <v>2024</v>
      </c>
      <c r="E592" t="str">
        <f>IF(Portfolio!$M$1=1,CONCATENATE(A592,C592),CONCATENATE(B592,C592))</f>
        <v>MAP GROUP202412</v>
      </c>
      <c r="F592">
        <v>0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101600</v>
      </c>
      <c r="M592">
        <v>0</v>
      </c>
      <c r="N592">
        <v>0</v>
      </c>
      <c r="O592">
        <v>0</v>
      </c>
      <c r="P592">
        <v>0</v>
      </c>
      <c r="Q592">
        <v>1016</v>
      </c>
      <c r="R592">
        <v>0</v>
      </c>
      <c r="S592">
        <v>0</v>
      </c>
      <c r="T592">
        <v>0</v>
      </c>
    </row>
    <row r="593" spans="1:20" x14ac:dyDescent="0.25">
      <c r="A593" t="s">
        <v>107</v>
      </c>
      <c r="B593" t="s">
        <v>178</v>
      </c>
      <c r="C593">
        <v>202412</v>
      </c>
      <c r="D593" s="47" t="str">
        <f>MID(C593,1,4)</f>
        <v>2024</v>
      </c>
      <c r="E593" t="str">
        <f>IF(Portfolio!$M$1=1,CONCATENATE(A593,C593),CONCATENATE(B593,C593))</f>
        <v>MAP GROUP202412</v>
      </c>
      <c r="F593">
        <v>14</v>
      </c>
      <c r="G593">
        <v>88</v>
      </c>
      <c r="H593">
        <v>4</v>
      </c>
      <c r="I593">
        <v>3</v>
      </c>
      <c r="J593">
        <v>550</v>
      </c>
      <c r="K593">
        <v>1217200</v>
      </c>
      <c r="L593">
        <v>22063400</v>
      </c>
      <c r="M593">
        <v>430300</v>
      </c>
      <c r="N593">
        <v>329700</v>
      </c>
      <c r="O593">
        <v>70005611</v>
      </c>
      <c r="P593">
        <v>1826</v>
      </c>
      <c r="Q593">
        <v>220634</v>
      </c>
      <c r="R593">
        <v>7745</v>
      </c>
      <c r="S593">
        <v>2308</v>
      </c>
      <c r="T593">
        <v>487282</v>
      </c>
    </row>
    <row r="594" spans="1:20" x14ac:dyDescent="0.25">
      <c r="A594" t="s">
        <v>107</v>
      </c>
      <c r="B594" t="s">
        <v>191</v>
      </c>
      <c r="C594">
        <v>202412</v>
      </c>
      <c r="D594" s="47" t="str">
        <f>MID(C594,1,4)</f>
        <v>2024</v>
      </c>
      <c r="E594" t="str">
        <f>IF(Portfolio!$M$1=1,CONCATENATE(A594,C594),CONCATENATE(B594,C594))</f>
        <v>MAP GROUP202412</v>
      </c>
      <c r="F594">
        <v>0</v>
      </c>
      <c r="G594">
        <v>0</v>
      </c>
      <c r="H594">
        <v>0</v>
      </c>
      <c r="I594">
        <v>0</v>
      </c>
      <c r="J594">
        <v>161</v>
      </c>
      <c r="K594">
        <v>0</v>
      </c>
      <c r="L594">
        <v>0</v>
      </c>
      <c r="M594">
        <v>0</v>
      </c>
      <c r="N594">
        <v>0</v>
      </c>
      <c r="O594">
        <v>5681500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 x14ac:dyDescent="0.25">
      <c r="A595" t="s">
        <v>107</v>
      </c>
      <c r="B595" t="s">
        <v>208</v>
      </c>
      <c r="C595">
        <v>202412</v>
      </c>
      <c r="D595" s="47" t="str">
        <f>MID(C595,1,4)</f>
        <v>2024</v>
      </c>
      <c r="E595" t="str">
        <f>IF(Portfolio!$M$1=1,CONCATENATE(A595,C595),CONCATENATE(B595,C595))</f>
        <v>MAP GROUP202412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83800</v>
      </c>
      <c r="M595">
        <v>0</v>
      </c>
      <c r="N595">
        <v>0</v>
      </c>
      <c r="O595">
        <v>0</v>
      </c>
      <c r="P595">
        <v>0</v>
      </c>
      <c r="Q595">
        <v>838</v>
      </c>
      <c r="R595">
        <v>0</v>
      </c>
      <c r="S595">
        <v>0</v>
      </c>
      <c r="T595">
        <v>0</v>
      </c>
    </row>
    <row r="596" spans="1:20" x14ac:dyDescent="0.25">
      <c r="A596" t="s">
        <v>109</v>
      </c>
      <c r="B596" t="s">
        <v>109</v>
      </c>
      <c r="C596">
        <v>202412</v>
      </c>
      <c r="D596" s="47" t="str">
        <f>MID(C596,1,4)</f>
        <v>2024</v>
      </c>
      <c r="E596" t="str">
        <f>IF(Portfolio!$M$1=1,CONCATENATE(A596,C596),CONCATENATE(B596,C596))</f>
        <v>MITRA10202412</v>
      </c>
      <c r="F596">
        <v>645</v>
      </c>
      <c r="G596">
        <v>4</v>
      </c>
      <c r="H596">
        <v>0</v>
      </c>
      <c r="I596">
        <v>0</v>
      </c>
      <c r="J596">
        <v>0</v>
      </c>
      <c r="K596">
        <v>1338293343</v>
      </c>
      <c r="L596">
        <v>5473465</v>
      </c>
      <c r="M596">
        <v>0</v>
      </c>
      <c r="N596">
        <v>0</v>
      </c>
      <c r="O596">
        <v>0</v>
      </c>
      <c r="P596">
        <v>2007438</v>
      </c>
      <c r="Q596">
        <v>54735</v>
      </c>
      <c r="R596">
        <v>0</v>
      </c>
      <c r="S596">
        <v>0</v>
      </c>
      <c r="T596">
        <v>0</v>
      </c>
    </row>
    <row r="597" spans="1:20" x14ac:dyDescent="0.25">
      <c r="A597" t="s">
        <v>110</v>
      </c>
      <c r="B597" t="s">
        <v>110</v>
      </c>
      <c r="C597">
        <v>202412</v>
      </c>
      <c r="D597" s="47" t="str">
        <f>MID(C597,1,4)</f>
        <v>2024</v>
      </c>
      <c r="E597" t="str">
        <f>IF(Portfolio!$M$1=1,CONCATENATE(A597,C597),CONCATENATE(B597,C597))</f>
        <v>OPTIK MELAWAI202412</v>
      </c>
      <c r="F597">
        <v>99</v>
      </c>
      <c r="G597">
        <v>673</v>
      </c>
      <c r="H597">
        <v>35</v>
      </c>
      <c r="I597">
        <v>12</v>
      </c>
      <c r="J597">
        <v>2292</v>
      </c>
      <c r="K597">
        <v>185709850</v>
      </c>
      <c r="L597">
        <v>980605000</v>
      </c>
      <c r="M597">
        <v>29203000</v>
      </c>
      <c r="N597">
        <v>11280500</v>
      </c>
      <c r="O597">
        <v>1663192956</v>
      </c>
      <c r="P597">
        <v>278565</v>
      </c>
      <c r="Q597">
        <v>9806050</v>
      </c>
      <c r="R597">
        <v>544876</v>
      </c>
      <c r="S597">
        <v>78964</v>
      </c>
      <c r="T597">
        <v>11642337</v>
      </c>
    </row>
    <row r="598" spans="1:20" x14ac:dyDescent="0.25">
      <c r="A598" t="s">
        <v>112</v>
      </c>
      <c r="B598" t="s">
        <v>215</v>
      </c>
      <c r="C598">
        <v>202412</v>
      </c>
      <c r="D598" s="47" t="str">
        <f>MID(C598,1,4)</f>
        <v>2024</v>
      </c>
      <c r="E598" t="str">
        <f>IF(Portfolio!$M$1=1,CONCATENATE(A598,C598),CONCATENATE(B598,C598))</f>
        <v>PERTAMINA RETAIL202412</v>
      </c>
      <c r="F598">
        <v>16</v>
      </c>
      <c r="G598">
        <v>4222</v>
      </c>
      <c r="H598">
        <v>310</v>
      </c>
      <c r="I598">
        <v>0</v>
      </c>
      <c r="J598">
        <v>6</v>
      </c>
      <c r="K598">
        <v>1476300</v>
      </c>
      <c r="L598">
        <v>554762796</v>
      </c>
      <c r="M598">
        <v>64272291</v>
      </c>
      <c r="N598">
        <v>0</v>
      </c>
      <c r="O598">
        <v>960000</v>
      </c>
      <c r="P598">
        <v>2214</v>
      </c>
      <c r="Q598">
        <v>5547628</v>
      </c>
      <c r="R598">
        <v>1157770</v>
      </c>
      <c r="S598">
        <v>0</v>
      </c>
      <c r="T598">
        <v>5760</v>
      </c>
    </row>
    <row r="599" spans="1:20" x14ac:dyDescent="0.25">
      <c r="A599" t="s">
        <v>112</v>
      </c>
      <c r="B599" t="s">
        <v>216</v>
      </c>
      <c r="C599">
        <v>202412</v>
      </c>
      <c r="D599" s="47" t="str">
        <f>MID(C599,1,4)</f>
        <v>2024</v>
      </c>
      <c r="E599" t="str">
        <f>IF(Portfolio!$M$1=1,CONCATENATE(A599,C599),CONCATENATE(B599,C599))</f>
        <v>PERTAMINA RETAIL202412</v>
      </c>
      <c r="F599">
        <v>418</v>
      </c>
      <c r="G599">
        <v>52323</v>
      </c>
      <c r="H599">
        <v>365</v>
      </c>
      <c r="I599">
        <v>40</v>
      </c>
      <c r="J599">
        <v>4057</v>
      </c>
      <c r="K599">
        <v>93919338</v>
      </c>
      <c r="L599">
        <v>11732182886</v>
      </c>
      <c r="M599">
        <v>150999291</v>
      </c>
      <c r="N599">
        <v>6234559</v>
      </c>
      <c r="O599">
        <v>764989003</v>
      </c>
      <c r="P599">
        <v>140879</v>
      </c>
      <c r="Q599">
        <v>61334010</v>
      </c>
      <c r="R599">
        <v>2718287</v>
      </c>
      <c r="S599">
        <v>23768</v>
      </c>
      <c r="T599">
        <v>2927753</v>
      </c>
    </row>
    <row r="600" spans="1:20" x14ac:dyDescent="0.25">
      <c r="A600" t="s">
        <v>114</v>
      </c>
      <c r="B600" t="s">
        <v>217</v>
      </c>
      <c r="C600">
        <v>202412</v>
      </c>
      <c r="D600" s="47" t="str">
        <f>MID(C600,1,4)</f>
        <v>2024</v>
      </c>
      <c r="E600" t="str">
        <f>IF(Portfolio!$M$1=1,CONCATENATE(A600,C600),CONCATENATE(B600,C600))</f>
        <v>PIZZA HUT202412</v>
      </c>
      <c r="F600">
        <v>60</v>
      </c>
      <c r="G600">
        <v>0</v>
      </c>
      <c r="H600">
        <v>0</v>
      </c>
      <c r="I600">
        <v>0</v>
      </c>
      <c r="J600">
        <v>0</v>
      </c>
      <c r="K600">
        <v>10546241</v>
      </c>
      <c r="L600">
        <v>0</v>
      </c>
      <c r="M600">
        <v>0</v>
      </c>
      <c r="N600">
        <v>0</v>
      </c>
      <c r="O600">
        <v>0</v>
      </c>
      <c r="P600">
        <v>15819</v>
      </c>
      <c r="Q600">
        <v>0</v>
      </c>
      <c r="R600">
        <v>0</v>
      </c>
      <c r="S600">
        <v>0</v>
      </c>
      <c r="T600">
        <v>0</v>
      </c>
    </row>
    <row r="601" spans="1:20" x14ac:dyDescent="0.25">
      <c r="A601" t="s">
        <v>114</v>
      </c>
      <c r="B601" t="s">
        <v>218</v>
      </c>
      <c r="C601">
        <v>202412</v>
      </c>
      <c r="D601" s="47" t="str">
        <f>MID(C601,1,4)</f>
        <v>2024</v>
      </c>
      <c r="E601" t="str">
        <f>IF(Portfolio!$M$1=1,CONCATENATE(A601,C601),CONCATENATE(B601,C601))</f>
        <v>PIZZA HUT202412</v>
      </c>
      <c r="F601">
        <v>385</v>
      </c>
      <c r="G601">
        <v>0</v>
      </c>
      <c r="H601">
        <v>1</v>
      </c>
      <c r="I601">
        <v>0</v>
      </c>
      <c r="J601">
        <v>0</v>
      </c>
      <c r="K601">
        <v>109540461</v>
      </c>
      <c r="L601">
        <v>0</v>
      </c>
      <c r="M601">
        <v>136000</v>
      </c>
      <c r="N601">
        <v>0</v>
      </c>
      <c r="O601">
        <v>0</v>
      </c>
      <c r="P601">
        <v>164310</v>
      </c>
      <c r="Q601">
        <v>0</v>
      </c>
      <c r="R601">
        <v>2448</v>
      </c>
      <c r="S601">
        <v>0</v>
      </c>
      <c r="T601">
        <v>0</v>
      </c>
    </row>
    <row r="602" spans="1:20" x14ac:dyDescent="0.25">
      <c r="A602" t="s">
        <v>115</v>
      </c>
      <c r="B602" t="s">
        <v>115</v>
      </c>
      <c r="C602">
        <v>202412</v>
      </c>
      <c r="D602" s="47" t="str">
        <f>MID(C602,1,4)</f>
        <v>2024</v>
      </c>
      <c r="E602" t="str">
        <f>IF(Portfolio!$M$1=1,CONCATENATE(A602,C602),CONCATENATE(B602,C602))</f>
        <v>PLATINUM CINEPLEX202412</v>
      </c>
      <c r="F602">
        <v>24</v>
      </c>
      <c r="G602">
        <v>845</v>
      </c>
      <c r="H602">
        <v>78</v>
      </c>
      <c r="I602">
        <v>47</v>
      </c>
      <c r="J602">
        <v>3156</v>
      </c>
      <c r="K602">
        <v>2634000</v>
      </c>
      <c r="L602">
        <v>107664000</v>
      </c>
      <c r="M602">
        <v>11330000</v>
      </c>
      <c r="N602">
        <v>4547000</v>
      </c>
      <c r="O602">
        <v>343966000</v>
      </c>
      <c r="P602">
        <v>3951</v>
      </c>
      <c r="Q602">
        <v>1076640</v>
      </c>
      <c r="R602">
        <v>203940</v>
      </c>
      <c r="S602">
        <v>31829</v>
      </c>
      <c r="T602">
        <v>2407762</v>
      </c>
    </row>
    <row r="603" spans="1:20" x14ac:dyDescent="0.25">
      <c r="A603" t="s">
        <v>118</v>
      </c>
      <c r="B603" t="s">
        <v>118</v>
      </c>
      <c r="C603">
        <v>202412</v>
      </c>
      <c r="D603" s="47" t="str">
        <f>MID(C603,1,4)</f>
        <v>2024</v>
      </c>
      <c r="E603" t="str">
        <f>IF(Portfolio!$M$1=1,CONCATENATE(A603,C603),CONCATENATE(B603,C603))</f>
        <v>SARINAH202412</v>
      </c>
      <c r="F603">
        <v>29</v>
      </c>
      <c r="G603">
        <v>291</v>
      </c>
      <c r="H603">
        <v>453</v>
      </c>
      <c r="I603">
        <v>5</v>
      </c>
      <c r="J603">
        <v>1034</v>
      </c>
      <c r="K603">
        <v>19346560</v>
      </c>
      <c r="L603">
        <v>288349755</v>
      </c>
      <c r="M603">
        <v>521131941</v>
      </c>
      <c r="N603">
        <v>264000</v>
      </c>
      <c r="O603">
        <v>49236500</v>
      </c>
      <c r="P603">
        <v>29020</v>
      </c>
      <c r="Q603">
        <v>2883498</v>
      </c>
      <c r="R603">
        <v>9380375</v>
      </c>
      <c r="S603">
        <v>1848</v>
      </c>
      <c r="T603">
        <v>344655</v>
      </c>
    </row>
    <row r="604" spans="1:20" x14ac:dyDescent="0.25">
      <c r="A604" t="s">
        <v>120</v>
      </c>
      <c r="B604" t="s">
        <v>120</v>
      </c>
      <c r="C604">
        <v>202412</v>
      </c>
      <c r="D604" s="47" t="str">
        <f>MID(C604,1,4)</f>
        <v>2024</v>
      </c>
      <c r="E604" t="str">
        <f>IF(Portfolio!$M$1=1,CONCATENATE(A604,C604),CONCATENATE(B604,C604))</f>
        <v>SHIHLIN202412</v>
      </c>
      <c r="F604">
        <v>651</v>
      </c>
      <c r="G604">
        <v>26</v>
      </c>
      <c r="H604">
        <v>3</v>
      </c>
      <c r="I604">
        <v>1205</v>
      </c>
      <c r="J604">
        <v>65</v>
      </c>
      <c r="K604">
        <v>44751000</v>
      </c>
      <c r="L604">
        <v>1726000</v>
      </c>
      <c r="M604">
        <v>258000</v>
      </c>
      <c r="N604">
        <v>75507000</v>
      </c>
      <c r="O604">
        <v>1575000</v>
      </c>
      <c r="P604">
        <v>67126</v>
      </c>
      <c r="Q604">
        <v>17260</v>
      </c>
      <c r="R604">
        <v>4644</v>
      </c>
      <c r="S604">
        <v>528549</v>
      </c>
      <c r="T604">
        <v>3710</v>
      </c>
    </row>
    <row r="605" spans="1:20" x14ac:dyDescent="0.25">
      <c r="A605" t="s">
        <v>122</v>
      </c>
      <c r="B605" t="s">
        <v>122</v>
      </c>
      <c r="C605">
        <v>202412</v>
      </c>
      <c r="D605" s="47" t="str">
        <f>MID(C605,1,4)</f>
        <v>2024</v>
      </c>
      <c r="E605" t="str">
        <f>IF(Portfolio!$M$1=1,CONCATENATE(A605,C605),CONCATENATE(B605,C605))</f>
        <v>SOLARIA202412</v>
      </c>
      <c r="F605">
        <v>2282</v>
      </c>
      <c r="G605">
        <v>3</v>
      </c>
      <c r="H605">
        <v>0</v>
      </c>
      <c r="I605">
        <v>0</v>
      </c>
      <c r="J605">
        <v>0</v>
      </c>
      <c r="K605">
        <v>392465000</v>
      </c>
      <c r="L605">
        <v>682000</v>
      </c>
      <c r="M605">
        <v>0</v>
      </c>
      <c r="N605">
        <v>0</v>
      </c>
      <c r="O605">
        <v>0</v>
      </c>
      <c r="P605">
        <v>588697</v>
      </c>
      <c r="Q605">
        <v>6820</v>
      </c>
      <c r="R605">
        <v>0</v>
      </c>
      <c r="S605">
        <v>0</v>
      </c>
      <c r="T605">
        <v>0</v>
      </c>
    </row>
    <row r="606" spans="1:20" x14ac:dyDescent="0.25">
      <c r="A606" t="s">
        <v>124</v>
      </c>
      <c r="B606" t="s">
        <v>124</v>
      </c>
      <c r="C606">
        <v>202412</v>
      </c>
      <c r="D606" s="47" t="str">
        <f>MID(C606,1,4)</f>
        <v>2024</v>
      </c>
      <c r="E606" t="str">
        <f>IF(Portfolio!$M$1=1,CONCATENATE(A606,C606),CONCATENATE(B606,C606))</f>
        <v>SOUR SALLY202412</v>
      </c>
      <c r="F606">
        <v>11</v>
      </c>
      <c r="G606">
        <v>0</v>
      </c>
      <c r="H606">
        <v>0</v>
      </c>
      <c r="I606">
        <v>27</v>
      </c>
      <c r="J606">
        <v>1118</v>
      </c>
      <c r="K606">
        <v>1004000</v>
      </c>
      <c r="L606">
        <v>0</v>
      </c>
      <c r="M606">
        <v>0</v>
      </c>
      <c r="N606">
        <v>2212000</v>
      </c>
      <c r="O606">
        <v>88457055</v>
      </c>
      <c r="P606">
        <v>1506</v>
      </c>
      <c r="Q606">
        <v>0</v>
      </c>
      <c r="R606">
        <v>0</v>
      </c>
      <c r="S606">
        <v>15484</v>
      </c>
      <c r="T606">
        <v>619199</v>
      </c>
    </row>
    <row r="607" spans="1:20" x14ac:dyDescent="0.25">
      <c r="A607" t="s">
        <v>126</v>
      </c>
      <c r="B607" t="s">
        <v>221</v>
      </c>
      <c r="C607">
        <v>202412</v>
      </c>
      <c r="D607" s="47" t="str">
        <f>MID(C607,1,4)</f>
        <v>2024</v>
      </c>
      <c r="E607" t="str">
        <f>IF(Portfolio!$M$1=1,CONCATENATE(A607,C607),CONCATENATE(B607,C607))</f>
        <v>STEVEN GROUP202412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59000</v>
      </c>
      <c r="M607">
        <v>0</v>
      </c>
      <c r="N607">
        <v>0</v>
      </c>
      <c r="O607">
        <v>0</v>
      </c>
      <c r="P607">
        <v>0</v>
      </c>
      <c r="Q607">
        <v>590</v>
      </c>
      <c r="R607">
        <v>0</v>
      </c>
      <c r="S607">
        <v>0</v>
      </c>
      <c r="T607">
        <v>0</v>
      </c>
    </row>
    <row r="608" spans="1:20" x14ac:dyDescent="0.25">
      <c r="A608" t="s">
        <v>126</v>
      </c>
      <c r="B608" t="s">
        <v>224</v>
      </c>
      <c r="C608">
        <v>202412</v>
      </c>
      <c r="D608" s="47" t="str">
        <f>MID(C608,1,4)</f>
        <v>2024</v>
      </c>
      <c r="E608" t="str">
        <f>IF(Portfolio!$M$1=1,CONCATENATE(A608,C608),CONCATENATE(B608,C608))</f>
        <v>STEVEN GROUP202412</v>
      </c>
      <c r="F608">
        <v>3</v>
      </c>
      <c r="G608">
        <v>0</v>
      </c>
      <c r="H608">
        <v>0</v>
      </c>
      <c r="I608">
        <v>3</v>
      </c>
      <c r="J608">
        <v>1</v>
      </c>
      <c r="K608">
        <v>1760000</v>
      </c>
      <c r="L608">
        <v>0</v>
      </c>
      <c r="M608">
        <v>0</v>
      </c>
      <c r="N608">
        <v>2314000</v>
      </c>
      <c r="O608">
        <v>1</v>
      </c>
      <c r="P608">
        <v>2640</v>
      </c>
      <c r="Q608">
        <v>0</v>
      </c>
      <c r="R608">
        <v>0</v>
      </c>
      <c r="S608">
        <v>6942</v>
      </c>
      <c r="T608">
        <v>0</v>
      </c>
    </row>
    <row r="609" spans="1:20" x14ac:dyDescent="0.25">
      <c r="A609" t="s">
        <v>126</v>
      </c>
      <c r="B609" t="s">
        <v>228</v>
      </c>
      <c r="C609">
        <v>202412</v>
      </c>
      <c r="D609" s="47" t="str">
        <f>MID(C609,1,4)</f>
        <v>2024</v>
      </c>
      <c r="E609" t="str">
        <f>IF(Portfolio!$M$1=1,CONCATENATE(A609,C609),CONCATENATE(B609,C609))</f>
        <v>STEVEN GROUP202412</v>
      </c>
      <c r="F609">
        <v>0</v>
      </c>
      <c r="G609">
        <v>0</v>
      </c>
      <c r="H609">
        <v>1</v>
      </c>
      <c r="I609">
        <v>8</v>
      </c>
      <c r="J609">
        <v>2522</v>
      </c>
      <c r="K609">
        <v>0</v>
      </c>
      <c r="L609">
        <v>0</v>
      </c>
      <c r="M609">
        <v>10000</v>
      </c>
      <c r="N609">
        <v>480300</v>
      </c>
      <c r="O609">
        <v>190664793</v>
      </c>
      <c r="P609">
        <v>0</v>
      </c>
      <c r="Q609">
        <v>0</v>
      </c>
      <c r="R609">
        <v>200</v>
      </c>
      <c r="S609">
        <v>0</v>
      </c>
      <c r="T609">
        <v>0</v>
      </c>
    </row>
    <row r="610" spans="1:20" x14ac:dyDescent="0.25">
      <c r="A610" t="s">
        <v>126</v>
      </c>
      <c r="B610" t="s">
        <v>136</v>
      </c>
      <c r="C610">
        <v>202412</v>
      </c>
      <c r="D610" s="47" t="str">
        <f>MID(C610,1,4)</f>
        <v>2024</v>
      </c>
      <c r="E610" t="str">
        <f>IF(Portfolio!$M$1=1,CONCATENATE(A610,C610),CONCATENATE(B610,C610))</f>
        <v>STEVEN GROUP202412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74824</v>
      </c>
      <c r="N610">
        <v>0</v>
      </c>
      <c r="O610">
        <v>0</v>
      </c>
      <c r="P610">
        <v>0</v>
      </c>
      <c r="Q610">
        <v>0</v>
      </c>
      <c r="R610">
        <v>1496</v>
      </c>
      <c r="S610">
        <v>0</v>
      </c>
      <c r="T610">
        <v>0</v>
      </c>
    </row>
    <row r="611" spans="1:20" x14ac:dyDescent="0.25">
      <c r="A611" t="s">
        <v>130</v>
      </c>
      <c r="B611" t="s">
        <v>227</v>
      </c>
      <c r="C611">
        <v>202412</v>
      </c>
      <c r="D611" s="47" t="str">
        <f>MID(C611,1,4)</f>
        <v>2024</v>
      </c>
      <c r="E611" t="str">
        <f>IF(Portfolio!$M$1=1,CONCATENATE(A611,C611),CONCATENATE(B611,C611))</f>
        <v>SURYA BUMI RETAILINDO202412</v>
      </c>
      <c r="F611">
        <v>42</v>
      </c>
      <c r="G611">
        <v>0</v>
      </c>
      <c r="H611">
        <v>0</v>
      </c>
      <c r="I611">
        <v>4</v>
      </c>
      <c r="J611">
        <v>4</v>
      </c>
      <c r="K611">
        <v>31945000</v>
      </c>
      <c r="L611">
        <v>0</v>
      </c>
      <c r="M611">
        <v>0</v>
      </c>
      <c r="N611">
        <v>7289000</v>
      </c>
      <c r="O611">
        <v>7539100</v>
      </c>
      <c r="P611">
        <v>47918</v>
      </c>
      <c r="Q611">
        <v>0</v>
      </c>
      <c r="R611">
        <v>0</v>
      </c>
      <c r="S611">
        <v>51023</v>
      </c>
      <c r="T611">
        <v>52774</v>
      </c>
    </row>
    <row r="612" spans="1:20" x14ac:dyDescent="0.25">
      <c r="A612" t="s">
        <v>134</v>
      </c>
      <c r="B612" t="s">
        <v>134</v>
      </c>
      <c r="C612">
        <v>202412</v>
      </c>
      <c r="D612" s="47" t="str">
        <f>MID(C612,1,4)</f>
        <v>2024</v>
      </c>
      <c r="E612" t="str">
        <f>IF(Portfolio!$M$1=1,CONCATENATE(A612,C612),CONCATENATE(B612,C612))</f>
        <v>TAMANI202412</v>
      </c>
      <c r="F612">
        <v>33</v>
      </c>
      <c r="G612">
        <v>1</v>
      </c>
      <c r="H612">
        <v>0</v>
      </c>
      <c r="I612">
        <v>0</v>
      </c>
      <c r="J612">
        <v>0</v>
      </c>
      <c r="K612">
        <v>8384200</v>
      </c>
      <c r="L612">
        <v>300300</v>
      </c>
      <c r="M612">
        <v>0</v>
      </c>
      <c r="N612">
        <v>0</v>
      </c>
      <c r="O612">
        <v>0</v>
      </c>
      <c r="P612">
        <v>12576</v>
      </c>
      <c r="Q612">
        <v>3003</v>
      </c>
      <c r="R612">
        <v>0</v>
      </c>
      <c r="S612">
        <v>0</v>
      </c>
      <c r="T612">
        <v>0</v>
      </c>
    </row>
    <row r="613" spans="1:20" x14ac:dyDescent="0.25">
      <c r="A613" t="s">
        <v>138</v>
      </c>
      <c r="B613" t="s">
        <v>138</v>
      </c>
      <c r="C613">
        <v>202412</v>
      </c>
      <c r="D613" s="47" t="str">
        <f>MID(C613,1,4)</f>
        <v>2024</v>
      </c>
      <c r="E613" t="str">
        <f>IF(Portfolio!$M$1=1,CONCATENATE(A613,C613),CONCATENATE(B613,C613))</f>
        <v>YOSHINOYA202412</v>
      </c>
      <c r="F613">
        <v>613</v>
      </c>
      <c r="G613">
        <v>7791</v>
      </c>
      <c r="H613">
        <v>1650</v>
      </c>
      <c r="I613">
        <v>0</v>
      </c>
      <c r="J613">
        <v>0</v>
      </c>
      <c r="K613">
        <v>87258100</v>
      </c>
      <c r="L613">
        <v>1311153200</v>
      </c>
      <c r="M613">
        <v>151514500</v>
      </c>
      <c r="N613">
        <v>0</v>
      </c>
      <c r="O613">
        <v>0</v>
      </c>
      <c r="P613">
        <v>130887</v>
      </c>
      <c r="Q613">
        <v>13111532</v>
      </c>
      <c r="R613">
        <v>1666660</v>
      </c>
      <c r="S613">
        <v>0</v>
      </c>
      <c r="T613">
        <v>0</v>
      </c>
    </row>
    <row r="614" spans="1:20" x14ac:dyDescent="0.25">
      <c r="A614" t="s">
        <v>67</v>
      </c>
      <c r="B614" t="s">
        <v>68</v>
      </c>
      <c r="C614">
        <v>202501</v>
      </c>
      <c r="D614" s="47" t="str">
        <f>MID(C614,1,4)</f>
        <v>2025</v>
      </c>
      <c r="E614" t="str">
        <f>IF(Portfolio!$M$1=1,CONCATENATE(A614,C614),CONCATENATE(B614,C614))</f>
        <v>ALFA GROUP202501</v>
      </c>
      <c r="F614">
        <v>22615</v>
      </c>
      <c r="G614">
        <v>67188</v>
      </c>
      <c r="H614">
        <v>21913</v>
      </c>
      <c r="I614">
        <v>12</v>
      </c>
      <c r="J614">
        <v>327</v>
      </c>
      <c r="K614">
        <v>2293864555</v>
      </c>
      <c r="L614">
        <v>7175580551</v>
      </c>
      <c r="M614">
        <v>3252811158</v>
      </c>
      <c r="N614">
        <v>628400</v>
      </c>
      <c r="O614">
        <v>19627967</v>
      </c>
      <c r="P614">
        <v>3440794</v>
      </c>
      <c r="Q614">
        <v>71755806</v>
      </c>
      <c r="R614">
        <v>58434176</v>
      </c>
      <c r="S614">
        <v>0</v>
      </c>
      <c r="T614">
        <v>4800</v>
      </c>
    </row>
    <row r="615" spans="1:20" x14ac:dyDescent="0.25">
      <c r="A615" t="s">
        <v>67</v>
      </c>
      <c r="B615" t="s">
        <v>69</v>
      </c>
      <c r="C615">
        <v>202501</v>
      </c>
      <c r="D615" s="47" t="str">
        <f>MID(C615,1,4)</f>
        <v>2025</v>
      </c>
      <c r="E615" t="str">
        <f>IF(Portfolio!$M$1=1,CONCATENATE(A615,C615),CONCATENATE(B615,C615))</f>
        <v>ALFA GROUP202501</v>
      </c>
      <c r="F615">
        <v>14</v>
      </c>
      <c r="G615">
        <v>60</v>
      </c>
      <c r="H615">
        <v>30</v>
      </c>
      <c r="I615">
        <v>6</v>
      </c>
      <c r="J615">
        <v>164</v>
      </c>
      <c r="K615">
        <v>1469300</v>
      </c>
      <c r="L615">
        <v>8983085</v>
      </c>
      <c r="M615">
        <v>6519489</v>
      </c>
      <c r="N615">
        <v>104200</v>
      </c>
      <c r="O615">
        <v>4947700</v>
      </c>
      <c r="P615">
        <v>2204</v>
      </c>
      <c r="Q615">
        <v>89831</v>
      </c>
      <c r="R615">
        <v>117351</v>
      </c>
      <c r="S615">
        <v>730</v>
      </c>
      <c r="T615">
        <v>34632</v>
      </c>
    </row>
    <row r="616" spans="1:20" x14ac:dyDescent="0.25">
      <c r="A616" t="s">
        <v>67</v>
      </c>
      <c r="B616" t="s">
        <v>72</v>
      </c>
      <c r="C616">
        <v>202501</v>
      </c>
      <c r="D616" s="47" t="str">
        <f>MID(C616,1,4)</f>
        <v>2025</v>
      </c>
      <c r="E616" t="str">
        <f>IF(Portfolio!$M$1=1,CONCATENATE(A616,C616),CONCATENATE(B616,C616))</f>
        <v>ALFA GROUP202501</v>
      </c>
      <c r="F616">
        <v>368</v>
      </c>
      <c r="G616">
        <v>1302</v>
      </c>
      <c r="H616">
        <v>247</v>
      </c>
      <c r="I616">
        <v>0</v>
      </c>
      <c r="J616">
        <v>0</v>
      </c>
      <c r="K616">
        <v>62424176</v>
      </c>
      <c r="L616">
        <v>202428144</v>
      </c>
      <c r="M616">
        <v>46809681</v>
      </c>
      <c r="N616">
        <v>0</v>
      </c>
      <c r="O616">
        <v>0</v>
      </c>
      <c r="P616">
        <v>93636</v>
      </c>
      <c r="Q616">
        <v>2024281</v>
      </c>
      <c r="R616">
        <v>840476</v>
      </c>
      <c r="S616">
        <v>0</v>
      </c>
      <c r="T616">
        <v>0</v>
      </c>
    </row>
    <row r="617" spans="1:20" x14ac:dyDescent="0.25">
      <c r="A617" t="s">
        <v>70</v>
      </c>
      <c r="B617" t="s">
        <v>70</v>
      </c>
      <c r="C617">
        <v>202501</v>
      </c>
      <c r="D617" s="47" t="str">
        <f>MID(C617,1,4)</f>
        <v>2025</v>
      </c>
      <c r="E617" t="str">
        <f>IF(Portfolio!$M$1=1,CONCATENATE(A617,C617),CONCATENATE(B617,C617))</f>
        <v>ANCOL202501</v>
      </c>
      <c r="F617">
        <v>1</v>
      </c>
      <c r="G617">
        <v>6</v>
      </c>
      <c r="H617">
        <v>3</v>
      </c>
      <c r="I617">
        <v>0</v>
      </c>
      <c r="J617">
        <v>39</v>
      </c>
      <c r="K617">
        <v>19700</v>
      </c>
      <c r="L617">
        <v>3679500</v>
      </c>
      <c r="M617">
        <v>297000</v>
      </c>
      <c r="N617">
        <v>0</v>
      </c>
      <c r="O617">
        <v>1985000</v>
      </c>
      <c r="P617">
        <v>30</v>
      </c>
      <c r="Q617">
        <v>36795</v>
      </c>
      <c r="R617">
        <v>4900</v>
      </c>
      <c r="S617">
        <v>0</v>
      </c>
      <c r="T617">
        <v>0</v>
      </c>
    </row>
    <row r="618" spans="1:20" x14ac:dyDescent="0.25">
      <c r="A618" t="s">
        <v>73</v>
      </c>
      <c r="B618" t="s">
        <v>73</v>
      </c>
      <c r="C618">
        <v>202501</v>
      </c>
      <c r="D618" s="47" t="str">
        <f>MID(C618,1,4)</f>
        <v>2025</v>
      </c>
      <c r="E618" t="str">
        <f>IF(Portfolio!$M$1=1,CONCATENATE(A618,C618),CONCATENATE(B618,C618))</f>
        <v>BANBAN TEA202501</v>
      </c>
      <c r="F618">
        <v>41</v>
      </c>
      <c r="G618">
        <v>1</v>
      </c>
      <c r="H618">
        <v>1</v>
      </c>
      <c r="I618">
        <v>84</v>
      </c>
      <c r="J618">
        <v>2</v>
      </c>
      <c r="K618">
        <v>3063492</v>
      </c>
      <c r="L618">
        <v>234698</v>
      </c>
      <c r="M618">
        <v>47300</v>
      </c>
      <c r="N618">
        <v>5191089</v>
      </c>
      <c r="O618">
        <v>145600</v>
      </c>
      <c r="P618">
        <v>4595</v>
      </c>
      <c r="Q618">
        <v>2347</v>
      </c>
      <c r="R618">
        <v>851</v>
      </c>
      <c r="S618">
        <v>36337</v>
      </c>
      <c r="T618">
        <v>1019</v>
      </c>
    </row>
    <row r="619" spans="1:20" x14ac:dyDescent="0.25">
      <c r="A619" t="s">
        <v>75</v>
      </c>
      <c r="B619" t="s">
        <v>81</v>
      </c>
      <c r="C619">
        <v>202501</v>
      </c>
      <c r="D619" s="47" t="str">
        <f>MID(C619,1,4)</f>
        <v>2025</v>
      </c>
      <c r="E619" t="str">
        <f>IF(Portfolio!$M$1=1,CONCATENATE(A619,C619),CONCATENATE(B619,C619))</f>
        <v>CHAMP RESTO202501</v>
      </c>
      <c r="F619">
        <v>0</v>
      </c>
      <c r="G619">
        <v>3</v>
      </c>
      <c r="H619">
        <v>0</v>
      </c>
      <c r="I619">
        <v>0</v>
      </c>
      <c r="J619">
        <v>0</v>
      </c>
      <c r="K619">
        <v>0</v>
      </c>
      <c r="L619">
        <v>481800</v>
      </c>
      <c r="M619">
        <v>0</v>
      </c>
      <c r="N619">
        <v>0</v>
      </c>
      <c r="O619">
        <v>0</v>
      </c>
      <c r="P619">
        <v>0</v>
      </c>
      <c r="Q619">
        <v>4818</v>
      </c>
      <c r="R619">
        <v>0</v>
      </c>
      <c r="S619">
        <v>0</v>
      </c>
      <c r="T619">
        <v>0</v>
      </c>
    </row>
    <row r="620" spans="1:20" x14ac:dyDescent="0.25">
      <c r="A620" t="s">
        <v>75</v>
      </c>
      <c r="B620" t="s">
        <v>83</v>
      </c>
      <c r="C620">
        <v>202501</v>
      </c>
      <c r="D620" s="47" t="str">
        <f>MID(C620,1,4)</f>
        <v>2025</v>
      </c>
      <c r="E620" t="str">
        <f>IF(Portfolio!$M$1=1,CONCATENATE(A620,C620),CONCATENATE(B620,C620))</f>
        <v>CHAMP RESTO202501</v>
      </c>
      <c r="F620">
        <v>1</v>
      </c>
      <c r="G620">
        <v>9</v>
      </c>
      <c r="H620">
        <v>3</v>
      </c>
      <c r="I620">
        <v>0</v>
      </c>
      <c r="J620">
        <v>65</v>
      </c>
      <c r="K620">
        <v>955000</v>
      </c>
      <c r="L620">
        <v>4445000</v>
      </c>
      <c r="M620">
        <v>812500</v>
      </c>
      <c r="N620">
        <v>0</v>
      </c>
      <c r="O620">
        <v>3724500</v>
      </c>
      <c r="P620">
        <v>1432</v>
      </c>
      <c r="Q620">
        <v>44450</v>
      </c>
      <c r="R620">
        <v>16250</v>
      </c>
      <c r="S620">
        <v>0</v>
      </c>
      <c r="T620">
        <v>10500</v>
      </c>
    </row>
    <row r="621" spans="1:20" x14ac:dyDescent="0.25">
      <c r="A621" t="s">
        <v>75</v>
      </c>
      <c r="B621" t="s">
        <v>85</v>
      </c>
      <c r="C621">
        <v>202501</v>
      </c>
      <c r="D621" s="47" t="str">
        <f>MID(C621,1,4)</f>
        <v>2025</v>
      </c>
      <c r="E621" t="str">
        <f>IF(Portfolio!$M$1=1,CONCATENATE(A621,C621),CONCATENATE(B621,C621))</f>
        <v>CHAMP RESTO202501</v>
      </c>
      <c r="F621">
        <v>13</v>
      </c>
      <c r="G621">
        <v>10</v>
      </c>
      <c r="H621">
        <v>0</v>
      </c>
      <c r="I621">
        <v>0</v>
      </c>
      <c r="J621">
        <v>0</v>
      </c>
      <c r="K621">
        <v>2444471</v>
      </c>
      <c r="L621">
        <v>2155204</v>
      </c>
      <c r="M621">
        <v>0</v>
      </c>
      <c r="N621">
        <v>0</v>
      </c>
      <c r="O621">
        <v>0</v>
      </c>
      <c r="P621">
        <v>3667</v>
      </c>
      <c r="Q621">
        <v>21552</v>
      </c>
      <c r="R621">
        <v>0</v>
      </c>
      <c r="S621">
        <v>0</v>
      </c>
      <c r="T621">
        <v>0</v>
      </c>
    </row>
    <row r="622" spans="1:20" x14ac:dyDescent="0.25">
      <c r="A622" t="s">
        <v>75</v>
      </c>
      <c r="B622" t="s">
        <v>91</v>
      </c>
      <c r="C622">
        <v>202501</v>
      </c>
      <c r="D622" s="47" t="str">
        <f>MID(C622,1,4)</f>
        <v>2025</v>
      </c>
      <c r="E622" t="str">
        <f>IF(Portfolio!$M$1=1,CONCATENATE(A622,C622),CONCATENATE(B622,C622))</f>
        <v>CHAMP RESTO202501</v>
      </c>
      <c r="F622">
        <v>1</v>
      </c>
      <c r="G622">
        <v>15</v>
      </c>
      <c r="H622">
        <v>0</v>
      </c>
      <c r="I622">
        <v>0</v>
      </c>
      <c r="J622">
        <v>0</v>
      </c>
      <c r="K622">
        <v>151800</v>
      </c>
      <c r="L622">
        <v>3598070</v>
      </c>
      <c r="M622">
        <v>0</v>
      </c>
      <c r="N622">
        <v>0</v>
      </c>
      <c r="O622">
        <v>0</v>
      </c>
      <c r="P622">
        <v>228</v>
      </c>
      <c r="Q622">
        <v>35981</v>
      </c>
      <c r="R622">
        <v>0</v>
      </c>
      <c r="S622">
        <v>0</v>
      </c>
      <c r="T622">
        <v>0</v>
      </c>
    </row>
    <row r="623" spans="1:20" x14ac:dyDescent="0.25">
      <c r="A623" t="s">
        <v>75</v>
      </c>
      <c r="B623" t="s">
        <v>93</v>
      </c>
      <c r="C623">
        <v>202501</v>
      </c>
      <c r="D623" s="47" t="str">
        <f>MID(C623,1,4)</f>
        <v>2025</v>
      </c>
      <c r="E623" t="str">
        <f>IF(Portfolio!$M$1=1,CONCATENATE(A623,C623),CONCATENATE(B623,C623))</f>
        <v>CHAMP RESTO202501</v>
      </c>
      <c r="F623">
        <v>2</v>
      </c>
      <c r="G623">
        <v>2</v>
      </c>
      <c r="H623">
        <v>1</v>
      </c>
      <c r="I623">
        <v>2</v>
      </c>
      <c r="J623">
        <v>161</v>
      </c>
      <c r="K623">
        <v>502000</v>
      </c>
      <c r="L623">
        <v>1561339</v>
      </c>
      <c r="M623">
        <v>131500</v>
      </c>
      <c r="N623">
        <v>54001</v>
      </c>
      <c r="O623">
        <v>7545000</v>
      </c>
      <c r="P623">
        <v>753</v>
      </c>
      <c r="Q623">
        <v>15613</v>
      </c>
      <c r="R623">
        <v>2367</v>
      </c>
      <c r="S623">
        <v>0</v>
      </c>
      <c r="T623">
        <v>3150</v>
      </c>
    </row>
    <row r="624" spans="1:20" x14ac:dyDescent="0.25">
      <c r="A624" t="s">
        <v>75</v>
      </c>
      <c r="B624" t="s">
        <v>95</v>
      </c>
      <c r="C624">
        <v>202501</v>
      </c>
      <c r="D624" s="47" t="str">
        <f>MID(C624,1,4)</f>
        <v>2025</v>
      </c>
      <c r="E624" t="str">
        <f>IF(Portfolio!$M$1=1,CONCATENATE(A624,C624),CONCATENATE(B624,C624))</f>
        <v>CHAMP RESTO202501</v>
      </c>
      <c r="F624">
        <v>0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590003</v>
      </c>
      <c r="M624">
        <v>0</v>
      </c>
      <c r="N624">
        <v>0</v>
      </c>
      <c r="O624">
        <v>0</v>
      </c>
      <c r="P624">
        <v>0</v>
      </c>
      <c r="Q624">
        <v>5900</v>
      </c>
      <c r="R624">
        <v>0</v>
      </c>
      <c r="S624">
        <v>0</v>
      </c>
      <c r="T624">
        <v>0</v>
      </c>
    </row>
    <row r="625" spans="1:20" x14ac:dyDescent="0.25">
      <c r="A625" t="s">
        <v>76</v>
      </c>
      <c r="B625" t="s">
        <v>76</v>
      </c>
      <c r="C625">
        <v>202501</v>
      </c>
      <c r="D625" s="47" t="str">
        <f>MID(C625,1,4)</f>
        <v>2025</v>
      </c>
      <c r="E625" t="str">
        <f>IF(Portfolio!$M$1=1,CONCATENATE(A625,C625),CONCATENATE(B625,C625))</f>
        <v>DAMRI202501</v>
      </c>
      <c r="F625">
        <v>0</v>
      </c>
      <c r="G625">
        <v>5</v>
      </c>
      <c r="H625">
        <v>0</v>
      </c>
      <c r="I625">
        <v>1</v>
      </c>
      <c r="J625">
        <v>21</v>
      </c>
      <c r="K625">
        <v>0</v>
      </c>
      <c r="L625">
        <v>2885000</v>
      </c>
      <c r="M625">
        <v>0</v>
      </c>
      <c r="N625">
        <v>10</v>
      </c>
      <c r="O625">
        <v>6140000</v>
      </c>
      <c r="P625">
        <v>0</v>
      </c>
      <c r="Q625">
        <v>28850</v>
      </c>
      <c r="R625">
        <v>0</v>
      </c>
      <c r="S625">
        <v>0</v>
      </c>
      <c r="T625">
        <v>42980</v>
      </c>
    </row>
    <row r="626" spans="1:20" x14ac:dyDescent="0.25">
      <c r="A626" t="s">
        <v>80</v>
      </c>
      <c r="B626" t="s">
        <v>80</v>
      </c>
      <c r="C626">
        <v>202501</v>
      </c>
      <c r="D626" s="47" t="str">
        <f>MID(C626,1,4)</f>
        <v>2025</v>
      </c>
      <c r="E626" t="str">
        <f>IF(Portfolio!$M$1=1,CONCATENATE(A626,C626),CONCATENATE(B626,C626))</f>
        <v>DWIDAYA202501</v>
      </c>
      <c r="F626">
        <v>3</v>
      </c>
      <c r="G626">
        <v>0</v>
      </c>
      <c r="H626">
        <v>0</v>
      </c>
      <c r="I626">
        <v>0</v>
      </c>
      <c r="J626">
        <v>22</v>
      </c>
      <c r="K626">
        <v>48806000</v>
      </c>
      <c r="L626">
        <v>0</v>
      </c>
      <c r="M626">
        <v>0</v>
      </c>
      <c r="N626">
        <v>0</v>
      </c>
      <c r="O626">
        <v>49187006</v>
      </c>
      <c r="P626">
        <v>73209</v>
      </c>
      <c r="Q626">
        <v>0</v>
      </c>
      <c r="R626">
        <v>0</v>
      </c>
      <c r="S626">
        <v>0</v>
      </c>
      <c r="T626">
        <v>344309</v>
      </c>
    </row>
    <row r="627" spans="1:20" x14ac:dyDescent="0.25">
      <c r="A627" t="s">
        <v>84</v>
      </c>
      <c r="B627" t="s">
        <v>84</v>
      </c>
      <c r="C627">
        <v>202501</v>
      </c>
      <c r="D627" s="47" t="str">
        <f>MID(C627,1,4)</f>
        <v>2025</v>
      </c>
      <c r="E627" t="str">
        <f>IF(Portfolio!$M$1=1,CONCATENATE(A627,C627),CONCATENATE(B627,C627))</f>
        <v>ES TELLER 77202501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45000</v>
      </c>
      <c r="M627">
        <v>0</v>
      </c>
      <c r="N627">
        <v>0</v>
      </c>
      <c r="O627">
        <v>0</v>
      </c>
      <c r="P627">
        <v>0</v>
      </c>
      <c r="Q627">
        <v>450</v>
      </c>
      <c r="R627">
        <v>0</v>
      </c>
      <c r="S627">
        <v>0</v>
      </c>
      <c r="T627">
        <v>0</v>
      </c>
    </row>
    <row r="628" spans="1:20" x14ac:dyDescent="0.25">
      <c r="A628" t="s">
        <v>86</v>
      </c>
      <c r="B628" t="s">
        <v>86</v>
      </c>
      <c r="C628">
        <v>202501</v>
      </c>
      <c r="D628" s="47" t="str">
        <f>MID(C628,1,4)</f>
        <v>2025</v>
      </c>
      <c r="E628" t="str">
        <f>IF(Portfolio!$M$1=1,CONCATENATE(A628,C628),CONCATENATE(B628,C628))</f>
        <v>GRAMEDIA202501</v>
      </c>
      <c r="F628">
        <v>10</v>
      </c>
      <c r="G628">
        <v>0</v>
      </c>
      <c r="H628">
        <v>0</v>
      </c>
      <c r="I628">
        <v>2</v>
      </c>
      <c r="J628">
        <v>0</v>
      </c>
      <c r="K628">
        <v>3282400</v>
      </c>
      <c r="L628">
        <v>0</v>
      </c>
      <c r="M628">
        <v>0</v>
      </c>
      <c r="N628">
        <v>114000</v>
      </c>
      <c r="O628">
        <v>0</v>
      </c>
      <c r="P628">
        <v>4924</v>
      </c>
      <c r="Q628">
        <v>0</v>
      </c>
      <c r="R628">
        <v>0</v>
      </c>
      <c r="S628">
        <v>0</v>
      </c>
      <c r="T628">
        <v>0</v>
      </c>
    </row>
    <row r="629" spans="1:20" x14ac:dyDescent="0.25">
      <c r="A629" t="s">
        <v>88</v>
      </c>
      <c r="B629" t="s">
        <v>88</v>
      </c>
      <c r="C629">
        <v>202501</v>
      </c>
      <c r="D629" s="47" t="str">
        <f>MID(C629,1,4)</f>
        <v>2025</v>
      </c>
      <c r="E629" t="str">
        <f>IF(Portfolio!$M$1=1,CONCATENATE(A629,C629),CONCATENATE(B629,C629))</f>
        <v>HAUS202501</v>
      </c>
      <c r="F629">
        <v>1</v>
      </c>
      <c r="G629">
        <v>34</v>
      </c>
      <c r="H629">
        <v>2</v>
      </c>
      <c r="I629">
        <v>218</v>
      </c>
      <c r="J629">
        <v>59149</v>
      </c>
      <c r="K629">
        <v>20000</v>
      </c>
      <c r="L629">
        <v>1609994</v>
      </c>
      <c r="M629">
        <v>215000</v>
      </c>
      <c r="N629">
        <v>10294028</v>
      </c>
      <c r="O629">
        <v>2398667956</v>
      </c>
      <c r="P629">
        <v>30</v>
      </c>
      <c r="Q629">
        <v>16100</v>
      </c>
      <c r="R629">
        <v>3870</v>
      </c>
      <c r="S629">
        <v>69510</v>
      </c>
      <c r="T629">
        <v>16673256</v>
      </c>
    </row>
    <row r="630" spans="1:20" x14ac:dyDescent="0.25">
      <c r="A630" t="s">
        <v>90</v>
      </c>
      <c r="B630" t="s">
        <v>90</v>
      </c>
      <c r="C630">
        <v>202501</v>
      </c>
      <c r="D630" s="47" t="str">
        <f>MID(C630,1,4)</f>
        <v>2025</v>
      </c>
      <c r="E630" t="str">
        <f>IF(Portfolio!$M$1=1,CONCATENATE(A630,C630),CONCATENATE(B630,C630))</f>
        <v>HEAVENLY WANG202501</v>
      </c>
      <c r="F630">
        <v>5</v>
      </c>
      <c r="G630">
        <v>1</v>
      </c>
      <c r="H630">
        <v>0</v>
      </c>
      <c r="I630">
        <v>0</v>
      </c>
      <c r="J630">
        <v>0</v>
      </c>
      <c r="K630">
        <v>904365</v>
      </c>
      <c r="L630">
        <v>86625</v>
      </c>
      <c r="M630">
        <v>0</v>
      </c>
      <c r="N630">
        <v>0</v>
      </c>
      <c r="O630">
        <v>0</v>
      </c>
      <c r="P630">
        <v>1357</v>
      </c>
      <c r="Q630">
        <v>866</v>
      </c>
      <c r="R630">
        <v>0</v>
      </c>
      <c r="S630">
        <v>0</v>
      </c>
      <c r="T630">
        <v>0</v>
      </c>
    </row>
    <row r="631" spans="1:20" x14ac:dyDescent="0.25">
      <c r="A631" t="s">
        <v>92</v>
      </c>
      <c r="B631" t="s">
        <v>108</v>
      </c>
      <c r="C631">
        <v>202501</v>
      </c>
      <c r="D631" s="47" t="str">
        <f>MID(C631,1,4)</f>
        <v>2025</v>
      </c>
      <c r="E631" t="str">
        <f>IF(Portfolio!$M$1=1,CONCATENATE(A631,C631),CONCATENATE(B631,C631))</f>
        <v>HERO GROUP202501</v>
      </c>
      <c r="F631">
        <v>50</v>
      </c>
      <c r="G631">
        <v>5</v>
      </c>
      <c r="H631">
        <v>2</v>
      </c>
      <c r="I631">
        <v>0</v>
      </c>
      <c r="J631">
        <v>72</v>
      </c>
      <c r="K631">
        <v>25685514</v>
      </c>
      <c r="L631">
        <v>1121039</v>
      </c>
      <c r="M631">
        <v>2159748</v>
      </c>
      <c r="N631">
        <v>0</v>
      </c>
      <c r="O631">
        <v>3415255</v>
      </c>
      <c r="P631">
        <v>38528</v>
      </c>
      <c r="Q631">
        <v>11210</v>
      </c>
      <c r="R631">
        <v>43195</v>
      </c>
      <c r="S631">
        <v>0</v>
      </c>
      <c r="T631">
        <v>0</v>
      </c>
    </row>
    <row r="632" spans="1:20" x14ac:dyDescent="0.25">
      <c r="A632" t="s">
        <v>96</v>
      </c>
      <c r="B632" t="s">
        <v>96</v>
      </c>
      <c r="C632">
        <v>202501</v>
      </c>
      <c r="D632" s="47" t="str">
        <f>MID(C632,1,4)</f>
        <v>2025</v>
      </c>
      <c r="E632" t="str">
        <f>IF(Portfolio!$M$1=1,CONCATENATE(A632,C632),CONCATENATE(B632,C632))</f>
        <v>HOKKAIDO BAKED CHEESE202501</v>
      </c>
      <c r="F632">
        <v>23</v>
      </c>
      <c r="G632">
        <v>189</v>
      </c>
      <c r="H632">
        <v>5</v>
      </c>
      <c r="I632">
        <v>120</v>
      </c>
      <c r="J632">
        <v>1037</v>
      </c>
      <c r="K632">
        <v>2533000</v>
      </c>
      <c r="L632">
        <v>18196810</v>
      </c>
      <c r="M632">
        <v>706000</v>
      </c>
      <c r="N632">
        <v>9646000</v>
      </c>
      <c r="O632">
        <v>84655937</v>
      </c>
      <c r="P632">
        <v>3800</v>
      </c>
      <c r="Q632">
        <v>181968</v>
      </c>
      <c r="R632">
        <v>12708</v>
      </c>
      <c r="S632">
        <v>66647</v>
      </c>
      <c r="T632">
        <v>436504</v>
      </c>
    </row>
    <row r="633" spans="1:20" x14ac:dyDescent="0.25">
      <c r="A633" t="s">
        <v>97</v>
      </c>
      <c r="B633" t="s">
        <v>97</v>
      </c>
      <c r="C633">
        <v>202501</v>
      </c>
      <c r="D633" s="47" t="str">
        <f>MID(C633,1,4)</f>
        <v>2025</v>
      </c>
      <c r="E633" t="str">
        <f>IF(Portfolio!$M$1=1,CONCATENATE(A633,C633),CONCATENATE(B633,C633))</f>
        <v>HOP HOP202501</v>
      </c>
      <c r="F633">
        <v>0</v>
      </c>
      <c r="G633">
        <v>0</v>
      </c>
      <c r="H633">
        <v>0</v>
      </c>
      <c r="I633">
        <v>247</v>
      </c>
      <c r="J633">
        <v>207</v>
      </c>
      <c r="K633">
        <v>0</v>
      </c>
      <c r="L633">
        <v>0</v>
      </c>
      <c r="M633">
        <v>0</v>
      </c>
      <c r="N633">
        <v>9611000</v>
      </c>
      <c r="O633">
        <v>7408000</v>
      </c>
      <c r="P633">
        <v>0</v>
      </c>
      <c r="Q633">
        <v>0</v>
      </c>
      <c r="R633">
        <v>0</v>
      </c>
      <c r="S633">
        <v>770</v>
      </c>
      <c r="T633">
        <v>13055</v>
      </c>
    </row>
    <row r="634" spans="1:20" x14ac:dyDescent="0.25">
      <c r="A634" t="s">
        <v>97</v>
      </c>
      <c r="B634" t="s">
        <v>113</v>
      </c>
      <c r="C634">
        <v>202501</v>
      </c>
      <c r="D634" s="47" t="str">
        <f>MID(C634,1,4)</f>
        <v>2025</v>
      </c>
      <c r="E634" t="str">
        <f>IF(Portfolio!$M$1=1,CONCATENATE(A634,C634),CONCATENATE(B634,C634))</f>
        <v>HOP HOP202501</v>
      </c>
      <c r="F634">
        <v>0</v>
      </c>
      <c r="G634">
        <v>0</v>
      </c>
      <c r="H634">
        <v>0</v>
      </c>
      <c r="I634">
        <v>35</v>
      </c>
      <c r="J634">
        <v>28</v>
      </c>
      <c r="K634">
        <v>0</v>
      </c>
      <c r="L634">
        <v>0</v>
      </c>
      <c r="M634">
        <v>0</v>
      </c>
      <c r="N634">
        <v>1779000</v>
      </c>
      <c r="O634">
        <v>915000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25">
      <c r="A635" t="s">
        <v>99</v>
      </c>
      <c r="B635" t="s">
        <v>99</v>
      </c>
      <c r="C635">
        <v>202501</v>
      </c>
      <c r="D635" s="47" t="str">
        <f>MID(C635,1,4)</f>
        <v>2025</v>
      </c>
      <c r="E635" t="str">
        <f>IF(Portfolio!$M$1=1,CONCATENATE(A635,C635),CONCATENATE(B635,C635))</f>
        <v>IKEA202501</v>
      </c>
      <c r="F635">
        <v>26</v>
      </c>
      <c r="G635">
        <v>0</v>
      </c>
      <c r="H635">
        <v>0</v>
      </c>
      <c r="I635">
        <v>0</v>
      </c>
      <c r="J635">
        <v>0</v>
      </c>
      <c r="K635">
        <v>23684330</v>
      </c>
      <c r="L635">
        <v>0</v>
      </c>
      <c r="M635">
        <v>0</v>
      </c>
      <c r="N635">
        <v>0</v>
      </c>
      <c r="O635">
        <v>0</v>
      </c>
      <c r="P635">
        <v>35526</v>
      </c>
      <c r="Q635">
        <v>0</v>
      </c>
      <c r="R635">
        <v>0</v>
      </c>
      <c r="S635">
        <v>0</v>
      </c>
      <c r="T635">
        <v>0</v>
      </c>
    </row>
    <row r="636" spans="1:20" x14ac:dyDescent="0.25">
      <c r="A636" t="s">
        <v>101</v>
      </c>
      <c r="B636" t="s">
        <v>101</v>
      </c>
      <c r="C636">
        <v>202501</v>
      </c>
      <c r="D636" s="47" t="str">
        <f>MID(C636,1,4)</f>
        <v>2025</v>
      </c>
      <c r="E636" t="str">
        <f>IF(Portfolio!$M$1=1,CONCATENATE(A636,C636),CONCATENATE(B636,C636))</f>
        <v>INDOMARET202501</v>
      </c>
      <c r="F636">
        <v>31018</v>
      </c>
      <c r="G636">
        <v>70095</v>
      </c>
      <c r="H636">
        <v>21612</v>
      </c>
      <c r="I636">
        <v>3</v>
      </c>
      <c r="J636">
        <v>171</v>
      </c>
      <c r="K636">
        <v>3234572718</v>
      </c>
      <c r="L636">
        <v>6538144715</v>
      </c>
      <c r="M636">
        <v>2920512621</v>
      </c>
      <c r="N636">
        <v>75000</v>
      </c>
      <c r="O636">
        <v>6026701</v>
      </c>
      <c r="P636">
        <v>4851857</v>
      </c>
      <c r="Q636">
        <v>65381447</v>
      </c>
      <c r="R636">
        <v>48825770</v>
      </c>
      <c r="S636">
        <v>525</v>
      </c>
      <c r="T636">
        <v>40650</v>
      </c>
    </row>
    <row r="637" spans="1:20" x14ac:dyDescent="0.25">
      <c r="A637" t="s">
        <v>101</v>
      </c>
      <c r="B637" t="s">
        <v>117</v>
      </c>
      <c r="C637">
        <v>202501</v>
      </c>
      <c r="D637" s="47" t="str">
        <f>MID(C637,1,4)</f>
        <v>2025</v>
      </c>
      <c r="E637" t="str">
        <f>IF(Portfolio!$M$1=1,CONCATENATE(A637,C637),CONCATENATE(B637,C637))</f>
        <v>INDOMARET202501</v>
      </c>
      <c r="F637">
        <v>135</v>
      </c>
      <c r="G637">
        <v>321</v>
      </c>
      <c r="H637">
        <v>119</v>
      </c>
      <c r="I637">
        <v>0</v>
      </c>
      <c r="J637">
        <v>0</v>
      </c>
      <c r="K637">
        <v>9784750</v>
      </c>
      <c r="L637">
        <v>28133792</v>
      </c>
      <c r="M637">
        <v>15523300</v>
      </c>
      <c r="N637">
        <v>0</v>
      </c>
      <c r="O637">
        <v>0</v>
      </c>
      <c r="P637">
        <v>14677</v>
      </c>
      <c r="Q637">
        <v>281338</v>
      </c>
      <c r="R637">
        <v>256134</v>
      </c>
      <c r="S637">
        <v>0</v>
      </c>
      <c r="T637">
        <v>0</v>
      </c>
    </row>
    <row r="638" spans="1:20" x14ac:dyDescent="0.25">
      <c r="A638" t="s">
        <v>102</v>
      </c>
      <c r="B638" t="s">
        <v>123</v>
      </c>
      <c r="C638">
        <v>202501</v>
      </c>
      <c r="D638" s="47" t="str">
        <f>MID(C638,1,4)</f>
        <v>2025</v>
      </c>
      <c r="E638" t="str">
        <f>IF(Portfolio!$M$1=1,CONCATENATE(A638,C638),CONCATENATE(B638,C638))</f>
        <v>KAWAN LAMA202501</v>
      </c>
      <c r="F638">
        <v>1673</v>
      </c>
      <c r="G638">
        <v>0</v>
      </c>
      <c r="H638">
        <v>0</v>
      </c>
      <c r="I638">
        <v>0</v>
      </c>
      <c r="J638">
        <v>0</v>
      </c>
      <c r="K638">
        <v>1631755444</v>
      </c>
      <c r="L638">
        <v>0</v>
      </c>
      <c r="M638">
        <v>0</v>
      </c>
      <c r="N638">
        <v>0</v>
      </c>
      <c r="O638">
        <v>0</v>
      </c>
      <c r="P638">
        <v>2447631</v>
      </c>
      <c r="Q638">
        <v>0</v>
      </c>
      <c r="R638">
        <v>0</v>
      </c>
      <c r="S638">
        <v>0</v>
      </c>
      <c r="T638">
        <v>0</v>
      </c>
    </row>
    <row r="639" spans="1:20" x14ac:dyDescent="0.25">
      <c r="A639" t="s">
        <v>102</v>
      </c>
      <c r="B639" t="s">
        <v>125</v>
      </c>
      <c r="C639">
        <v>202501</v>
      </c>
      <c r="D639" s="47" t="str">
        <f>MID(C639,1,4)</f>
        <v>2025</v>
      </c>
      <c r="E639" t="str">
        <f>IF(Portfolio!$M$1=1,CONCATENATE(A639,C639),CONCATENATE(B639,C639))</f>
        <v>KAWAN LAMA202501</v>
      </c>
      <c r="F639">
        <v>389</v>
      </c>
      <c r="G639">
        <v>0</v>
      </c>
      <c r="H639">
        <v>0</v>
      </c>
      <c r="I639">
        <v>0</v>
      </c>
      <c r="J639">
        <v>0</v>
      </c>
      <c r="K639">
        <v>28014000</v>
      </c>
      <c r="L639">
        <v>0</v>
      </c>
      <c r="M639">
        <v>0</v>
      </c>
      <c r="N639">
        <v>0</v>
      </c>
      <c r="O639">
        <v>0</v>
      </c>
      <c r="P639">
        <v>42021</v>
      </c>
      <c r="Q639">
        <v>0</v>
      </c>
      <c r="R639">
        <v>0</v>
      </c>
      <c r="S639">
        <v>0</v>
      </c>
      <c r="T639">
        <v>0</v>
      </c>
    </row>
    <row r="640" spans="1:20" x14ac:dyDescent="0.25">
      <c r="A640" t="s">
        <v>102</v>
      </c>
      <c r="B640" t="s">
        <v>131</v>
      </c>
      <c r="C640">
        <v>202501</v>
      </c>
      <c r="D640" s="47" t="str">
        <f>MID(C640,1,4)</f>
        <v>2025</v>
      </c>
      <c r="E640" t="str">
        <f>IF(Portfolio!$M$1=1,CONCATENATE(A640,C640),CONCATENATE(B640,C640))</f>
        <v>KAWAN LAMA202501</v>
      </c>
      <c r="F640">
        <v>12</v>
      </c>
      <c r="G640">
        <v>0</v>
      </c>
      <c r="H640">
        <v>0</v>
      </c>
      <c r="I640">
        <v>0</v>
      </c>
      <c r="J640">
        <v>0</v>
      </c>
      <c r="K640">
        <v>1129000</v>
      </c>
      <c r="L640">
        <v>0</v>
      </c>
      <c r="M640">
        <v>0</v>
      </c>
      <c r="N640">
        <v>0</v>
      </c>
      <c r="O640">
        <v>0</v>
      </c>
      <c r="P640">
        <v>1694</v>
      </c>
      <c r="Q640">
        <v>0</v>
      </c>
      <c r="R640">
        <v>0</v>
      </c>
      <c r="S640">
        <v>0</v>
      </c>
      <c r="T640">
        <v>0</v>
      </c>
    </row>
    <row r="641" spans="1:20" x14ac:dyDescent="0.25">
      <c r="A641" t="s">
        <v>102</v>
      </c>
      <c r="B641" t="s">
        <v>133</v>
      </c>
      <c r="C641">
        <v>202501</v>
      </c>
      <c r="D641" s="47" t="str">
        <f>MID(C641,1,4)</f>
        <v>2025</v>
      </c>
      <c r="E641" t="str">
        <f>IF(Portfolio!$M$1=1,CONCATENATE(A641,C641),CONCATENATE(B641,C641))</f>
        <v>KAWAN LAMA202501</v>
      </c>
      <c r="F641">
        <v>19</v>
      </c>
      <c r="G641">
        <v>1</v>
      </c>
      <c r="H641">
        <v>1</v>
      </c>
      <c r="I641">
        <v>0</v>
      </c>
      <c r="J641">
        <v>0</v>
      </c>
      <c r="K641">
        <v>3607000</v>
      </c>
      <c r="L641">
        <v>228000</v>
      </c>
      <c r="M641">
        <v>240000</v>
      </c>
      <c r="N641">
        <v>0</v>
      </c>
      <c r="O641">
        <v>0</v>
      </c>
      <c r="P641">
        <v>5410</v>
      </c>
      <c r="Q641">
        <v>2280</v>
      </c>
      <c r="R641">
        <v>4800</v>
      </c>
      <c r="S641">
        <v>0</v>
      </c>
      <c r="T641">
        <v>0</v>
      </c>
    </row>
    <row r="642" spans="1:20" x14ac:dyDescent="0.25">
      <c r="A642" t="s">
        <v>102</v>
      </c>
      <c r="B642" t="s">
        <v>135</v>
      </c>
      <c r="C642">
        <v>202501</v>
      </c>
      <c r="D642" s="47" t="str">
        <f>MID(C642,1,4)</f>
        <v>2025</v>
      </c>
      <c r="E642" t="str">
        <f>IF(Portfolio!$M$1=1,CONCATENATE(A642,C642),CONCATENATE(B642,C642))</f>
        <v>KAWAN LAMA202501</v>
      </c>
      <c r="F642">
        <v>423</v>
      </c>
      <c r="G642">
        <v>0</v>
      </c>
      <c r="H642">
        <v>0</v>
      </c>
      <c r="I642">
        <v>0</v>
      </c>
      <c r="J642">
        <v>0</v>
      </c>
      <c r="K642">
        <v>1513211798</v>
      </c>
      <c r="L642">
        <v>0</v>
      </c>
      <c r="M642">
        <v>0</v>
      </c>
      <c r="N642">
        <v>0</v>
      </c>
      <c r="O642">
        <v>0</v>
      </c>
      <c r="P642">
        <v>2269818</v>
      </c>
      <c r="Q642">
        <v>0</v>
      </c>
      <c r="R642">
        <v>0</v>
      </c>
      <c r="S642">
        <v>0</v>
      </c>
      <c r="T642">
        <v>0</v>
      </c>
    </row>
    <row r="643" spans="1:20" x14ac:dyDescent="0.25">
      <c r="A643" t="s">
        <v>102</v>
      </c>
      <c r="B643" t="s">
        <v>137</v>
      </c>
      <c r="C643">
        <v>202501</v>
      </c>
      <c r="D643" s="47" t="str">
        <f>MID(C643,1,4)</f>
        <v>2025</v>
      </c>
      <c r="E643" t="str">
        <f>IF(Portfolio!$M$1=1,CONCATENATE(A643,C643),CONCATENATE(B643,C643))</f>
        <v>KAWAN LAMA202501</v>
      </c>
      <c r="F643">
        <v>20</v>
      </c>
      <c r="G643">
        <v>0</v>
      </c>
      <c r="H643">
        <v>0</v>
      </c>
      <c r="I643">
        <v>0</v>
      </c>
      <c r="J643">
        <v>0</v>
      </c>
      <c r="K643">
        <v>62638125</v>
      </c>
      <c r="L643">
        <v>0</v>
      </c>
      <c r="M643">
        <v>0</v>
      </c>
      <c r="N643">
        <v>0</v>
      </c>
      <c r="O643">
        <v>0</v>
      </c>
      <c r="P643">
        <v>93957</v>
      </c>
      <c r="Q643">
        <v>0</v>
      </c>
      <c r="R643">
        <v>0</v>
      </c>
      <c r="S643">
        <v>0</v>
      </c>
      <c r="T643">
        <v>0</v>
      </c>
    </row>
    <row r="644" spans="1:20" x14ac:dyDescent="0.25">
      <c r="A644" t="s">
        <v>102</v>
      </c>
      <c r="B644" t="s">
        <v>142</v>
      </c>
      <c r="C644">
        <v>202501</v>
      </c>
      <c r="D644" s="47" t="str">
        <f>MID(C644,1,4)</f>
        <v>2025</v>
      </c>
      <c r="E644" t="str">
        <f>IF(Portfolio!$M$1=1,CONCATENATE(A644,C644),CONCATENATE(B644,C644))</f>
        <v>KAWAN LAMA202501</v>
      </c>
      <c r="F644">
        <v>2</v>
      </c>
      <c r="G644">
        <v>1</v>
      </c>
      <c r="H644">
        <v>0</v>
      </c>
      <c r="I644">
        <v>0</v>
      </c>
      <c r="J644">
        <v>12</v>
      </c>
      <c r="K644">
        <v>937000</v>
      </c>
      <c r="L644">
        <v>315000</v>
      </c>
      <c r="M644">
        <v>0</v>
      </c>
      <c r="N644">
        <v>0</v>
      </c>
      <c r="O644">
        <v>2424600</v>
      </c>
      <c r="P644">
        <v>1406</v>
      </c>
      <c r="Q644">
        <v>3150</v>
      </c>
      <c r="R644">
        <v>0</v>
      </c>
      <c r="S644">
        <v>0</v>
      </c>
      <c r="T644">
        <v>16972</v>
      </c>
    </row>
    <row r="645" spans="1:20" x14ac:dyDescent="0.25">
      <c r="A645" t="s">
        <v>103</v>
      </c>
      <c r="B645" t="s">
        <v>146</v>
      </c>
      <c r="C645">
        <v>202501</v>
      </c>
      <c r="D645" s="47" t="str">
        <f>MID(C645,1,4)</f>
        <v>2025</v>
      </c>
      <c r="E645" t="str">
        <f>IF(Portfolio!$M$1=1,CONCATENATE(A645,C645),CONCATENATE(B645,C645))</f>
        <v>KCIC202501</v>
      </c>
      <c r="F645">
        <v>56</v>
      </c>
      <c r="G645">
        <v>1613</v>
      </c>
      <c r="H645">
        <v>921</v>
      </c>
      <c r="I645">
        <v>0</v>
      </c>
      <c r="J645">
        <v>0</v>
      </c>
      <c r="K645">
        <v>41925000</v>
      </c>
      <c r="L645">
        <v>982650000</v>
      </c>
      <c r="M645">
        <v>732350000</v>
      </c>
      <c r="N645">
        <v>0</v>
      </c>
      <c r="O645">
        <v>0</v>
      </c>
      <c r="P645">
        <v>62888</v>
      </c>
      <c r="Q645">
        <v>9826500</v>
      </c>
      <c r="R645">
        <v>13185800</v>
      </c>
      <c r="S645">
        <v>0</v>
      </c>
      <c r="T645">
        <v>0</v>
      </c>
    </row>
    <row r="646" spans="1:20" x14ac:dyDescent="0.25">
      <c r="A646" t="s">
        <v>107</v>
      </c>
      <c r="B646" t="s">
        <v>162</v>
      </c>
      <c r="C646">
        <v>202501</v>
      </c>
      <c r="D646" s="47" t="str">
        <f>MID(C646,1,4)</f>
        <v>2025</v>
      </c>
      <c r="E646" t="str">
        <f>IF(Portfolio!$M$1=1,CONCATENATE(A646,C646),CONCATENATE(B646,C646))</f>
        <v>MAP GROUP202501</v>
      </c>
      <c r="F646">
        <v>0</v>
      </c>
      <c r="G646">
        <v>4</v>
      </c>
      <c r="H646">
        <v>0</v>
      </c>
      <c r="I646">
        <v>0</v>
      </c>
      <c r="J646">
        <v>0</v>
      </c>
      <c r="K646">
        <v>0</v>
      </c>
      <c r="L646">
        <v>419800</v>
      </c>
      <c r="M646">
        <v>0</v>
      </c>
      <c r="N646">
        <v>0</v>
      </c>
      <c r="O646">
        <v>0</v>
      </c>
      <c r="P646">
        <v>0</v>
      </c>
      <c r="Q646">
        <v>4198</v>
      </c>
      <c r="R646">
        <v>0</v>
      </c>
      <c r="S646">
        <v>0</v>
      </c>
      <c r="T646">
        <v>0</v>
      </c>
    </row>
    <row r="647" spans="1:20" x14ac:dyDescent="0.25">
      <c r="A647" t="s">
        <v>107</v>
      </c>
      <c r="B647" t="s">
        <v>178</v>
      </c>
      <c r="C647">
        <v>202501</v>
      </c>
      <c r="D647" s="47" t="str">
        <f>MID(C647,1,4)</f>
        <v>2025</v>
      </c>
      <c r="E647" t="str">
        <f>IF(Portfolio!$M$1=1,CONCATENATE(A647,C647),CONCATENATE(B647,C647))</f>
        <v>MAP GROUP202501</v>
      </c>
      <c r="F647">
        <v>7</v>
      </c>
      <c r="G647">
        <v>103</v>
      </c>
      <c r="H647">
        <v>3</v>
      </c>
      <c r="I647">
        <v>1</v>
      </c>
      <c r="J647">
        <v>530</v>
      </c>
      <c r="K647">
        <v>428800</v>
      </c>
      <c r="L647">
        <v>27726000</v>
      </c>
      <c r="M647">
        <v>432200</v>
      </c>
      <c r="N647">
        <v>122000</v>
      </c>
      <c r="O647">
        <v>77724600</v>
      </c>
      <c r="P647">
        <v>643</v>
      </c>
      <c r="Q647">
        <v>277260</v>
      </c>
      <c r="R647">
        <v>7780</v>
      </c>
      <c r="S647">
        <v>854</v>
      </c>
      <c r="T647">
        <v>542875</v>
      </c>
    </row>
    <row r="648" spans="1:20" x14ac:dyDescent="0.25">
      <c r="A648" t="s">
        <v>107</v>
      </c>
      <c r="B648" t="s">
        <v>191</v>
      </c>
      <c r="C648">
        <v>202501</v>
      </c>
      <c r="D648" s="47" t="str">
        <f>MID(C648,1,4)</f>
        <v>2025</v>
      </c>
      <c r="E648" t="str">
        <f>IF(Portfolio!$M$1=1,CONCATENATE(A648,C648),CONCATENATE(B648,C648))</f>
        <v>MAP GROUP202501</v>
      </c>
      <c r="F648">
        <v>0</v>
      </c>
      <c r="G648">
        <v>0</v>
      </c>
      <c r="H648">
        <v>0</v>
      </c>
      <c r="I648">
        <v>1</v>
      </c>
      <c r="J648">
        <v>148</v>
      </c>
      <c r="K648">
        <v>0</v>
      </c>
      <c r="L648">
        <v>0</v>
      </c>
      <c r="M648">
        <v>0</v>
      </c>
      <c r="N648">
        <v>30000</v>
      </c>
      <c r="O648">
        <v>5763000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 x14ac:dyDescent="0.25">
      <c r="A649" t="s">
        <v>109</v>
      </c>
      <c r="B649" t="s">
        <v>109</v>
      </c>
      <c r="C649">
        <v>202501</v>
      </c>
      <c r="D649" s="47" t="str">
        <f>MID(C649,1,4)</f>
        <v>2025</v>
      </c>
      <c r="E649" t="str">
        <f>IF(Portfolio!$M$1=1,CONCATENATE(A649,C649),CONCATENATE(B649,C649))</f>
        <v>MITRA10202501</v>
      </c>
      <c r="F649">
        <v>531</v>
      </c>
      <c r="G649">
        <v>2</v>
      </c>
      <c r="H649">
        <v>0</v>
      </c>
      <c r="I649">
        <v>0</v>
      </c>
      <c r="J649">
        <v>0</v>
      </c>
      <c r="K649">
        <v>1010814407</v>
      </c>
      <c r="L649">
        <v>3102038</v>
      </c>
      <c r="M649">
        <v>0</v>
      </c>
      <c r="N649">
        <v>0</v>
      </c>
      <c r="O649">
        <v>0</v>
      </c>
      <c r="P649">
        <v>1516220</v>
      </c>
      <c r="Q649">
        <v>31020</v>
      </c>
      <c r="R649">
        <v>0</v>
      </c>
      <c r="S649">
        <v>0</v>
      </c>
      <c r="T649">
        <v>0</v>
      </c>
    </row>
    <row r="650" spans="1:20" x14ac:dyDescent="0.25">
      <c r="A650" t="s">
        <v>110</v>
      </c>
      <c r="B650" t="s">
        <v>110</v>
      </c>
      <c r="C650">
        <v>202501</v>
      </c>
      <c r="D650" s="47" t="str">
        <f>MID(C650,1,4)</f>
        <v>2025</v>
      </c>
      <c r="E650" t="str">
        <f>IF(Portfolio!$M$1=1,CONCATENATE(A650,C650),CONCATENATE(B650,C650))</f>
        <v>OPTIK MELAWAI202501</v>
      </c>
      <c r="F650">
        <v>74</v>
      </c>
      <c r="G650">
        <v>615</v>
      </c>
      <c r="H650">
        <v>31</v>
      </c>
      <c r="I650">
        <v>20</v>
      </c>
      <c r="J650">
        <v>4534</v>
      </c>
      <c r="K650">
        <v>117578500</v>
      </c>
      <c r="L650">
        <v>1036621000</v>
      </c>
      <c r="M650">
        <v>48053000</v>
      </c>
      <c r="N650">
        <v>17693000</v>
      </c>
      <c r="O650">
        <v>3399999699</v>
      </c>
      <c r="P650">
        <v>176368</v>
      </c>
      <c r="Q650">
        <v>10366210</v>
      </c>
      <c r="R650">
        <v>900186</v>
      </c>
      <c r="S650">
        <v>123851</v>
      </c>
      <c r="T650">
        <v>23800004</v>
      </c>
    </row>
    <row r="651" spans="1:20" x14ac:dyDescent="0.25">
      <c r="A651" t="s">
        <v>112</v>
      </c>
      <c r="B651" t="s">
        <v>215</v>
      </c>
      <c r="C651">
        <v>202501</v>
      </c>
      <c r="D651" s="47" t="str">
        <f>MID(C651,1,4)</f>
        <v>2025</v>
      </c>
      <c r="E651" t="str">
        <f>IF(Portfolio!$M$1=1,CONCATENATE(A651,C651),CONCATENATE(B651,C651))</f>
        <v>PERTAMINA RETAIL202501</v>
      </c>
      <c r="F651">
        <v>0</v>
      </c>
      <c r="G651">
        <v>10</v>
      </c>
      <c r="H651">
        <v>0</v>
      </c>
      <c r="I651">
        <v>0</v>
      </c>
      <c r="J651">
        <v>5</v>
      </c>
      <c r="K651">
        <v>0</v>
      </c>
      <c r="L651">
        <v>433800</v>
      </c>
      <c r="M651">
        <v>0</v>
      </c>
      <c r="N651">
        <v>0</v>
      </c>
      <c r="O651">
        <v>520000</v>
      </c>
      <c r="P651">
        <v>0</v>
      </c>
      <c r="Q651">
        <v>4338</v>
      </c>
      <c r="R651">
        <v>0</v>
      </c>
      <c r="S651">
        <v>0</v>
      </c>
      <c r="T651">
        <v>3120</v>
      </c>
    </row>
    <row r="652" spans="1:20" x14ac:dyDescent="0.25">
      <c r="A652" t="s">
        <v>112</v>
      </c>
      <c r="B652" t="s">
        <v>216</v>
      </c>
      <c r="C652">
        <v>202501</v>
      </c>
      <c r="D652" s="47" t="str">
        <f>MID(C652,1,4)</f>
        <v>2025</v>
      </c>
      <c r="E652" t="str">
        <f>IF(Portfolio!$M$1=1,CONCATENATE(A652,C652),CONCATENATE(B652,C652))</f>
        <v>PERTAMINA RETAIL202501</v>
      </c>
      <c r="F652">
        <v>127</v>
      </c>
      <c r="G652">
        <v>3574</v>
      </c>
      <c r="H652">
        <v>216</v>
      </c>
      <c r="I652">
        <v>24</v>
      </c>
      <c r="J652">
        <v>3464</v>
      </c>
      <c r="K652">
        <v>34100860</v>
      </c>
      <c r="L652">
        <v>760051949</v>
      </c>
      <c r="M652">
        <v>95636763</v>
      </c>
      <c r="N652">
        <v>3347846</v>
      </c>
      <c r="O652">
        <v>624398718</v>
      </c>
      <c r="P652">
        <v>51151</v>
      </c>
      <c r="Q652">
        <v>5948549</v>
      </c>
      <c r="R652">
        <v>1723262</v>
      </c>
      <c r="S652">
        <v>11711</v>
      </c>
      <c r="T652">
        <v>2329384</v>
      </c>
    </row>
    <row r="653" spans="1:20" x14ac:dyDescent="0.25">
      <c r="A653" t="s">
        <v>114</v>
      </c>
      <c r="B653" t="s">
        <v>217</v>
      </c>
      <c r="C653">
        <v>202501</v>
      </c>
      <c r="D653" s="47" t="str">
        <f>MID(C653,1,4)</f>
        <v>2025</v>
      </c>
      <c r="E653" t="str">
        <f>IF(Portfolio!$M$1=1,CONCATENATE(A653,C653),CONCATENATE(B653,C653))</f>
        <v>PIZZA HUT202501</v>
      </c>
      <c r="F653">
        <v>31</v>
      </c>
      <c r="G653">
        <v>0</v>
      </c>
      <c r="H653">
        <v>0</v>
      </c>
      <c r="I653">
        <v>0</v>
      </c>
      <c r="J653">
        <v>0</v>
      </c>
      <c r="K653">
        <v>6136994</v>
      </c>
      <c r="L653">
        <v>0</v>
      </c>
      <c r="M653">
        <v>0</v>
      </c>
      <c r="N653">
        <v>0</v>
      </c>
      <c r="O653">
        <v>0</v>
      </c>
      <c r="P653">
        <v>9205</v>
      </c>
      <c r="Q653">
        <v>0</v>
      </c>
      <c r="R653">
        <v>0</v>
      </c>
      <c r="S653">
        <v>0</v>
      </c>
      <c r="T653">
        <v>0</v>
      </c>
    </row>
    <row r="654" spans="1:20" x14ac:dyDescent="0.25">
      <c r="A654" t="s">
        <v>114</v>
      </c>
      <c r="B654" t="s">
        <v>218</v>
      </c>
      <c r="C654">
        <v>202501</v>
      </c>
      <c r="D654" s="47" t="str">
        <f>MID(C654,1,4)</f>
        <v>2025</v>
      </c>
      <c r="E654" t="str">
        <f>IF(Portfolio!$M$1=1,CONCATENATE(A654,C654),CONCATENATE(B654,C654))</f>
        <v>PIZZA HUT202501</v>
      </c>
      <c r="F654">
        <v>278</v>
      </c>
      <c r="G654">
        <v>1</v>
      </c>
      <c r="H654">
        <v>0</v>
      </c>
      <c r="I654">
        <v>0</v>
      </c>
      <c r="J654">
        <v>0</v>
      </c>
      <c r="K654">
        <v>74782977</v>
      </c>
      <c r="L654">
        <v>142000</v>
      </c>
      <c r="M654">
        <v>0</v>
      </c>
      <c r="N654">
        <v>0</v>
      </c>
      <c r="O654">
        <v>0</v>
      </c>
      <c r="P654">
        <v>112174</v>
      </c>
      <c r="Q654">
        <v>1420</v>
      </c>
      <c r="R654">
        <v>0</v>
      </c>
      <c r="S654">
        <v>0</v>
      </c>
      <c r="T654">
        <v>0</v>
      </c>
    </row>
    <row r="655" spans="1:20" x14ac:dyDescent="0.25">
      <c r="A655" t="s">
        <v>115</v>
      </c>
      <c r="B655" t="s">
        <v>115</v>
      </c>
      <c r="C655">
        <v>202501</v>
      </c>
      <c r="D655" s="47" t="str">
        <f>MID(C655,1,4)</f>
        <v>2025</v>
      </c>
      <c r="E655" t="str">
        <f>IF(Portfolio!$M$1=1,CONCATENATE(A655,C655),CONCATENATE(B655,C655))</f>
        <v>PLATINUM CINEPLEX202501</v>
      </c>
      <c r="F655">
        <v>5</v>
      </c>
      <c r="G655">
        <v>553</v>
      </c>
      <c r="H655">
        <v>24</v>
      </c>
      <c r="I655">
        <v>20</v>
      </c>
      <c r="J655">
        <v>1734</v>
      </c>
      <c r="K655">
        <v>550000</v>
      </c>
      <c r="L655">
        <v>68893000</v>
      </c>
      <c r="M655">
        <v>1992000</v>
      </c>
      <c r="N655">
        <v>1678000</v>
      </c>
      <c r="O655">
        <v>190302000</v>
      </c>
      <c r="P655">
        <v>825</v>
      </c>
      <c r="Q655">
        <v>688930</v>
      </c>
      <c r="R655">
        <v>36598</v>
      </c>
      <c r="S655">
        <v>11746</v>
      </c>
      <c r="T655">
        <v>1332114</v>
      </c>
    </row>
    <row r="656" spans="1:20" x14ac:dyDescent="0.25">
      <c r="A656" t="s">
        <v>118</v>
      </c>
      <c r="B656" t="s">
        <v>118</v>
      </c>
      <c r="C656">
        <v>202501</v>
      </c>
      <c r="D656" s="47" t="str">
        <f>MID(C656,1,4)</f>
        <v>2025</v>
      </c>
      <c r="E656" t="str">
        <f>IF(Portfolio!$M$1=1,CONCATENATE(A656,C656),CONCATENATE(B656,C656))</f>
        <v>SARINAH202501</v>
      </c>
      <c r="F656">
        <v>12</v>
      </c>
      <c r="G656">
        <v>272</v>
      </c>
      <c r="H656">
        <v>437</v>
      </c>
      <c r="I656">
        <v>4</v>
      </c>
      <c r="J656">
        <v>763</v>
      </c>
      <c r="K656">
        <v>8071000</v>
      </c>
      <c r="L656">
        <v>251025751</v>
      </c>
      <c r="M656">
        <v>514321878</v>
      </c>
      <c r="N656">
        <v>169000</v>
      </c>
      <c r="O656">
        <v>39078000</v>
      </c>
      <c r="P656">
        <v>12106</v>
      </c>
      <c r="Q656">
        <v>2510258</v>
      </c>
      <c r="R656">
        <v>9257794</v>
      </c>
      <c r="S656">
        <v>1183</v>
      </c>
      <c r="T656">
        <v>273545</v>
      </c>
    </row>
    <row r="657" spans="1:20" x14ac:dyDescent="0.25">
      <c r="A657" t="s">
        <v>120</v>
      </c>
      <c r="B657" t="s">
        <v>120</v>
      </c>
      <c r="C657">
        <v>202501</v>
      </c>
      <c r="D657" s="47" t="str">
        <f>MID(C657,1,4)</f>
        <v>2025</v>
      </c>
      <c r="E657" t="str">
        <f>IF(Portfolio!$M$1=1,CONCATENATE(A657,C657),CONCATENATE(B657,C657))</f>
        <v>SHIHLIN202501</v>
      </c>
      <c r="F657">
        <v>412</v>
      </c>
      <c r="G657">
        <v>10</v>
      </c>
      <c r="H657">
        <v>0</v>
      </c>
      <c r="I657">
        <v>1143</v>
      </c>
      <c r="J657">
        <v>44</v>
      </c>
      <c r="K657">
        <v>27428000</v>
      </c>
      <c r="L657">
        <v>699000</v>
      </c>
      <c r="M657">
        <v>0</v>
      </c>
      <c r="N657">
        <v>69904000</v>
      </c>
      <c r="O657">
        <v>1247602</v>
      </c>
      <c r="P657">
        <v>41142</v>
      </c>
      <c r="Q657">
        <v>6990</v>
      </c>
      <c r="R657">
        <v>0</v>
      </c>
      <c r="S657">
        <v>488999</v>
      </c>
      <c r="T657">
        <v>5023</v>
      </c>
    </row>
    <row r="658" spans="1:20" x14ac:dyDescent="0.25">
      <c r="A658" t="s">
        <v>122</v>
      </c>
      <c r="B658" t="s">
        <v>122</v>
      </c>
      <c r="C658">
        <v>202501</v>
      </c>
      <c r="D658" s="47" t="str">
        <f>MID(C658,1,4)</f>
        <v>2025</v>
      </c>
      <c r="E658" t="str">
        <f>IF(Portfolio!$M$1=1,CONCATENATE(A658,C658),CONCATENATE(B658,C658))</f>
        <v>SOLARIA202501</v>
      </c>
      <c r="F658">
        <v>1855</v>
      </c>
      <c r="G658">
        <v>2</v>
      </c>
      <c r="H658">
        <v>0</v>
      </c>
      <c r="I658">
        <v>0</v>
      </c>
      <c r="J658">
        <v>0</v>
      </c>
      <c r="K658">
        <v>318048400</v>
      </c>
      <c r="L658">
        <v>534000</v>
      </c>
      <c r="M658">
        <v>0</v>
      </c>
      <c r="N658">
        <v>0</v>
      </c>
      <c r="O658">
        <v>0</v>
      </c>
      <c r="P658">
        <v>477073</v>
      </c>
      <c r="Q658">
        <v>5340</v>
      </c>
      <c r="R658">
        <v>0</v>
      </c>
      <c r="S658">
        <v>0</v>
      </c>
      <c r="T658">
        <v>0</v>
      </c>
    </row>
    <row r="659" spans="1:20" x14ac:dyDescent="0.25">
      <c r="A659" t="s">
        <v>124</v>
      </c>
      <c r="B659" t="s">
        <v>124</v>
      </c>
      <c r="C659">
        <v>202501</v>
      </c>
      <c r="D659" s="47" t="str">
        <f>MID(C659,1,4)</f>
        <v>2025</v>
      </c>
      <c r="E659" t="str">
        <f>IF(Portfolio!$M$1=1,CONCATENATE(A659,C659),CONCATENATE(B659,C659))</f>
        <v>SOUR SALLY202501</v>
      </c>
      <c r="F659">
        <v>10</v>
      </c>
      <c r="G659">
        <v>5</v>
      </c>
      <c r="H659">
        <v>0</v>
      </c>
      <c r="I659">
        <v>48</v>
      </c>
      <c r="J659">
        <v>2406</v>
      </c>
      <c r="K659">
        <v>798000</v>
      </c>
      <c r="L659">
        <v>400000</v>
      </c>
      <c r="M659">
        <v>0</v>
      </c>
      <c r="N659">
        <v>3617000</v>
      </c>
      <c r="O659">
        <v>191212608</v>
      </c>
      <c r="P659">
        <v>1197</v>
      </c>
      <c r="Q659">
        <v>4000</v>
      </c>
      <c r="R659">
        <v>0</v>
      </c>
      <c r="S659">
        <v>25319</v>
      </c>
      <c r="T659">
        <v>1338488</v>
      </c>
    </row>
    <row r="660" spans="1:20" x14ac:dyDescent="0.25">
      <c r="A660" t="s">
        <v>126</v>
      </c>
      <c r="B660" t="s">
        <v>221</v>
      </c>
      <c r="C660">
        <v>202501</v>
      </c>
      <c r="D660" s="47" t="str">
        <f>MID(C660,1,4)</f>
        <v>2025</v>
      </c>
      <c r="E660" t="str">
        <f>IF(Portfolio!$M$1=1,CONCATENATE(A660,C660),CONCATENATE(B660,C660))</f>
        <v>STEVEN GROUP202501</v>
      </c>
      <c r="F660">
        <v>0</v>
      </c>
      <c r="G660">
        <v>0</v>
      </c>
      <c r="H660">
        <v>0</v>
      </c>
      <c r="I660">
        <v>2</v>
      </c>
      <c r="J660">
        <v>187</v>
      </c>
      <c r="K660">
        <v>0</v>
      </c>
      <c r="L660">
        <v>0</v>
      </c>
      <c r="M660">
        <v>0</v>
      </c>
      <c r="N660">
        <v>112000</v>
      </c>
      <c r="O660">
        <v>8505000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 x14ac:dyDescent="0.25">
      <c r="A661" t="s">
        <v>126</v>
      </c>
      <c r="B661" t="s">
        <v>224</v>
      </c>
      <c r="C661">
        <v>202501</v>
      </c>
      <c r="D661" s="47" t="str">
        <f>MID(C661,1,4)</f>
        <v>2025</v>
      </c>
      <c r="E661" t="str">
        <f>IF(Portfolio!$M$1=1,CONCATENATE(A661,C661),CONCATENATE(B661,C661))</f>
        <v>STEVEN GROUP202501</v>
      </c>
      <c r="F661">
        <v>3</v>
      </c>
      <c r="G661">
        <v>3</v>
      </c>
      <c r="H661">
        <v>0</v>
      </c>
      <c r="I661">
        <v>0</v>
      </c>
      <c r="J661">
        <v>2</v>
      </c>
      <c r="K661">
        <v>90090000</v>
      </c>
      <c r="L661">
        <v>1690000</v>
      </c>
      <c r="M661">
        <v>0</v>
      </c>
      <c r="N661">
        <v>0</v>
      </c>
      <c r="O661">
        <v>2</v>
      </c>
      <c r="P661">
        <v>135135</v>
      </c>
      <c r="Q661">
        <v>16900</v>
      </c>
      <c r="R661">
        <v>0</v>
      </c>
      <c r="S661">
        <v>0</v>
      </c>
      <c r="T661">
        <v>0</v>
      </c>
    </row>
    <row r="662" spans="1:20" x14ac:dyDescent="0.25">
      <c r="A662" t="s">
        <v>126</v>
      </c>
      <c r="B662" t="s">
        <v>228</v>
      </c>
      <c r="C662">
        <v>202501</v>
      </c>
      <c r="D662" s="47" t="str">
        <f>MID(C662,1,4)</f>
        <v>2025</v>
      </c>
      <c r="E662" t="str">
        <f>IF(Portfolio!$M$1=1,CONCATENATE(A662,C662),CONCATENATE(B662,C662))</f>
        <v>STEVEN GROUP202501</v>
      </c>
      <c r="F662">
        <v>0</v>
      </c>
      <c r="G662">
        <v>0</v>
      </c>
      <c r="H662">
        <v>0</v>
      </c>
      <c r="I662">
        <v>16</v>
      </c>
      <c r="J662">
        <v>5689</v>
      </c>
      <c r="K662">
        <v>0</v>
      </c>
      <c r="L662">
        <v>0</v>
      </c>
      <c r="M662">
        <v>0</v>
      </c>
      <c r="N662">
        <v>1200100</v>
      </c>
      <c r="O662">
        <v>398178518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 x14ac:dyDescent="0.25">
      <c r="A663" t="s">
        <v>126</v>
      </c>
      <c r="B663" t="s">
        <v>136</v>
      </c>
      <c r="C663">
        <v>202501</v>
      </c>
      <c r="D663" s="47" t="str">
        <f>MID(C663,1,4)</f>
        <v>2025</v>
      </c>
      <c r="E663" t="str">
        <f>IF(Portfolio!$M$1=1,CONCATENATE(A663,C663),CONCATENATE(B663,C663))</f>
        <v>STEVEN GROUP202501</v>
      </c>
      <c r="F663">
        <v>3</v>
      </c>
      <c r="G663">
        <v>0</v>
      </c>
      <c r="H663">
        <v>0</v>
      </c>
      <c r="I663">
        <v>0</v>
      </c>
      <c r="J663">
        <v>0</v>
      </c>
      <c r="K663">
        <v>203445</v>
      </c>
      <c r="L663">
        <v>0</v>
      </c>
      <c r="M663">
        <v>0</v>
      </c>
      <c r="N663">
        <v>0</v>
      </c>
      <c r="O663">
        <v>0</v>
      </c>
      <c r="P663">
        <v>305</v>
      </c>
      <c r="Q663">
        <v>0</v>
      </c>
      <c r="R663">
        <v>0</v>
      </c>
      <c r="S663">
        <v>0</v>
      </c>
      <c r="T663">
        <v>0</v>
      </c>
    </row>
    <row r="664" spans="1:20" x14ac:dyDescent="0.25">
      <c r="A664" t="s">
        <v>130</v>
      </c>
      <c r="B664" t="s">
        <v>227</v>
      </c>
      <c r="C664">
        <v>202501</v>
      </c>
      <c r="D664" s="47" t="str">
        <f>MID(C664,1,4)</f>
        <v>2025</v>
      </c>
      <c r="E664" t="str">
        <f>IF(Portfolio!$M$1=1,CONCATENATE(A664,C664),CONCATENATE(B664,C664))</f>
        <v>SURYA BUMI RETAILINDO202501</v>
      </c>
      <c r="F664">
        <v>19</v>
      </c>
      <c r="G664">
        <v>0</v>
      </c>
      <c r="H664">
        <v>0</v>
      </c>
      <c r="I664">
        <v>0</v>
      </c>
      <c r="J664">
        <v>0</v>
      </c>
      <c r="K664">
        <v>31210300</v>
      </c>
      <c r="L664">
        <v>0</v>
      </c>
      <c r="M664">
        <v>0</v>
      </c>
      <c r="N664">
        <v>0</v>
      </c>
      <c r="O664">
        <v>0</v>
      </c>
      <c r="P664">
        <v>46815</v>
      </c>
      <c r="Q664">
        <v>0</v>
      </c>
      <c r="R664">
        <v>0</v>
      </c>
      <c r="S664">
        <v>0</v>
      </c>
      <c r="T664">
        <v>0</v>
      </c>
    </row>
    <row r="665" spans="1:20" x14ac:dyDescent="0.25">
      <c r="A665" t="s">
        <v>138</v>
      </c>
      <c r="B665" t="s">
        <v>138</v>
      </c>
      <c r="C665">
        <v>202501</v>
      </c>
      <c r="D665" s="47" t="str">
        <f>MID(C665,1,4)</f>
        <v>2025</v>
      </c>
      <c r="E665" t="str">
        <f>IF(Portfolio!$M$1=1,CONCATENATE(A665,C665),CONCATENATE(B665,C665))</f>
        <v>YOSHINOYA202501</v>
      </c>
      <c r="F665">
        <v>440</v>
      </c>
      <c r="G665">
        <v>12161</v>
      </c>
      <c r="H665">
        <v>1205</v>
      </c>
      <c r="I665">
        <v>0</v>
      </c>
      <c r="J665">
        <v>0</v>
      </c>
      <c r="K665">
        <v>75754600</v>
      </c>
      <c r="L665">
        <v>1971186600</v>
      </c>
      <c r="M665">
        <v>123494100</v>
      </c>
      <c r="N665">
        <v>0</v>
      </c>
      <c r="O665">
        <v>0</v>
      </c>
      <c r="P665">
        <v>113632</v>
      </c>
      <c r="Q665">
        <v>19711866</v>
      </c>
      <c r="R665">
        <v>1358435</v>
      </c>
      <c r="S665">
        <v>0</v>
      </c>
      <c r="T665">
        <v>0</v>
      </c>
    </row>
    <row r="666" spans="1:20" x14ac:dyDescent="0.25">
      <c r="A666" t="s">
        <v>67</v>
      </c>
      <c r="B666" t="s">
        <v>68</v>
      </c>
      <c r="C666">
        <v>202502</v>
      </c>
      <c r="D666" s="47" t="str">
        <f>MID(C666,1,4)</f>
        <v>2025</v>
      </c>
      <c r="E666" t="str">
        <f>IF(Portfolio!$M$1=1,CONCATENATE(A666,C666),CONCATENATE(B666,C666))</f>
        <v>ALFA GROUP202502</v>
      </c>
      <c r="F666">
        <v>21452</v>
      </c>
      <c r="G666">
        <v>65256</v>
      </c>
      <c r="H666">
        <v>21709</v>
      </c>
      <c r="I666">
        <v>34</v>
      </c>
      <c r="J666">
        <v>347</v>
      </c>
      <c r="K666">
        <v>2189729177</v>
      </c>
      <c r="L666">
        <v>7048633955</v>
      </c>
      <c r="M666">
        <v>3256984685</v>
      </c>
      <c r="N666">
        <v>740500</v>
      </c>
      <c r="O666">
        <v>16666000</v>
      </c>
      <c r="P666">
        <v>3284591</v>
      </c>
      <c r="Q666">
        <v>70486340</v>
      </c>
      <c r="R666">
        <v>58376731</v>
      </c>
      <c r="S666">
        <v>0</v>
      </c>
      <c r="T666">
        <v>4521</v>
      </c>
    </row>
    <row r="667" spans="1:20" x14ac:dyDescent="0.25">
      <c r="A667" t="s">
        <v>67</v>
      </c>
      <c r="B667" t="s">
        <v>69</v>
      </c>
      <c r="C667">
        <v>202502</v>
      </c>
      <c r="D667" s="47" t="str">
        <f>MID(C667,1,4)</f>
        <v>2025</v>
      </c>
      <c r="E667" t="str">
        <f>IF(Portfolio!$M$1=1,CONCATENATE(A667,C667),CONCATENATE(B667,C667))</f>
        <v>ALFA GROUP202502</v>
      </c>
      <c r="F667">
        <v>12</v>
      </c>
      <c r="G667">
        <v>52</v>
      </c>
      <c r="H667">
        <v>34</v>
      </c>
      <c r="I667">
        <v>1</v>
      </c>
      <c r="J667">
        <v>90</v>
      </c>
      <c r="K667">
        <v>2000238</v>
      </c>
      <c r="L667">
        <v>6520307</v>
      </c>
      <c r="M667">
        <v>7060327</v>
      </c>
      <c r="N667">
        <v>40000</v>
      </c>
      <c r="O667">
        <v>2999000</v>
      </c>
      <c r="P667">
        <v>3000</v>
      </c>
      <c r="Q667">
        <v>65203</v>
      </c>
      <c r="R667">
        <v>127086</v>
      </c>
      <c r="S667">
        <v>280</v>
      </c>
      <c r="T667">
        <v>20992</v>
      </c>
    </row>
    <row r="668" spans="1:20" x14ac:dyDescent="0.25">
      <c r="A668" t="s">
        <v>67</v>
      </c>
      <c r="B668" t="s">
        <v>72</v>
      </c>
      <c r="C668">
        <v>202502</v>
      </c>
      <c r="D668" s="47" t="str">
        <f>MID(C668,1,4)</f>
        <v>2025</v>
      </c>
      <c r="E668" t="str">
        <f>IF(Portfolio!$M$1=1,CONCATENATE(A668,C668),CONCATENATE(B668,C668))</f>
        <v>ALFA GROUP202502</v>
      </c>
      <c r="F668">
        <v>335</v>
      </c>
      <c r="G668">
        <v>1140</v>
      </c>
      <c r="H668">
        <v>195</v>
      </c>
      <c r="I668">
        <v>0</v>
      </c>
      <c r="J668">
        <v>0</v>
      </c>
      <c r="K668">
        <v>58334411</v>
      </c>
      <c r="L668">
        <v>187421755</v>
      </c>
      <c r="M668">
        <v>37455700</v>
      </c>
      <c r="N668">
        <v>0</v>
      </c>
      <c r="O668">
        <v>0</v>
      </c>
      <c r="P668">
        <v>87502</v>
      </c>
      <c r="Q668">
        <v>1874218</v>
      </c>
      <c r="R668">
        <v>674678</v>
      </c>
      <c r="S668">
        <v>0</v>
      </c>
      <c r="T668">
        <v>0</v>
      </c>
    </row>
    <row r="669" spans="1:20" x14ac:dyDescent="0.25">
      <c r="A669" t="s">
        <v>70</v>
      </c>
      <c r="B669" t="s">
        <v>70</v>
      </c>
      <c r="C669">
        <v>202502</v>
      </c>
      <c r="D669" s="47" t="str">
        <f>MID(C669,1,4)</f>
        <v>2025</v>
      </c>
      <c r="E669" t="str">
        <f>IF(Portfolio!$M$1=1,CONCATENATE(A669,C669),CONCATENATE(B669,C669))</f>
        <v>ANCOL202502</v>
      </c>
      <c r="F669">
        <v>1</v>
      </c>
      <c r="G669">
        <v>6</v>
      </c>
      <c r="H669">
        <v>4</v>
      </c>
      <c r="I669">
        <v>0</v>
      </c>
      <c r="J669">
        <v>58</v>
      </c>
      <c r="K669">
        <v>37300</v>
      </c>
      <c r="L669">
        <v>5073113</v>
      </c>
      <c r="M669">
        <v>763775</v>
      </c>
      <c r="N669">
        <v>0</v>
      </c>
      <c r="O669">
        <v>4041000</v>
      </c>
      <c r="P669">
        <v>56</v>
      </c>
      <c r="Q669">
        <v>50731</v>
      </c>
      <c r="R669">
        <v>14078</v>
      </c>
      <c r="S669">
        <v>0</v>
      </c>
      <c r="T669">
        <v>0</v>
      </c>
    </row>
    <row r="670" spans="1:20" x14ac:dyDescent="0.25">
      <c r="A670" t="s">
        <v>73</v>
      </c>
      <c r="B670" t="s">
        <v>73</v>
      </c>
      <c r="C670">
        <v>202502</v>
      </c>
      <c r="D670" s="47" t="str">
        <f>MID(C670,1,4)</f>
        <v>2025</v>
      </c>
      <c r="E670" t="str">
        <f>IF(Portfolio!$M$1=1,CONCATENATE(A670,C670),CONCATENATE(B670,C670))</f>
        <v>BANBAN TEA202502</v>
      </c>
      <c r="F670">
        <v>32</v>
      </c>
      <c r="G670">
        <v>1</v>
      </c>
      <c r="H670">
        <v>0</v>
      </c>
      <c r="I670">
        <v>1016</v>
      </c>
      <c r="J670">
        <v>13</v>
      </c>
      <c r="K670">
        <v>1957599</v>
      </c>
      <c r="L670">
        <v>133800</v>
      </c>
      <c r="M670">
        <v>0</v>
      </c>
      <c r="N670">
        <v>31643425</v>
      </c>
      <c r="O670">
        <v>718277</v>
      </c>
      <c r="P670">
        <v>2936</v>
      </c>
      <c r="Q670">
        <v>1338</v>
      </c>
      <c r="R670">
        <v>0</v>
      </c>
      <c r="S670">
        <v>221495</v>
      </c>
      <c r="T670">
        <v>5028</v>
      </c>
    </row>
    <row r="671" spans="1:20" x14ac:dyDescent="0.25">
      <c r="A671" t="s">
        <v>75</v>
      </c>
      <c r="B671" t="s">
        <v>79</v>
      </c>
      <c r="C671">
        <v>202502</v>
      </c>
      <c r="D671" s="47" t="str">
        <f>MID(C671,1,4)</f>
        <v>2025</v>
      </c>
      <c r="E671" t="str">
        <f>IF(Portfolio!$M$1=1,CONCATENATE(A671,C671),CONCATENATE(B671,C671))</f>
        <v>CHAMP RESTO202502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69530</v>
      </c>
      <c r="L671">
        <v>0</v>
      </c>
      <c r="M671">
        <v>0</v>
      </c>
      <c r="N671">
        <v>0</v>
      </c>
      <c r="O671">
        <v>0</v>
      </c>
      <c r="P671">
        <v>104</v>
      </c>
      <c r="Q671">
        <v>0</v>
      </c>
      <c r="R671">
        <v>0</v>
      </c>
      <c r="S671">
        <v>0</v>
      </c>
      <c r="T671">
        <v>0</v>
      </c>
    </row>
    <row r="672" spans="1:20" x14ac:dyDescent="0.25">
      <c r="A672" t="s">
        <v>75</v>
      </c>
      <c r="B672" t="s">
        <v>81</v>
      </c>
      <c r="C672">
        <v>202502</v>
      </c>
      <c r="D672" s="47" t="str">
        <f>MID(C672,1,4)</f>
        <v>2025</v>
      </c>
      <c r="E672" t="str">
        <f>IF(Portfolio!$M$1=1,CONCATENATE(A672,C672),CONCATENATE(B672,C672))</f>
        <v>CHAMP RESTO202502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193600</v>
      </c>
      <c r="L672">
        <v>0</v>
      </c>
      <c r="M672">
        <v>0</v>
      </c>
      <c r="N672">
        <v>0</v>
      </c>
      <c r="O672">
        <v>0</v>
      </c>
      <c r="P672">
        <v>290</v>
      </c>
      <c r="Q672">
        <v>0</v>
      </c>
      <c r="R672">
        <v>0</v>
      </c>
      <c r="S672">
        <v>0</v>
      </c>
      <c r="T672">
        <v>0</v>
      </c>
    </row>
    <row r="673" spans="1:20" x14ac:dyDescent="0.25">
      <c r="A673" t="s">
        <v>75</v>
      </c>
      <c r="B673" t="s">
        <v>83</v>
      </c>
      <c r="C673">
        <v>202502</v>
      </c>
      <c r="D673" s="47" t="str">
        <f>MID(C673,1,4)</f>
        <v>2025</v>
      </c>
      <c r="E673" t="str">
        <f>IF(Portfolio!$M$1=1,CONCATENATE(A673,C673),CONCATENATE(B673,C673))</f>
        <v>CHAMP RESTO202502</v>
      </c>
      <c r="F673">
        <v>0</v>
      </c>
      <c r="G673">
        <v>12</v>
      </c>
      <c r="H673">
        <v>0</v>
      </c>
      <c r="I673">
        <v>1</v>
      </c>
      <c r="J673">
        <v>69</v>
      </c>
      <c r="K673">
        <v>0</v>
      </c>
      <c r="L673">
        <v>3301320</v>
      </c>
      <c r="M673">
        <v>0</v>
      </c>
      <c r="N673">
        <v>43200</v>
      </c>
      <c r="O673">
        <v>2223601</v>
      </c>
      <c r="P673">
        <v>0</v>
      </c>
      <c r="Q673">
        <v>33013</v>
      </c>
      <c r="R673">
        <v>0</v>
      </c>
      <c r="S673">
        <v>0</v>
      </c>
      <c r="T673">
        <v>0</v>
      </c>
    </row>
    <row r="674" spans="1:20" x14ac:dyDescent="0.25">
      <c r="A674" t="s">
        <v>75</v>
      </c>
      <c r="B674" t="s">
        <v>85</v>
      </c>
      <c r="C674">
        <v>202502</v>
      </c>
      <c r="D674" s="47" t="str">
        <f>MID(C674,1,4)</f>
        <v>2025</v>
      </c>
      <c r="E674" t="str">
        <f>IF(Portfolio!$M$1=1,CONCATENATE(A674,C674),CONCATENATE(B674,C674))</f>
        <v>CHAMP RESTO202502</v>
      </c>
      <c r="F674">
        <v>10</v>
      </c>
      <c r="G674">
        <v>9</v>
      </c>
      <c r="H674">
        <v>0</v>
      </c>
      <c r="I674">
        <v>895</v>
      </c>
      <c r="J674">
        <v>23</v>
      </c>
      <c r="K674">
        <v>1751490</v>
      </c>
      <c r="L674">
        <v>1244600</v>
      </c>
      <c r="M674">
        <v>0</v>
      </c>
      <c r="N674">
        <v>10781977</v>
      </c>
      <c r="O674">
        <v>1200451</v>
      </c>
      <c r="P674">
        <v>2627</v>
      </c>
      <c r="Q674">
        <v>12446</v>
      </c>
      <c r="R674">
        <v>0</v>
      </c>
      <c r="S674">
        <v>59933</v>
      </c>
      <c r="T674">
        <v>7353</v>
      </c>
    </row>
    <row r="675" spans="1:20" x14ac:dyDescent="0.25">
      <c r="A675" t="s">
        <v>75</v>
      </c>
      <c r="B675" t="s">
        <v>91</v>
      </c>
      <c r="C675">
        <v>202502</v>
      </c>
      <c r="D675" s="47" t="str">
        <f>MID(C675,1,4)</f>
        <v>2025</v>
      </c>
      <c r="E675" t="str">
        <f>IF(Portfolio!$M$1=1,CONCATENATE(A675,C675),CONCATENATE(B675,C675))</f>
        <v>CHAMP RESTO202502</v>
      </c>
      <c r="F675">
        <v>3</v>
      </c>
      <c r="G675">
        <v>13</v>
      </c>
      <c r="H675">
        <v>0</v>
      </c>
      <c r="I675">
        <v>165</v>
      </c>
      <c r="J675">
        <v>2</v>
      </c>
      <c r="K675">
        <v>776700</v>
      </c>
      <c r="L675">
        <v>4624754</v>
      </c>
      <c r="M675">
        <v>0</v>
      </c>
      <c r="N675">
        <v>1747500</v>
      </c>
      <c r="O675">
        <v>37500</v>
      </c>
      <c r="P675">
        <v>1165</v>
      </c>
      <c r="Q675">
        <v>46248</v>
      </c>
      <c r="R675">
        <v>0</v>
      </c>
      <c r="S675">
        <v>0</v>
      </c>
      <c r="T675">
        <v>0</v>
      </c>
    </row>
    <row r="676" spans="1:20" x14ac:dyDescent="0.25">
      <c r="A676" t="s">
        <v>75</v>
      </c>
      <c r="B676" t="s">
        <v>93</v>
      </c>
      <c r="C676">
        <v>202502</v>
      </c>
      <c r="D676" s="47" t="str">
        <f>MID(C676,1,4)</f>
        <v>2025</v>
      </c>
      <c r="E676" t="str">
        <f>IF(Portfolio!$M$1=1,CONCATENATE(A676,C676),CONCATENATE(B676,C676))</f>
        <v>CHAMP RESTO202502</v>
      </c>
      <c r="F676">
        <v>0</v>
      </c>
      <c r="G676">
        <v>1</v>
      </c>
      <c r="H676">
        <v>0</v>
      </c>
      <c r="I676">
        <v>2</v>
      </c>
      <c r="J676">
        <v>159</v>
      </c>
      <c r="K676">
        <v>0</v>
      </c>
      <c r="L676">
        <v>196900</v>
      </c>
      <c r="M676">
        <v>0</v>
      </c>
      <c r="N676">
        <v>8000</v>
      </c>
      <c r="O676">
        <v>3042000</v>
      </c>
      <c r="P676">
        <v>0</v>
      </c>
      <c r="Q676">
        <v>1969</v>
      </c>
      <c r="R676">
        <v>0</v>
      </c>
      <c r="S676">
        <v>0</v>
      </c>
      <c r="T676">
        <v>0</v>
      </c>
    </row>
    <row r="677" spans="1:20" x14ac:dyDescent="0.25">
      <c r="A677" t="s">
        <v>76</v>
      </c>
      <c r="B677" t="s">
        <v>76</v>
      </c>
      <c r="C677">
        <v>202502</v>
      </c>
      <c r="D677" s="47" t="str">
        <f>MID(C677,1,4)</f>
        <v>2025</v>
      </c>
      <c r="E677" t="str">
        <f>IF(Portfolio!$M$1=1,CONCATENATE(A677,C677),CONCATENATE(B677,C677))</f>
        <v>DAMRI202502</v>
      </c>
      <c r="F677">
        <v>5</v>
      </c>
      <c r="G677">
        <v>78</v>
      </c>
      <c r="H677">
        <v>0</v>
      </c>
      <c r="I677">
        <v>0</v>
      </c>
      <c r="J677">
        <v>68</v>
      </c>
      <c r="K677">
        <v>650000</v>
      </c>
      <c r="L677">
        <v>13485000</v>
      </c>
      <c r="M677">
        <v>0</v>
      </c>
      <c r="N677">
        <v>0</v>
      </c>
      <c r="O677">
        <v>21440003</v>
      </c>
      <c r="P677">
        <v>975</v>
      </c>
      <c r="Q677">
        <v>134850</v>
      </c>
      <c r="R677">
        <v>0</v>
      </c>
      <c r="S677">
        <v>0</v>
      </c>
      <c r="T677">
        <v>150080</v>
      </c>
    </row>
    <row r="678" spans="1:20" x14ac:dyDescent="0.25">
      <c r="A678" t="s">
        <v>80</v>
      </c>
      <c r="B678" t="s">
        <v>80</v>
      </c>
      <c r="C678">
        <v>202502</v>
      </c>
      <c r="D678" s="47" t="str">
        <f>MID(C678,1,4)</f>
        <v>2025</v>
      </c>
      <c r="E678" t="str">
        <f>IF(Portfolio!$M$1=1,CONCATENATE(A678,C678),CONCATENATE(B678,C678))</f>
        <v>DWIDAYA202502</v>
      </c>
      <c r="F678">
        <v>6</v>
      </c>
      <c r="G678">
        <v>0</v>
      </c>
      <c r="H678">
        <v>0</v>
      </c>
      <c r="I678">
        <v>0</v>
      </c>
      <c r="J678">
        <v>31</v>
      </c>
      <c r="K678">
        <v>99720000</v>
      </c>
      <c r="L678">
        <v>0</v>
      </c>
      <c r="M678">
        <v>0</v>
      </c>
      <c r="N678">
        <v>0</v>
      </c>
      <c r="O678">
        <v>95552001</v>
      </c>
      <c r="P678">
        <v>149580</v>
      </c>
      <c r="Q678">
        <v>0</v>
      </c>
      <c r="R678">
        <v>0</v>
      </c>
      <c r="S678">
        <v>0</v>
      </c>
      <c r="T678">
        <v>668864</v>
      </c>
    </row>
    <row r="679" spans="1:20" x14ac:dyDescent="0.25">
      <c r="A679" t="s">
        <v>86</v>
      </c>
      <c r="B679" t="s">
        <v>86</v>
      </c>
      <c r="C679">
        <v>202502</v>
      </c>
      <c r="D679" s="47" t="str">
        <f>MID(C679,1,4)</f>
        <v>2025</v>
      </c>
      <c r="E679" t="str">
        <f>IF(Portfolio!$M$1=1,CONCATENATE(A679,C679),CONCATENATE(B679,C679))</f>
        <v>GRAMEDIA202502</v>
      </c>
      <c r="F679">
        <v>8</v>
      </c>
      <c r="G679">
        <v>0</v>
      </c>
      <c r="H679">
        <v>0</v>
      </c>
      <c r="I679">
        <v>9</v>
      </c>
      <c r="J679">
        <v>17</v>
      </c>
      <c r="K679">
        <v>1496800</v>
      </c>
      <c r="L679">
        <v>0</v>
      </c>
      <c r="M679">
        <v>0</v>
      </c>
      <c r="N679">
        <v>285000</v>
      </c>
      <c r="O679">
        <v>622000</v>
      </c>
      <c r="P679">
        <v>2245</v>
      </c>
      <c r="Q679">
        <v>0</v>
      </c>
      <c r="R679">
        <v>0</v>
      </c>
      <c r="S679">
        <v>0</v>
      </c>
      <c r="T679">
        <v>0</v>
      </c>
    </row>
    <row r="680" spans="1:20" x14ac:dyDescent="0.25">
      <c r="A680" t="s">
        <v>88</v>
      </c>
      <c r="B680" t="s">
        <v>88</v>
      </c>
      <c r="C680">
        <v>202502</v>
      </c>
      <c r="D680" s="47" t="str">
        <f>MID(C680,1,4)</f>
        <v>2025</v>
      </c>
      <c r="E680" t="str">
        <f>IF(Portfolio!$M$1=1,CONCATENATE(A680,C680),CONCATENATE(B680,C680))</f>
        <v>HAUS202502</v>
      </c>
      <c r="F680">
        <v>0</v>
      </c>
      <c r="G680">
        <v>36</v>
      </c>
      <c r="H680">
        <v>0</v>
      </c>
      <c r="I680">
        <v>21</v>
      </c>
      <c r="J680">
        <v>5681</v>
      </c>
      <c r="K680">
        <v>0</v>
      </c>
      <c r="L680">
        <v>1863997</v>
      </c>
      <c r="M680">
        <v>0</v>
      </c>
      <c r="N680">
        <v>964998</v>
      </c>
      <c r="O680">
        <v>240498886</v>
      </c>
      <c r="P680">
        <v>0</v>
      </c>
      <c r="Q680">
        <v>18640</v>
      </c>
      <c r="R680">
        <v>0</v>
      </c>
      <c r="S680">
        <v>6650</v>
      </c>
      <c r="T680">
        <v>1545829</v>
      </c>
    </row>
    <row r="681" spans="1:20" x14ac:dyDescent="0.25">
      <c r="A681" t="s">
        <v>90</v>
      </c>
      <c r="B681" t="s">
        <v>90</v>
      </c>
      <c r="C681">
        <v>202502</v>
      </c>
      <c r="D681" s="47" t="str">
        <f>MID(C681,1,4)</f>
        <v>2025</v>
      </c>
      <c r="E681" t="str">
        <f>IF(Portfolio!$M$1=1,CONCATENATE(A681,C681),CONCATENATE(B681,C681))</f>
        <v>HEAVENLY WANG202502</v>
      </c>
      <c r="F681">
        <v>3</v>
      </c>
      <c r="G681">
        <v>0</v>
      </c>
      <c r="H681">
        <v>1</v>
      </c>
      <c r="I681">
        <v>0</v>
      </c>
      <c r="J681">
        <v>0</v>
      </c>
      <c r="K681">
        <v>525525</v>
      </c>
      <c r="L681">
        <v>0</v>
      </c>
      <c r="M681">
        <v>34650</v>
      </c>
      <c r="N681">
        <v>0</v>
      </c>
      <c r="O681">
        <v>0</v>
      </c>
      <c r="P681">
        <v>788</v>
      </c>
      <c r="Q681">
        <v>0</v>
      </c>
      <c r="R681">
        <v>624</v>
      </c>
      <c r="S681">
        <v>0</v>
      </c>
      <c r="T681">
        <v>0</v>
      </c>
    </row>
    <row r="682" spans="1:20" x14ac:dyDescent="0.25">
      <c r="A682" t="s">
        <v>92</v>
      </c>
      <c r="B682" t="s">
        <v>108</v>
      </c>
      <c r="C682">
        <v>202502</v>
      </c>
      <c r="D682" s="47" t="str">
        <f>MID(C682,1,4)</f>
        <v>2025</v>
      </c>
      <c r="E682" t="str">
        <f>IF(Portfolio!$M$1=1,CONCATENATE(A682,C682),CONCATENATE(B682,C682))</f>
        <v>HERO GROUP202502</v>
      </c>
      <c r="F682">
        <v>42</v>
      </c>
      <c r="G682">
        <v>5</v>
      </c>
      <c r="H682">
        <v>0</v>
      </c>
      <c r="I682">
        <v>0</v>
      </c>
      <c r="J682">
        <v>69</v>
      </c>
      <c r="K682">
        <v>20958270</v>
      </c>
      <c r="L682">
        <v>1398250</v>
      </c>
      <c r="M682">
        <v>0</v>
      </c>
      <c r="N682">
        <v>0</v>
      </c>
      <c r="O682">
        <v>3469931</v>
      </c>
      <c r="P682">
        <v>31437</v>
      </c>
      <c r="Q682">
        <v>13983</v>
      </c>
      <c r="R682">
        <v>0</v>
      </c>
      <c r="S682">
        <v>0</v>
      </c>
      <c r="T682">
        <v>0</v>
      </c>
    </row>
    <row r="683" spans="1:20" x14ac:dyDescent="0.25">
      <c r="A683" t="s">
        <v>96</v>
      </c>
      <c r="B683" t="s">
        <v>96</v>
      </c>
      <c r="C683">
        <v>202502</v>
      </c>
      <c r="D683" s="47" t="str">
        <f>MID(C683,1,4)</f>
        <v>2025</v>
      </c>
      <c r="E683" t="str">
        <f>IF(Portfolio!$M$1=1,CONCATENATE(A683,C683),CONCATENATE(B683,C683))</f>
        <v>HOKKAIDO BAKED CHEESE202502</v>
      </c>
      <c r="F683">
        <v>19</v>
      </c>
      <c r="G683">
        <v>120</v>
      </c>
      <c r="H683">
        <v>3</v>
      </c>
      <c r="I683">
        <v>1242</v>
      </c>
      <c r="J683">
        <v>818</v>
      </c>
      <c r="K683">
        <v>1753000</v>
      </c>
      <c r="L683">
        <v>12220806</v>
      </c>
      <c r="M683">
        <v>375000</v>
      </c>
      <c r="N683">
        <v>59807380</v>
      </c>
      <c r="O683">
        <v>67353059</v>
      </c>
      <c r="P683">
        <v>2630</v>
      </c>
      <c r="Q683">
        <v>122208</v>
      </c>
      <c r="R683">
        <v>7164</v>
      </c>
      <c r="S683">
        <v>386429</v>
      </c>
      <c r="T683">
        <v>426705</v>
      </c>
    </row>
    <row r="684" spans="1:20" x14ac:dyDescent="0.25">
      <c r="A684" t="s">
        <v>97</v>
      </c>
      <c r="B684" t="s">
        <v>97</v>
      </c>
      <c r="C684">
        <v>202502</v>
      </c>
      <c r="D684" s="47" t="str">
        <f>MID(C684,1,4)</f>
        <v>2025</v>
      </c>
      <c r="E684" t="str">
        <f>IF(Portfolio!$M$1=1,CONCATENATE(A684,C684),CONCATENATE(B684,C684))</f>
        <v>HOP HOP202502</v>
      </c>
      <c r="F684">
        <v>0</v>
      </c>
      <c r="G684">
        <v>0</v>
      </c>
      <c r="H684">
        <v>0</v>
      </c>
      <c r="I684">
        <v>2648</v>
      </c>
      <c r="J684">
        <v>4531</v>
      </c>
      <c r="K684">
        <v>0</v>
      </c>
      <c r="L684">
        <v>0</v>
      </c>
      <c r="M684">
        <v>0</v>
      </c>
      <c r="N684">
        <v>77948556</v>
      </c>
      <c r="O684">
        <v>170137881</v>
      </c>
      <c r="P684">
        <v>0</v>
      </c>
      <c r="Q684">
        <v>0</v>
      </c>
      <c r="R684">
        <v>0</v>
      </c>
      <c r="S684">
        <v>16016</v>
      </c>
      <c r="T684">
        <v>9562</v>
      </c>
    </row>
    <row r="685" spans="1:20" x14ac:dyDescent="0.25">
      <c r="A685" t="s">
        <v>97</v>
      </c>
      <c r="B685" t="s">
        <v>113</v>
      </c>
      <c r="C685">
        <v>202502</v>
      </c>
      <c r="D685" s="47" t="str">
        <f>MID(C685,1,4)</f>
        <v>2025</v>
      </c>
      <c r="E685" t="str">
        <f>IF(Portfolio!$M$1=1,CONCATENATE(A685,C685),CONCATENATE(B685,C685))</f>
        <v>HOP HOP202502</v>
      </c>
      <c r="F685">
        <v>0</v>
      </c>
      <c r="G685">
        <v>0</v>
      </c>
      <c r="H685">
        <v>0</v>
      </c>
      <c r="I685">
        <v>200</v>
      </c>
      <c r="J685">
        <v>382</v>
      </c>
      <c r="K685">
        <v>0</v>
      </c>
      <c r="L685">
        <v>0</v>
      </c>
      <c r="M685">
        <v>0</v>
      </c>
      <c r="N685">
        <v>8186000</v>
      </c>
      <c r="O685">
        <v>15551800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 x14ac:dyDescent="0.25">
      <c r="A686" t="s">
        <v>99</v>
      </c>
      <c r="B686" t="s">
        <v>99</v>
      </c>
      <c r="C686">
        <v>202502</v>
      </c>
      <c r="D686" s="47" t="str">
        <f>MID(C686,1,4)</f>
        <v>2025</v>
      </c>
      <c r="E686" t="str">
        <f>IF(Portfolio!$M$1=1,CONCATENATE(A686,C686),CONCATENATE(B686,C686))</f>
        <v>IKEA202502</v>
      </c>
      <c r="F686">
        <v>18</v>
      </c>
      <c r="G686">
        <v>0</v>
      </c>
      <c r="H686">
        <v>0</v>
      </c>
      <c r="I686">
        <v>0</v>
      </c>
      <c r="J686">
        <v>0</v>
      </c>
      <c r="K686">
        <v>12026600</v>
      </c>
      <c r="L686">
        <v>0</v>
      </c>
      <c r="M686">
        <v>0</v>
      </c>
      <c r="N686">
        <v>0</v>
      </c>
      <c r="O686">
        <v>0</v>
      </c>
      <c r="P686">
        <v>18040</v>
      </c>
      <c r="Q686">
        <v>0</v>
      </c>
      <c r="R686">
        <v>0</v>
      </c>
      <c r="S686">
        <v>0</v>
      </c>
      <c r="T686">
        <v>0</v>
      </c>
    </row>
    <row r="687" spans="1:20" x14ac:dyDescent="0.25">
      <c r="A687" t="s">
        <v>101</v>
      </c>
      <c r="B687" t="s">
        <v>101</v>
      </c>
      <c r="C687">
        <v>202502</v>
      </c>
      <c r="D687" s="47" t="str">
        <f>MID(C687,1,4)</f>
        <v>2025</v>
      </c>
      <c r="E687" t="str">
        <f>IF(Portfolio!$M$1=1,CONCATENATE(A687,C687),CONCATENATE(B687,C687))</f>
        <v>INDOMARET202502</v>
      </c>
      <c r="F687">
        <v>27542</v>
      </c>
      <c r="G687">
        <v>63257</v>
      </c>
      <c r="H687">
        <v>21035</v>
      </c>
      <c r="I687">
        <v>4</v>
      </c>
      <c r="J687">
        <v>336</v>
      </c>
      <c r="K687">
        <v>2809101312</v>
      </c>
      <c r="L687">
        <v>5907255423</v>
      </c>
      <c r="M687">
        <v>2863828461</v>
      </c>
      <c r="N687">
        <v>115200</v>
      </c>
      <c r="O687">
        <v>11695800</v>
      </c>
      <c r="P687">
        <v>4213650</v>
      </c>
      <c r="Q687">
        <v>59072554</v>
      </c>
      <c r="R687">
        <v>47872575</v>
      </c>
      <c r="S687">
        <v>806</v>
      </c>
      <c r="T687">
        <v>79117</v>
      </c>
    </row>
    <row r="688" spans="1:20" x14ac:dyDescent="0.25">
      <c r="A688" t="s">
        <v>101</v>
      </c>
      <c r="B688" t="s">
        <v>117</v>
      </c>
      <c r="C688">
        <v>202502</v>
      </c>
      <c r="D688" s="47" t="str">
        <f>MID(C688,1,4)</f>
        <v>2025</v>
      </c>
      <c r="E688" t="str">
        <f>IF(Portfolio!$M$1=1,CONCATENATE(A688,C688),CONCATENATE(B688,C688))</f>
        <v>INDOMARET202502</v>
      </c>
      <c r="F688">
        <v>129</v>
      </c>
      <c r="G688">
        <v>229</v>
      </c>
      <c r="H688">
        <v>108</v>
      </c>
      <c r="I688">
        <v>0</v>
      </c>
      <c r="J688">
        <v>0</v>
      </c>
      <c r="K688">
        <v>8818749</v>
      </c>
      <c r="L688">
        <v>18442350</v>
      </c>
      <c r="M688">
        <v>12621500</v>
      </c>
      <c r="N688">
        <v>0</v>
      </c>
      <c r="O688">
        <v>0</v>
      </c>
      <c r="P688">
        <v>13228</v>
      </c>
      <c r="Q688">
        <v>184424</v>
      </c>
      <c r="R688">
        <v>208255</v>
      </c>
      <c r="S688">
        <v>0</v>
      </c>
      <c r="T688">
        <v>0</v>
      </c>
    </row>
    <row r="689" spans="1:20" x14ac:dyDescent="0.25">
      <c r="A689" t="s">
        <v>102</v>
      </c>
      <c r="B689" t="s">
        <v>123</v>
      </c>
      <c r="C689">
        <v>202502</v>
      </c>
      <c r="D689" s="47" t="str">
        <f>MID(C689,1,4)</f>
        <v>2025</v>
      </c>
      <c r="E689" t="str">
        <f>IF(Portfolio!$M$1=1,CONCATENATE(A689,C689),CONCATENATE(B689,C689))</f>
        <v>KAWAN LAMA202502</v>
      </c>
      <c r="F689">
        <v>1377</v>
      </c>
      <c r="G689">
        <v>0</v>
      </c>
      <c r="H689">
        <v>0</v>
      </c>
      <c r="I689">
        <v>0</v>
      </c>
      <c r="J689">
        <v>0</v>
      </c>
      <c r="K689">
        <v>1367980386</v>
      </c>
      <c r="L689">
        <v>0</v>
      </c>
      <c r="M689">
        <v>0</v>
      </c>
      <c r="N689">
        <v>0</v>
      </c>
      <c r="O689">
        <v>0</v>
      </c>
      <c r="P689">
        <v>2051969</v>
      </c>
      <c r="Q689">
        <v>0</v>
      </c>
      <c r="R689">
        <v>0</v>
      </c>
      <c r="S689">
        <v>0</v>
      </c>
      <c r="T689">
        <v>0</v>
      </c>
    </row>
    <row r="690" spans="1:20" x14ac:dyDescent="0.25">
      <c r="A690" t="s">
        <v>102</v>
      </c>
      <c r="B690" t="s">
        <v>125</v>
      </c>
      <c r="C690">
        <v>202502</v>
      </c>
      <c r="D690" s="47" t="str">
        <f>MID(C690,1,4)</f>
        <v>2025</v>
      </c>
      <c r="E690" t="str">
        <f>IF(Portfolio!$M$1=1,CONCATENATE(A690,C690),CONCATENATE(B690,C690))</f>
        <v>KAWAN LAMA202502</v>
      </c>
      <c r="F690">
        <v>315</v>
      </c>
      <c r="G690">
        <v>0</v>
      </c>
      <c r="H690">
        <v>0</v>
      </c>
      <c r="I690">
        <v>12367</v>
      </c>
      <c r="J690">
        <v>142</v>
      </c>
      <c r="K690">
        <v>31233000</v>
      </c>
      <c r="L690">
        <v>0</v>
      </c>
      <c r="M690">
        <v>0</v>
      </c>
      <c r="N690">
        <v>37050885</v>
      </c>
      <c r="O690">
        <v>5920475</v>
      </c>
      <c r="P690">
        <v>46850</v>
      </c>
      <c r="Q690">
        <v>0</v>
      </c>
      <c r="R690">
        <v>0</v>
      </c>
      <c r="S690">
        <v>259308</v>
      </c>
      <c r="T690">
        <v>41445</v>
      </c>
    </row>
    <row r="691" spans="1:20" x14ac:dyDescent="0.25">
      <c r="A691" t="s">
        <v>102</v>
      </c>
      <c r="B691" t="s">
        <v>127</v>
      </c>
      <c r="C691">
        <v>202502</v>
      </c>
      <c r="D691" s="47" t="str">
        <f>MID(C691,1,4)</f>
        <v>2025</v>
      </c>
      <c r="E691" t="str">
        <f>IF(Portfolio!$M$1=1,CONCATENATE(A691,C691),CONCATENATE(B691,C691))</f>
        <v>KAWAN LAMA202502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151000</v>
      </c>
      <c r="L691">
        <v>0</v>
      </c>
      <c r="M691">
        <v>0</v>
      </c>
      <c r="N691">
        <v>0</v>
      </c>
      <c r="O691">
        <v>0</v>
      </c>
      <c r="P691">
        <v>226</v>
      </c>
      <c r="Q691">
        <v>0</v>
      </c>
      <c r="R691">
        <v>0</v>
      </c>
      <c r="S691">
        <v>0</v>
      </c>
      <c r="T691">
        <v>0</v>
      </c>
    </row>
    <row r="692" spans="1:20" x14ac:dyDescent="0.25">
      <c r="A692" t="s">
        <v>102</v>
      </c>
      <c r="B692" t="s">
        <v>129</v>
      </c>
      <c r="C692">
        <v>202502</v>
      </c>
      <c r="D692" s="47" t="str">
        <f>MID(C692,1,4)</f>
        <v>2025</v>
      </c>
      <c r="E692" t="str">
        <f>IF(Portfolio!$M$1=1,CONCATENATE(A692,C692),CONCATENATE(B692,C692))</f>
        <v>KAWAN LAMA202502</v>
      </c>
      <c r="F692">
        <v>0</v>
      </c>
      <c r="G692">
        <v>0</v>
      </c>
      <c r="H692">
        <v>0</v>
      </c>
      <c r="I692">
        <v>0</v>
      </c>
      <c r="J692">
        <v>3</v>
      </c>
      <c r="K692">
        <v>0</v>
      </c>
      <c r="L692">
        <v>0</v>
      </c>
      <c r="M692">
        <v>0</v>
      </c>
      <c r="N692">
        <v>0</v>
      </c>
      <c r="O692">
        <v>309523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 x14ac:dyDescent="0.25">
      <c r="A693" t="s">
        <v>102</v>
      </c>
      <c r="B693" t="s">
        <v>131</v>
      </c>
      <c r="C693">
        <v>202502</v>
      </c>
      <c r="D693" s="47" t="str">
        <f>MID(C693,1,4)</f>
        <v>2025</v>
      </c>
      <c r="E693" t="str">
        <f>IF(Portfolio!$M$1=1,CONCATENATE(A693,C693),CONCATENATE(B693,C693))</f>
        <v>KAWAN LAMA202502</v>
      </c>
      <c r="F693">
        <v>7</v>
      </c>
      <c r="G693">
        <v>0</v>
      </c>
      <c r="H693">
        <v>0</v>
      </c>
      <c r="I693">
        <v>372</v>
      </c>
      <c r="J693">
        <v>13</v>
      </c>
      <c r="K693">
        <v>362000</v>
      </c>
      <c r="L693">
        <v>0</v>
      </c>
      <c r="M693">
        <v>0</v>
      </c>
      <c r="N693">
        <v>3459296</v>
      </c>
      <c r="O693">
        <v>542152</v>
      </c>
      <c r="P693">
        <v>543</v>
      </c>
      <c r="Q693">
        <v>0</v>
      </c>
      <c r="R693">
        <v>0</v>
      </c>
      <c r="S693">
        <v>24215</v>
      </c>
      <c r="T693">
        <v>3795</v>
      </c>
    </row>
    <row r="694" spans="1:20" x14ac:dyDescent="0.25">
      <c r="A694" t="s">
        <v>102</v>
      </c>
      <c r="B694" t="s">
        <v>133</v>
      </c>
      <c r="C694">
        <v>202502</v>
      </c>
      <c r="D694" s="47" t="str">
        <f>MID(C694,1,4)</f>
        <v>2025</v>
      </c>
      <c r="E694" t="str">
        <f>IF(Portfolio!$M$1=1,CONCATENATE(A694,C694),CONCATENATE(B694,C694))</f>
        <v>KAWAN LAMA202502</v>
      </c>
      <c r="F694">
        <v>19</v>
      </c>
      <c r="G694">
        <v>0</v>
      </c>
      <c r="H694">
        <v>0</v>
      </c>
      <c r="I694">
        <v>0</v>
      </c>
      <c r="J694">
        <v>0</v>
      </c>
      <c r="K694">
        <v>3662000</v>
      </c>
      <c r="L694">
        <v>0</v>
      </c>
      <c r="M694">
        <v>0</v>
      </c>
      <c r="N694">
        <v>0</v>
      </c>
      <c r="O694">
        <v>0</v>
      </c>
      <c r="P694">
        <v>5493</v>
      </c>
      <c r="Q694">
        <v>0</v>
      </c>
      <c r="R694">
        <v>0</v>
      </c>
      <c r="S694">
        <v>0</v>
      </c>
      <c r="T694">
        <v>0</v>
      </c>
    </row>
    <row r="695" spans="1:20" x14ac:dyDescent="0.25">
      <c r="A695" t="s">
        <v>102</v>
      </c>
      <c r="B695" t="s">
        <v>135</v>
      </c>
      <c r="C695">
        <v>202502</v>
      </c>
      <c r="D695" s="47" t="str">
        <f>MID(C695,1,4)</f>
        <v>2025</v>
      </c>
      <c r="E695" t="str">
        <f>IF(Portfolio!$M$1=1,CONCATENATE(A695,C695),CONCATENATE(B695,C695))</f>
        <v>KAWAN LAMA202502</v>
      </c>
      <c r="F695">
        <v>385</v>
      </c>
      <c r="G695">
        <v>0</v>
      </c>
      <c r="H695">
        <v>0</v>
      </c>
      <c r="I695">
        <v>0</v>
      </c>
      <c r="J695">
        <v>0</v>
      </c>
      <c r="K695">
        <v>1464563405</v>
      </c>
      <c r="L695">
        <v>0</v>
      </c>
      <c r="M695">
        <v>0</v>
      </c>
      <c r="N695">
        <v>0</v>
      </c>
      <c r="O695">
        <v>0</v>
      </c>
      <c r="P695">
        <v>2196845</v>
      </c>
      <c r="Q695">
        <v>0</v>
      </c>
      <c r="R695">
        <v>0</v>
      </c>
      <c r="S695">
        <v>0</v>
      </c>
      <c r="T695">
        <v>0</v>
      </c>
    </row>
    <row r="696" spans="1:20" x14ac:dyDescent="0.25">
      <c r="A696" t="s">
        <v>102</v>
      </c>
      <c r="B696" t="s">
        <v>137</v>
      </c>
      <c r="C696">
        <v>202502</v>
      </c>
      <c r="D696" s="47" t="str">
        <f>MID(C696,1,4)</f>
        <v>2025</v>
      </c>
      <c r="E696" t="str">
        <f>IF(Portfolio!$M$1=1,CONCATENATE(A696,C696),CONCATENATE(B696,C696))</f>
        <v>KAWAN LAMA202502</v>
      </c>
      <c r="F696">
        <v>18</v>
      </c>
      <c r="G696">
        <v>0</v>
      </c>
      <c r="H696">
        <v>0</v>
      </c>
      <c r="I696">
        <v>0</v>
      </c>
      <c r="J696">
        <v>0</v>
      </c>
      <c r="K696">
        <v>104437350</v>
      </c>
      <c r="L696">
        <v>0</v>
      </c>
      <c r="M696">
        <v>0</v>
      </c>
      <c r="N696">
        <v>0</v>
      </c>
      <c r="O696">
        <v>0</v>
      </c>
      <c r="P696">
        <v>156656</v>
      </c>
      <c r="Q696">
        <v>0</v>
      </c>
      <c r="R696">
        <v>0</v>
      </c>
      <c r="S696">
        <v>0</v>
      </c>
      <c r="T696">
        <v>0</v>
      </c>
    </row>
    <row r="697" spans="1:20" x14ac:dyDescent="0.25">
      <c r="A697" t="s">
        <v>102</v>
      </c>
      <c r="B697" t="s">
        <v>142</v>
      </c>
      <c r="C697">
        <v>202502</v>
      </c>
      <c r="D697" s="47" t="str">
        <f>MID(C697,1,4)</f>
        <v>2025</v>
      </c>
      <c r="E697" t="str">
        <f>IF(Portfolio!$M$1=1,CONCATENATE(A697,C697),CONCATENATE(B697,C697))</f>
        <v>KAWAN LAMA202502</v>
      </c>
      <c r="F697">
        <v>1</v>
      </c>
      <c r="G697">
        <v>0</v>
      </c>
      <c r="H697">
        <v>0</v>
      </c>
      <c r="I697">
        <v>0</v>
      </c>
      <c r="J697">
        <v>10</v>
      </c>
      <c r="K697">
        <v>586400</v>
      </c>
      <c r="L697">
        <v>0</v>
      </c>
      <c r="M697">
        <v>0</v>
      </c>
      <c r="N697">
        <v>0</v>
      </c>
      <c r="O697">
        <v>1363000</v>
      </c>
      <c r="P697">
        <v>880</v>
      </c>
      <c r="Q697">
        <v>0</v>
      </c>
      <c r="R697">
        <v>0</v>
      </c>
      <c r="S697">
        <v>0</v>
      </c>
      <c r="T697">
        <v>9359</v>
      </c>
    </row>
    <row r="698" spans="1:20" x14ac:dyDescent="0.25">
      <c r="A698" t="s">
        <v>103</v>
      </c>
      <c r="B698" t="s">
        <v>146</v>
      </c>
      <c r="C698">
        <v>202502</v>
      </c>
      <c r="D698" s="47" t="str">
        <f>MID(C698,1,4)</f>
        <v>2025</v>
      </c>
      <c r="E698" t="str">
        <f>IF(Portfolio!$M$1=1,CONCATENATE(A698,C698),CONCATENATE(B698,C698))</f>
        <v>KCIC202502</v>
      </c>
      <c r="F698">
        <v>50</v>
      </c>
      <c r="G698">
        <v>1698</v>
      </c>
      <c r="H698">
        <v>1141</v>
      </c>
      <c r="I698">
        <v>0</v>
      </c>
      <c r="J698">
        <v>0</v>
      </c>
      <c r="K698">
        <v>27500000</v>
      </c>
      <c r="L698">
        <v>971475000</v>
      </c>
      <c r="M698">
        <v>901600000</v>
      </c>
      <c r="N698">
        <v>0</v>
      </c>
      <c r="O698">
        <v>0</v>
      </c>
      <c r="P698">
        <v>41250</v>
      </c>
      <c r="Q698">
        <v>9714750</v>
      </c>
      <c r="R698">
        <v>16237850</v>
      </c>
      <c r="S698">
        <v>0</v>
      </c>
      <c r="T698">
        <v>0</v>
      </c>
    </row>
    <row r="699" spans="1:20" x14ac:dyDescent="0.25">
      <c r="A699" t="s">
        <v>107</v>
      </c>
      <c r="B699" t="s">
        <v>162</v>
      </c>
      <c r="C699">
        <v>202502</v>
      </c>
      <c r="D699" s="47" t="str">
        <f>MID(C699,1,4)</f>
        <v>2025</v>
      </c>
      <c r="E699" t="str">
        <f>IF(Portfolio!$M$1=1,CONCATENATE(A699,C699),CONCATENATE(B699,C699))</f>
        <v>MAP GROUP202502</v>
      </c>
      <c r="F699">
        <v>0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193000</v>
      </c>
      <c r="M699">
        <v>0</v>
      </c>
      <c r="N699">
        <v>0</v>
      </c>
      <c r="O699">
        <v>0</v>
      </c>
      <c r="P699">
        <v>0</v>
      </c>
      <c r="Q699">
        <v>1930</v>
      </c>
      <c r="R699">
        <v>0</v>
      </c>
      <c r="S699">
        <v>0</v>
      </c>
      <c r="T699">
        <v>0</v>
      </c>
    </row>
    <row r="700" spans="1:20" x14ac:dyDescent="0.25">
      <c r="A700" t="s">
        <v>107</v>
      </c>
      <c r="B700" t="s">
        <v>178</v>
      </c>
      <c r="C700">
        <v>202502</v>
      </c>
      <c r="D700" s="47" t="str">
        <f>MID(C700,1,4)</f>
        <v>2025</v>
      </c>
      <c r="E700" t="str">
        <f>IF(Portfolio!$M$1=1,CONCATENATE(A700,C700),CONCATENATE(B700,C700))</f>
        <v>MAP GROUP202502</v>
      </c>
      <c r="F700">
        <v>0</v>
      </c>
      <c r="G700">
        <v>113</v>
      </c>
      <c r="H700">
        <v>4</v>
      </c>
      <c r="I700">
        <v>5</v>
      </c>
      <c r="J700">
        <v>585</v>
      </c>
      <c r="K700">
        <v>0</v>
      </c>
      <c r="L700">
        <v>24085500</v>
      </c>
      <c r="M700">
        <v>317600</v>
      </c>
      <c r="N700">
        <v>672700</v>
      </c>
      <c r="O700">
        <v>82876700</v>
      </c>
      <c r="P700">
        <v>0</v>
      </c>
      <c r="Q700">
        <v>240855</v>
      </c>
      <c r="R700">
        <v>5717</v>
      </c>
      <c r="S700">
        <v>4709</v>
      </c>
      <c r="T700">
        <v>577371</v>
      </c>
    </row>
    <row r="701" spans="1:20" x14ac:dyDescent="0.25">
      <c r="A701" t="s">
        <v>109</v>
      </c>
      <c r="B701" t="s">
        <v>109</v>
      </c>
      <c r="C701">
        <v>202502</v>
      </c>
      <c r="D701" s="47" t="str">
        <f>MID(C701,1,4)</f>
        <v>2025</v>
      </c>
      <c r="E701" t="str">
        <f>IF(Portfolio!$M$1=1,CONCATENATE(A701,C701),CONCATENATE(B701,C701))</f>
        <v>MITRA10202502</v>
      </c>
      <c r="F701">
        <v>423</v>
      </c>
      <c r="G701">
        <v>6</v>
      </c>
      <c r="H701">
        <v>0</v>
      </c>
      <c r="I701">
        <v>0</v>
      </c>
      <c r="J701">
        <v>0</v>
      </c>
      <c r="K701">
        <v>912476852</v>
      </c>
      <c r="L701">
        <v>60979424</v>
      </c>
      <c r="M701">
        <v>0</v>
      </c>
      <c r="N701">
        <v>0</v>
      </c>
      <c r="O701">
        <v>0</v>
      </c>
      <c r="P701">
        <v>1368714</v>
      </c>
      <c r="Q701">
        <v>609794</v>
      </c>
      <c r="R701">
        <v>0</v>
      </c>
      <c r="S701">
        <v>0</v>
      </c>
      <c r="T701">
        <v>0</v>
      </c>
    </row>
    <row r="702" spans="1:20" x14ac:dyDescent="0.25">
      <c r="A702" t="s">
        <v>110</v>
      </c>
      <c r="B702" t="s">
        <v>110</v>
      </c>
      <c r="C702">
        <v>202502</v>
      </c>
      <c r="D702" s="47" t="str">
        <f>MID(C702,1,4)</f>
        <v>2025</v>
      </c>
      <c r="E702" t="str">
        <f>IF(Portfolio!$M$1=1,CONCATENATE(A702,C702),CONCATENATE(B702,C702))</f>
        <v>OPTIK MELAWAI202502</v>
      </c>
      <c r="F702">
        <v>80</v>
      </c>
      <c r="G702">
        <v>495</v>
      </c>
      <c r="H702">
        <v>31</v>
      </c>
      <c r="I702">
        <v>1</v>
      </c>
      <c r="J702">
        <v>431</v>
      </c>
      <c r="K702">
        <v>90973000</v>
      </c>
      <c r="L702">
        <v>724835000</v>
      </c>
      <c r="M702">
        <v>27255000</v>
      </c>
      <c r="N702">
        <v>4350000</v>
      </c>
      <c r="O702">
        <v>223536500</v>
      </c>
      <c r="P702">
        <v>136460</v>
      </c>
      <c r="Q702">
        <v>7248350</v>
      </c>
      <c r="R702">
        <v>503620</v>
      </c>
      <c r="S702">
        <v>30450</v>
      </c>
      <c r="T702">
        <v>1564751</v>
      </c>
    </row>
    <row r="703" spans="1:20" x14ac:dyDescent="0.25">
      <c r="A703" t="s">
        <v>111</v>
      </c>
      <c r="B703" t="s">
        <v>212</v>
      </c>
      <c r="C703">
        <v>202502</v>
      </c>
      <c r="D703" s="47" t="str">
        <f>MID(C703,1,4)</f>
        <v>2025</v>
      </c>
      <c r="E703" t="str">
        <f>IF(Portfolio!$M$1=1,CONCATENATE(A703,C703),CONCATENATE(B703,C703))</f>
        <v>PATRA JASA202502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2400000</v>
      </c>
      <c r="N703">
        <v>0</v>
      </c>
      <c r="O703">
        <v>0</v>
      </c>
      <c r="P703">
        <v>0</v>
      </c>
      <c r="Q703">
        <v>0</v>
      </c>
      <c r="R703">
        <v>43200</v>
      </c>
      <c r="S703">
        <v>0</v>
      </c>
      <c r="T703">
        <v>0</v>
      </c>
    </row>
    <row r="704" spans="1:20" x14ac:dyDescent="0.25">
      <c r="A704" t="s">
        <v>112</v>
      </c>
      <c r="B704" t="s">
        <v>215</v>
      </c>
      <c r="C704">
        <v>202502</v>
      </c>
      <c r="D704" s="47" t="str">
        <f>MID(C704,1,4)</f>
        <v>2025</v>
      </c>
      <c r="E704" t="str">
        <f>IF(Portfolio!$M$1=1,CONCATENATE(A704,C704),CONCATENATE(B704,C704))</f>
        <v>PERTAMINA RETAIL202502</v>
      </c>
      <c r="F704">
        <v>0</v>
      </c>
      <c r="G704">
        <v>0</v>
      </c>
      <c r="H704">
        <v>0</v>
      </c>
      <c r="I704">
        <v>0</v>
      </c>
      <c r="J704">
        <v>4</v>
      </c>
      <c r="K704">
        <v>0</v>
      </c>
      <c r="L704">
        <v>0</v>
      </c>
      <c r="M704">
        <v>0</v>
      </c>
      <c r="N704">
        <v>0</v>
      </c>
      <c r="O704">
        <v>890000</v>
      </c>
      <c r="P704">
        <v>0</v>
      </c>
      <c r="Q704">
        <v>0</v>
      </c>
      <c r="R704">
        <v>0</v>
      </c>
      <c r="S704">
        <v>0</v>
      </c>
      <c r="T704">
        <v>5340</v>
      </c>
    </row>
    <row r="705" spans="1:20" x14ac:dyDescent="0.25">
      <c r="A705" t="s">
        <v>112</v>
      </c>
      <c r="B705" t="s">
        <v>216</v>
      </c>
      <c r="C705">
        <v>202502</v>
      </c>
      <c r="D705" s="47" t="str">
        <f>MID(C705,1,4)</f>
        <v>2025</v>
      </c>
      <c r="E705" t="str">
        <f>IF(Portfolio!$M$1=1,CONCATENATE(A705,C705),CONCATENATE(B705,C705))</f>
        <v>PERTAMINA RETAIL202502</v>
      </c>
      <c r="F705">
        <v>120</v>
      </c>
      <c r="G705">
        <v>5915</v>
      </c>
      <c r="H705">
        <v>336</v>
      </c>
      <c r="I705">
        <v>23</v>
      </c>
      <c r="J705">
        <v>2973</v>
      </c>
      <c r="K705">
        <v>25047755</v>
      </c>
      <c r="L705">
        <v>1324334249</v>
      </c>
      <c r="M705">
        <v>125013561</v>
      </c>
      <c r="N705">
        <v>4139313</v>
      </c>
      <c r="O705">
        <v>411580406</v>
      </c>
      <c r="P705">
        <v>37572</v>
      </c>
      <c r="Q705">
        <v>9573717</v>
      </c>
      <c r="R705">
        <v>2252345</v>
      </c>
      <c r="S705">
        <v>15974</v>
      </c>
      <c r="T705">
        <v>1516595</v>
      </c>
    </row>
    <row r="706" spans="1:20" x14ac:dyDescent="0.25">
      <c r="A706" t="s">
        <v>114</v>
      </c>
      <c r="B706" t="s">
        <v>217</v>
      </c>
      <c r="C706">
        <v>202502</v>
      </c>
      <c r="D706" s="47" t="str">
        <f>MID(C706,1,4)</f>
        <v>2025</v>
      </c>
      <c r="E706" t="str">
        <f>IF(Portfolio!$M$1=1,CONCATENATE(A706,C706),CONCATENATE(B706,C706))</f>
        <v>PIZZA HUT202502</v>
      </c>
      <c r="F706">
        <v>41</v>
      </c>
      <c r="G706">
        <v>0</v>
      </c>
      <c r="H706">
        <v>0</v>
      </c>
      <c r="I706">
        <v>537</v>
      </c>
      <c r="J706">
        <v>27</v>
      </c>
      <c r="K706">
        <v>8304995</v>
      </c>
      <c r="L706">
        <v>0</v>
      </c>
      <c r="M706">
        <v>0</v>
      </c>
      <c r="N706">
        <v>8623340</v>
      </c>
      <c r="O706">
        <v>1348532</v>
      </c>
      <c r="P706">
        <v>12457</v>
      </c>
      <c r="Q706">
        <v>0</v>
      </c>
      <c r="R706">
        <v>0</v>
      </c>
      <c r="S706">
        <v>60363</v>
      </c>
      <c r="T706">
        <v>9440</v>
      </c>
    </row>
    <row r="707" spans="1:20" x14ac:dyDescent="0.25">
      <c r="A707" t="s">
        <v>114</v>
      </c>
      <c r="B707" t="s">
        <v>218</v>
      </c>
      <c r="C707">
        <v>202502</v>
      </c>
      <c r="D707" s="47" t="str">
        <f>MID(C707,1,4)</f>
        <v>2025</v>
      </c>
      <c r="E707" t="str">
        <f>IF(Portfolio!$M$1=1,CONCATENATE(A707,C707),CONCATENATE(B707,C707))</f>
        <v>PIZZA HUT202502</v>
      </c>
      <c r="F707">
        <v>255</v>
      </c>
      <c r="G707">
        <v>1</v>
      </c>
      <c r="H707">
        <v>0</v>
      </c>
      <c r="I707">
        <v>0</v>
      </c>
      <c r="J707">
        <v>0</v>
      </c>
      <c r="K707">
        <v>71171299</v>
      </c>
      <c r="L707">
        <v>126000</v>
      </c>
      <c r="M707">
        <v>0</v>
      </c>
      <c r="N707">
        <v>0</v>
      </c>
      <c r="O707">
        <v>0</v>
      </c>
      <c r="P707">
        <v>106756</v>
      </c>
      <c r="Q707">
        <v>1260</v>
      </c>
      <c r="R707">
        <v>0</v>
      </c>
      <c r="S707">
        <v>0</v>
      </c>
      <c r="T707">
        <v>0</v>
      </c>
    </row>
    <row r="708" spans="1:20" x14ac:dyDescent="0.25">
      <c r="A708" t="s">
        <v>115</v>
      </c>
      <c r="B708" t="s">
        <v>115</v>
      </c>
      <c r="C708">
        <v>202502</v>
      </c>
      <c r="D708" s="47" t="str">
        <f>MID(C708,1,4)</f>
        <v>2025</v>
      </c>
      <c r="E708" t="str">
        <f>IF(Portfolio!$M$1=1,CONCATENATE(A708,C708),CONCATENATE(B708,C708))</f>
        <v>PLATINUM CINEPLEX202502</v>
      </c>
      <c r="F708">
        <v>12</v>
      </c>
      <c r="G708">
        <v>527</v>
      </c>
      <c r="H708">
        <v>42</v>
      </c>
      <c r="I708">
        <v>122</v>
      </c>
      <c r="J708">
        <v>2864</v>
      </c>
      <c r="K708">
        <v>1132000</v>
      </c>
      <c r="L708">
        <v>55036000</v>
      </c>
      <c r="M708">
        <v>4190000</v>
      </c>
      <c r="N708">
        <v>7930000</v>
      </c>
      <c r="O708">
        <v>255459004</v>
      </c>
      <c r="P708">
        <v>1698</v>
      </c>
      <c r="Q708">
        <v>550360</v>
      </c>
      <c r="R708">
        <v>76394</v>
      </c>
      <c r="S708">
        <v>55510</v>
      </c>
      <c r="T708">
        <v>1788213</v>
      </c>
    </row>
    <row r="709" spans="1:20" x14ac:dyDescent="0.25">
      <c r="A709" t="s">
        <v>116</v>
      </c>
      <c r="B709" t="s">
        <v>116</v>
      </c>
      <c r="C709">
        <v>202502</v>
      </c>
      <c r="D709" s="47" t="str">
        <f>MID(C709,1,4)</f>
        <v>2025</v>
      </c>
      <c r="E709" t="str">
        <f>IF(Portfolio!$M$1=1,CONCATENATE(A709,C709),CONCATENATE(B709,C709))</f>
        <v>POPEYES202502</v>
      </c>
      <c r="F709">
        <v>13</v>
      </c>
      <c r="G709">
        <v>1</v>
      </c>
      <c r="H709">
        <v>0</v>
      </c>
      <c r="I709">
        <v>987</v>
      </c>
      <c r="J709">
        <v>56</v>
      </c>
      <c r="K709">
        <v>1069255</v>
      </c>
      <c r="L709">
        <v>175596</v>
      </c>
      <c r="M709">
        <v>0</v>
      </c>
      <c r="N709">
        <v>21047389</v>
      </c>
      <c r="O709">
        <v>2382694</v>
      </c>
      <c r="P709">
        <v>1604</v>
      </c>
      <c r="Q709">
        <v>1756</v>
      </c>
      <c r="R709">
        <v>0</v>
      </c>
      <c r="S709">
        <v>147331</v>
      </c>
      <c r="T709">
        <v>16679</v>
      </c>
    </row>
    <row r="710" spans="1:20" x14ac:dyDescent="0.25">
      <c r="A710" t="s">
        <v>118</v>
      </c>
      <c r="B710" t="s">
        <v>118</v>
      </c>
      <c r="C710">
        <v>202502</v>
      </c>
      <c r="D710" s="47" t="str">
        <f>MID(C710,1,4)</f>
        <v>2025</v>
      </c>
      <c r="E710" t="str">
        <f>IF(Portfolio!$M$1=1,CONCATENATE(A710,C710),CONCATENATE(B710,C710))</f>
        <v>SARINAH202502</v>
      </c>
      <c r="F710">
        <v>14</v>
      </c>
      <c r="G710">
        <v>214</v>
      </c>
      <c r="H710">
        <v>527</v>
      </c>
      <c r="I710">
        <v>1</v>
      </c>
      <c r="J710">
        <v>61</v>
      </c>
      <c r="K710">
        <v>10020453</v>
      </c>
      <c r="L710">
        <v>173320727</v>
      </c>
      <c r="M710">
        <v>545918311</v>
      </c>
      <c r="N710">
        <v>225000</v>
      </c>
      <c r="O710">
        <v>3575500</v>
      </c>
      <c r="P710">
        <v>15031</v>
      </c>
      <c r="Q710">
        <v>1733207</v>
      </c>
      <c r="R710">
        <v>9826530</v>
      </c>
      <c r="S710">
        <v>1575</v>
      </c>
      <c r="T710">
        <v>25029</v>
      </c>
    </row>
    <row r="711" spans="1:20" x14ac:dyDescent="0.25">
      <c r="A711" t="s">
        <v>120</v>
      </c>
      <c r="B711" t="s">
        <v>120</v>
      </c>
      <c r="C711">
        <v>202502</v>
      </c>
      <c r="D711" s="47" t="str">
        <f>MID(C711,1,4)</f>
        <v>2025</v>
      </c>
      <c r="E711" t="str">
        <f>IF(Portfolio!$M$1=1,CONCATENATE(A711,C711),CONCATENATE(B711,C711))</f>
        <v>SHIHLIN202502</v>
      </c>
      <c r="F711">
        <v>247</v>
      </c>
      <c r="G711">
        <v>17</v>
      </c>
      <c r="H711">
        <v>1</v>
      </c>
      <c r="I711">
        <v>8497</v>
      </c>
      <c r="J711">
        <v>145</v>
      </c>
      <c r="K711">
        <v>15959000</v>
      </c>
      <c r="L711">
        <v>1338000</v>
      </c>
      <c r="M711">
        <v>214000</v>
      </c>
      <c r="N711">
        <v>225604901</v>
      </c>
      <c r="O711">
        <v>6471785</v>
      </c>
      <c r="P711">
        <v>23938</v>
      </c>
      <c r="Q711">
        <v>13380</v>
      </c>
      <c r="R711">
        <v>4280</v>
      </c>
      <c r="S711">
        <v>1535696</v>
      </c>
      <c r="T711">
        <v>12213</v>
      </c>
    </row>
    <row r="712" spans="1:20" x14ac:dyDescent="0.25">
      <c r="A712" t="s">
        <v>122</v>
      </c>
      <c r="B712" t="s">
        <v>122</v>
      </c>
      <c r="C712">
        <v>202502</v>
      </c>
      <c r="D712" s="47" t="str">
        <f>MID(C712,1,4)</f>
        <v>2025</v>
      </c>
      <c r="E712" t="str">
        <f>IF(Portfolio!$M$1=1,CONCATENATE(A712,C712),CONCATENATE(B712,C712))</f>
        <v>SOLARIA202502</v>
      </c>
      <c r="F712">
        <v>1696</v>
      </c>
      <c r="G712">
        <v>4</v>
      </c>
      <c r="H712">
        <v>0</v>
      </c>
      <c r="I712">
        <v>0</v>
      </c>
      <c r="J712">
        <v>0</v>
      </c>
      <c r="K712">
        <v>268286100</v>
      </c>
      <c r="L712">
        <v>678000</v>
      </c>
      <c r="M712">
        <v>0</v>
      </c>
      <c r="N712">
        <v>0</v>
      </c>
      <c r="O712">
        <v>0</v>
      </c>
      <c r="P712">
        <v>402429</v>
      </c>
      <c r="Q712">
        <v>6780</v>
      </c>
      <c r="R712">
        <v>0</v>
      </c>
      <c r="S712">
        <v>0</v>
      </c>
      <c r="T712">
        <v>0</v>
      </c>
    </row>
    <row r="713" spans="1:20" x14ac:dyDescent="0.25">
      <c r="A713" t="s">
        <v>124</v>
      </c>
      <c r="B713" t="s">
        <v>124</v>
      </c>
      <c r="C713">
        <v>202502</v>
      </c>
      <c r="D713" s="47" t="str">
        <f>MID(C713,1,4)</f>
        <v>2025</v>
      </c>
      <c r="E713" t="str">
        <f>IF(Portfolio!$M$1=1,CONCATENATE(A713,C713),CONCATENATE(B713,C713))</f>
        <v>SOUR SALLY202502</v>
      </c>
      <c r="F713">
        <v>7</v>
      </c>
      <c r="G713">
        <v>4</v>
      </c>
      <c r="H713">
        <v>1</v>
      </c>
      <c r="I713">
        <v>63</v>
      </c>
      <c r="J713">
        <v>2062</v>
      </c>
      <c r="K713">
        <v>895000</v>
      </c>
      <c r="L713">
        <v>392610</v>
      </c>
      <c r="M713">
        <v>199000</v>
      </c>
      <c r="N713">
        <v>4462000</v>
      </c>
      <c r="O713">
        <v>154307702</v>
      </c>
      <c r="P713">
        <v>1342</v>
      </c>
      <c r="Q713">
        <v>3926</v>
      </c>
      <c r="R713">
        <v>3582</v>
      </c>
      <c r="S713">
        <v>31234</v>
      </c>
      <c r="T713">
        <v>1080155</v>
      </c>
    </row>
    <row r="714" spans="1:20" x14ac:dyDescent="0.25">
      <c r="A714" t="s">
        <v>126</v>
      </c>
      <c r="B714" t="s">
        <v>220</v>
      </c>
      <c r="C714">
        <v>202502</v>
      </c>
      <c r="D714" s="47" t="str">
        <f>MID(C714,1,4)</f>
        <v>2025</v>
      </c>
      <c r="E714" t="str">
        <f>IF(Portfolio!$M$1=1,CONCATENATE(A714,C714),CONCATENATE(B714,C714))</f>
        <v>STEVEN GROUP202502</v>
      </c>
      <c r="F714">
        <v>136</v>
      </c>
      <c r="G714">
        <v>25</v>
      </c>
      <c r="H714">
        <v>9</v>
      </c>
      <c r="I714">
        <v>3205</v>
      </c>
      <c r="J714">
        <v>177</v>
      </c>
      <c r="K714">
        <v>12700874</v>
      </c>
      <c r="L714">
        <v>3325573</v>
      </c>
      <c r="M714">
        <v>814032</v>
      </c>
      <c r="N714">
        <v>155476117</v>
      </c>
      <c r="O714">
        <v>8128946</v>
      </c>
      <c r="P714">
        <v>19051</v>
      </c>
      <c r="Q714">
        <v>33256</v>
      </c>
      <c r="R714">
        <v>16281</v>
      </c>
      <c r="S714">
        <v>1088307</v>
      </c>
      <c r="T714">
        <v>56903</v>
      </c>
    </row>
    <row r="715" spans="1:20" x14ac:dyDescent="0.25">
      <c r="A715" t="s">
        <v>126</v>
      </c>
      <c r="B715" t="s">
        <v>221</v>
      </c>
      <c r="C715">
        <v>202502</v>
      </c>
      <c r="D715" s="47" t="str">
        <f>MID(C715,1,4)</f>
        <v>2025</v>
      </c>
      <c r="E715" t="str">
        <f>IF(Portfolio!$M$1=1,CONCATENATE(A715,C715),CONCATENATE(B715,C715))</f>
        <v>STEVEN GROUP202502</v>
      </c>
      <c r="F715">
        <v>0</v>
      </c>
      <c r="G715">
        <v>0</v>
      </c>
      <c r="H715">
        <v>0</v>
      </c>
      <c r="I715">
        <v>0</v>
      </c>
      <c r="J715">
        <v>208</v>
      </c>
      <c r="K715">
        <v>0</v>
      </c>
      <c r="L715">
        <v>0</v>
      </c>
      <c r="M715">
        <v>0</v>
      </c>
      <c r="N715">
        <v>0</v>
      </c>
      <c r="O715">
        <v>6497000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25">
      <c r="A716" t="s">
        <v>126</v>
      </c>
      <c r="B716" t="s">
        <v>222</v>
      </c>
      <c r="C716">
        <v>202502</v>
      </c>
      <c r="D716" s="47" t="str">
        <f>MID(C716,1,4)</f>
        <v>2025</v>
      </c>
      <c r="E716" t="str">
        <f>IF(Portfolio!$M$1=1,CONCATENATE(A716,C716),CONCATENATE(B716,C716))</f>
        <v>STEVEN GROUP202502</v>
      </c>
      <c r="F716">
        <v>0</v>
      </c>
      <c r="G716">
        <v>0</v>
      </c>
      <c r="H716">
        <v>0</v>
      </c>
      <c r="I716">
        <v>1</v>
      </c>
      <c r="J716">
        <v>6</v>
      </c>
      <c r="K716">
        <v>0</v>
      </c>
      <c r="L716">
        <v>0</v>
      </c>
      <c r="M716">
        <v>0</v>
      </c>
      <c r="N716">
        <v>1</v>
      </c>
      <c r="O716">
        <v>160000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x14ac:dyDescent="0.25">
      <c r="A717" t="s">
        <v>126</v>
      </c>
      <c r="B717" t="s">
        <v>224</v>
      </c>
      <c r="C717">
        <v>202502</v>
      </c>
      <c r="D717" s="47" t="str">
        <f>MID(C717,1,4)</f>
        <v>2025</v>
      </c>
      <c r="E717" t="str">
        <f>IF(Portfolio!$M$1=1,CONCATENATE(A717,C717),CONCATENATE(B717,C717))</f>
        <v>STEVEN GROUP202502</v>
      </c>
      <c r="F717">
        <v>2</v>
      </c>
      <c r="G717">
        <v>0</v>
      </c>
      <c r="H717">
        <v>0</v>
      </c>
      <c r="I717">
        <v>0</v>
      </c>
      <c r="J717">
        <v>3</v>
      </c>
      <c r="K717">
        <v>4976000</v>
      </c>
      <c r="L717">
        <v>0</v>
      </c>
      <c r="M717">
        <v>0</v>
      </c>
      <c r="N717">
        <v>0</v>
      </c>
      <c r="O717">
        <v>95002</v>
      </c>
      <c r="P717">
        <v>7464</v>
      </c>
      <c r="Q717">
        <v>0</v>
      </c>
      <c r="R717">
        <v>0</v>
      </c>
      <c r="S717">
        <v>0</v>
      </c>
      <c r="T717">
        <v>0</v>
      </c>
    </row>
    <row r="718" spans="1:20" x14ac:dyDescent="0.25">
      <c r="A718" t="s">
        <v>126</v>
      </c>
      <c r="B718" t="s">
        <v>228</v>
      </c>
      <c r="C718">
        <v>202502</v>
      </c>
      <c r="D718" s="47" t="str">
        <f>MID(C718,1,4)</f>
        <v>2025</v>
      </c>
      <c r="E718" t="str">
        <f>IF(Portfolio!$M$1=1,CONCATENATE(A718,C718),CONCATENATE(B718,C718))</f>
        <v>STEVEN GROUP202502</v>
      </c>
      <c r="F718">
        <v>0</v>
      </c>
      <c r="G718">
        <v>0</v>
      </c>
      <c r="H718">
        <v>0</v>
      </c>
      <c r="I718">
        <v>12</v>
      </c>
      <c r="J718">
        <v>7200</v>
      </c>
      <c r="K718">
        <v>0</v>
      </c>
      <c r="L718">
        <v>0</v>
      </c>
      <c r="M718">
        <v>0</v>
      </c>
      <c r="N718">
        <v>754000</v>
      </c>
      <c r="O718">
        <v>484148995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 x14ac:dyDescent="0.25">
      <c r="A719" t="s">
        <v>126</v>
      </c>
      <c r="B719" t="s">
        <v>136</v>
      </c>
      <c r="C719">
        <v>202502</v>
      </c>
      <c r="D719" s="47" t="str">
        <f>MID(C719,1,4)</f>
        <v>2025</v>
      </c>
      <c r="E719" t="str">
        <f>IF(Portfolio!$M$1=1,CONCATENATE(A719,C719),CONCATENATE(B719,C719))</f>
        <v>STEVEN GROUP202502</v>
      </c>
      <c r="F719">
        <v>1</v>
      </c>
      <c r="G719">
        <v>5</v>
      </c>
      <c r="H719">
        <v>0</v>
      </c>
      <c r="I719">
        <v>0</v>
      </c>
      <c r="J719">
        <v>0</v>
      </c>
      <c r="K719">
        <v>43065</v>
      </c>
      <c r="L719">
        <v>303679</v>
      </c>
      <c r="M719">
        <v>0</v>
      </c>
      <c r="N719">
        <v>0</v>
      </c>
      <c r="O719">
        <v>0</v>
      </c>
      <c r="P719">
        <v>65</v>
      </c>
      <c r="Q719">
        <v>3037</v>
      </c>
      <c r="R719">
        <v>0</v>
      </c>
      <c r="S719">
        <v>0</v>
      </c>
      <c r="T719">
        <v>0</v>
      </c>
    </row>
    <row r="720" spans="1:20" x14ac:dyDescent="0.25">
      <c r="A720" t="s">
        <v>130</v>
      </c>
      <c r="B720" t="s">
        <v>227</v>
      </c>
      <c r="C720">
        <v>202502</v>
      </c>
      <c r="D720" s="47" t="str">
        <f>MID(C720,1,4)</f>
        <v>2025</v>
      </c>
      <c r="E720" t="str">
        <f>IF(Portfolio!$M$1=1,CONCATENATE(A720,C720),CONCATENATE(B720,C720))</f>
        <v>SURYA BUMI RETAILINDO202502</v>
      </c>
      <c r="F720">
        <v>5</v>
      </c>
      <c r="G720">
        <v>2</v>
      </c>
      <c r="H720">
        <v>0</v>
      </c>
      <c r="I720">
        <v>5</v>
      </c>
      <c r="J720">
        <v>2</v>
      </c>
      <c r="K720">
        <v>3035000</v>
      </c>
      <c r="L720">
        <v>1100000</v>
      </c>
      <c r="M720">
        <v>0</v>
      </c>
      <c r="N720">
        <v>1700000</v>
      </c>
      <c r="O720">
        <v>1100000</v>
      </c>
      <c r="P720">
        <v>4552</v>
      </c>
      <c r="Q720">
        <v>11000</v>
      </c>
      <c r="R720">
        <v>0</v>
      </c>
      <c r="S720">
        <v>11900</v>
      </c>
      <c r="T720">
        <v>7700</v>
      </c>
    </row>
    <row r="721" spans="1:20" x14ac:dyDescent="0.25">
      <c r="A721" t="s">
        <v>134</v>
      </c>
      <c r="B721" t="s">
        <v>134</v>
      </c>
      <c r="C721">
        <v>202502</v>
      </c>
      <c r="D721" s="47" t="str">
        <f>MID(C721,1,4)</f>
        <v>2025</v>
      </c>
      <c r="E721" t="str">
        <f>IF(Portfolio!$M$1=1,CONCATENATE(A721,C721),CONCATENATE(B721,C721))</f>
        <v>TAMANI202502</v>
      </c>
      <c r="F721">
        <v>1</v>
      </c>
      <c r="G721">
        <v>1</v>
      </c>
      <c r="H721">
        <v>3</v>
      </c>
      <c r="I721">
        <v>0</v>
      </c>
      <c r="J721">
        <v>0</v>
      </c>
      <c r="K721">
        <v>322300</v>
      </c>
      <c r="L721">
        <v>413600</v>
      </c>
      <c r="M721">
        <v>1173700</v>
      </c>
      <c r="N721">
        <v>0</v>
      </c>
      <c r="O721">
        <v>0</v>
      </c>
      <c r="P721">
        <v>483</v>
      </c>
      <c r="Q721">
        <v>4136</v>
      </c>
      <c r="R721">
        <v>21127</v>
      </c>
      <c r="S721">
        <v>0</v>
      </c>
      <c r="T721">
        <v>0</v>
      </c>
    </row>
    <row r="722" spans="1:20" x14ac:dyDescent="0.25">
      <c r="A722" t="s">
        <v>138</v>
      </c>
      <c r="B722" t="s">
        <v>138</v>
      </c>
      <c r="C722">
        <v>202502</v>
      </c>
      <c r="D722" s="47" t="str">
        <f>MID(C722,1,4)</f>
        <v>2025</v>
      </c>
      <c r="E722" t="str">
        <f>IF(Portfolio!$M$1=1,CONCATENATE(A722,C722),CONCATENATE(B722,C722))</f>
        <v>YOSHINOYA202502</v>
      </c>
      <c r="F722">
        <v>352</v>
      </c>
      <c r="G722">
        <v>9352</v>
      </c>
      <c r="H722">
        <v>1066</v>
      </c>
      <c r="I722">
        <v>11637</v>
      </c>
      <c r="J722">
        <v>600661</v>
      </c>
      <c r="K722">
        <v>52751400</v>
      </c>
      <c r="L722">
        <v>1412368100</v>
      </c>
      <c r="M722">
        <v>103271000</v>
      </c>
      <c r="N722">
        <v>155789880</v>
      </c>
      <c r="O722">
        <v>6158577946</v>
      </c>
      <c r="P722">
        <v>79127</v>
      </c>
      <c r="Q722">
        <v>14123681</v>
      </c>
      <c r="R722">
        <v>1135981</v>
      </c>
      <c r="S722">
        <v>1090519</v>
      </c>
      <c r="T722">
        <v>43109737</v>
      </c>
    </row>
    <row r="723" spans="1:20" x14ac:dyDescent="0.25">
      <c r="A723" t="s">
        <v>67</v>
      </c>
      <c r="B723" t="s">
        <v>68</v>
      </c>
      <c r="C723">
        <v>202503</v>
      </c>
      <c r="D723" s="47" t="str">
        <f>MID(C723,1,4)</f>
        <v>2025</v>
      </c>
      <c r="E723" t="str">
        <f>IF(Portfolio!$M$1=1,CONCATENATE(A723,C723),CONCATENATE(B723,C723))</f>
        <v>ALFA GROUP202503</v>
      </c>
      <c r="F723">
        <v>24159</v>
      </c>
      <c r="G723">
        <v>84132</v>
      </c>
      <c r="H723">
        <v>22763</v>
      </c>
      <c r="I723">
        <v>15</v>
      </c>
      <c r="J723">
        <v>145</v>
      </c>
      <c r="K723">
        <v>2822721914</v>
      </c>
      <c r="L723">
        <v>9942474690</v>
      </c>
      <c r="M723">
        <v>3769409742</v>
      </c>
      <c r="N723">
        <v>646000</v>
      </c>
      <c r="O723">
        <v>13656600</v>
      </c>
      <c r="P723">
        <v>4234080</v>
      </c>
      <c r="Q723">
        <v>99424747</v>
      </c>
      <c r="R723">
        <v>67509650</v>
      </c>
      <c r="S723">
        <v>0</v>
      </c>
      <c r="T723">
        <v>7452</v>
      </c>
    </row>
    <row r="724" spans="1:20" x14ac:dyDescent="0.25">
      <c r="A724" t="s">
        <v>67</v>
      </c>
      <c r="B724" t="s">
        <v>69</v>
      </c>
      <c r="C724">
        <v>202503</v>
      </c>
      <c r="D724" s="47" t="str">
        <f>MID(C724,1,4)</f>
        <v>2025</v>
      </c>
      <c r="E724" t="str">
        <f>IF(Portfolio!$M$1=1,CONCATENATE(A724,C724),CONCATENATE(B724,C724))</f>
        <v>ALFA GROUP202503</v>
      </c>
      <c r="F724">
        <v>26</v>
      </c>
      <c r="G724">
        <v>76</v>
      </c>
      <c r="H724">
        <v>35</v>
      </c>
      <c r="I724">
        <v>2</v>
      </c>
      <c r="J724">
        <v>70</v>
      </c>
      <c r="K724">
        <v>3687129</v>
      </c>
      <c r="L724">
        <v>14318211</v>
      </c>
      <c r="M724">
        <v>7928796</v>
      </c>
      <c r="N724">
        <v>78000</v>
      </c>
      <c r="O724">
        <v>2407100</v>
      </c>
      <c r="P724">
        <v>5531</v>
      </c>
      <c r="Q724">
        <v>143182</v>
      </c>
      <c r="R724">
        <v>142718</v>
      </c>
      <c r="S724">
        <v>546</v>
      </c>
      <c r="T724">
        <v>16849</v>
      </c>
    </row>
    <row r="725" spans="1:20" x14ac:dyDescent="0.25">
      <c r="A725" t="s">
        <v>67</v>
      </c>
      <c r="B725" t="s">
        <v>72</v>
      </c>
      <c r="C725">
        <v>202503</v>
      </c>
      <c r="D725" s="47" t="str">
        <f>MID(C725,1,4)</f>
        <v>2025</v>
      </c>
      <c r="E725" t="str">
        <f>IF(Portfolio!$M$1=1,CONCATENATE(A725,C725),CONCATENATE(B725,C725))</f>
        <v>ALFA GROUP202503</v>
      </c>
      <c r="F725">
        <v>569</v>
      </c>
      <c r="G725">
        <v>2329</v>
      </c>
      <c r="H725">
        <v>289</v>
      </c>
      <c r="I725">
        <v>0</v>
      </c>
      <c r="J725">
        <v>0</v>
      </c>
      <c r="K725">
        <v>97884616</v>
      </c>
      <c r="L725">
        <v>378066976</v>
      </c>
      <c r="M725">
        <v>55205930</v>
      </c>
      <c r="N725">
        <v>0</v>
      </c>
      <c r="O725">
        <v>0</v>
      </c>
      <c r="P725">
        <v>146827</v>
      </c>
      <c r="Q725">
        <v>3780670</v>
      </c>
      <c r="R725">
        <v>992118</v>
      </c>
      <c r="S725">
        <v>0</v>
      </c>
      <c r="T725">
        <v>0</v>
      </c>
    </row>
    <row r="726" spans="1:20" x14ac:dyDescent="0.25">
      <c r="A726" t="s">
        <v>70</v>
      </c>
      <c r="B726" t="s">
        <v>70</v>
      </c>
      <c r="C726">
        <v>202503</v>
      </c>
      <c r="D726" s="47" t="str">
        <f>MID(C726,1,4)</f>
        <v>2025</v>
      </c>
      <c r="E726" t="str">
        <f>IF(Portfolio!$M$1=1,CONCATENATE(A726,C726),CONCATENATE(B726,C726))</f>
        <v>ANCOL202503</v>
      </c>
      <c r="F726">
        <v>1</v>
      </c>
      <c r="G726">
        <v>7</v>
      </c>
      <c r="H726">
        <v>4</v>
      </c>
      <c r="I726">
        <v>0</v>
      </c>
      <c r="J726">
        <v>153</v>
      </c>
      <c r="K726">
        <v>74500</v>
      </c>
      <c r="L726">
        <v>10537353</v>
      </c>
      <c r="M726">
        <v>397100</v>
      </c>
      <c r="N726">
        <v>0</v>
      </c>
      <c r="O726">
        <v>9278000</v>
      </c>
      <c r="P726">
        <v>112</v>
      </c>
      <c r="Q726">
        <v>105374</v>
      </c>
      <c r="R726">
        <v>6552</v>
      </c>
      <c r="S726">
        <v>0</v>
      </c>
      <c r="T726">
        <v>0</v>
      </c>
    </row>
    <row r="727" spans="1:20" x14ac:dyDescent="0.25">
      <c r="A727" t="s">
        <v>73</v>
      </c>
      <c r="B727" t="s">
        <v>73</v>
      </c>
      <c r="C727">
        <v>202503</v>
      </c>
      <c r="D727" s="47" t="str">
        <f>MID(C727,1,4)</f>
        <v>2025</v>
      </c>
      <c r="E727" t="str">
        <f>IF(Portfolio!$M$1=1,CONCATENATE(A727,C727),CONCATENATE(B727,C727))</f>
        <v>BANBAN TEA202503</v>
      </c>
      <c r="F727">
        <v>9</v>
      </c>
      <c r="G727">
        <v>1</v>
      </c>
      <c r="H727">
        <v>0</v>
      </c>
      <c r="I727">
        <v>123</v>
      </c>
      <c r="J727">
        <v>4</v>
      </c>
      <c r="K727">
        <v>658700</v>
      </c>
      <c r="L727">
        <v>85800</v>
      </c>
      <c r="M727">
        <v>0</v>
      </c>
      <c r="N727">
        <v>7927842</v>
      </c>
      <c r="O727">
        <v>203101</v>
      </c>
      <c r="P727">
        <v>988</v>
      </c>
      <c r="Q727">
        <v>858</v>
      </c>
      <c r="R727">
        <v>0</v>
      </c>
      <c r="S727">
        <v>55492</v>
      </c>
      <c r="T727">
        <v>1421</v>
      </c>
    </row>
    <row r="728" spans="1:20" x14ac:dyDescent="0.25">
      <c r="A728" t="s">
        <v>75</v>
      </c>
      <c r="B728" t="s">
        <v>81</v>
      </c>
      <c r="C728">
        <v>202503</v>
      </c>
      <c r="D728" s="47" t="str">
        <f>MID(C728,1,4)</f>
        <v>2025</v>
      </c>
      <c r="E728" t="str">
        <f>IF(Portfolio!$M$1=1,CONCATENATE(A728,C728),CONCATENATE(B728,C728))</f>
        <v>CHAMP RESTO202503</v>
      </c>
      <c r="F728">
        <v>0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422400</v>
      </c>
      <c r="M728">
        <v>0</v>
      </c>
      <c r="N728">
        <v>0</v>
      </c>
      <c r="O728">
        <v>0</v>
      </c>
      <c r="P728">
        <v>0</v>
      </c>
      <c r="Q728">
        <v>4224</v>
      </c>
      <c r="R728">
        <v>0</v>
      </c>
      <c r="S728">
        <v>0</v>
      </c>
      <c r="T728">
        <v>0</v>
      </c>
    </row>
    <row r="729" spans="1:20" x14ac:dyDescent="0.25">
      <c r="A729" t="s">
        <v>75</v>
      </c>
      <c r="B729" t="s">
        <v>83</v>
      </c>
      <c r="C729">
        <v>202503</v>
      </c>
      <c r="D729" s="47" t="str">
        <f>MID(C729,1,4)</f>
        <v>2025</v>
      </c>
      <c r="E729" t="str">
        <f>IF(Portfolio!$M$1=1,CONCATENATE(A729,C729),CONCATENATE(B729,C729))</f>
        <v>CHAMP RESTO202503</v>
      </c>
      <c r="F729">
        <v>0</v>
      </c>
      <c r="G729">
        <v>32</v>
      </c>
      <c r="H729">
        <v>7</v>
      </c>
      <c r="I729">
        <v>0</v>
      </c>
      <c r="J729">
        <v>35</v>
      </c>
      <c r="K729">
        <v>0</v>
      </c>
      <c r="L729">
        <v>9390000</v>
      </c>
      <c r="M729">
        <v>2236500</v>
      </c>
      <c r="N729">
        <v>0</v>
      </c>
      <c r="O729">
        <v>2214000</v>
      </c>
      <c r="P729">
        <v>0</v>
      </c>
      <c r="Q729">
        <v>93900</v>
      </c>
      <c r="R729">
        <v>44730</v>
      </c>
      <c r="S729">
        <v>0</v>
      </c>
      <c r="T729">
        <v>0</v>
      </c>
    </row>
    <row r="730" spans="1:20" x14ac:dyDescent="0.25">
      <c r="A730" t="s">
        <v>75</v>
      </c>
      <c r="B730" t="s">
        <v>85</v>
      </c>
      <c r="C730">
        <v>202503</v>
      </c>
      <c r="D730" s="47" t="str">
        <f>MID(C730,1,4)</f>
        <v>2025</v>
      </c>
      <c r="E730" t="str">
        <f>IF(Portfolio!$M$1=1,CONCATENATE(A730,C730),CONCATENATE(B730,C730))</f>
        <v>CHAMP RESTO202503</v>
      </c>
      <c r="F730">
        <v>35</v>
      </c>
      <c r="G730">
        <v>10</v>
      </c>
      <c r="H730">
        <v>0</v>
      </c>
      <c r="I730">
        <v>0</v>
      </c>
      <c r="J730">
        <v>0</v>
      </c>
      <c r="K730">
        <v>5240948</v>
      </c>
      <c r="L730">
        <v>1988500</v>
      </c>
      <c r="M730">
        <v>0</v>
      </c>
      <c r="N730">
        <v>0</v>
      </c>
      <c r="O730">
        <v>0</v>
      </c>
      <c r="P730">
        <v>7861</v>
      </c>
      <c r="Q730">
        <v>19885</v>
      </c>
      <c r="R730">
        <v>0</v>
      </c>
      <c r="S730">
        <v>0</v>
      </c>
      <c r="T730">
        <v>0</v>
      </c>
    </row>
    <row r="731" spans="1:20" x14ac:dyDescent="0.25">
      <c r="A731" t="s">
        <v>75</v>
      </c>
      <c r="B731" t="s">
        <v>91</v>
      </c>
      <c r="C731">
        <v>202503</v>
      </c>
      <c r="D731" s="47" t="str">
        <f>MID(C731,1,4)</f>
        <v>2025</v>
      </c>
      <c r="E731" t="str">
        <f>IF(Portfolio!$M$1=1,CONCATENATE(A731,C731),CONCATENATE(B731,C731))</f>
        <v>CHAMP RESTO202503</v>
      </c>
      <c r="F731">
        <v>2</v>
      </c>
      <c r="G731">
        <v>12</v>
      </c>
      <c r="H731">
        <v>1</v>
      </c>
      <c r="I731">
        <v>0</v>
      </c>
      <c r="J731">
        <v>0</v>
      </c>
      <c r="K731">
        <v>360690</v>
      </c>
      <c r="L731">
        <v>3686949</v>
      </c>
      <c r="M731">
        <v>338195</v>
      </c>
      <c r="N731">
        <v>0</v>
      </c>
      <c r="O731">
        <v>0</v>
      </c>
      <c r="P731">
        <v>541</v>
      </c>
      <c r="Q731">
        <v>36869</v>
      </c>
      <c r="R731">
        <v>6088</v>
      </c>
      <c r="S731">
        <v>0</v>
      </c>
      <c r="T731">
        <v>0</v>
      </c>
    </row>
    <row r="732" spans="1:20" x14ac:dyDescent="0.25">
      <c r="A732" t="s">
        <v>75</v>
      </c>
      <c r="B732" t="s">
        <v>93</v>
      </c>
      <c r="C732">
        <v>202503</v>
      </c>
      <c r="D732" s="47" t="str">
        <f>MID(C732,1,4)</f>
        <v>2025</v>
      </c>
      <c r="E732" t="str">
        <f>IF(Portfolio!$M$1=1,CONCATENATE(A732,C732),CONCATENATE(B732,C732))</f>
        <v>CHAMP RESTO202503</v>
      </c>
      <c r="F732">
        <v>1</v>
      </c>
      <c r="G732">
        <v>2</v>
      </c>
      <c r="H732">
        <v>0</v>
      </c>
      <c r="I732">
        <v>1</v>
      </c>
      <c r="J732">
        <v>57</v>
      </c>
      <c r="K732">
        <v>197639</v>
      </c>
      <c r="L732">
        <v>628318</v>
      </c>
      <c r="M732">
        <v>0</v>
      </c>
      <c r="N732">
        <v>600000</v>
      </c>
      <c r="O732">
        <v>2216000</v>
      </c>
      <c r="P732">
        <v>296</v>
      </c>
      <c r="Q732">
        <v>6283</v>
      </c>
      <c r="R732">
        <v>0</v>
      </c>
      <c r="S732">
        <v>1800</v>
      </c>
      <c r="T732">
        <v>4500</v>
      </c>
    </row>
    <row r="733" spans="1:20" x14ac:dyDescent="0.25">
      <c r="A733" t="s">
        <v>75</v>
      </c>
      <c r="B733" t="s">
        <v>95</v>
      </c>
      <c r="C733">
        <v>202503</v>
      </c>
      <c r="D733" s="47" t="str">
        <f>MID(C733,1,4)</f>
        <v>2025</v>
      </c>
      <c r="E733" t="str">
        <f>IF(Portfolio!$M$1=1,CONCATENATE(A733,C733),CONCATENATE(B733,C733))</f>
        <v>CHAMP RESTO202503</v>
      </c>
      <c r="F733">
        <v>67</v>
      </c>
      <c r="G733">
        <v>0</v>
      </c>
      <c r="H733">
        <v>0</v>
      </c>
      <c r="I733">
        <v>0</v>
      </c>
      <c r="J733">
        <v>0</v>
      </c>
      <c r="K733">
        <v>17675506</v>
      </c>
      <c r="L733">
        <v>0</v>
      </c>
      <c r="M733">
        <v>0</v>
      </c>
      <c r="N733">
        <v>0</v>
      </c>
      <c r="O733">
        <v>0</v>
      </c>
      <c r="P733">
        <v>26513</v>
      </c>
      <c r="Q733">
        <v>0</v>
      </c>
      <c r="R733">
        <v>0</v>
      </c>
      <c r="S733">
        <v>0</v>
      </c>
      <c r="T733">
        <v>0</v>
      </c>
    </row>
    <row r="734" spans="1:20" x14ac:dyDescent="0.25">
      <c r="A734" t="s">
        <v>76</v>
      </c>
      <c r="B734" t="s">
        <v>76</v>
      </c>
      <c r="C734">
        <v>202503</v>
      </c>
      <c r="D734" s="47" t="str">
        <f>MID(C734,1,4)</f>
        <v>2025</v>
      </c>
      <c r="E734" t="str">
        <f>IF(Portfolio!$M$1=1,CONCATENATE(A734,C734),CONCATENATE(B734,C734))</f>
        <v>DAMRI202503</v>
      </c>
      <c r="F734">
        <v>6</v>
      </c>
      <c r="G734">
        <v>118</v>
      </c>
      <c r="H734">
        <v>3</v>
      </c>
      <c r="I734">
        <v>1</v>
      </c>
      <c r="J734">
        <v>63</v>
      </c>
      <c r="K734">
        <v>730000</v>
      </c>
      <c r="L734">
        <v>20635000</v>
      </c>
      <c r="M734">
        <v>850000</v>
      </c>
      <c r="N734">
        <v>390000</v>
      </c>
      <c r="O734">
        <v>25032000</v>
      </c>
      <c r="P734">
        <v>1095</v>
      </c>
      <c r="Q734">
        <v>206350</v>
      </c>
      <c r="R734">
        <v>17000</v>
      </c>
      <c r="S734">
        <v>2730</v>
      </c>
      <c r="T734">
        <v>175224</v>
      </c>
    </row>
    <row r="735" spans="1:20" x14ac:dyDescent="0.25">
      <c r="A735" t="s">
        <v>80</v>
      </c>
      <c r="B735" t="s">
        <v>80</v>
      </c>
      <c r="C735">
        <v>202503</v>
      </c>
      <c r="D735" s="47" t="str">
        <f>MID(C735,1,4)</f>
        <v>2025</v>
      </c>
      <c r="E735" t="str">
        <f>IF(Portfolio!$M$1=1,CONCATENATE(A735,C735),CONCATENATE(B735,C735))</f>
        <v>DWIDAYA202503</v>
      </c>
      <c r="F735">
        <v>7</v>
      </c>
      <c r="G735">
        <v>0</v>
      </c>
      <c r="H735">
        <v>0</v>
      </c>
      <c r="I735">
        <v>0</v>
      </c>
      <c r="J735">
        <v>33</v>
      </c>
      <c r="K735">
        <v>107690000</v>
      </c>
      <c r="L735">
        <v>0</v>
      </c>
      <c r="M735">
        <v>0</v>
      </c>
      <c r="N735">
        <v>0</v>
      </c>
      <c r="O735">
        <v>70887987</v>
      </c>
      <c r="P735">
        <v>161535</v>
      </c>
      <c r="Q735">
        <v>0</v>
      </c>
      <c r="R735">
        <v>0</v>
      </c>
      <c r="S735">
        <v>0</v>
      </c>
      <c r="T735">
        <v>496217</v>
      </c>
    </row>
    <row r="736" spans="1:20" x14ac:dyDescent="0.25">
      <c r="A736" t="s">
        <v>82</v>
      </c>
      <c r="B736" t="s">
        <v>82</v>
      </c>
      <c r="C736">
        <v>202503</v>
      </c>
      <c r="D736" s="47" t="str">
        <f>MID(C736,1,4)</f>
        <v>2025</v>
      </c>
      <c r="E736" t="str">
        <f>IF(Portfolio!$M$1=1,CONCATENATE(A736,C736),CONCATENATE(B736,C736))</f>
        <v>EKA HOSPITAL202503</v>
      </c>
      <c r="F736">
        <v>0</v>
      </c>
      <c r="G736">
        <v>5</v>
      </c>
      <c r="H736">
        <v>28</v>
      </c>
      <c r="I736">
        <v>0</v>
      </c>
      <c r="J736">
        <v>0</v>
      </c>
      <c r="K736">
        <v>0</v>
      </c>
      <c r="L736">
        <v>5285553</v>
      </c>
      <c r="M736">
        <v>6931945</v>
      </c>
      <c r="N736">
        <v>0</v>
      </c>
      <c r="O736">
        <v>0</v>
      </c>
      <c r="P736">
        <v>0</v>
      </c>
      <c r="Q736">
        <v>52856</v>
      </c>
      <c r="R736">
        <v>138639</v>
      </c>
      <c r="S736">
        <v>0</v>
      </c>
      <c r="T736">
        <v>0</v>
      </c>
    </row>
    <row r="737" spans="1:20" x14ac:dyDescent="0.25">
      <c r="A737" t="s">
        <v>86</v>
      </c>
      <c r="B737" t="s">
        <v>86</v>
      </c>
      <c r="C737">
        <v>202503</v>
      </c>
      <c r="D737" s="47" t="str">
        <f>MID(C737,1,4)</f>
        <v>2025</v>
      </c>
      <c r="E737" t="str">
        <f>IF(Portfolio!$M$1=1,CONCATENATE(A737,C737),CONCATENATE(B737,C737))</f>
        <v>GRAMEDIA202503</v>
      </c>
      <c r="F737">
        <v>4</v>
      </c>
      <c r="G737">
        <v>1</v>
      </c>
      <c r="H737">
        <v>0</v>
      </c>
      <c r="I737">
        <v>3</v>
      </c>
      <c r="J737">
        <v>86</v>
      </c>
      <c r="K737">
        <v>2569500</v>
      </c>
      <c r="L737">
        <v>271500</v>
      </c>
      <c r="M737">
        <v>0</v>
      </c>
      <c r="N737">
        <v>133000</v>
      </c>
      <c r="O737">
        <v>1793280</v>
      </c>
      <c r="P737">
        <v>3854</v>
      </c>
      <c r="Q737">
        <v>2715</v>
      </c>
      <c r="R737">
        <v>0</v>
      </c>
      <c r="S737">
        <v>0</v>
      </c>
      <c r="T737">
        <v>0</v>
      </c>
    </row>
    <row r="738" spans="1:20" x14ac:dyDescent="0.25">
      <c r="A738" t="s">
        <v>88</v>
      </c>
      <c r="B738" t="s">
        <v>88</v>
      </c>
      <c r="C738">
        <v>202503</v>
      </c>
      <c r="D738" s="47" t="str">
        <f>MID(C738,1,4)</f>
        <v>2025</v>
      </c>
      <c r="E738" t="str">
        <f>IF(Portfolio!$M$1=1,CONCATENATE(A738,C738),CONCATENATE(B738,C738))</f>
        <v>HAUS202503</v>
      </c>
      <c r="F738">
        <v>3</v>
      </c>
      <c r="G738">
        <v>33</v>
      </c>
      <c r="H738">
        <v>1</v>
      </c>
      <c r="I738">
        <v>8</v>
      </c>
      <c r="J738">
        <v>2183</v>
      </c>
      <c r="K738">
        <v>116999</v>
      </c>
      <c r="L738">
        <v>1708994</v>
      </c>
      <c r="M738">
        <v>12000</v>
      </c>
      <c r="N738">
        <v>349000</v>
      </c>
      <c r="O738">
        <v>83734210</v>
      </c>
      <c r="P738">
        <v>175</v>
      </c>
      <c r="Q738">
        <v>17090</v>
      </c>
      <c r="R738">
        <v>216</v>
      </c>
      <c r="S738">
        <v>1001</v>
      </c>
      <c r="T738">
        <v>480561</v>
      </c>
    </row>
    <row r="739" spans="1:20" x14ac:dyDescent="0.25">
      <c r="A739" t="s">
        <v>90</v>
      </c>
      <c r="B739" t="s">
        <v>90</v>
      </c>
      <c r="C739">
        <v>202503</v>
      </c>
      <c r="D739" s="47" t="str">
        <f>MID(C739,1,4)</f>
        <v>2025</v>
      </c>
      <c r="E739" t="str">
        <f>IF(Portfolio!$M$1=1,CONCATENATE(A739,C739),CONCATENATE(B739,C739))</f>
        <v>HEAVENLY WANG202503</v>
      </c>
      <c r="F739">
        <v>3</v>
      </c>
      <c r="G739">
        <v>0</v>
      </c>
      <c r="H739">
        <v>1</v>
      </c>
      <c r="I739">
        <v>0</v>
      </c>
      <c r="J739">
        <v>0</v>
      </c>
      <c r="K739">
        <v>373065</v>
      </c>
      <c r="L739">
        <v>0</v>
      </c>
      <c r="M739">
        <v>22000</v>
      </c>
      <c r="N739">
        <v>0</v>
      </c>
      <c r="O739">
        <v>0</v>
      </c>
      <c r="P739">
        <v>560</v>
      </c>
      <c r="Q739">
        <v>0</v>
      </c>
      <c r="R739">
        <v>396</v>
      </c>
      <c r="S739">
        <v>0</v>
      </c>
      <c r="T739">
        <v>0</v>
      </c>
    </row>
    <row r="740" spans="1:20" x14ac:dyDescent="0.25">
      <c r="A740" t="s">
        <v>92</v>
      </c>
      <c r="B740" t="s">
        <v>108</v>
      </c>
      <c r="C740">
        <v>202503</v>
      </c>
      <c r="D740" s="47" t="str">
        <f>MID(C740,1,4)</f>
        <v>2025</v>
      </c>
      <c r="E740" t="str">
        <f>IF(Portfolio!$M$1=1,CONCATENATE(A740,C740),CONCATENATE(B740,C740))</f>
        <v>HERO GROUP202503</v>
      </c>
      <c r="F740">
        <v>38</v>
      </c>
      <c r="G740">
        <v>5</v>
      </c>
      <c r="H740">
        <v>5</v>
      </c>
      <c r="I740">
        <v>0</v>
      </c>
      <c r="J740">
        <v>37</v>
      </c>
      <c r="K740">
        <v>19768926</v>
      </c>
      <c r="L740">
        <v>1634259</v>
      </c>
      <c r="M740">
        <v>5009736</v>
      </c>
      <c r="N740">
        <v>0</v>
      </c>
      <c r="O740">
        <v>1010829</v>
      </c>
      <c r="P740">
        <v>29653</v>
      </c>
      <c r="Q740">
        <v>16343</v>
      </c>
      <c r="R740">
        <v>100195</v>
      </c>
      <c r="S740">
        <v>0</v>
      </c>
      <c r="T740">
        <v>0</v>
      </c>
    </row>
    <row r="741" spans="1:20" x14ac:dyDescent="0.25">
      <c r="A741" t="s">
        <v>96</v>
      </c>
      <c r="B741" t="s">
        <v>96</v>
      </c>
      <c r="C741">
        <v>202503</v>
      </c>
      <c r="D741" s="47" t="str">
        <f>MID(C741,1,4)</f>
        <v>2025</v>
      </c>
      <c r="E741" t="str">
        <f>IF(Portfolio!$M$1=1,CONCATENATE(A741,C741),CONCATENATE(B741,C741))</f>
        <v>HOKKAIDO BAKED CHEESE202503</v>
      </c>
      <c r="F741">
        <v>14</v>
      </c>
      <c r="G741">
        <v>340</v>
      </c>
      <c r="H741">
        <v>38</v>
      </c>
      <c r="I741">
        <v>30</v>
      </c>
      <c r="J741">
        <v>4824</v>
      </c>
      <c r="K741">
        <v>1754000</v>
      </c>
      <c r="L741">
        <v>37810562</v>
      </c>
      <c r="M741">
        <v>5438784</v>
      </c>
      <c r="N741">
        <v>3722700</v>
      </c>
      <c r="O741">
        <v>452438099</v>
      </c>
      <c r="P741">
        <v>2631</v>
      </c>
      <c r="Q741">
        <v>378106</v>
      </c>
      <c r="R741">
        <v>107126</v>
      </c>
      <c r="S741">
        <v>26059</v>
      </c>
      <c r="T741">
        <v>3063657</v>
      </c>
    </row>
    <row r="742" spans="1:20" x14ac:dyDescent="0.25">
      <c r="A742" t="s">
        <v>97</v>
      </c>
      <c r="B742" t="s">
        <v>97</v>
      </c>
      <c r="C742">
        <v>202503</v>
      </c>
      <c r="D742" s="47" t="str">
        <f>MID(C742,1,4)</f>
        <v>2025</v>
      </c>
      <c r="E742" t="str">
        <f>IF(Portfolio!$M$1=1,CONCATENATE(A742,C742),CONCATENATE(B742,C742))</f>
        <v>HOP HOP202503</v>
      </c>
      <c r="F742">
        <v>0</v>
      </c>
      <c r="G742">
        <v>0</v>
      </c>
      <c r="H742">
        <v>0</v>
      </c>
      <c r="I742">
        <v>165</v>
      </c>
      <c r="J742">
        <v>14021</v>
      </c>
      <c r="K742">
        <v>0</v>
      </c>
      <c r="L742">
        <v>0</v>
      </c>
      <c r="M742">
        <v>0</v>
      </c>
      <c r="N742">
        <v>6668000</v>
      </c>
      <c r="O742">
        <v>357803542</v>
      </c>
      <c r="P742">
        <v>0</v>
      </c>
      <c r="Q742">
        <v>0</v>
      </c>
      <c r="R742">
        <v>0</v>
      </c>
      <c r="S742">
        <v>1071</v>
      </c>
      <c r="T742">
        <v>19336</v>
      </c>
    </row>
    <row r="743" spans="1:20" x14ac:dyDescent="0.25">
      <c r="A743" t="s">
        <v>97</v>
      </c>
      <c r="B743" t="s">
        <v>113</v>
      </c>
      <c r="C743">
        <v>202503</v>
      </c>
      <c r="D743" s="47" t="str">
        <f>MID(C743,1,4)</f>
        <v>2025</v>
      </c>
      <c r="E743" t="str">
        <f>IF(Portfolio!$M$1=1,CONCATENATE(A743,C743),CONCATENATE(B743,C743))</f>
        <v>HOP HOP202503</v>
      </c>
      <c r="F743">
        <v>0</v>
      </c>
      <c r="G743">
        <v>0</v>
      </c>
      <c r="H743">
        <v>0</v>
      </c>
      <c r="I743">
        <v>18</v>
      </c>
      <c r="J743">
        <v>3204</v>
      </c>
      <c r="K743">
        <v>0</v>
      </c>
      <c r="L743">
        <v>0</v>
      </c>
      <c r="M743">
        <v>0</v>
      </c>
      <c r="N743">
        <v>834000</v>
      </c>
      <c r="O743">
        <v>67784748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 x14ac:dyDescent="0.25">
      <c r="A744" t="s">
        <v>99</v>
      </c>
      <c r="B744" t="s">
        <v>99</v>
      </c>
      <c r="C744">
        <v>202503</v>
      </c>
      <c r="D744" s="47" t="str">
        <f>MID(C744,1,4)</f>
        <v>2025</v>
      </c>
      <c r="E744" t="str">
        <f>IF(Portfolio!$M$1=1,CONCATENATE(A744,C744),CONCATENATE(B744,C744))</f>
        <v>IKEA202503</v>
      </c>
      <c r="F744">
        <v>31</v>
      </c>
      <c r="G744">
        <v>0</v>
      </c>
      <c r="H744">
        <v>0</v>
      </c>
      <c r="I744">
        <v>0</v>
      </c>
      <c r="J744">
        <v>0</v>
      </c>
      <c r="K744">
        <v>12519690</v>
      </c>
      <c r="L744">
        <v>0</v>
      </c>
      <c r="M744">
        <v>0</v>
      </c>
      <c r="N744">
        <v>0</v>
      </c>
      <c r="O744">
        <v>0</v>
      </c>
      <c r="P744">
        <v>18780</v>
      </c>
      <c r="Q744">
        <v>0</v>
      </c>
      <c r="R744">
        <v>0</v>
      </c>
      <c r="S744">
        <v>0</v>
      </c>
      <c r="T744">
        <v>0</v>
      </c>
    </row>
    <row r="745" spans="1:20" x14ac:dyDescent="0.25">
      <c r="A745" t="s">
        <v>101</v>
      </c>
      <c r="B745" t="s">
        <v>101</v>
      </c>
      <c r="C745">
        <v>202503</v>
      </c>
      <c r="D745" s="47" t="str">
        <f>MID(C745,1,4)</f>
        <v>2025</v>
      </c>
      <c r="E745" t="str">
        <f>IF(Portfolio!$M$1=1,CONCATENATE(A745,C745),CONCATENATE(B745,C745))</f>
        <v>INDOMARET202503</v>
      </c>
      <c r="F745">
        <v>31506</v>
      </c>
      <c r="G745">
        <v>74597</v>
      </c>
      <c r="H745">
        <v>21572</v>
      </c>
      <c r="I745">
        <v>3</v>
      </c>
      <c r="J745">
        <v>123</v>
      </c>
      <c r="K745">
        <v>3909569184</v>
      </c>
      <c r="L745">
        <v>8037593651</v>
      </c>
      <c r="M745">
        <v>3356741114</v>
      </c>
      <c r="N745">
        <v>78000</v>
      </c>
      <c r="O745">
        <v>5197072</v>
      </c>
      <c r="P745">
        <v>5864352</v>
      </c>
      <c r="Q745">
        <v>80375937</v>
      </c>
      <c r="R745">
        <v>56149782</v>
      </c>
      <c r="S745">
        <v>546</v>
      </c>
      <c r="T745">
        <v>32070</v>
      </c>
    </row>
    <row r="746" spans="1:20" x14ac:dyDescent="0.25">
      <c r="A746" t="s">
        <v>101</v>
      </c>
      <c r="B746" t="s">
        <v>117</v>
      </c>
      <c r="C746">
        <v>202503</v>
      </c>
      <c r="D746" s="47" t="str">
        <f>MID(C746,1,4)</f>
        <v>2025</v>
      </c>
      <c r="E746" t="str">
        <f>IF(Portfolio!$M$1=1,CONCATENATE(A746,C746),CONCATENATE(B746,C746))</f>
        <v>INDOMARET202503</v>
      </c>
      <c r="F746">
        <v>108</v>
      </c>
      <c r="G746">
        <v>289</v>
      </c>
      <c r="H746">
        <v>104</v>
      </c>
      <c r="I746">
        <v>0</v>
      </c>
      <c r="J746">
        <v>0</v>
      </c>
      <c r="K746">
        <v>10542140</v>
      </c>
      <c r="L746">
        <v>25160400</v>
      </c>
      <c r="M746">
        <v>16511000</v>
      </c>
      <c r="N746">
        <v>0</v>
      </c>
      <c r="O746">
        <v>0</v>
      </c>
      <c r="P746">
        <v>15813</v>
      </c>
      <c r="Q746">
        <v>251604</v>
      </c>
      <c r="R746">
        <v>272432</v>
      </c>
      <c r="S746">
        <v>0</v>
      </c>
      <c r="T746">
        <v>0</v>
      </c>
    </row>
    <row r="747" spans="1:20" x14ac:dyDescent="0.25">
      <c r="A747" t="s">
        <v>102</v>
      </c>
      <c r="B747" t="s">
        <v>123</v>
      </c>
      <c r="C747">
        <v>202503</v>
      </c>
      <c r="D747" s="47" t="str">
        <f>MID(C747,1,4)</f>
        <v>2025</v>
      </c>
      <c r="E747" t="str">
        <f>IF(Portfolio!$M$1=1,CONCATENATE(A747,C747),CONCATENATE(B747,C747))</f>
        <v>KAWAN LAMA202503</v>
      </c>
      <c r="F747">
        <v>2116</v>
      </c>
      <c r="G747">
        <v>0</v>
      </c>
      <c r="H747">
        <v>0</v>
      </c>
      <c r="I747">
        <v>0</v>
      </c>
      <c r="J747">
        <v>0</v>
      </c>
      <c r="K747">
        <v>2182570571</v>
      </c>
      <c r="L747">
        <v>0</v>
      </c>
      <c r="M747">
        <v>0</v>
      </c>
      <c r="N747">
        <v>0</v>
      </c>
      <c r="O747">
        <v>0</v>
      </c>
      <c r="P747">
        <v>3273853</v>
      </c>
      <c r="Q747">
        <v>0</v>
      </c>
      <c r="R747">
        <v>0</v>
      </c>
      <c r="S747">
        <v>0</v>
      </c>
      <c r="T747">
        <v>0</v>
      </c>
    </row>
    <row r="748" spans="1:20" x14ac:dyDescent="0.25">
      <c r="A748" t="s">
        <v>102</v>
      </c>
      <c r="B748" t="s">
        <v>125</v>
      </c>
      <c r="C748">
        <v>202503</v>
      </c>
      <c r="D748" s="47" t="str">
        <f>MID(C748,1,4)</f>
        <v>2025</v>
      </c>
      <c r="E748" t="str">
        <f>IF(Portfolio!$M$1=1,CONCATENATE(A748,C748),CONCATENATE(B748,C748))</f>
        <v>KAWAN LAMA202503</v>
      </c>
      <c r="F748">
        <v>448</v>
      </c>
      <c r="G748">
        <v>0</v>
      </c>
      <c r="H748">
        <v>0</v>
      </c>
      <c r="I748">
        <v>8988</v>
      </c>
      <c r="J748">
        <v>1236</v>
      </c>
      <c r="K748">
        <v>35137400</v>
      </c>
      <c r="L748">
        <v>0</v>
      </c>
      <c r="M748">
        <v>0</v>
      </c>
      <c r="N748">
        <v>46397300</v>
      </c>
      <c r="O748">
        <v>5122013</v>
      </c>
      <c r="P748">
        <v>52706</v>
      </c>
      <c r="Q748">
        <v>0</v>
      </c>
      <c r="R748">
        <v>0</v>
      </c>
      <c r="S748">
        <v>324781</v>
      </c>
      <c r="T748">
        <v>35854</v>
      </c>
    </row>
    <row r="749" spans="1:20" x14ac:dyDescent="0.25">
      <c r="A749" t="s">
        <v>102</v>
      </c>
      <c r="B749" t="s">
        <v>127</v>
      </c>
      <c r="C749">
        <v>202503</v>
      </c>
      <c r="D749" s="47" t="str">
        <f>MID(C749,1,4)</f>
        <v>2025</v>
      </c>
      <c r="E749" t="str">
        <f>IF(Portfolio!$M$1=1,CONCATENATE(A749,C749),CONCATENATE(B749,C749))</f>
        <v>KAWAN LAMA202503</v>
      </c>
      <c r="F749">
        <v>4</v>
      </c>
      <c r="G749">
        <v>0</v>
      </c>
      <c r="H749">
        <v>0</v>
      </c>
      <c r="I749">
        <v>0</v>
      </c>
      <c r="J749">
        <v>0</v>
      </c>
      <c r="K749">
        <v>280000</v>
      </c>
      <c r="L749">
        <v>0</v>
      </c>
      <c r="M749">
        <v>0</v>
      </c>
      <c r="N749">
        <v>0</v>
      </c>
      <c r="O749">
        <v>0</v>
      </c>
      <c r="P749">
        <v>420</v>
      </c>
      <c r="Q749">
        <v>0</v>
      </c>
      <c r="R749">
        <v>0</v>
      </c>
      <c r="S749">
        <v>0</v>
      </c>
      <c r="T749">
        <v>0</v>
      </c>
    </row>
    <row r="750" spans="1:20" x14ac:dyDescent="0.25">
      <c r="A750" t="s">
        <v>102</v>
      </c>
      <c r="B750" t="s">
        <v>129</v>
      </c>
      <c r="C750">
        <v>202503</v>
      </c>
      <c r="D750" s="47" t="str">
        <f>MID(C750,1,4)</f>
        <v>2025</v>
      </c>
      <c r="E750" t="str">
        <f>IF(Portfolio!$M$1=1,CONCATENATE(A750,C750),CONCATENATE(B750,C750))</f>
        <v>KAWAN LAMA202503</v>
      </c>
      <c r="F750">
        <v>1</v>
      </c>
      <c r="G750">
        <v>0</v>
      </c>
      <c r="H750">
        <v>0</v>
      </c>
      <c r="I750">
        <v>0</v>
      </c>
      <c r="J750">
        <v>15</v>
      </c>
      <c r="K750">
        <v>299004</v>
      </c>
      <c r="L750">
        <v>0</v>
      </c>
      <c r="M750">
        <v>0</v>
      </c>
      <c r="N750">
        <v>0</v>
      </c>
      <c r="O750">
        <v>295000</v>
      </c>
      <c r="P750">
        <v>448</v>
      </c>
      <c r="Q750">
        <v>0</v>
      </c>
      <c r="R750">
        <v>0</v>
      </c>
      <c r="S750">
        <v>0</v>
      </c>
      <c r="T750">
        <v>0</v>
      </c>
    </row>
    <row r="751" spans="1:20" x14ac:dyDescent="0.25">
      <c r="A751" t="s">
        <v>102</v>
      </c>
      <c r="B751" t="s">
        <v>131</v>
      </c>
      <c r="C751">
        <v>202503</v>
      </c>
      <c r="D751" s="47" t="str">
        <f>MID(C751,1,4)</f>
        <v>2025</v>
      </c>
      <c r="E751" t="str">
        <f>IF(Portfolio!$M$1=1,CONCATENATE(A751,C751),CONCATENATE(B751,C751))</f>
        <v>KAWAN LAMA202503</v>
      </c>
      <c r="F751">
        <v>8</v>
      </c>
      <c r="G751">
        <v>0</v>
      </c>
      <c r="H751">
        <v>0</v>
      </c>
      <c r="I751">
        <v>0</v>
      </c>
      <c r="J751">
        <v>0</v>
      </c>
      <c r="K751">
        <v>683000</v>
      </c>
      <c r="L751">
        <v>0</v>
      </c>
      <c r="M751">
        <v>0</v>
      </c>
      <c r="N751">
        <v>0</v>
      </c>
      <c r="O751">
        <v>0</v>
      </c>
      <c r="P751">
        <v>1024</v>
      </c>
      <c r="Q751">
        <v>0</v>
      </c>
      <c r="R751">
        <v>0</v>
      </c>
      <c r="S751">
        <v>0</v>
      </c>
      <c r="T751">
        <v>0</v>
      </c>
    </row>
    <row r="752" spans="1:20" x14ac:dyDescent="0.25">
      <c r="A752" t="s">
        <v>102</v>
      </c>
      <c r="B752" t="s">
        <v>133</v>
      </c>
      <c r="C752">
        <v>202503</v>
      </c>
      <c r="D752" s="47" t="str">
        <f>MID(C752,1,4)</f>
        <v>2025</v>
      </c>
      <c r="E752" t="str">
        <f>IF(Portfolio!$M$1=1,CONCATENATE(A752,C752),CONCATENATE(B752,C752))</f>
        <v>KAWAN LAMA202503</v>
      </c>
      <c r="F752">
        <v>26</v>
      </c>
      <c r="G752">
        <v>0</v>
      </c>
      <c r="H752">
        <v>0</v>
      </c>
      <c r="I752">
        <v>0</v>
      </c>
      <c r="J752">
        <v>0</v>
      </c>
      <c r="K752">
        <v>4930000</v>
      </c>
      <c r="L752">
        <v>0</v>
      </c>
      <c r="M752">
        <v>0</v>
      </c>
      <c r="N752">
        <v>0</v>
      </c>
      <c r="O752">
        <v>0</v>
      </c>
      <c r="P752">
        <v>7395</v>
      </c>
      <c r="Q752">
        <v>0</v>
      </c>
      <c r="R752">
        <v>0</v>
      </c>
      <c r="S752">
        <v>0</v>
      </c>
      <c r="T752">
        <v>0</v>
      </c>
    </row>
    <row r="753" spans="1:20" x14ac:dyDescent="0.25">
      <c r="A753" t="s">
        <v>102</v>
      </c>
      <c r="B753" t="s">
        <v>135</v>
      </c>
      <c r="C753">
        <v>202503</v>
      </c>
      <c r="D753" s="47" t="str">
        <f>MID(C753,1,4)</f>
        <v>2025</v>
      </c>
      <c r="E753" t="str">
        <f>IF(Portfolio!$M$1=1,CONCATENATE(A753,C753),CONCATENATE(B753,C753))</f>
        <v>KAWAN LAMA202503</v>
      </c>
      <c r="F753">
        <v>620</v>
      </c>
      <c r="G753">
        <v>0</v>
      </c>
      <c r="H753">
        <v>0</v>
      </c>
      <c r="I753">
        <v>0</v>
      </c>
      <c r="J753">
        <v>0</v>
      </c>
      <c r="K753">
        <v>1978499952</v>
      </c>
      <c r="L753">
        <v>0</v>
      </c>
      <c r="M753">
        <v>0</v>
      </c>
      <c r="N753">
        <v>0</v>
      </c>
      <c r="O753">
        <v>0</v>
      </c>
      <c r="P753">
        <v>2967750</v>
      </c>
      <c r="Q753">
        <v>0</v>
      </c>
      <c r="R753">
        <v>0</v>
      </c>
      <c r="S753">
        <v>0</v>
      </c>
      <c r="T753">
        <v>0</v>
      </c>
    </row>
    <row r="754" spans="1:20" x14ac:dyDescent="0.25">
      <c r="A754" t="s">
        <v>102</v>
      </c>
      <c r="B754" t="s">
        <v>137</v>
      </c>
      <c r="C754">
        <v>202503</v>
      </c>
      <c r="D754" s="47" t="str">
        <f>MID(C754,1,4)</f>
        <v>2025</v>
      </c>
      <c r="E754" t="str">
        <f>IF(Portfolio!$M$1=1,CONCATENATE(A754,C754),CONCATENATE(B754,C754))</f>
        <v>KAWAN LAMA202503</v>
      </c>
      <c r="F754">
        <v>31</v>
      </c>
      <c r="G754">
        <v>0</v>
      </c>
      <c r="H754">
        <v>0</v>
      </c>
      <c r="I754">
        <v>0</v>
      </c>
      <c r="J754">
        <v>0</v>
      </c>
      <c r="K754">
        <v>85452500</v>
      </c>
      <c r="L754">
        <v>0</v>
      </c>
      <c r="M754">
        <v>0</v>
      </c>
      <c r="N754">
        <v>0</v>
      </c>
      <c r="O754">
        <v>0</v>
      </c>
      <c r="P754">
        <v>128179</v>
      </c>
      <c r="Q754">
        <v>0</v>
      </c>
      <c r="R754">
        <v>0</v>
      </c>
      <c r="S754">
        <v>0</v>
      </c>
      <c r="T754">
        <v>0</v>
      </c>
    </row>
    <row r="755" spans="1:20" x14ac:dyDescent="0.25">
      <c r="A755" t="s">
        <v>102</v>
      </c>
      <c r="B755" t="s">
        <v>142</v>
      </c>
      <c r="C755">
        <v>202503</v>
      </c>
      <c r="D755" s="47" t="str">
        <f>MID(C755,1,4)</f>
        <v>2025</v>
      </c>
      <c r="E755" t="str">
        <f>IF(Portfolio!$M$1=1,CONCATENATE(A755,C755),CONCATENATE(B755,C755))</f>
        <v>KAWAN LAMA202503</v>
      </c>
      <c r="F755">
        <v>7</v>
      </c>
      <c r="G755">
        <v>0</v>
      </c>
      <c r="H755">
        <v>0</v>
      </c>
      <c r="I755">
        <v>0</v>
      </c>
      <c r="J755">
        <v>7</v>
      </c>
      <c r="K755">
        <v>7589200</v>
      </c>
      <c r="L755">
        <v>0</v>
      </c>
      <c r="M755">
        <v>0</v>
      </c>
      <c r="N755">
        <v>0</v>
      </c>
      <c r="O755">
        <v>792000</v>
      </c>
      <c r="P755">
        <v>11384</v>
      </c>
      <c r="Q755">
        <v>0</v>
      </c>
      <c r="R755">
        <v>0</v>
      </c>
      <c r="S755">
        <v>0</v>
      </c>
      <c r="T755">
        <v>0</v>
      </c>
    </row>
    <row r="756" spans="1:20" x14ac:dyDescent="0.25">
      <c r="A756" t="s">
        <v>103</v>
      </c>
      <c r="B756" t="s">
        <v>146</v>
      </c>
      <c r="C756">
        <v>202503</v>
      </c>
      <c r="D756" s="47" t="str">
        <f>MID(C756,1,4)</f>
        <v>2025</v>
      </c>
      <c r="E756" t="str">
        <f>IF(Portfolio!$M$1=1,CONCATENATE(A756,C756),CONCATENATE(B756,C756))</f>
        <v>KCIC202503</v>
      </c>
      <c r="F756">
        <v>43</v>
      </c>
      <c r="G756">
        <v>1413</v>
      </c>
      <c r="H756">
        <v>695</v>
      </c>
      <c r="I756">
        <v>0</v>
      </c>
      <c r="J756">
        <v>0</v>
      </c>
      <c r="K756">
        <v>22125000</v>
      </c>
      <c r="L756">
        <v>698575000</v>
      </c>
      <c r="M756">
        <v>428850000</v>
      </c>
      <c r="N756">
        <v>0</v>
      </c>
      <c r="O756">
        <v>0</v>
      </c>
      <c r="P756">
        <v>33188</v>
      </c>
      <c r="Q756">
        <v>6985750</v>
      </c>
      <c r="R756">
        <v>7727350</v>
      </c>
      <c r="S756">
        <v>0</v>
      </c>
      <c r="T756">
        <v>0</v>
      </c>
    </row>
    <row r="757" spans="1:20" x14ac:dyDescent="0.25">
      <c r="A757" t="s">
        <v>104</v>
      </c>
      <c r="B757" t="s">
        <v>147</v>
      </c>
      <c r="C757">
        <v>202503</v>
      </c>
      <c r="D757" s="47" t="str">
        <f>MID(C757,1,4)</f>
        <v>2025</v>
      </c>
      <c r="E757" t="str">
        <f>IF(Portfolio!$M$1=1,CONCATENATE(A757,C757),CONCATENATE(B757,C757))</f>
        <v>KIMIA FARMA202503</v>
      </c>
      <c r="F757">
        <v>0</v>
      </c>
      <c r="G757">
        <v>0</v>
      </c>
      <c r="H757">
        <v>0</v>
      </c>
      <c r="I757">
        <v>13</v>
      </c>
      <c r="J757">
        <v>5</v>
      </c>
      <c r="K757">
        <v>0</v>
      </c>
      <c r="L757">
        <v>0</v>
      </c>
      <c r="M757">
        <v>0</v>
      </c>
      <c r="N757">
        <v>2680000</v>
      </c>
      <c r="O757">
        <v>1665000</v>
      </c>
      <c r="P757">
        <v>0</v>
      </c>
      <c r="Q757">
        <v>0</v>
      </c>
      <c r="R757">
        <v>0</v>
      </c>
      <c r="S757">
        <v>0</v>
      </c>
      <c r="T757">
        <v>1605</v>
      </c>
    </row>
    <row r="758" spans="1:20" x14ac:dyDescent="0.25">
      <c r="A758" t="s">
        <v>107</v>
      </c>
      <c r="B758" t="s">
        <v>162</v>
      </c>
      <c r="C758">
        <v>202503</v>
      </c>
      <c r="D758" s="47" t="str">
        <f>MID(C758,1,4)</f>
        <v>2025</v>
      </c>
      <c r="E758" t="str">
        <f>IF(Portfolio!$M$1=1,CONCATENATE(A758,C758),CONCATENATE(B758,C758))</f>
        <v>MAP GROUP202503</v>
      </c>
      <c r="F758">
        <v>0</v>
      </c>
      <c r="G758">
        <v>2</v>
      </c>
      <c r="H758">
        <v>0</v>
      </c>
      <c r="I758">
        <v>0</v>
      </c>
      <c r="J758">
        <v>0</v>
      </c>
      <c r="K758">
        <v>0</v>
      </c>
      <c r="L758">
        <v>143700</v>
      </c>
      <c r="M758">
        <v>0</v>
      </c>
      <c r="N758">
        <v>0</v>
      </c>
      <c r="O758">
        <v>0</v>
      </c>
      <c r="P758">
        <v>0</v>
      </c>
      <c r="Q758">
        <v>1437</v>
      </c>
      <c r="R758">
        <v>0</v>
      </c>
      <c r="S758">
        <v>0</v>
      </c>
      <c r="T758">
        <v>0</v>
      </c>
    </row>
    <row r="759" spans="1:20" x14ac:dyDescent="0.25">
      <c r="A759" t="s">
        <v>107</v>
      </c>
      <c r="B759" t="s">
        <v>178</v>
      </c>
      <c r="C759">
        <v>202503</v>
      </c>
      <c r="D759" s="47" t="str">
        <f>MID(C759,1,4)</f>
        <v>2025</v>
      </c>
      <c r="E759" t="str">
        <f>IF(Portfolio!$M$1=1,CONCATENATE(A759,C759),CONCATENATE(B759,C759))</f>
        <v>MAP GROUP202503</v>
      </c>
      <c r="F759">
        <v>1</v>
      </c>
      <c r="G759">
        <v>87</v>
      </c>
      <c r="H759">
        <v>2</v>
      </c>
      <c r="I759">
        <v>2</v>
      </c>
      <c r="J759">
        <v>685</v>
      </c>
      <c r="K759">
        <v>320000</v>
      </c>
      <c r="L759">
        <v>21058000</v>
      </c>
      <c r="M759">
        <v>90900</v>
      </c>
      <c r="N759">
        <v>214000</v>
      </c>
      <c r="O759">
        <v>109097350</v>
      </c>
      <c r="P759">
        <v>480</v>
      </c>
      <c r="Q759">
        <v>210580</v>
      </c>
      <c r="R759">
        <v>1636</v>
      </c>
      <c r="S759">
        <v>1498</v>
      </c>
      <c r="T759">
        <v>760885</v>
      </c>
    </row>
    <row r="760" spans="1:20" x14ac:dyDescent="0.25">
      <c r="A760" t="s">
        <v>109</v>
      </c>
      <c r="B760" t="s">
        <v>109</v>
      </c>
      <c r="C760">
        <v>202503</v>
      </c>
      <c r="D760" s="47" t="str">
        <f>MID(C760,1,4)</f>
        <v>2025</v>
      </c>
      <c r="E760" t="str">
        <f>IF(Portfolio!$M$1=1,CONCATENATE(A760,C760),CONCATENATE(B760,C760))</f>
        <v>MITRA10202503</v>
      </c>
      <c r="F760">
        <v>490</v>
      </c>
      <c r="G760">
        <v>1</v>
      </c>
      <c r="H760">
        <v>0</v>
      </c>
      <c r="I760">
        <v>0</v>
      </c>
      <c r="J760">
        <v>0</v>
      </c>
      <c r="K760">
        <v>898294874</v>
      </c>
      <c r="L760">
        <v>5180000</v>
      </c>
      <c r="M760">
        <v>0</v>
      </c>
      <c r="N760">
        <v>0</v>
      </c>
      <c r="O760">
        <v>0</v>
      </c>
      <c r="P760">
        <v>1347441</v>
      </c>
      <c r="Q760">
        <v>51800</v>
      </c>
      <c r="R760">
        <v>0</v>
      </c>
      <c r="S760">
        <v>0</v>
      </c>
      <c r="T760">
        <v>0</v>
      </c>
    </row>
    <row r="761" spans="1:20" x14ac:dyDescent="0.25">
      <c r="A761" t="s">
        <v>110</v>
      </c>
      <c r="B761" t="s">
        <v>110</v>
      </c>
      <c r="C761">
        <v>202503</v>
      </c>
      <c r="D761" s="47" t="str">
        <f>MID(C761,1,4)</f>
        <v>2025</v>
      </c>
      <c r="E761" t="str">
        <f>IF(Portfolio!$M$1=1,CONCATENATE(A761,C761),CONCATENATE(B761,C761))</f>
        <v>OPTIK MELAWAI202503</v>
      </c>
      <c r="F761">
        <v>100</v>
      </c>
      <c r="G761">
        <v>65</v>
      </c>
      <c r="H761">
        <v>0</v>
      </c>
      <c r="I761">
        <v>0</v>
      </c>
      <c r="J761">
        <v>239</v>
      </c>
      <c r="K761">
        <v>183310000</v>
      </c>
      <c r="L761">
        <v>122342000</v>
      </c>
      <c r="M761">
        <v>0</v>
      </c>
      <c r="N761">
        <v>0</v>
      </c>
      <c r="O761">
        <v>184655000</v>
      </c>
      <c r="P761">
        <v>274965</v>
      </c>
      <c r="Q761">
        <v>1223420</v>
      </c>
      <c r="R761">
        <v>0</v>
      </c>
      <c r="S761">
        <v>0</v>
      </c>
      <c r="T761">
        <v>1292585</v>
      </c>
    </row>
    <row r="762" spans="1:20" x14ac:dyDescent="0.25">
      <c r="A762" t="s">
        <v>111</v>
      </c>
      <c r="B762" t="s">
        <v>214</v>
      </c>
      <c r="C762">
        <v>202503</v>
      </c>
      <c r="D762" s="47" t="str">
        <f>MID(C762,1,4)</f>
        <v>2025</v>
      </c>
      <c r="E762" t="str">
        <f>IF(Portfolio!$M$1=1,CONCATENATE(A762,C762),CONCATENATE(B762,C762))</f>
        <v>PATRA JASA202503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1500000</v>
      </c>
      <c r="M762">
        <v>0</v>
      </c>
      <c r="N762">
        <v>0</v>
      </c>
      <c r="O762">
        <v>0</v>
      </c>
      <c r="P762">
        <v>0</v>
      </c>
      <c r="Q762">
        <v>15000</v>
      </c>
      <c r="R762">
        <v>0</v>
      </c>
      <c r="S762">
        <v>0</v>
      </c>
      <c r="T762">
        <v>0</v>
      </c>
    </row>
    <row r="763" spans="1:20" x14ac:dyDescent="0.25">
      <c r="A763" t="s">
        <v>112</v>
      </c>
      <c r="B763" t="s">
        <v>215</v>
      </c>
      <c r="C763">
        <v>202503</v>
      </c>
      <c r="D763" s="47" t="str">
        <f>MID(C763,1,4)</f>
        <v>2025</v>
      </c>
      <c r="E763" t="str">
        <f>IF(Portfolio!$M$1=1,CONCATENATE(A763,C763),CONCATENATE(B763,C763))</f>
        <v>PERTAMINA RETAIL202503</v>
      </c>
      <c r="F763">
        <v>0</v>
      </c>
      <c r="G763">
        <v>0</v>
      </c>
      <c r="H763">
        <v>0</v>
      </c>
      <c r="I763">
        <v>0</v>
      </c>
      <c r="J763">
        <v>9</v>
      </c>
      <c r="K763">
        <v>0</v>
      </c>
      <c r="L763">
        <v>0</v>
      </c>
      <c r="M763">
        <v>0</v>
      </c>
      <c r="N763">
        <v>0</v>
      </c>
      <c r="O763">
        <v>2950000</v>
      </c>
      <c r="P763">
        <v>0</v>
      </c>
      <c r="Q763">
        <v>0</v>
      </c>
      <c r="R763">
        <v>0</v>
      </c>
      <c r="S763">
        <v>0</v>
      </c>
      <c r="T763">
        <v>17700</v>
      </c>
    </row>
    <row r="764" spans="1:20" x14ac:dyDescent="0.25">
      <c r="A764" t="s">
        <v>112</v>
      </c>
      <c r="B764" t="s">
        <v>216</v>
      </c>
      <c r="C764">
        <v>202503</v>
      </c>
      <c r="D764" s="47" t="str">
        <f>MID(C764,1,4)</f>
        <v>2025</v>
      </c>
      <c r="E764" t="str">
        <f>IF(Portfolio!$M$1=1,CONCATENATE(A764,C764),CONCATENATE(B764,C764))</f>
        <v>PERTAMINA RETAIL202503</v>
      </c>
      <c r="F764">
        <v>137</v>
      </c>
      <c r="G764">
        <v>9689</v>
      </c>
      <c r="H764">
        <v>213</v>
      </c>
      <c r="I764">
        <v>33</v>
      </c>
      <c r="J764">
        <v>3210</v>
      </c>
      <c r="K764">
        <v>36799795</v>
      </c>
      <c r="L764">
        <v>2275922072</v>
      </c>
      <c r="M764">
        <v>95843961</v>
      </c>
      <c r="N764">
        <v>5031625</v>
      </c>
      <c r="O764">
        <v>485152362</v>
      </c>
      <c r="P764">
        <v>55200</v>
      </c>
      <c r="Q764">
        <v>13866691</v>
      </c>
      <c r="R764">
        <v>1725191</v>
      </c>
      <c r="S764">
        <v>17577</v>
      </c>
      <c r="T764">
        <v>1493628</v>
      </c>
    </row>
    <row r="765" spans="1:20" x14ac:dyDescent="0.25">
      <c r="A765" t="s">
        <v>114</v>
      </c>
      <c r="B765" t="s">
        <v>217</v>
      </c>
      <c r="C765">
        <v>202503</v>
      </c>
      <c r="D765" s="47" t="str">
        <f>MID(C765,1,4)</f>
        <v>2025</v>
      </c>
      <c r="E765" t="str">
        <f>IF(Portfolio!$M$1=1,CONCATENATE(A765,C765),CONCATENATE(B765,C765))</f>
        <v>PIZZA HUT202503</v>
      </c>
      <c r="F765">
        <v>26</v>
      </c>
      <c r="G765">
        <v>0</v>
      </c>
      <c r="H765">
        <v>0</v>
      </c>
      <c r="I765">
        <v>73</v>
      </c>
      <c r="J765">
        <v>17</v>
      </c>
      <c r="K765">
        <v>4961002</v>
      </c>
      <c r="L765">
        <v>0</v>
      </c>
      <c r="M765">
        <v>0</v>
      </c>
      <c r="N765">
        <v>3580000</v>
      </c>
      <c r="O765">
        <v>670000</v>
      </c>
      <c r="P765">
        <v>7441</v>
      </c>
      <c r="Q765">
        <v>0</v>
      </c>
      <c r="R765">
        <v>0</v>
      </c>
      <c r="S765">
        <v>0</v>
      </c>
      <c r="T765">
        <v>0</v>
      </c>
    </row>
    <row r="766" spans="1:20" x14ac:dyDescent="0.25">
      <c r="A766" t="s">
        <v>114</v>
      </c>
      <c r="B766" t="s">
        <v>218</v>
      </c>
      <c r="C766">
        <v>202503</v>
      </c>
      <c r="D766" s="47" t="str">
        <f>MID(C766,1,4)</f>
        <v>2025</v>
      </c>
      <c r="E766" t="str">
        <f>IF(Portfolio!$M$1=1,CONCATENATE(A766,C766),CONCATENATE(B766,C766))</f>
        <v>PIZZA HUT202503</v>
      </c>
      <c r="F766">
        <v>298</v>
      </c>
      <c r="G766">
        <v>0</v>
      </c>
      <c r="H766">
        <v>0</v>
      </c>
      <c r="I766">
        <v>0</v>
      </c>
      <c r="J766">
        <v>0</v>
      </c>
      <c r="K766">
        <v>87028817</v>
      </c>
      <c r="L766">
        <v>0</v>
      </c>
      <c r="M766">
        <v>0</v>
      </c>
      <c r="N766">
        <v>0</v>
      </c>
      <c r="O766">
        <v>0</v>
      </c>
      <c r="P766">
        <v>130542</v>
      </c>
      <c r="Q766">
        <v>0</v>
      </c>
      <c r="R766">
        <v>0</v>
      </c>
      <c r="S766">
        <v>0</v>
      </c>
      <c r="T766">
        <v>0</v>
      </c>
    </row>
    <row r="767" spans="1:20" x14ac:dyDescent="0.25">
      <c r="A767" t="s">
        <v>115</v>
      </c>
      <c r="B767" t="s">
        <v>115</v>
      </c>
      <c r="C767">
        <v>202503</v>
      </c>
      <c r="D767" s="47" t="str">
        <f>MID(C767,1,4)</f>
        <v>2025</v>
      </c>
      <c r="E767" t="str">
        <f>IF(Portfolio!$M$1=1,CONCATENATE(A767,C767),CONCATENATE(B767,C767))</f>
        <v>PLATINUM CINEPLEX202503</v>
      </c>
      <c r="F767">
        <v>4</v>
      </c>
      <c r="G767">
        <v>278</v>
      </c>
      <c r="H767">
        <v>176</v>
      </c>
      <c r="I767">
        <v>8</v>
      </c>
      <c r="J767">
        <v>1371</v>
      </c>
      <c r="K767">
        <v>368000</v>
      </c>
      <c r="L767">
        <v>38757000</v>
      </c>
      <c r="M767">
        <v>26407000</v>
      </c>
      <c r="N767">
        <v>715000</v>
      </c>
      <c r="O767">
        <v>137505000</v>
      </c>
      <c r="P767">
        <v>552</v>
      </c>
      <c r="Q767">
        <v>387570</v>
      </c>
      <c r="R767">
        <v>475688</v>
      </c>
      <c r="S767">
        <v>5005</v>
      </c>
      <c r="T767">
        <v>962535</v>
      </c>
    </row>
    <row r="768" spans="1:20" x14ac:dyDescent="0.25">
      <c r="A768" t="s">
        <v>116</v>
      </c>
      <c r="B768" t="s">
        <v>116</v>
      </c>
      <c r="C768">
        <v>202503</v>
      </c>
      <c r="D768" s="47" t="str">
        <f>MID(C768,1,4)</f>
        <v>2025</v>
      </c>
      <c r="E768" t="str">
        <f>IF(Portfolio!$M$1=1,CONCATENATE(A768,C768),CONCATENATE(B768,C768))</f>
        <v>POPEYES202503</v>
      </c>
      <c r="F768">
        <v>0</v>
      </c>
      <c r="G768">
        <v>0</v>
      </c>
      <c r="H768">
        <v>0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91298</v>
      </c>
      <c r="O768">
        <v>0</v>
      </c>
      <c r="P768">
        <v>0</v>
      </c>
      <c r="Q768">
        <v>0</v>
      </c>
      <c r="R768">
        <v>0</v>
      </c>
      <c r="S768">
        <v>639</v>
      </c>
      <c r="T768">
        <v>0</v>
      </c>
    </row>
    <row r="769" spans="1:20" x14ac:dyDescent="0.25">
      <c r="A769" t="s">
        <v>118</v>
      </c>
      <c r="B769" t="s">
        <v>118</v>
      </c>
      <c r="C769">
        <v>202503</v>
      </c>
      <c r="D769" s="47" t="str">
        <f>MID(C769,1,4)</f>
        <v>2025</v>
      </c>
      <c r="E769" t="str">
        <f>IF(Portfolio!$M$1=1,CONCATENATE(A769,C769),CONCATENATE(B769,C769))</f>
        <v>SARINAH202503</v>
      </c>
      <c r="F769">
        <v>17</v>
      </c>
      <c r="G769">
        <v>339</v>
      </c>
      <c r="H769">
        <v>464</v>
      </c>
      <c r="I769">
        <v>0</v>
      </c>
      <c r="J769">
        <v>55</v>
      </c>
      <c r="K769">
        <v>19923980</v>
      </c>
      <c r="L769">
        <v>255941006</v>
      </c>
      <c r="M769">
        <v>506976861</v>
      </c>
      <c r="N769">
        <v>0</v>
      </c>
      <c r="O769">
        <v>2890000</v>
      </c>
      <c r="P769">
        <v>29886</v>
      </c>
      <c r="Q769">
        <v>2559410</v>
      </c>
      <c r="R769">
        <v>9125583</v>
      </c>
      <c r="S769">
        <v>0</v>
      </c>
      <c r="T769">
        <v>20229</v>
      </c>
    </row>
    <row r="770" spans="1:20" x14ac:dyDescent="0.25">
      <c r="A770" t="s">
        <v>120</v>
      </c>
      <c r="B770" t="s">
        <v>120</v>
      </c>
      <c r="C770">
        <v>202503</v>
      </c>
      <c r="D770" s="47" t="str">
        <f>MID(C770,1,4)</f>
        <v>2025</v>
      </c>
      <c r="E770" t="str">
        <f>IF(Portfolio!$M$1=1,CONCATENATE(A770,C770),CONCATENATE(B770,C770))</f>
        <v>SHIHLIN202503</v>
      </c>
      <c r="F770">
        <v>195</v>
      </c>
      <c r="G770">
        <v>3</v>
      </c>
      <c r="H770">
        <v>1</v>
      </c>
      <c r="I770">
        <v>1053</v>
      </c>
      <c r="J770">
        <v>242</v>
      </c>
      <c r="K770">
        <v>13432000</v>
      </c>
      <c r="L770">
        <v>256000</v>
      </c>
      <c r="M770">
        <v>31000</v>
      </c>
      <c r="N770">
        <v>75871300</v>
      </c>
      <c r="O770">
        <v>7374517</v>
      </c>
      <c r="P770">
        <v>20148</v>
      </c>
      <c r="Q770">
        <v>2560</v>
      </c>
      <c r="R770">
        <v>620</v>
      </c>
      <c r="S770">
        <v>454218</v>
      </c>
      <c r="T770">
        <v>4172</v>
      </c>
    </row>
    <row r="771" spans="1:20" x14ac:dyDescent="0.25">
      <c r="A771" t="s">
        <v>122</v>
      </c>
      <c r="B771" t="s">
        <v>122</v>
      </c>
      <c r="C771">
        <v>202503</v>
      </c>
      <c r="D771" s="47" t="str">
        <f>MID(C771,1,4)</f>
        <v>2025</v>
      </c>
      <c r="E771" t="str">
        <f>IF(Portfolio!$M$1=1,CONCATENATE(A771,C771),CONCATENATE(B771,C771))</f>
        <v>SOLARIA202503</v>
      </c>
      <c r="F771">
        <v>1731</v>
      </c>
      <c r="G771">
        <v>2</v>
      </c>
      <c r="H771">
        <v>0</v>
      </c>
      <c r="I771">
        <v>0</v>
      </c>
      <c r="J771">
        <v>0</v>
      </c>
      <c r="K771">
        <v>296393900</v>
      </c>
      <c r="L771">
        <v>549000</v>
      </c>
      <c r="M771">
        <v>0</v>
      </c>
      <c r="N771">
        <v>0</v>
      </c>
      <c r="O771">
        <v>0</v>
      </c>
      <c r="P771">
        <v>444591</v>
      </c>
      <c r="Q771">
        <v>5490</v>
      </c>
      <c r="R771">
        <v>0</v>
      </c>
      <c r="S771">
        <v>0</v>
      </c>
      <c r="T771">
        <v>0</v>
      </c>
    </row>
    <row r="772" spans="1:20" x14ac:dyDescent="0.25">
      <c r="A772" t="s">
        <v>124</v>
      </c>
      <c r="B772" t="s">
        <v>124</v>
      </c>
      <c r="C772">
        <v>202503</v>
      </c>
      <c r="D772" s="47" t="str">
        <f>MID(C772,1,4)</f>
        <v>2025</v>
      </c>
      <c r="E772" t="str">
        <f>IF(Portfolio!$M$1=1,CONCATENATE(A772,C772),CONCATENATE(B772,C772))</f>
        <v>SOUR SALLY202503</v>
      </c>
      <c r="F772">
        <v>5</v>
      </c>
      <c r="G772">
        <v>8</v>
      </c>
      <c r="H772">
        <v>0</v>
      </c>
      <c r="I772">
        <v>52</v>
      </c>
      <c r="J772">
        <v>1649</v>
      </c>
      <c r="K772">
        <v>485000</v>
      </c>
      <c r="L772">
        <v>851000</v>
      </c>
      <c r="M772">
        <v>0</v>
      </c>
      <c r="N772">
        <v>4287000</v>
      </c>
      <c r="O772">
        <v>132439400</v>
      </c>
      <c r="P772">
        <v>728</v>
      </c>
      <c r="Q772">
        <v>8510</v>
      </c>
      <c r="R772">
        <v>0</v>
      </c>
      <c r="S772">
        <v>30009</v>
      </c>
      <c r="T772">
        <v>927075</v>
      </c>
    </row>
    <row r="773" spans="1:20" x14ac:dyDescent="0.25">
      <c r="A773" t="s">
        <v>126</v>
      </c>
      <c r="B773" t="s">
        <v>219</v>
      </c>
      <c r="C773">
        <v>202503</v>
      </c>
      <c r="D773" s="47" t="str">
        <f>MID(C773,1,4)</f>
        <v>2025</v>
      </c>
      <c r="E773" t="str">
        <f>IF(Portfolio!$M$1=1,CONCATENATE(A773,C773),CONCATENATE(B773,C773))</f>
        <v>STEVEN GROUP202503</v>
      </c>
      <c r="F773">
        <v>0</v>
      </c>
      <c r="G773">
        <v>3</v>
      </c>
      <c r="H773">
        <v>11</v>
      </c>
      <c r="I773">
        <v>0</v>
      </c>
      <c r="J773">
        <v>441</v>
      </c>
      <c r="K773">
        <v>0</v>
      </c>
      <c r="L773">
        <v>1347408</v>
      </c>
      <c r="M773">
        <v>3739608</v>
      </c>
      <c r="N773">
        <v>0</v>
      </c>
      <c r="O773">
        <v>6826413</v>
      </c>
      <c r="P773">
        <v>0</v>
      </c>
      <c r="Q773">
        <v>13474</v>
      </c>
      <c r="R773">
        <v>74792</v>
      </c>
      <c r="S773">
        <v>0</v>
      </c>
      <c r="T773">
        <v>9846</v>
      </c>
    </row>
    <row r="774" spans="1:20" x14ac:dyDescent="0.25">
      <c r="A774" t="s">
        <v>126</v>
      </c>
      <c r="B774" t="s">
        <v>220</v>
      </c>
      <c r="C774">
        <v>202503</v>
      </c>
      <c r="D774" s="47" t="str">
        <f>MID(C774,1,4)</f>
        <v>2025</v>
      </c>
      <c r="E774" t="str">
        <f>IF(Portfolio!$M$1=1,CONCATENATE(A774,C774),CONCATENATE(B774,C774))</f>
        <v>STEVEN GROUP202503</v>
      </c>
      <c r="F774">
        <v>36</v>
      </c>
      <c r="G774">
        <v>18</v>
      </c>
      <c r="H774">
        <v>4</v>
      </c>
      <c r="I774">
        <v>140</v>
      </c>
      <c r="J774">
        <v>362</v>
      </c>
      <c r="K774">
        <v>4220524</v>
      </c>
      <c r="L774">
        <v>1476009</v>
      </c>
      <c r="M774">
        <v>462173</v>
      </c>
      <c r="N774">
        <v>12588020</v>
      </c>
      <c r="O774">
        <v>4630627</v>
      </c>
      <c r="P774">
        <v>6331</v>
      </c>
      <c r="Q774">
        <v>14760</v>
      </c>
      <c r="R774">
        <v>9243</v>
      </c>
      <c r="S774">
        <v>88118</v>
      </c>
      <c r="T774">
        <v>32415</v>
      </c>
    </row>
    <row r="775" spans="1:20" x14ac:dyDescent="0.25">
      <c r="A775" t="s">
        <v>126</v>
      </c>
      <c r="B775" t="s">
        <v>222</v>
      </c>
      <c r="C775">
        <v>202503</v>
      </c>
      <c r="D775" s="47" t="str">
        <f>MID(C775,1,4)</f>
        <v>2025</v>
      </c>
      <c r="E775" t="str">
        <f>IF(Portfolio!$M$1=1,CONCATENATE(A775,C775),CONCATENATE(B775,C775))</f>
        <v>STEVEN GROUP202503</v>
      </c>
      <c r="F775">
        <v>0</v>
      </c>
      <c r="G775">
        <v>2</v>
      </c>
      <c r="H775">
        <v>4</v>
      </c>
      <c r="I775">
        <v>55</v>
      </c>
      <c r="J775">
        <v>3044</v>
      </c>
      <c r="K775">
        <v>0</v>
      </c>
      <c r="L775">
        <v>20000</v>
      </c>
      <c r="M775">
        <v>40000</v>
      </c>
      <c r="N775">
        <v>1353260</v>
      </c>
      <c r="O775">
        <v>13723941</v>
      </c>
      <c r="P775">
        <v>0</v>
      </c>
      <c r="Q775">
        <v>200</v>
      </c>
      <c r="R775">
        <v>800</v>
      </c>
      <c r="S775">
        <v>0</v>
      </c>
      <c r="T775">
        <v>0</v>
      </c>
    </row>
    <row r="776" spans="1:20" x14ac:dyDescent="0.25">
      <c r="A776" t="s">
        <v>126</v>
      </c>
      <c r="B776" t="s">
        <v>224</v>
      </c>
      <c r="C776">
        <v>202503</v>
      </c>
      <c r="D776" s="47" t="str">
        <f>MID(C776,1,4)</f>
        <v>2025</v>
      </c>
      <c r="E776" t="str">
        <f>IF(Portfolio!$M$1=1,CONCATENATE(A776,C776),CONCATENATE(B776,C776))</f>
        <v>STEVEN GROUP202503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 x14ac:dyDescent="0.25">
      <c r="A777" t="s">
        <v>126</v>
      </c>
      <c r="B777" t="s">
        <v>228</v>
      </c>
      <c r="C777">
        <v>202503</v>
      </c>
      <c r="D777" s="47" t="str">
        <f>MID(C777,1,4)</f>
        <v>2025</v>
      </c>
      <c r="E777" t="str">
        <f>IF(Portfolio!$M$1=1,CONCATENATE(A777,C777),CONCATENATE(B777,C777))</f>
        <v>STEVEN GROUP202503</v>
      </c>
      <c r="F777">
        <v>0</v>
      </c>
      <c r="G777">
        <v>0</v>
      </c>
      <c r="H777">
        <v>0</v>
      </c>
      <c r="I777">
        <v>32</v>
      </c>
      <c r="J777">
        <v>8702</v>
      </c>
      <c r="K777">
        <v>0</v>
      </c>
      <c r="L777">
        <v>0</v>
      </c>
      <c r="M777">
        <v>0</v>
      </c>
      <c r="N777">
        <v>2575200</v>
      </c>
      <c r="O777">
        <v>619736630</v>
      </c>
      <c r="P777">
        <v>0</v>
      </c>
      <c r="Q777">
        <v>0</v>
      </c>
      <c r="R777">
        <v>0</v>
      </c>
      <c r="S777">
        <v>0</v>
      </c>
      <c r="T777">
        <v>1761</v>
      </c>
    </row>
    <row r="778" spans="1:20" x14ac:dyDescent="0.25">
      <c r="A778" t="s">
        <v>126</v>
      </c>
      <c r="B778" t="s">
        <v>225</v>
      </c>
      <c r="C778">
        <v>202503</v>
      </c>
      <c r="D778" s="47" t="str">
        <f>MID(C778,1,4)</f>
        <v>2025</v>
      </c>
      <c r="E778" t="str">
        <f>IF(Portfolio!$M$1=1,CONCATENATE(A778,C778),CONCATENATE(B778,C778))</f>
        <v>STEVEN GROUP202503</v>
      </c>
      <c r="F778">
        <v>0</v>
      </c>
      <c r="G778">
        <v>3</v>
      </c>
      <c r="H778">
        <v>0</v>
      </c>
      <c r="I778">
        <v>0</v>
      </c>
      <c r="J778">
        <v>1</v>
      </c>
      <c r="K778">
        <v>0</v>
      </c>
      <c r="L778">
        <v>30000</v>
      </c>
      <c r="M778">
        <v>0</v>
      </c>
      <c r="N778">
        <v>0</v>
      </c>
      <c r="O778">
        <v>1</v>
      </c>
      <c r="P778">
        <v>0</v>
      </c>
      <c r="Q778">
        <v>300</v>
      </c>
      <c r="R778">
        <v>0</v>
      </c>
      <c r="S778">
        <v>0</v>
      </c>
      <c r="T778">
        <v>0</v>
      </c>
    </row>
    <row r="779" spans="1:20" x14ac:dyDescent="0.25">
      <c r="A779" t="s">
        <v>126</v>
      </c>
      <c r="B779" t="s">
        <v>132</v>
      </c>
      <c r="C779">
        <v>202503</v>
      </c>
      <c r="D779" s="47" t="str">
        <f>MID(C779,1,4)</f>
        <v>2025</v>
      </c>
      <c r="E779" t="str">
        <f>IF(Portfolio!$M$1=1,CONCATENATE(A779,C779),CONCATENATE(B779,C779))</f>
        <v>STEVEN GROUP202503</v>
      </c>
      <c r="F779">
        <v>0</v>
      </c>
      <c r="G779">
        <v>2</v>
      </c>
      <c r="H779">
        <v>3</v>
      </c>
      <c r="I779">
        <v>0</v>
      </c>
      <c r="J779">
        <v>1</v>
      </c>
      <c r="K779">
        <v>0</v>
      </c>
      <c r="L779">
        <v>20000</v>
      </c>
      <c r="M779">
        <v>30000</v>
      </c>
      <c r="N779">
        <v>0</v>
      </c>
      <c r="O779">
        <v>1</v>
      </c>
      <c r="P779">
        <v>0</v>
      </c>
      <c r="Q779">
        <v>200</v>
      </c>
      <c r="R779">
        <v>600</v>
      </c>
      <c r="S779">
        <v>0</v>
      </c>
      <c r="T779">
        <v>0</v>
      </c>
    </row>
    <row r="780" spans="1:20" x14ac:dyDescent="0.25">
      <c r="A780" t="s">
        <v>126</v>
      </c>
      <c r="B780" t="s">
        <v>136</v>
      </c>
      <c r="C780">
        <v>202503</v>
      </c>
      <c r="D780" s="47" t="str">
        <f>MID(C780,1,4)</f>
        <v>2025</v>
      </c>
      <c r="E780" t="str">
        <f>IF(Portfolio!$M$1=1,CONCATENATE(A780,C780),CONCATENATE(B780,C780))</f>
        <v>STEVEN GROUP202503</v>
      </c>
      <c r="F780">
        <v>3</v>
      </c>
      <c r="G780">
        <v>0</v>
      </c>
      <c r="H780">
        <v>2</v>
      </c>
      <c r="I780">
        <v>0</v>
      </c>
      <c r="J780">
        <v>0</v>
      </c>
      <c r="K780">
        <v>416509</v>
      </c>
      <c r="L780">
        <v>0</v>
      </c>
      <c r="M780">
        <v>169125</v>
      </c>
      <c r="N780">
        <v>0</v>
      </c>
      <c r="O780">
        <v>0</v>
      </c>
      <c r="P780">
        <v>625</v>
      </c>
      <c r="Q780">
        <v>0</v>
      </c>
      <c r="R780">
        <v>3382</v>
      </c>
      <c r="S780">
        <v>0</v>
      </c>
      <c r="T780">
        <v>0</v>
      </c>
    </row>
    <row r="781" spans="1:20" x14ac:dyDescent="0.25">
      <c r="A781" t="s">
        <v>128</v>
      </c>
      <c r="B781" t="s">
        <v>226</v>
      </c>
      <c r="C781">
        <v>202503</v>
      </c>
      <c r="D781" s="47" t="str">
        <f>MID(C781,1,4)</f>
        <v>2025</v>
      </c>
      <c r="E781" t="str">
        <f>IF(Portfolio!$M$1=1,CONCATENATE(A781,C781),CONCATENATE(B781,C781))</f>
        <v>SUPRA BOGA LESTARI202503</v>
      </c>
      <c r="F781">
        <v>17</v>
      </c>
      <c r="G781">
        <v>0</v>
      </c>
      <c r="H781">
        <v>0</v>
      </c>
      <c r="I781">
        <v>0</v>
      </c>
      <c r="J781">
        <v>0</v>
      </c>
      <c r="K781">
        <v>13328752</v>
      </c>
      <c r="L781">
        <v>0</v>
      </c>
      <c r="M781">
        <v>0</v>
      </c>
      <c r="N781">
        <v>0</v>
      </c>
      <c r="O781">
        <v>0</v>
      </c>
      <c r="P781">
        <v>19993</v>
      </c>
      <c r="Q781">
        <v>0</v>
      </c>
      <c r="R781">
        <v>0</v>
      </c>
      <c r="S781">
        <v>0</v>
      </c>
      <c r="T781">
        <v>0</v>
      </c>
    </row>
    <row r="782" spans="1:20" x14ac:dyDescent="0.25">
      <c r="A782" t="s">
        <v>138</v>
      </c>
      <c r="B782" t="s">
        <v>138</v>
      </c>
      <c r="C782">
        <v>202503</v>
      </c>
      <c r="D782" s="47" t="str">
        <f>MID(C782,1,4)</f>
        <v>2025</v>
      </c>
      <c r="E782" t="str">
        <f>IF(Portfolio!$M$1=1,CONCATENATE(A782,C782),CONCATENATE(B782,C782))</f>
        <v>YOSHINOYA202503</v>
      </c>
      <c r="F782">
        <v>483</v>
      </c>
      <c r="G782">
        <v>14041</v>
      </c>
      <c r="H782">
        <v>1276</v>
      </c>
      <c r="I782">
        <v>3838</v>
      </c>
      <c r="J782">
        <v>7099361</v>
      </c>
      <c r="K782">
        <v>75924500</v>
      </c>
      <c r="L782">
        <v>2341697445</v>
      </c>
      <c r="M782">
        <v>128478500</v>
      </c>
      <c r="N782">
        <v>222262001</v>
      </c>
      <c r="O782">
        <v>19855456524</v>
      </c>
      <c r="P782">
        <v>113887</v>
      </c>
      <c r="Q782">
        <v>23416974</v>
      </c>
      <c r="R782">
        <v>1413264</v>
      </c>
      <c r="S782">
        <v>1555827</v>
      </c>
      <c r="T782">
        <v>138986804</v>
      </c>
    </row>
    <row r="783" spans="1:20" x14ac:dyDescent="0.25">
      <c r="A783" t="s">
        <v>67</v>
      </c>
      <c r="B783" t="s">
        <v>68</v>
      </c>
      <c r="C783">
        <v>202504</v>
      </c>
      <c r="D783" s="47" t="str">
        <f>MID(C783,1,4)</f>
        <v>2025</v>
      </c>
      <c r="E783" t="str">
        <f>IF(Portfolio!$M$1=1,CONCATENATE(A783,C783),CONCATENATE(B783,C783))</f>
        <v>ALFA GROUP202504</v>
      </c>
      <c r="F783">
        <v>21721</v>
      </c>
      <c r="G783">
        <v>69902</v>
      </c>
      <c r="H783">
        <v>20715</v>
      </c>
      <c r="I783">
        <v>9</v>
      </c>
      <c r="J783">
        <v>240</v>
      </c>
      <c r="K783">
        <v>2191190758</v>
      </c>
      <c r="L783">
        <v>7269686067</v>
      </c>
      <c r="M783">
        <v>2966388900</v>
      </c>
      <c r="N783">
        <v>732300</v>
      </c>
      <c r="O783">
        <v>13529700</v>
      </c>
      <c r="P783">
        <v>3286783</v>
      </c>
      <c r="Q783">
        <v>72696861</v>
      </c>
      <c r="R783">
        <v>53125241</v>
      </c>
      <c r="S783">
        <v>1539</v>
      </c>
      <c r="T783">
        <v>5967</v>
      </c>
    </row>
    <row r="784" spans="1:20" x14ac:dyDescent="0.25">
      <c r="A784" t="s">
        <v>67</v>
      </c>
      <c r="B784" t="s">
        <v>69</v>
      </c>
      <c r="C784">
        <v>202504</v>
      </c>
      <c r="D784" s="47" t="str">
        <f>MID(C784,1,4)</f>
        <v>2025</v>
      </c>
      <c r="E784" t="str">
        <f>IF(Portfolio!$M$1=1,CONCATENATE(A784,C784),CONCATENATE(B784,C784))</f>
        <v>ALFA GROUP202504</v>
      </c>
      <c r="F784">
        <v>5</v>
      </c>
      <c r="G784">
        <v>57</v>
      </c>
      <c r="H784">
        <v>26</v>
      </c>
      <c r="I784">
        <v>4</v>
      </c>
      <c r="J784">
        <v>34</v>
      </c>
      <c r="K784">
        <v>496329</v>
      </c>
      <c r="L784">
        <v>7932409</v>
      </c>
      <c r="M784">
        <v>4202005</v>
      </c>
      <c r="N784">
        <v>136900</v>
      </c>
      <c r="O784">
        <v>1134600</v>
      </c>
      <c r="P784">
        <v>744</v>
      </c>
      <c r="Q784">
        <v>79324</v>
      </c>
      <c r="R784">
        <v>75636</v>
      </c>
      <c r="S784">
        <v>959</v>
      </c>
      <c r="T784">
        <v>7944</v>
      </c>
    </row>
    <row r="785" spans="1:20" x14ac:dyDescent="0.25">
      <c r="A785" t="s">
        <v>67</v>
      </c>
      <c r="B785" t="s">
        <v>72</v>
      </c>
      <c r="C785">
        <v>202504</v>
      </c>
      <c r="D785" s="47" t="str">
        <f>MID(C785,1,4)</f>
        <v>2025</v>
      </c>
      <c r="E785" t="str">
        <f>IF(Portfolio!$M$1=1,CONCATENATE(A785,C785),CONCATENATE(B785,C785))</f>
        <v>ALFA GROUP202504</v>
      </c>
      <c r="F785">
        <v>363</v>
      </c>
      <c r="G785">
        <v>1473</v>
      </c>
      <c r="H785">
        <v>222</v>
      </c>
      <c r="I785">
        <v>0</v>
      </c>
      <c r="J785">
        <v>0</v>
      </c>
      <c r="K785">
        <v>60998202</v>
      </c>
      <c r="L785">
        <v>226359905</v>
      </c>
      <c r="M785">
        <v>40881514</v>
      </c>
      <c r="N785">
        <v>0</v>
      </c>
      <c r="O785">
        <v>0</v>
      </c>
      <c r="P785">
        <v>91497</v>
      </c>
      <c r="Q785">
        <v>2263599</v>
      </c>
      <c r="R785">
        <v>738670</v>
      </c>
      <c r="S785">
        <v>0</v>
      </c>
      <c r="T785">
        <v>0</v>
      </c>
    </row>
    <row r="786" spans="1:20" x14ac:dyDescent="0.25">
      <c r="A786" t="s">
        <v>70</v>
      </c>
      <c r="B786" t="s">
        <v>70</v>
      </c>
      <c r="C786">
        <v>202504</v>
      </c>
      <c r="D786" s="47" t="str">
        <f>MID(C786,1,4)</f>
        <v>2025</v>
      </c>
      <c r="E786" t="str">
        <f>IF(Portfolio!$M$1=1,CONCATENATE(A786,C786),CONCATENATE(B786,C786))</f>
        <v>ANCOL202504</v>
      </c>
      <c r="F786">
        <v>2</v>
      </c>
      <c r="G786">
        <v>6</v>
      </c>
      <c r="H786">
        <v>4</v>
      </c>
      <c r="I786">
        <v>0</v>
      </c>
      <c r="J786">
        <v>362</v>
      </c>
      <c r="K786">
        <v>79000</v>
      </c>
      <c r="L786">
        <v>437800</v>
      </c>
      <c r="M786">
        <v>491400</v>
      </c>
      <c r="N786">
        <v>0</v>
      </c>
      <c r="O786">
        <v>23027500</v>
      </c>
      <c r="P786">
        <v>118</v>
      </c>
      <c r="Q786">
        <v>4378</v>
      </c>
      <c r="R786">
        <v>8108</v>
      </c>
      <c r="S786">
        <v>0</v>
      </c>
      <c r="T786">
        <v>0</v>
      </c>
    </row>
    <row r="787" spans="1:20" x14ac:dyDescent="0.25">
      <c r="A787" t="s">
        <v>73</v>
      </c>
      <c r="B787" t="s">
        <v>73</v>
      </c>
      <c r="C787">
        <v>202504</v>
      </c>
      <c r="D787" s="47" t="str">
        <f>MID(C787,1,4)</f>
        <v>2025</v>
      </c>
      <c r="E787" t="str">
        <f>IF(Portfolio!$M$1=1,CONCATENATE(A787,C787),CONCATENATE(B787,C787))</f>
        <v>BANBAN TEA202504</v>
      </c>
      <c r="F787">
        <v>13</v>
      </c>
      <c r="G787">
        <v>1</v>
      </c>
      <c r="H787">
        <v>0</v>
      </c>
      <c r="I787">
        <v>67</v>
      </c>
      <c r="J787">
        <v>0</v>
      </c>
      <c r="K787">
        <v>1022800</v>
      </c>
      <c r="L787">
        <v>74800</v>
      </c>
      <c r="M787">
        <v>0</v>
      </c>
      <c r="N787">
        <v>4125998</v>
      </c>
      <c r="O787">
        <v>0</v>
      </c>
      <c r="P787">
        <v>1534</v>
      </c>
      <c r="Q787">
        <v>748</v>
      </c>
      <c r="R787">
        <v>0</v>
      </c>
      <c r="S787">
        <v>28879</v>
      </c>
      <c r="T787">
        <v>0</v>
      </c>
    </row>
    <row r="788" spans="1:20" x14ac:dyDescent="0.25">
      <c r="A788" t="s">
        <v>75</v>
      </c>
      <c r="B788" t="s">
        <v>81</v>
      </c>
      <c r="C788">
        <v>202504</v>
      </c>
      <c r="D788" s="47" t="str">
        <f>MID(C788,1,4)</f>
        <v>2025</v>
      </c>
      <c r="E788" t="str">
        <f>IF(Portfolio!$M$1=1,CONCATENATE(A788,C788),CONCATENATE(B788,C788))</f>
        <v>CHAMP RESTO202504</v>
      </c>
      <c r="F788">
        <v>1</v>
      </c>
      <c r="G788">
        <v>2</v>
      </c>
      <c r="H788">
        <v>0</v>
      </c>
      <c r="I788">
        <v>0</v>
      </c>
      <c r="J788">
        <v>0</v>
      </c>
      <c r="K788">
        <v>249800</v>
      </c>
      <c r="L788">
        <v>338800</v>
      </c>
      <c r="M788">
        <v>0</v>
      </c>
      <c r="N788">
        <v>0</v>
      </c>
      <c r="O788">
        <v>0</v>
      </c>
      <c r="P788">
        <v>375</v>
      </c>
      <c r="Q788">
        <v>3388</v>
      </c>
      <c r="R788">
        <v>0</v>
      </c>
      <c r="S788">
        <v>0</v>
      </c>
      <c r="T788">
        <v>0</v>
      </c>
    </row>
    <row r="789" spans="1:20" x14ac:dyDescent="0.25">
      <c r="A789" t="s">
        <v>75</v>
      </c>
      <c r="B789" t="s">
        <v>83</v>
      </c>
      <c r="C789">
        <v>202504</v>
      </c>
      <c r="D789" s="47" t="str">
        <f>MID(C789,1,4)</f>
        <v>2025</v>
      </c>
      <c r="E789" t="str">
        <f>IF(Portfolio!$M$1=1,CONCATENATE(A789,C789),CONCATENATE(B789,C789))</f>
        <v>CHAMP RESTO202504</v>
      </c>
      <c r="F789">
        <v>4</v>
      </c>
      <c r="G789">
        <v>48</v>
      </c>
      <c r="H789">
        <v>23</v>
      </c>
      <c r="I789">
        <v>0</v>
      </c>
      <c r="J789">
        <v>46</v>
      </c>
      <c r="K789">
        <v>942000</v>
      </c>
      <c r="L789">
        <v>14646100</v>
      </c>
      <c r="M789">
        <v>8665620</v>
      </c>
      <c r="N789">
        <v>0</v>
      </c>
      <c r="O789">
        <v>2307242</v>
      </c>
      <c r="P789">
        <v>1413</v>
      </c>
      <c r="Q789">
        <v>146461</v>
      </c>
      <c r="R789">
        <v>173312</v>
      </c>
      <c r="S789">
        <v>0</v>
      </c>
      <c r="T789">
        <v>0</v>
      </c>
    </row>
    <row r="790" spans="1:20" x14ac:dyDescent="0.25">
      <c r="A790" t="s">
        <v>75</v>
      </c>
      <c r="B790" t="s">
        <v>85</v>
      </c>
      <c r="C790">
        <v>202504</v>
      </c>
      <c r="D790" s="47" t="str">
        <f>MID(C790,1,4)</f>
        <v>2025</v>
      </c>
      <c r="E790" t="str">
        <f>IF(Portfolio!$M$1=1,CONCATENATE(A790,C790),CONCATENATE(B790,C790))</f>
        <v>CHAMP RESTO202504</v>
      </c>
      <c r="F790">
        <v>19</v>
      </c>
      <c r="G790">
        <v>12</v>
      </c>
      <c r="H790">
        <v>0</v>
      </c>
      <c r="I790">
        <v>0</v>
      </c>
      <c r="J790">
        <v>0</v>
      </c>
      <c r="K790">
        <v>2697477</v>
      </c>
      <c r="L790">
        <v>2237455</v>
      </c>
      <c r="M790">
        <v>0</v>
      </c>
      <c r="N790">
        <v>0</v>
      </c>
      <c r="O790">
        <v>0</v>
      </c>
      <c r="P790">
        <v>4046</v>
      </c>
      <c r="Q790">
        <v>22375</v>
      </c>
      <c r="R790">
        <v>0</v>
      </c>
      <c r="S790">
        <v>0</v>
      </c>
      <c r="T790">
        <v>0</v>
      </c>
    </row>
    <row r="791" spans="1:20" x14ac:dyDescent="0.25">
      <c r="A791" t="s">
        <v>75</v>
      </c>
      <c r="B791" t="s">
        <v>91</v>
      </c>
      <c r="C791">
        <v>202504</v>
      </c>
      <c r="D791" s="47" t="str">
        <f>MID(C791,1,4)</f>
        <v>2025</v>
      </c>
      <c r="E791" t="str">
        <f>IF(Portfolio!$M$1=1,CONCATENATE(A791,C791),CONCATENATE(B791,C791))</f>
        <v>CHAMP RESTO202504</v>
      </c>
      <c r="F791">
        <v>0</v>
      </c>
      <c r="G791">
        <v>6</v>
      </c>
      <c r="H791">
        <v>1</v>
      </c>
      <c r="I791">
        <v>0</v>
      </c>
      <c r="J791">
        <v>0</v>
      </c>
      <c r="K791">
        <v>0</v>
      </c>
      <c r="L791">
        <v>1822231</v>
      </c>
      <c r="M791">
        <v>1990147</v>
      </c>
      <c r="N791">
        <v>0</v>
      </c>
      <c r="O791">
        <v>0</v>
      </c>
      <c r="P791">
        <v>0</v>
      </c>
      <c r="Q791">
        <v>18222</v>
      </c>
      <c r="R791">
        <v>35823</v>
      </c>
      <c r="S791">
        <v>0</v>
      </c>
      <c r="T791">
        <v>0</v>
      </c>
    </row>
    <row r="792" spans="1:20" x14ac:dyDescent="0.25">
      <c r="A792" t="s">
        <v>75</v>
      </c>
      <c r="B792" t="s">
        <v>93</v>
      </c>
      <c r="C792">
        <v>202504</v>
      </c>
      <c r="D792" s="47" t="str">
        <f>MID(C792,1,4)</f>
        <v>2025</v>
      </c>
      <c r="E792" t="str">
        <f>IF(Portfolio!$M$1=1,CONCATENATE(A792,C792),CONCATENATE(B792,C792))</f>
        <v>CHAMP RESTO202504</v>
      </c>
      <c r="F792">
        <v>0</v>
      </c>
      <c r="G792">
        <v>0</v>
      </c>
      <c r="H792">
        <v>0</v>
      </c>
      <c r="I792">
        <v>0</v>
      </c>
      <c r="J792">
        <v>81</v>
      </c>
      <c r="K792">
        <v>0</v>
      </c>
      <c r="L792">
        <v>0</v>
      </c>
      <c r="M792">
        <v>0</v>
      </c>
      <c r="N792">
        <v>0</v>
      </c>
      <c r="O792">
        <v>2657000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 x14ac:dyDescent="0.25">
      <c r="A793" t="s">
        <v>75</v>
      </c>
      <c r="B793" t="s">
        <v>95</v>
      </c>
      <c r="C793">
        <v>202504</v>
      </c>
      <c r="D793" s="47" t="str">
        <f>MID(C793,1,4)</f>
        <v>2025</v>
      </c>
      <c r="E793" t="str">
        <f>IF(Portfolio!$M$1=1,CONCATENATE(A793,C793),CONCATENATE(B793,C793))</f>
        <v>CHAMP RESTO202504</v>
      </c>
      <c r="F793">
        <v>45</v>
      </c>
      <c r="G793">
        <v>2</v>
      </c>
      <c r="H793">
        <v>0</v>
      </c>
      <c r="I793">
        <v>0</v>
      </c>
      <c r="J793">
        <v>1</v>
      </c>
      <c r="K793">
        <v>12317669</v>
      </c>
      <c r="L793">
        <v>651006</v>
      </c>
      <c r="M793">
        <v>0</v>
      </c>
      <c r="N793">
        <v>0</v>
      </c>
      <c r="O793">
        <v>1</v>
      </c>
      <c r="P793">
        <v>18476</v>
      </c>
      <c r="Q793">
        <v>6510</v>
      </c>
      <c r="R793">
        <v>0</v>
      </c>
      <c r="S793">
        <v>0</v>
      </c>
      <c r="T793">
        <v>0</v>
      </c>
    </row>
    <row r="794" spans="1:20" x14ac:dyDescent="0.25">
      <c r="A794" t="s">
        <v>76</v>
      </c>
      <c r="B794" t="s">
        <v>76</v>
      </c>
      <c r="C794">
        <v>202504</v>
      </c>
      <c r="D794" s="47" t="str">
        <f>MID(C794,1,4)</f>
        <v>2025</v>
      </c>
      <c r="E794" t="str">
        <f>IF(Portfolio!$M$1=1,CONCATENATE(A794,C794),CONCATENATE(B794,C794))</f>
        <v>DAMRI202504</v>
      </c>
      <c r="F794">
        <v>5</v>
      </c>
      <c r="G794">
        <v>41</v>
      </c>
      <c r="H794">
        <v>2</v>
      </c>
      <c r="I794">
        <v>1</v>
      </c>
      <c r="J794">
        <v>59</v>
      </c>
      <c r="K794">
        <v>1130000</v>
      </c>
      <c r="L794">
        <v>7155000</v>
      </c>
      <c r="M794">
        <v>560000</v>
      </c>
      <c r="N794">
        <v>345000</v>
      </c>
      <c r="O794">
        <v>23645000</v>
      </c>
      <c r="P794">
        <v>1695</v>
      </c>
      <c r="Q794">
        <v>71550</v>
      </c>
      <c r="R794">
        <v>11200</v>
      </c>
      <c r="S794">
        <v>2415</v>
      </c>
      <c r="T794">
        <v>165515</v>
      </c>
    </row>
    <row r="795" spans="1:20" x14ac:dyDescent="0.25">
      <c r="A795" t="s">
        <v>80</v>
      </c>
      <c r="B795" t="s">
        <v>80</v>
      </c>
      <c r="C795">
        <v>202504</v>
      </c>
      <c r="D795" s="47" t="str">
        <f>MID(C795,1,4)</f>
        <v>2025</v>
      </c>
      <c r="E795" t="str">
        <f>IF(Portfolio!$M$1=1,CONCATENATE(A795,C795),CONCATENATE(B795,C795))</f>
        <v>DWIDAYA202504</v>
      </c>
      <c r="F795">
        <v>11</v>
      </c>
      <c r="G795">
        <v>0</v>
      </c>
      <c r="H795">
        <v>0</v>
      </c>
      <c r="I795">
        <v>0</v>
      </c>
      <c r="J795">
        <v>31</v>
      </c>
      <c r="K795">
        <v>139519000</v>
      </c>
      <c r="L795">
        <v>0</v>
      </c>
      <c r="M795">
        <v>0</v>
      </c>
      <c r="N795">
        <v>0</v>
      </c>
      <c r="O795">
        <v>92125123</v>
      </c>
      <c r="P795">
        <v>209278</v>
      </c>
      <c r="Q795">
        <v>0</v>
      </c>
      <c r="R795">
        <v>0</v>
      </c>
      <c r="S795">
        <v>0</v>
      </c>
      <c r="T795">
        <v>644877</v>
      </c>
    </row>
    <row r="796" spans="1:20" x14ac:dyDescent="0.25">
      <c r="A796" t="s">
        <v>82</v>
      </c>
      <c r="B796" t="s">
        <v>82</v>
      </c>
      <c r="C796">
        <v>202504</v>
      </c>
      <c r="D796" s="47" t="str">
        <f>MID(C796,1,4)</f>
        <v>2025</v>
      </c>
      <c r="E796" t="str">
        <f>IF(Portfolio!$M$1=1,CONCATENATE(A796,C796),CONCATENATE(B796,C796))</f>
        <v>EKA HOSPITAL202504</v>
      </c>
      <c r="F796">
        <v>2</v>
      </c>
      <c r="G796">
        <v>7</v>
      </c>
      <c r="H796">
        <v>31</v>
      </c>
      <c r="I796">
        <v>0</v>
      </c>
      <c r="J796">
        <v>10</v>
      </c>
      <c r="K796">
        <v>3439500</v>
      </c>
      <c r="L796">
        <v>11250918</v>
      </c>
      <c r="M796">
        <v>28117392</v>
      </c>
      <c r="N796">
        <v>0</v>
      </c>
      <c r="O796">
        <v>10</v>
      </c>
      <c r="P796">
        <v>5159</v>
      </c>
      <c r="Q796">
        <v>112509</v>
      </c>
      <c r="R796">
        <v>461116</v>
      </c>
      <c r="S796">
        <v>0</v>
      </c>
      <c r="T796">
        <v>0</v>
      </c>
    </row>
    <row r="797" spans="1:20" x14ac:dyDescent="0.25">
      <c r="A797" t="s">
        <v>84</v>
      </c>
      <c r="B797" t="s">
        <v>84</v>
      </c>
      <c r="C797">
        <v>202504</v>
      </c>
      <c r="D797" s="47" t="str">
        <f>MID(C797,1,4)</f>
        <v>2025</v>
      </c>
      <c r="E797" t="str">
        <f>IF(Portfolio!$M$1=1,CONCATENATE(A797,C797),CONCATENATE(B797,C797))</f>
        <v>ES TELLER 77202504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38000</v>
      </c>
      <c r="M797">
        <v>0</v>
      </c>
      <c r="N797">
        <v>0</v>
      </c>
      <c r="O797">
        <v>0</v>
      </c>
      <c r="P797">
        <v>0</v>
      </c>
      <c r="Q797">
        <v>380</v>
      </c>
      <c r="R797">
        <v>0</v>
      </c>
      <c r="S797">
        <v>0</v>
      </c>
      <c r="T797">
        <v>0</v>
      </c>
    </row>
    <row r="798" spans="1:20" x14ac:dyDescent="0.25">
      <c r="A798" t="s">
        <v>86</v>
      </c>
      <c r="B798" t="s">
        <v>86</v>
      </c>
      <c r="C798">
        <v>202504</v>
      </c>
      <c r="D798" s="47" t="str">
        <f>MID(C798,1,4)</f>
        <v>2025</v>
      </c>
      <c r="E798" t="str">
        <f>IF(Portfolio!$M$1=1,CONCATENATE(A798,C798),CONCATENATE(B798,C798))</f>
        <v>GRAMEDIA202504</v>
      </c>
      <c r="F798">
        <v>11</v>
      </c>
      <c r="G798">
        <v>0</v>
      </c>
      <c r="H798">
        <v>0</v>
      </c>
      <c r="I798">
        <v>1</v>
      </c>
      <c r="J798">
        <v>100</v>
      </c>
      <c r="K798">
        <v>1457500</v>
      </c>
      <c r="L798">
        <v>0</v>
      </c>
      <c r="M798">
        <v>0</v>
      </c>
      <c r="N798">
        <v>15000</v>
      </c>
      <c r="O798">
        <v>2651760</v>
      </c>
      <c r="P798">
        <v>2186</v>
      </c>
      <c r="Q798">
        <v>0</v>
      </c>
      <c r="R798">
        <v>0</v>
      </c>
      <c r="S798">
        <v>0</v>
      </c>
      <c r="T798">
        <v>0</v>
      </c>
    </row>
    <row r="799" spans="1:20" x14ac:dyDescent="0.25">
      <c r="A799" t="s">
        <v>88</v>
      </c>
      <c r="B799" t="s">
        <v>88</v>
      </c>
      <c r="C799">
        <v>202504</v>
      </c>
      <c r="D799" s="47" t="str">
        <f>MID(C799,1,4)</f>
        <v>2025</v>
      </c>
      <c r="E799" t="str">
        <f>IF(Portfolio!$M$1=1,CONCATENATE(A799,C799),CONCATENATE(B799,C799))</f>
        <v>HAUS202504</v>
      </c>
      <c r="F799">
        <v>1</v>
      </c>
      <c r="G799">
        <v>21</v>
      </c>
      <c r="H799">
        <v>1</v>
      </c>
      <c r="I799">
        <v>31</v>
      </c>
      <c r="J799">
        <v>6931</v>
      </c>
      <c r="K799">
        <v>47000</v>
      </c>
      <c r="L799">
        <v>981994</v>
      </c>
      <c r="M799">
        <v>47000</v>
      </c>
      <c r="N799">
        <v>1059999</v>
      </c>
      <c r="O799">
        <v>308998070</v>
      </c>
      <c r="P799">
        <v>70</v>
      </c>
      <c r="Q799">
        <v>9820</v>
      </c>
      <c r="R799">
        <v>846</v>
      </c>
      <c r="S799">
        <v>5789</v>
      </c>
      <c r="T799">
        <v>1999277</v>
      </c>
    </row>
    <row r="800" spans="1:20" x14ac:dyDescent="0.25">
      <c r="A800" t="s">
        <v>90</v>
      </c>
      <c r="B800" t="s">
        <v>90</v>
      </c>
      <c r="C800">
        <v>202504</v>
      </c>
      <c r="D800" s="47" t="str">
        <f>MID(C800,1,4)</f>
        <v>2025</v>
      </c>
      <c r="E800" t="str">
        <f>IF(Portfolio!$M$1=1,CONCATENATE(A800,C800),CONCATENATE(B800,C800))</f>
        <v>HEAVENLY WANG202504</v>
      </c>
      <c r="F800">
        <v>1</v>
      </c>
      <c r="G800">
        <v>1</v>
      </c>
      <c r="H800">
        <v>2</v>
      </c>
      <c r="I800">
        <v>0</v>
      </c>
      <c r="J800">
        <v>0</v>
      </c>
      <c r="K800">
        <v>271425</v>
      </c>
      <c r="L800">
        <v>76230</v>
      </c>
      <c r="M800">
        <v>209440</v>
      </c>
      <c r="N800">
        <v>0</v>
      </c>
      <c r="O800">
        <v>0</v>
      </c>
      <c r="P800">
        <v>407</v>
      </c>
      <c r="Q800">
        <v>762</v>
      </c>
      <c r="R800">
        <v>3770</v>
      </c>
      <c r="S800">
        <v>0</v>
      </c>
      <c r="T800">
        <v>0</v>
      </c>
    </row>
    <row r="801" spans="1:20" x14ac:dyDescent="0.25">
      <c r="A801" t="s">
        <v>92</v>
      </c>
      <c r="B801" t="s">
        <v>108</v>
      </c>
      <c r="C801">
        <v>202504</v>
      </c>
      <c r="D801" s="47" t="str">
        <f>MID(C801,1,4)</f>
        <v>2025</v>
      </c>
      <c r="E801" t="str">
        <f>IF(Portfolio!$M$1=1,CONCATENATE(A801,C801),CONCATENATE(B801,C801))</f>
        <v>HERO GROUP202504</v>
      </c>
      <c r="F801">
        <v>56</v>
      </c>
      <c r="G801">
        <v>2</v>
      </c>
      <c r="H801">
        <v>3</v>
      </c>
      <c r="I801">
        <v>0</v>
      </c>
      <c r="J801">
        <v>10</v>
      </c>
      <c r="K801">
        <v>26355882</v>
      </c>
      <c r="L801">
        <v>978692</v>
      </c>
      <c r="M801">
        <v>3123658</v>
      </c>
      <c r="N801">
        <v>0</v>
      </c>
      <c r="O801">
        <v>637000</v>
      </c>
      <c r="P801">
        <v>39534</v>
      </c>
      <c r="Q801">
        <v>9787</v>
      </c>
      <c r="R801">
        <v>62473</v>
      </c>
      <c r="S801">
        <v>0</v>
      </c>
      <c r="T801">
        <v>0</v>
      </c>
    </row>
    <row r="802" spans="1:20" x14ac:dyDescent="0.25">
      <c r="A802" t="s">
        <v>94</v>
      </c>
      <c r="B802" t="s">
        <v>94</v>
      </c>
      <c r="C802">
        <v>202504</v>
      </c>
      <c r="D802" s="47" t="str">
        <f>MID(C802,1,4)</f>
        <v>2025</v>
      </c>
      <c r="E802" t="str">
        <f>IF(Portfolio!$M$1=1,CONCATENATE(A802,C802),CONCATENATE(B802,C802))</f>
        <v>HOKBEN202504</v>
      </c>
      <c r="F802">
        <v>0</v>
      </c>
      <c r="G802">
        <v>0</v>
      </c>
      <c r="H802">
        <v>0</v>
      </c>
      <c r="I802">
        <v>6</v>
      </c>
      <c r="J802">
        <v>930</v>
      </c>
      <c r="K802">
        <v>0</v>
      </c>
      <c r="L802">
        <v>0</v>
      </c>
      <c r="M802">
        <v>0</v>
      </c>
      <c r="N802">
        <v>417500</v>
      </c>
      <c r="O802">
        <v>99484000</v>
      </c>
      <c r="P802">
        <v>0</v>
      </c>
      <c r="Q802">
        <v>0</v>
      </c>
      <c r="R802">
        <v>0</v>
      </c>
      <c r="S802">
        <v>2923</v>
      </c>
      <c r="T802">
        <v>696390</v>
      </c>
    </row>
    <row r="803" spans="1:20" x14ac:dyDescent="0.25">
      <c r="A803" t="s">
        <v>96</v>
      </c>
      <c r="B803" t="s">
        <v>96</v>
      </c>
      <c r="C803">
        <v>202504</v>
      </c>
      <c r="D803" s="47" t="str">
        <f>MID(C803,1,4)</f>
        <v>2025</v>
      </c>
      <c r="E803" t="str">
        <f>IF(Portfolio!$M$1=1,CONCATENATE(A803,C803),CONCATENATE(B803,C803))</f>
        <v>HOKKAIDO BAKED CHEESE202504</v>
      </c>
      <c r="F803">
        <v>6</v>
      </c>
      <c r="G803">
        <v>243</v>
      </c>
      <c r="H803">
        <v>18</v>
      </c>
      <c r="I803">
        <v>9</v>
      </c>
      <c r="J803">
        <v>3932</v>
      </c>
      <c r="K803">
        <v>629203</v>
      </c>
      <c r="L803">
        <v>26526926</v>
      </c>
      <c r="M803">
        <v>2457300</v>
      </c>
      <c r="N803">
        <v>865600</v>
      </c>
      <c r="O803">
        <v>330571088</v>
      </c>
      <c r="P803">
        <v>944</v>
      </c>
      <c r="Q803">
        <v>265269</v>
      </c>
      <c r="R803">
        <v>48384</v>
      </c>
      <c r="S803">
        <v>6059</v>
      </c>
      <c r="T803">
        <v>2190892</v>
      </c>
    </row>
    <row r="804" spans="1:20" x14ac:dyDescent="0.25">
      <c r="A804" t="s">
        <v>97</v>
      </c>
      <c r="B804" t="s">
        <v>97</v>
      </c>
      <c r="C804">
        <v>202504</v>
      </c>
      <c r="D804" s="47" t="str">
        <f>MID(C804,1,4)</f>
        <v>2025</v>
      </c>
      <c r="E804" t="str">
        <f>IF(Portfolio!$M$1=1,CONCATENATE(A804,C804),CONCATENATE(B804,C804))</f>
        <v>HOP HOP202504</v>
      </c>
      <c r="F804">
        <v>0</v>
      </c>
      <c r="G804">
        <v>0</v>
      </c>
      <c r="H804">
        <v>0</v>
      </c>
      <c r="I804">
        <v>118</v>
      </c>
      <c r="J804">
        <v>12246</v>
      </c>
      <c r="K804">
        <v>0</v>
      </c>
      <c r="L804">
        <v>0</v>
      </c>
      <c r="M804">
        <v>0</v>
      </c>
      <c r="N804">
        <v>4865000</v>
      </c>
      <c r="O804">
        <v>314518707</v>
      </c>
      <c r="P804">
        <v>0</v>
      </c>
      <c r="Q804">
        <v>0</v>
      </c>
      <c r="R804">
        <v>0</v>
      </c>
      <c r="S804">
        <v>973</v>
      </c>
      <c r="T804">
        <v>6780</v>
      </c>
    </row>
    <row r="805" spans="1:20" x14ac:dyDescent="0.25">
      <c r="A805" t="s">
        <v>97</v>
      </c>
      <c r="B805" t="s">
        <v>113</v>
      </c>
      <c r="C805">
        <v>202504</v>
      </c>
      <c r="D805" s="47" t="str">
        <f>MID(C805,1,4)</f>
        <v>2025</v>
      </c>
      <c r="E805" t="str">
        <f>IF(Portfolio!$M$1=1,CONCATENATE(A805,C805),CONCATENATE(B805,C805))</f>
        <v>HOP HOP202504</v>
      </c>
      <c r="F805">
        <v>0</v>
      </c>
      <c r="G805">
        <v>0</v>
      </c>
      <c r="H805">
        <v>0</v>
      </c>
      <c r="I805">
        <v>13</v>
      </c>
      <c r="J805">
        <v>2725</v>
      </c>
      <c r="K805">
        <v>0</v>
      </c>
      <c r="L805">
        <v>0</v>
      </c>
      <c r="M805">
        <v>0</v>
      </c>
      <c r="N805">
        <v>561000</v>
      </c>
      <c r="O805">
        <v>57270825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 x14ac:dyDescent="0.25">
      <c r="A806" t="s">
        <v>99</v>
      </c>
      <c r="B806" t="s">
        <v>99</v>
      </c>
      <c r="C806">
        <v>202504</v>
      </c>
      <c r="D806" s="47" t="str">
        <f>MID(C806,1,4)</f>
        <v>2025</v>
      </c>
      <c r="E806" t="str">
        <f>IF(Portfolio!$M$1=1,CONCATENATE(A806,C806),CONCATENATE(B806,C806))</f>
        <v>IKEA202504</v>
      </c>
      <c r="F806">
        <v>35</v>
      </c>
      <c r="G806">
        <v>0</v>
      </c>
      <c r="H806">
        <v>0</v>
      </c>
      <c r="I806">
        <v>0</v>
      </c>
      <c r="J806">
        <v>0</v>
      </c>
      <c r="K806">
        <v>25272940</v>
      </c>
      <c r="L806">
        <v>0</v>
      </c>
      <c r="M806">
        <v>0</v>
      </c>
      <c r="N806">
        <v>0</v>
      </c>
      <c r="O806">
        <v>0</v>
      </c>
      <c r="P806">
        <v>37909</v>
      </c>
      <c r="Q806">
        <v>0</v>
      </c>
      <c r="R806">
        <v>0</v>
      </c>
      <c r="S806">
        <v>0</v>
      </c>
      <c r="T806">
        <v>0</v>
      </c>
    </row>
    <row r="807" spans="1:20" x14ac:dyDescent="0.25">
      <c r="A807" t="s">
        <v>101</v>
      </c>
      <c r="B807" t="s">
        <v>101</v>
      </c>
      <c r="C807">
        <v>202504</v>
      </c>
      <c r="D807" s="47" t="str">
        <f>MID(C807,1,4)</f>
        <v>2025</v>
      </c>
      <c r="E807" t="str">
        <f>IF(Portfolio!$M$1=1,CONCATENATE(A807,C807),CONCATENATE(B807,C807))</f>
        <v>INDOMARET202504</v>
      </c>
      <c r="F807">
        <v>29438</v>
      </c>
      <c r="G807">
        <v>64234</v>
      </c>
      <c r="H807">
        <v>20702</v>
      </c>
      <c r="I807">
        <v>3</v>
      </c>
      <c r="J807">
        <v>114</v>
      </c>
      <c r="K807">
        <v>2935152569</v>
      </c>
      <c r="L807">
        <v>5836151184</v>
      </c>
      <c r="M807">
        <v>2765694821</v>
      </c>
      <c r="N807">
        <v>278100</v>
      </c>
      <c r="O807">
        <v>3749200</v>
      </c>
      <c r="P807">
        <v>4402727</v>
      </c>
      <c r="Q807">
        <v>58361512</v>
      </c>
      <c r="R807">
        <v>46292542</v>
      </c>
      <c r="S807">
        <v>1947</v>
      </c>
      <c r="T807">
        <v>18905</v>
      </c>
    </row>
    <row r="808" spans="1:20" x14ac:dyDescent="0.25">
      <c r="A808" t="s">
        <v>101</v>
      </c>
      <c r="B808" t="s">
        <v>117</v>
      </c>
      <c r="C808">
        <v>202504</v>
      </c>
      <c r="D808" s="47" t="str">
        <f>MID(C808,1,4)</f>
        <v>2025</v>
      </c>
      <c r="E808" t="str">
        <f>IF(Portfolio!$M$1=1,CONCATENATE(A808,C808),CONCATENATE(B808,C808))</f>
        <v>INDOMARET202504</v>
      </c>
      <c r="F808">
        <v>104</v>
      </c>
      <c r="G808">
        <v>267</v>
      </c>
      <c r="H808">
        <v>101</v>
      </c>
      <c r="I808">
        <v>0</v>
      </c>
      <c r="J808">
        <v>0</v>
      </c>
      <c r="K808">
        <v>7451840</v>
      </c>
      <c r="L808">
        <v>19535200</v>
      </c>
      <c r="M808">
        <v>9843700</v>
      </c>
      <c r="N808">
        <v>0</v>
      </c>
      <c r="O808">
        <v>0</v>
      </c>
      <c r="P808">
        <v>11178</v>
      </c>
      <c r="Q808">
        <v>195352</v>
      </c>
      <c r="R808">
        <v>162421</v>
      </c>
      <c r="S808">
        <v>0</v>
      </c>
      <c r="T808">
        <v>0</v>
      </c>
    </row>
    <row r="809" spans="1:20" x14ac:dyDescent="0.25">
      <c r="A809" t="s">
        <v>102</v>
      </c>
      <c r="B809" t="s">
        <v>123</v>
      </c>
      <c r="C809">
        <v>202504</v>
      </c>
      <c r="D809" s="47" t="str">
        <f>MID(C809,1,4)</f>
        <v>2025</v>
      </c>
      <c r="E809" t="str">
        <f>IF(Portfolio!$M$1=1,CONCATENATE(A809,C809),CONCATENATE(B809,C809))</f>
        <v>KAWAN LAMA202504</v>
      </c>
      <c r="F809">
        <v>1705</v>
      </c>
      <c r="G809">
        <v>0</v>
      </c>
      <c r="H809">
        <v>0</v>
      </c>
      <c r="I809">
        <v>0</v>
      </c>
      <c r="J809">
        <v>0</v>
      </c>
      <c r="K809">
        <v>1690390393</v>
      </c>
      <c r="L809">
        <v>0</v>
      </c>
      <c r="M809">
        <v>0</v>
      </c>
      <c r="N809">
        <v>0</v>
      </c>
      <c r="O809">
        <v>0</v>
      </c>
      <c r="P809">
        <v>2535583</v>
      </c>
      <c r="Q809">
        <v>0</v>
      </c>
      <c r="R809">
        <v>0</v>
      </c>
      <c r="S809">
        <v>0</v>
      </c>
      <c r="T809">
        <v>0</v>
      </c>
    </row>
    <row r="810" spans="1:20" x14ac:dyDescent="0.25">
      <c r="A810" t="s">
        <v>102</v>
      </c>
      <c r="B810" t="s">
        <v>125</v>
      </c>
      <c r="C810">
        <v>202504</v>
      </c>
      <c r="D810" s="47" t="str">
        <f>MID(C810,1,4)</f>
        <v>2025</v>
      </c>
      <c r="E810" t="str">
        <f>IF(Portfolio!$M$1=1,CONCATENATE(A810,C810),CONCATENATE(B810,C810))</f>
        <v>KAWAN LAMA202504</v>
      </c>
      <c r="F810">
        <v>439</v>
      </c>
      <c r="G810">
        <v>0</v>
      </c>
      <c r="H810">
        <v>0</v>
      </c>
      <c r="I810">
        <v>695</v>
      </c>
      <c r="J810">
        <v>70</v>
      </c>
      <c r="K810">
        <v>32729700</v>
      </c>
      <c r="L810">
        <v>0</v>
      </c>
      <c r="M810">
        <v>0</v>
      </c>
      <c r="N810">
        <v>38249000</v>
      </c>
      <c r="O810">
        <v>3129019</v>
      </c>
      <c r="P810">
        <v>49095</v>
      </c>
      <c r="Q810">
        <v>0</v>
      </c>
      <c r="R810">
        <v>0</v>
      </c>
      <c r="S810">
        <v>267743</v>
      </c>
      <c r="T810">
        <v>21903</v>
      </c>
    </row>
    <row r="811" spans="1:20" x14ac:dyDescent="0.25">
      <c r="A811" t="s">
        <v>102</v>
      </c>
      <c r="B811" t="s">
        <v>127</v>
      </c>
      <c r="C811">
        <v>202504</v>
      </c>
      <c r="D811" s="47" t="str">
        <f>MID(C811,1,4)</f>
        <v>2025</v>
      </c>
      <c r="E811" t="str">
        <f>IF(Portfolio!$M$1=1,CONCATENATE(A811,C811),CONCATENATE(B811,C811))</f>
        <v>KAWAN LAMA202504</v>
      </c>
      <c r="F811">
        <v>2</v>
      </c>
      <c r="G811">
        <v>0</v>
      </c>
      <c r="H811">
        <v>0</v>
      </c>
      <c r="I811">
        <v>0</v>
      </c>
      <c r="J811">
        <v>0</v>
      </c>
      <c r="K811">
        <v>135000</v>
      </c>
      <c r="L811">
        <v>0</v>
      </c>
      <c r="M811">
        <v>0</v>
      </c>
      <c r="N811">
        <v>0</v>
      </c>
      <c r="O811">
        <v>0</v>
      </c>
      <c r="P811">
        <v>202</v>
      </c>
      <c r="Q811">
        <v>0</v>
      </c>
      <c r="R811">
        <v>0</v>
      </c>
      <c r="S811">
        <v>0</v>
      </c>
      <c r="T811">
        <v>0</v>
      </c>
    </row>
    <row r="812" spans="1:20" x14ac:dyDescent="0.25">
      <c r="A812" t="s">
        <v>102</v>
      </c>
      <c r="B812" t="s">
        <v>131</v>
      </c>
      <c r="C812">
        <v>202504</v>
      </c>
      <c r="D812" s="47" t="str">
        <f>MID(C812,1,4)</f>
        <v>2025</v>
      </c>
      <c r="E812" t="str">
        <f>IF(Portfolio!$M$1=1,CONCATENATE(A812,C812),CONCATENATE(B812,C812))</f>
        <v>KAWAN LAMA202504</v>
      </c>
      <c r="F812">
        <v>10</v>
      </c>
      <c r="G812">
        <v>0</v>
      </c>
      <c r="H812">
        <v>0</v>
      </c>
      <c r="I812">
        <v>0</v>
      </c>
      <c r="J812">
        <v>0</v>
      </c>
      <c r="K812">
        <v>807000</v>
      </c>
      <c r="L812">
        <v>0</v>
      </c>
      <c r="M812">
        <v>0</v>
      </c>
      <c r="N812">
        <v>0</v>
      </c>
      <c r="O812">
        <v>0</v>
      </c>
      <c r="P812">
        <v>1210</v>
      </c>
      <c r="Q812">
        <v>0</v>
      </c>
      <c r="R812">
        <v>0</v>
      </c>
      <c r="S812">
        <v>0</v>
      </c>
      <c r="T812">
        <v>0</v>
      </c>
    </row>
    <row r="813" spans="1:20" x14ac:dyDescent="0.25">
      <c r="A813" t="s">
        <v>102</v>
      </c>
      <c r="B813" t="s">
        <v>133</v>
      </c>
      <c r="C813">
        <v>202504</v>
      </c>
      <c r="D813" s="47" t="str">
        <f>MID(C813,1,4)</f>
        <v>2025</v>
      </c>
      <c r="E813" t="str">
        <f>IF(Portfolio!$M$1=1,CONCATENATE(A813,C813),CONCATENATE(B813,C813))</f>
        <v>KAWAN LAMA202504</v>
      </c>
      <c r="F813">
        <v>26</v>
      </c>
      <c r="G813">
        <v>1</v>
      </c>
      <c r="H813">
        <v>0</v>
      </c>
      <c r="I813">
        <v>0</v>
      </c>
      <c r="J813">
        <v>0</v>
      </c>
      <c r="K813">
        <v>4527000</v>
      </c>
      <c r="L813">
        <v>50000</v>
      </c>
      <c r="M813">
        <v>0</v>
      </c>
      <c r="N813">
        <v>0</v>
      </c>
      <c r="O813">
        <v>0</v>
      </c>
      <c r="P813">
        <v>6790</v>
      </c>
      <c r="Q813">
        <v>500</v>
      </c>
      <c r="R813">
        <v>0</v>
      </c>
      <c r="S813">
        <v>0</v>
      </c>
      <c r="T813">
        <v>0</v>
      </c>
    </row>
    <row r="814" spans="1:20" x14ac:dyDescent="0.25">
      <c r="A814" t="s">
        <v>102</v>
      </c>
      <c r="B814" t="s">
        <v>135</v>
      </c>
      <c r="C814">
        <v>202504</v>
      </c>
      <c r="D814" s="47" t="str">
        <f>MID(C814,1,4)</f>
        <v>2025</v>
      </c>
      <c r="E814" t="str">
        <f>IF(Portfolio!$M$1=1,CONCATENATE(A814,C814),CONCATENATE(B814,C814))</f>
        <v>KAWAN LAMA202504</v>
      </c>
      <c r="F814">
        <v>393</v>
      </c>
      <c r="G814">
        <v>0</v>
      </c>
      <c r="H814">
        <v>0</v>
      </c>
      <c r="I814">
        <v>0</v>
      </c>
      <c r="J814">
        <v>0</v>
      </c>
      <c r="K814">
        <v>1410937758</v>
      </c>
      <c r="L814">
        <v>0</v>
      </c>
      <c r="M814">
        <v>0</v>
      </c>
      <c r="N814">
        <v>0</v>
      </c>
      <c r="O814">
        <v>0</v>
      </c>
      <c r="P814">
        <v>2116406</v>
      </c>
      <c r="Q814">
        <v>0</v>
      </c>
      <c r="R814">
        <v>0</v>
      </c>
      <c r="S814">
        <v>0</v>
      </c>
      <c r="T814">
        <v>0</v>
      </c>
    </row>
    <row r="815" spans="1:20" x14ac:dyDescent="0.25">
      <c r="A815" t="s">
        <v>102</v>
      </c>
      <c r="B815" t="s">
        <v>137</v>
      </c>
      <c r="C815">
        <v>202504</v>
      </c>
      <c r="D815" s="47" t="str">
        <f>MID(C815,1,4)</f>
        <v>2025</v>
      </c>
      <c r="E815" t="str">
        <f>IF(Portfolio!$M$1=1,CONCATENATE(A815,C815),CONCATENATE(B815,C815))</f>
        <v>KAWAN LAMA202504</v>
      </c>
      <c r="F815">
        <v>18</v>
      </c>
      <c r="G815">
        <v>0</v>
      </c>
      <c r="H815">
        <v>0</v>
      </c>
      <c r="I815">
        <v>0</v>
      </c>
      <c r="J815">
        <v>0</v>
      </c>
      <c r="K815">
        <v>54704648</v>
      </c>
      <c r="L815">
        <v>0</v>
      </c>
      <c r="M815">
        <v>0</v>
      </c>
      <c r="N815">
        <v>0</v>
      </c>
      <c r="O815">
        <v>0</v>
      </c>
      <c r="P815">
        <v>82057</v>
      </c>
      <c r="Q815">
        <v>0</v>
      </c>
      <c r="R815">
        <v>0</v>
      </c>
      <c r="S815">
        <v>0</v>
      </c>
      <c r="T815">
        <v>0</v>
      </c>
    </row>
    <row r="816" spans="1:20" x14ac:dyDescent="0.25">
      <c r="A816" t="s">
        <v>102</v>
      </c>
      <c r="B816" t="s">
        <v>142</v>
      </c>
      <c r="C816">
        <v>202504</v>
      </c>
      <c r="D816" s="47" t="str">
        <f>MID(C816,1,4)</f>
        <v>2025</v>
      </c>
      <c r="E816" t="str">
        <f>IF(Portfolio!$M$1=1,CONCATENATE(A816,C816),CONCATENATE(B816,C816))</f>
        <v>KAWAN LAMA202504</v>
      </c>
      <c r="F816">
        <v>7</v>
      </c>
      <c r="G816">
        <v>0</v>
      </c>
      <c r="H816">
        <v>0</v>
      </c>
      <c r="I816">
        <v>0</v>
      </c>
      <c r="J816">
        <v>11</v>
      </c>
      <c r="K816">
        <v>16372400</v>
      </c>
      <c r="L816">
        <v>0</v>
      </c>
      <c r="M816">
        <v>0</v>
      </c>
      <c r="N816">
        <v>0</v>
      </c>
      <c r="O816">
        <v>1884018</v>
      </c>
      <c r="P816">
        <v>24559</v>
      </c>
      <c r="Q816">
        <v>0</v>
      </c>
      <c r="R816">
        <v>0</v>
      </c>
      <c r="S816">
        <v>0</v>
      </c>
      <c r="T816">
        <v>2835</v>
      </c>
    </row>
    <row r="817" spans="1:20" x14ac:dyDescent="0.25">
      <c r="A817" t="s">
        <v>103</v>
      </c>
      <c r="B817" t="s">
        <v>146</v>
      </c>
      <c r="C817">
        <v>202504</v>
      </c>
      <c r="D817" s="47" t="str">
        <f>MID(C817,1,4)</f>
        <v>2025</v>
      </c>
      <c r="E817" t="str">
        <f>IF(Portfolio!$M$1=1,CONCATENATE(A817,C817),CONCATENATE(B817,C817))</f>
        <v>KCIC202504</v>
      </c>
      <c r="F817">
        <v>54</v>
      </c>
      <c r="G817">
        <v>1647</v>
      </c>
      <c r="H817">
        <v>945</v>
      </c>
      <c r="I817">
        <v>0</v>
      </c>
      <c r="J817">
        <v>0</v>
      </c>
      <c r="K817">
        <v>36525000</v>
      </c>
      <c r="L817">
        <v>896150008</v>
      </c>
      <c r="M817">
        <v>666475000</v>
      </c>
      <c r="N817">
        <v>0</v>
      </c>
      <c r="O817">
        <v>0</v>
      </c>
      <c r="P817">
        <v>54788</v>
      </c>
      <c r="Q817">
        <v>8961500</v>
      </c>
      <c r="R817">
        <v>12008050</v>
      </c>
      <c r="S817">
        <v>0</v>
      </c>
      <c r="T817">
        <v>0</v>
      </c>
    </row>
    <row r="818" spans="1:20" x14ac:dyDescent="0.25">
      <c r="A818" t="s">
        <v>107</v>
      </c>
      <c r="B818" t="s">
        <v>162</v>
      </c>
      <c r="C818">
        <v>202504</v>
      </c>
      <c r="D818" s="47" t="str">
        <f>MID(C818,1,4)</f>
        <v>2025</v>
      </c>
      <c r="E818" t="str">
        <f>IF(Portfolio!$M$1=1,CONCATENATE(A818,C818),CONCATENATE(B818,C818))</f>
        <v>MAP GROUP202504</v>
      </c>
      <c r="F818">
        <v>1</v>
      </c>
      <c r="G818">
        <v>3</v>
      </c>
      <c r="H818">
        <v>0</v>
      </c>
      <c r="I818">
        <v>0</v>
      </c>
      <c r="J818">
        <v>0</v>
      </c>
      <c r="K818">
        <v>53200</v>
      </c>
      <c r="L818">
        <v>386600</v>
      </c>
      <c r="M818">
        <v>0</v>
      </c>
      <c r="N818">
        <v>0</v>
      </c>
      <c r="O818">
        <v>0</v>
      </c>
      <c r="P818">
        <v>80</v>
      </c>
      <c r="Q818">
        <v>3866</v>
      </c>
      <c r="R818">
        <v>0</v>
      </c>
      <c r="S818">
        <v>0</v>
      </c>
      <c r="T818">
        <v>0</v>
      </c>
    </row>
    <row r="819" spans="1:20" x14ac:dyDescent="0.25">
      <c r="A819" t="s">
        <v>107</v>
      </c>
      <c r="B819" t="s">
        <v>178</v>
      </c>
      <c r="C819">
        <v>202504</v>
      </c>
      <c r="D819" s="47" t="str">
        <f>MID(C819,1,4)</f>
        <v>2025</v>
      </c>
      <c r="E819" t="str">
        <f>IF(Portfolio!$M$1=1,CONCATENATE(A819,C819),CONCATENATE(B819,C819))</f>
        <v>MAP GROUP202504</v>
      </c>
      <c r="F819">
        <v>0</v>
      </c>
      <c r="G819">
        <v>71</v>
      </c>
      <c r="H819">
        <v>0</v>
      </c>
      <c r="I819">
        <v>11</v>
      </c>
      <c r="J819">
        <v>608</v>
      </c>
      <c r="K819">
        <v>0</v>
      </c>
      <c r="L819">
        <v>15490000</v>
      </c>
      <c r="M819">
        <v>0</v>
      </c>
      <c r="N819">
        <v>203400</v>
      </c>
      <c r="O819">
        <v>62370583</v>
      </c>
      <c r="P819">
        <v>0</v>
      </c>
      <c r="Q819">
        <v>154900</v>
      </c>
      <c r="R819">
        <v>0</v>
      </c>
      <c r="S819">
        <v>643</v>
      </c>
      <c r="T819">
        <v>425579</v>
      </c>
    </row>
    <row r="820" spans="1:20" x14ac:dyDescent="0.25">
      <c r="A820" t="s">
        <v>109</v>
      </c>
      <c r="B820" t="s">
        <v>109</v>
      </c>
      <c r="C820">
        <v>202504</v>
      </c>
      <c r="D820" s="47" t="str">
        <f>MID(C820,1,4)</f>
        <v>2025</v>
      </c>
      <c r="E820" t="str">
        <f>IF(Portfolio!$M$1=1,CONCATENATE(A820,C820),CONCATENATE(B820,C820))</f>
        <v>MITRA10202504</v>
      </c>
      <c r="F820">
        <v>423</v>
      </c>
      <c r="G820">
        <v>1</v>
      </c>
      <c r="H820">
        <v>0</v>
      </c>
      <c r="I820">
        <v>0</v>
      </c>
      <c r="J820">
        <v>0</v>
      </c>
      <c r="K820">
        <v>836094748</v>
      </c>
      <c r="L820">
        <v>38250</v>
      </c>
      <c r="M820">
        <v>0</v>
      </c>
      <c r="N820">
        <v>0</v>
      </c>
      <c r="O820">
        <v>0</v>
      </c>
      <c r="P820">
        <v>1254141</v>
      </c>
      <c r="Q820">
        <v>382</v>
      </c>
      <c r="R820">
        <v>0</v>
      </c>
      <c r="S820">
        <v>0</v>
      </c>
      <c r="T820">
        <v>0</v>
      </c>
    </row>
    <row r="821" spans="1:20" x14ac:dyDescent="0.25">
      <c r="A821" t="s">
        <v>110</v>
      </c>
      <c r="B821" t="s">
        <v>110</v>
      </c>
      <c r="C821">
        <v>202504</v>
      </c>
      <c r="D821" s="47" t="str">
        <f>MID(C821,1,4)</f>
        <v>2025</v>
      </c>
      <c r="E821" t="str">
        <f>IF(Portfolio!$M$1=1,CONCATENATE(A821,C821),CONCATENATE(B821,C821))</f>
        <v>OPTIK MELAWAI202504</v>
      </c>
      <c r="F821">
        <v>74</v>
      </c>
      <c r="G821">
        <v>0</v>
      </c>
      <c r="H821">
        <v>0</v>
      </c>
      <c r="I821">
        <v>3</v>
      </c>
      <c r="J821">
        <v>836</v>
      </c>
      <c r="K821">
        <v>98527000</v>
      </c>
      <c r="L821">
        <v>0</v>
      </c>
      <c r="M821">
        <v>0</v>
      </c>
      <c r="N821">
        <v>1823000</v>
      </c>
      <c r="O821">
        <v>743703712</v>
      </c>
      <c r="P821">
        <v>147790</v>
      </c>
      <c r="Q821">
        <v>0</v>
      </c>
      <c r="R821">
        <v>0</v>
      </c>
      <c r="S821">
        <v>12761</v>
      </c>
      <c r="T821">
        <v>5205926</v>
      </c>
    </row>
    <row r="822" spans="1:20" x14ac:dyDescent="0.25">
      <c r="A822" t="s">
        <v>112</v>
      </c>
      <c r="B822" t="s">
        <v>215</v>
      </c>
      <c r="C822">
        <v>202504</v>
      </c>
      <c r="D822" s="47" t="str">
        <f>MID(C822,1,4)</f>
        <v>2025</v>
      </c>
      <c r="E822" t="str">
        <f>IF(Portfolio!$M$1=1,CONCATENATE(A822,C822),CONCATENATE(B822,C822))</f>
        <v>PERTAMINA RETAIL202504</v>
      </c>
      <c r="F822">
        <v>0</v>
      </c>
      <c r="G822">
        <v>0</v>
      </c>
      <c r="H822">
        <v>0</v>
      </c>
      <c r="I822">
        <v>0</v>
      </c>
      <c r="J822">
        <v>7</v>
      </c>
      <c r="K822">
        <v>0</v>
      </c>
      <c r="L822">
        <v>0</v>
      </c>
      <c r="M822">
        <v>0</v>
      </c>
      <c r="N822">
        <v>0</v>
      </c>
      <c r="O822">
        <v>5260000</v>
      </c>
      <c r="P822">
        <v>0</v>
      </c>
      <c r="Q822">
        <v>0</v>
      </c>
      <c r="R822">
        <v>0</v>
      </c>
      <c r="S822">
        <v>0</v>
      </c>
      <c r="T822">
        <v>31560</v>
      </c>
    </row>
    <row r="823" spans="1:20" x14ac:dyDescent="0.25">
      <c r="A823" t="s">
        <v>112</v>
      </c>
      <c r="B823" t="s">
        <v>216</v>
      </c>
      <c r="C823">
        <v>202504</v>
      </c>
      <c r="D823" s="47" t="str">
        <f>MID(C823,1,4)</f>
        <v>2025</v>
      </c>
      <c r="E823" t="str">
        <f>IF(Portfolio!$M$1=1,CONCATENATE(A823,C823),CONCATENATE(B823,C823))</f>
        <v>PERTAMINA RETAIL202504</v>
      </c>
      <c r="F823">
        <v>76</v>
      </c>
      <c r="G823">
        <v>7828</v>
      </c>
      <c r="H823">
        <v>178</v>
      </c>
      <c r="I823">
        <v>29</v>
      </c>
      <c r="J823">
        <v>3232</v>
      </c>
      <c r="K823">
        <v>18404222</v>
      </c>
      <c r="L823">
        <v>1838552374</v>
      </c>
      <c r="M823">
        <v>45539765</v>
      </c>
      <c r="N823">
        <v>4425300</v>
      </c>
      <c r="O823">
        <v>468626840</v>
      </c>
      <c r="P823">
        <v>27606</v>
      </c>
      <c r="Q823">
        <v>11070065</v>
      </c>
      <c r="R823">
        <v>819716</v>
      </c>
      <c r="S823">
        <v>9800</v>
      </c>
      <c r="T823">
        <v>1369895</v>
      </c>
    </row>
    <row r="824" spans="1:20" x14ac:dyDescent="0.25">
      <c r="A824" t="s">
        <v>114</v>
      </c>
      <c r="B824" t="s">
        <v>217</v>
      </c>
      <c r="C824">
        <v>202504</v>
      </c>
      <c r="D824" s="47" t="str">
        <f>MID(C824,1,4)</f>
        <v>2025</v>
      </c>
      <c r="E824" t="str">
        <f>IF(Portfolio!$M$1=1,CONCATENATE(A824,C824),CONCATENATE(B824,C824))</f>
        <v>PIZZA HUT202504</v>
      </c>
      <c r="F824">
        <v>15</v>
      </c>
      <c r="G824">
        <v>0</v>
      </c>
      <c r="H824">
        <v>0</v>
      </c>
      <c r="I824">
        <v>0</v>
      </c>
      <c r="J824">
        <v>0</v>
      </c>
      <c r="K824">
        <v>2714495</v>
      </c>
      <c r="L824">
        <v>0</v>
      </c>
      <c r="M824">
        <v>0</v>
      </c>
      <c r="N824">
        <v>0</v>
      </c>
      <c r="O824">
        <v>0</v>
      </c>
      <c r="P824">
        <v>4072</v>
      </c>
      <c r="Q824">
        <v>0</v>
      </c>
      <c r="R824">
        <v>0</v>
      </c>
      <c r="S824">
        <v>0</v>
      </c>
      <c r="T824">
        <v>0</v>
      </c>
    </row>
    <row r="825" spans="1:20" x14ac:dyDescent="0.25">
      <c r="A825" t="s">
        <v>114</v>
      </c>
      <c r="B825" t="s">
        <v>218</v>
      </c>
      <c r="C825">
        <v>202504</v>
      </c>
      <c r="D825" s="47" t="str">
        <f>MID(C825,1,4)</f>
        <v>2025</v>
      </c>
      <c r="E825" t="str">
        <f>IF(Portfolio!$M$1=1,CONCATENATE(A825,C825),CONCATENATE(B825,C825))</f>
        <v>PIZZA HUT202504</v>
      </c>
      <c r="F825">
        <v>252</v>
      </c>
      <c r="G825">
        <v>1</v>
      </c>
      <c r="H825">
        <v>0</v>
      </c>
      <c r="I825">
        <v>0</v>
      </c>
      <c r="J825">
        <v>0</v>
      </c>
      <c r="K825">
        <v>72985386</v>
      </c>
      <c r="L825">
        <v>208001</v>
      </c>
      <c r="M825">
        <v>0</v>
      </c>
      <c r="N825">
        <v>0</v>
      </c>
      <c r="O825">
        <v>0</v>
      </c>
      <c r="P825">
        <v>109477</v>
      </c>
      <c r="Q825">
        <v>2080</v>
      </c>
      <c r="R825">
        <v>0</v>
      </c>
      <c r="S825">
        <v>0</v>
      </c>
      <c r="T825">
        <v>0</v>
      </c>
    </row>
    <row r="826" spans="1:20" x14ac:dyDescent="0.25">
      <c r="A826" t="s">
        <v>115</v>
      </c>
      <c r="B826" t="s">
        <v>115</v>
      </c>
      <c r="C826">
        <v>202504</v>
      </c>
      <c r="D826" s="47" t="str">
        <f>MID(C826,1,4)</f>
        <v>2025</v>
      </c>
      <c r="E826" t="str">
        <f>IF(Portfolio!$M$1=1,CONCATENATE(A826,C826),CONCATENATE(B826,C826))</f>
        <v>PLATINUM CINEPLEX202504</v>
      </c>
      <c r="F826">
        <v>14</v>
      </c>
      <c r="G826">
        <v>1278</v>
      </c>
      <c r="H826">
        <v>217</v>
      </c>
      <c r="I826">
        <v>28</v>
      </c>
      <c r="J826">
        <v>4219</v>
      </c>
      <c r="K826">
        <v>1588000</v>
      </c>
      <c r="L826">
        <v>172443000</v>
      </c>
      <c r="M826">
        <v>29438000</v>
      </c>
      <c r="N826">
        <v>2629000</v>
      </c>
      <c r="O826">
        <v>472000000</v>
      </c>
      <c r="P826">
        <v>2382</v>
      </c>
      <c r="Q826">
        <v>1724430</v>
      </c>
      <c r="R826">
        <v>530914</v>
      </c>
      <c r="S826">
        <v>18403</v>
      </c>
      <c r="T826">
        <v>3304000</v>
      </c>
    </row>
    <row r="827" spans="1:20" x14ac:dyDescent="0.25">
      <c r="A827" t="s">
        <v>116</v>
      </c>
      <c r="B827" t="s">
        <v>116</v>
      </c>
      <c r="C827">
        <v>202504</v>
      </c>
      <c r="D827" s="47" t="str">
        <f>MID(C827,1,4)</f>
        <v>2025</v>
      </c>
      <c r="E827" t="str">
        <f>IF(Portfolio!$M$1=1,CONCATENATE(A827,C827),CONCATENATE(B827,C827))</f>
        <v>POPEYES202504</v>
      </c>
      <c r="F827">
        <v>2</v>
      </c>
      <c r="G827">
        <v>0</v>
      </c>
      <c r="H827">
        <v>0</v>
      </c>
      <c r="I827">
        <v>0</v>
      </c>
      <c r="J827">
        <v>0</v>
      </c>
      <c r="K827">
        <v>215596</v>
      </c>
      <c r="L827">
        <v>0</v>
      </c>
      <c r="M827">
        <v>0</v>
      </c>
      <c r="N827">
        <v>0</v>
      </c>
      <c r="O827">
        <v>0</v>
      </c>
      <c r="P827">
        <v>323</v>
      </c>
      <c r="Q827">
        <v>0</v>
      </c>
      <c r="R827">
        <v>0</v>
      </c>
      <c r="S827">
        <v>0</v>
      </c>
      <c r="T827">
        <v>0</v>
      </c>
    </row>
    <row r="828" spans="1:20" x14ac:dyDescent="0.25">
      <c r="A828" t="s">
        <v>118</v>
      </c>
      <c r="B828" t="s">
        <v>118</v>
      </c>
      <c r="C828">
        <v>202504</v>
      </c>
      <c r="D828" s="47" t="str">
        <f>MID(C828,1,4)</f>
        <v>2025</v>
      </c>
      <c r="E828" t="str">
        <f>IF(Portfolio!$M$1=1,CONCATENATE(A828,C828),CONCATENATE(B828,C828))</f>
        <v>SARINAH202504</v>
      </c>
      <c r="F828">
        <v>14</v>
      </c>
      <c r="G828">
        <v>236</v>
      </c>
      <c r="H828">
        <v>435</v>
      </c>
      <c r="I828">
        <v>0</v>
      </c>
      <c r="J828">
        <v>181</v>
      </c>
      <c r="K828">
        <v>5582603</v>
      </c>
      <c r="L828">
        <v>215891830</v>
      </c>
      <c r="M828">
        <v>475690545</v>
      </c>
      <c r="N828">
        <v>0</v>
      </c>
      <c r="O828">
        <v>9172000</v>
      </c>
      <c r="P828">
        <v>8374</v>
      </c>
      <c r="Q828">
        <v>2158918</v>
      </c>
      <c r="R828">
        <v>8562430</v>
      </c>
      <c r="S828">
        <v>0</v>
      </c>
      <c r="T828">
        <v>64204</v>
      </c>
    </row>
    <row r="829" spans="1:20" x14ac:dyDescent="0.25">
      <c r="A829" t="s">
        <v>120</v>
      </c>
      <c r="B829" t="s">
        <v>120</v>
      </c>
      <c r="C829">
        <v>202504</v>
      </c>
      <c r="D829" s="47" t="str">
        <f>MID(C829,1,4)</f>
        <v>2025</v>
      </c>
      <c r="E829" t="str">
        <f>IF(Portfolio!$M$1=1,CONCATENATE(A829,C829),CONCATENATE(B829,C829))</f>
        <v>SHIHLIN202504</v>
      </c>
      <c r="F829">
        <v>197</v>
      </c>
      <c r="G829">
        <v>11</v>
      </c>
      <c r="H829">
        <v>3</v>
      </c>
      <c r="I829">
        <v>982</v>
      </c>
      <c r="J829">
        <v>249</v>
      </c>
      <c r="K829">
        <v>13780000</v>
      </c>
      <c r="L829">
        <v>595000</v>
      </c>
      <c r="M829">
        <v>343000</v>
      </c>
      <c r="N829">
        <v>63230000</v>
      </c>
      <c r="O829">
        <v>6069640</v>
      </c>
      <c r="P829">
        <v>20670</v>
      </c>
      <c r="Q829">
        <v>5950</v>
      </c>
      <c r="R829">
        <v>6388</v>
      </c>
      <c r="S829">
        <v>434763</v>
      </c>
      <c r="T829">
        <v>3031</v>
      </c>
    </row>
    <row r="830" spans="1:20" x14ac:dyDescent="0.25">
      <c r="A830" t="s">
        <v>122</v>
      </c>
      <c r="B830" t="s">
        <v>122</v>
      </c>
      <c r="C830">
        <v>202504</v>
      </c>
      <c r="D830" s="47" t="str">
        <f>MID(C830,1,4)</f>
        <v>2025</v>
      </c>
      <c r="E830" t="str">
        <f>IF(Portfolio!$M$1=1,CONCATENATE(A830,C830),CONCATENATE(B830,C830))</f>
        <v>SOLARIA202504</v>
      </c>
      <c r="F830">
        <v>2043</v>
      </c>
      <c r="G830">
        <v>2</v>
      </c>
      <c r="H830">
        <v>0</v>
      </c>
      <c r="I830">
        <v>0</v>
      </c>
      <c r="J830">
        <v>0</v>
      </c>
      <c r="K830">
        <v>351122200</v>
      </c>
      <c r="L830">
        <v>283000</v>
      </c>
      <c r="M830">
        <v>0</v>
      </c>
      <c r="N830">
        <v>0</v>
      </c>
      <c r="O830">
        <v>0</v>
      </c>
      <c r="P830">
        <v>526683</v>
      </c>
      <c r="Q830">
        <v>2830</v>
      </c>
      <c r="R830">
        <v>0</v>
      </c>
      <c r="S830">
        <v>0</v>
      </c>
      <c r="T830">
        <v>0</v>
      </c>
    </row>
    <row r="831" spans="1:20" x14ac:dyDescent="0.25">
      <c r="A831" t="s">
        <v>124</v>
      </c>
      <c r="B831" t="s">
        <v>124</v>
      </c>
      <c r="C831">
        <v>202504</v>
      </c>
      <c r="D831" s="47" t="str">
        <f>MID(C831,1,4)</f>
        <v>2025</v>
      </c>
      <c r="E831" t="str">
        <f>IF(Portfolio!$M$1=1,CONCATENATE(A831,C831),CONCATENATE(B831,C831))</f>
        <v>SOUR SALLY202504</v>
      </c>
      <c r="F831">
        <v>8</v>
      </c>
      <c r="G831">
        <v>16</v>
      </c>
      <c r="H831">
        <v>0</v>
      </c>
      <c r="I831">
        <v>50</v>
      </c>
      <c r="J831">
        <v>1987</v>
      </c>
      <c r="K831">
        <v>866000</v>
      </c>
      <c r="L831">
        <v>1397000</v>
      </c>
      <c r="M831">
        <v>0</v>
      </c>
      <c r="N831">
        <v>3873000</v>
      </c>
      <c r="O831">
        <v>158204360</v>
      </c>
      <c r="P831">
        <v>1299</v>
      </c>
      <c r="Q831">
        <v>13970</v>
      </c>
      <c r="R831">
        <v>0</v>
      </c>
      <c r="S831">
        <v>27111</v>
      </c>
      <c r="T831">
        <v>1107430</v>
      </c>
    </row>
    <row r="832" spans="1:20" x14ac:dyDescent="0.25">
      <c r="A832" t="s">
        <v>126</v>
      </c>
      <c r="B832" t="s">
        <v>219</v>
      </c>
      <c r="C832">
        <v>202504</v>
      </c>
      <c r="D832" s="47" t="str">
        <f>MID(C832,1,4)</f>
        <v>2025</v>
      </c>
      <c r="E832" t="str">
        <f>IF(Portfolio!$M$1=1,CONCATENATE(A832,C832),CONCATENATE(B832,C832))</f>
        <v>STEVEN GROUP202504</v>
      </c>
      <c r="F832">
        <v>0</v>
      </c>
      <c r="G832">
        <v>0</v>
      </c>
      <c r="H832">
        <v>4</v>
      </c>
      <c r="I832">
        <v>0</v>
      </c>
      <c r="J832">
        <v>6</v>
      </c>
      <c r="K832">
        <v>0</v>
      </c>
      <c r="L832">
        <v>0</v>
      </c>
      <c r="M832">
        <v>740245</v>
      </c>
      <c r="N832">
        <v>0</v>
      </c>
      <c r="O832">
        <v>1201007</v>
      </c>
      <c r="P832">
        <v>0</v>
      </c>
      <c r="Q832">
        <v>0</v>
      </c>
      <c r="R832">
        <v>14805</v>
      </c>
      <c r="S832">
        <v>0</v>
      </c>
      <c r="T832">
        <v>0</v>
      </c>
    </row>
    <row r="833" spans="1:20" x14ac:dyDescent="0.25">
      <c r="A833" t="s">
        <v>126</v>
      </c>
      <c r="B833" t="s">
        <v>220</v>
      </c>
      <c r="C833">
        <v>202504</v>
      </c>
      <c r="D833" s="47" t="str">
        <f>MID(C833,1,4)</f>
        <v>2025</v>
      </c>
      <c r="E833" t="str">
        <f>IF(Portfolio!$M$1=1,CONCATENATE(A833,C833),CONCATENATE(B833,C833))</f>
        <v>STEVEN GROUP202504</v>
      </c>
      <c r="F833">
        <v>33</v>
      </c>
      <c r="G833">
        <v>6</v>
      </c>
      <c r="H833">
        <v>1</v>
      </c>
      <c r="I833">
        <v>82</v>
      </c>
      <c r="J833">
        <v>96</v>
      </c>
      <c r="K833">
        <v>4376910</v>
      </c>
      <c r="L833">
        <v>886379</v>
      </c>
      <c r="M833">
        <v>268398</v>
      </c>
      <c r="N833">
        <v>7331603</v>
      </c>
      <c r="O833">
        <v>4338262</v>
      </c>
      <c r="P833">
        <v>6565</v>
      </c>
      <c r="Q833">
        <v>8864</v>
      </c>
      <c r="R833">
        <v>5368</v>
      </c>
      <c r="S833">
        <v>51321</v>
      </c>
      <c r="T833">
        <v>30367</v>
      </c>
    </row>
    <row r="834" spans="1:20" x14ac:dyDescent="0.25">
      <c r="A834" t="s">
        <v>126</v>
      </c>
      <c r="B834" t="s">
        <v>222</v>
      </c>
      <c r="C834">
        <v>202504</v>
      </c>
      <c r="D834" s="47" t="str">
        <f>MID(C834,1,4)</f>
        <v>2025</v>
      </c>
      <c r="E834" t="str">
        <f>IF(Portfolio!$M$1=1,CONCATENATE(A834,C834),CONCATENATE(B834,C834))</f>
        <v>STEVEN GROUP202504</v>
      </c>
      <c r="F834">
        <v>3</v>
      </c>
      <c r="G834">
        <v>0</v>
      </c>
      <c r="H834">
        <v>0</v>
      </c>
      <c r="I834">
        <v>2</v>
      </c>
      <c r="J834">
        <v>64</v>
      </c>
      <c r="K834">
        <v>1012221</v>
      </c>
      <c r="L834">
        <v>0</v>
      </c>
      <c r="M834">
        <v>0</v>
      </c>
      <c r="N834">
        <v>59000</v>
      </c>
      <c r="O834">
        <v>2732001</v>
      </c>
      <c r="P834">
        <v>1518</v>
      </c>
      <c r="Q834">
        <v>0</v>
      </c>
      <c r="R834">
        <v>0</v>
      </c>
      <c r="S834">
        <v>0</v>
      </c>
      <c r="T834">
        <v>0</v>
      </c>
    </row>
    <row r="835" spans="1:20" x14ac:dyDescent="0.25">
      <c r="A835" t="s">
        <v>126</v>
      </c>
      <c r="B835" t="s">
        <v>224</v>
      </c>
      <c r="C835">
        <v>202504</v>
      </c>
      <c r="D835" s="47" t="str">
        <f>MID(C835,1,4)</f>
        <v>2025</v>
      </c>
      <c r="E835" t="str">
        <f>IF(Portfolio!$M$1=1,CONCATENATE(A835,C835),CONCATENATE(B835,C835))</f>
        <v>STEVEN GROUP202504</v>
      </c>
      <c r="F835">
        <v>0</v>
      </c>
      <c r="G835">
        <v>1</v>
      </c>
      <c r="H835">
        <v>0</v>
      </c>
      <c r="I835">
        <v>0</v>
      </c>
      <c r="J835">
        <v>1</v>
      </c>
      <c r="K835">
        <v>0</v>
      </c>
      <c r="L835">
        <v>4873737</v>
      </c>
      <c r="M835">
        <v>0</v>
      </c>
      <c r="N835">
        <v>0</v>
      </c>
      <c r="O835">
        <v>1</v>
      </c>
      <c r="P835">
        <v>0</v>
      </c>
      <c r="Q835">
        <v>48737</v>
      </c>
      <c r="R835">
        <v>0</v>
      </c>
      <c r="S835">
        <v>0</v>
      </c>
      <c r="T835">
        <v>0</v>
      </c>
    </row>
    <row r="836" spans="1:20" x14ac:dyDescent="0.25">
      <c r="A836" t="s">
        <v>126</v>
      </c>
      <c r="B836" t="s">
        <v>228</v>
      </c>
      <c r="C836">
        <v>202504</v>
      </c>
      <c r="D836" s="47" t="str">
        <f>MID(C836,1,4)</f>
        <v>2025</v>
      </c>
      <c r="E836" t="str">
        <f>IF(Portfolio!$M$1=1,CONCATENATE(A836,C836),CONCATENATE(B836,C836))</f>
        <v>STEVEN GROUP202504</v>
      </c>
      <c r="F836">
        <v>0</v>
      </c>
      <c r="G836">
        <v>0</v>
      </c>
      <c r="H836">
        <v>0</v>
      </c>
      <c r="I836">
        <v>29</v>
      </c>
      <c r="J836">
        <v>10045</v>
      </c>
      <c r="K836">
        <v>0</v>
      </c>
      <c r="L836">
        <v>0</v>
      </c>
      <c r="M836">
        <v>0</v>
      </c>
      <c r="N836">
        <v>2160800</v>
      </c>
      <c r="O836">
        <v>703198100</v>
      </c>
      <c r="P836">
        <v>0</v>
      </c>
      <c r="Q836">
        <v>0</v>
      </c>
      <c r="R836">
        <v>0</v>
      </c>
      <c r="S836">
        <v>0</v>
      </c>
      <c r="T836">
        <v>4239</v>
      </c>
    </row>
    <row r="837" spans="1:20" x14ac:dyDescent="0.25">
      <c r="A837" t="s">
        <v>126</v>
      </c>
      <c r="B837" t="s">
        <v>225</v>
      </c>
      <c r="C837">
        <v>202504</v>
      </c>
      <c r="D837" s="47" t="str">
        <f>MID(C837,1,4)</f>
        <v>2025</v>
      </c>
      <c r="E837" t="str">
        <f>IF(Portfolio!$M$1=1,CONCATENATE(A837,C837),CONCATENATE(B837,C837))</f>
        <v>STEVEN GROUP202504</v>
      </c>
      <c r="F837">
        <v>2</v>
      </c>
      <c r="G837">
        <v>0</v>
      </c>
      <c r="H837">
        <v>0</v>
      </c>
      <c r="I837">
        <v>0</v>
      </c>
      <c r="J837">
        <v>1</v>
      </c>
      <c r="K837">
        <v>1304288</v>
      </c>
      <c r="L837">
        <v>0</v>
      </c>
      <c r="M837">
        <v>0</v>
      </c>
      <c r="N837">
        <v>0</v>
      </c>
      <c r="O837">
        <v>1</v>
      </c>
      <c r="P837">
        <v>1956</v>
      </c>
      <c r="Q837">
        <v>0</v>
      </c>
      <c r="R837">
        <v>0</v>
      </c>
      <c r="S837">
        <v>0</v>
      </c>
      <c r="T837">
        <v>0</v>
      </c>
    </row>
    <row r="838" spans="1:20" x14ac:dyDescent="0.25">
      <c r="A838" t="s">
        <v>126</v>
      </c>
      <c r="B838" t="s">
        <v>132</v>
      </c>
      <c r="C838">
        <v>202504</v>
      </c>
      <c r="D838" s="47" t="str">
        <f>MID(C838,1,4)</f>
        <v>2025</v>
      </c>
      <c r="E838" t="str">
        <f>IF(Portfolio!$M$1=1,CONCATENATE(A838,C838),CONCATENATE(B838,C838))</f>
        <v>STEVEN GROUP202504</v>
      </c>
      <c r="F838">
        <v>0</v>
      </c>
      <c r="G838">
        <v>0</v>
      </c>
      <c r="H838">
        <v>0</v>
      </c>
      <c r="I838">
        <v>0</v>
      </c>
      <c r="J838">
        <v>2</v>
      </c>
      <c r="K838">
        <v>0</v>
      </c>
      <c r="L838">
        <v>0</v>
      </c>
      <c r="M838">
        <v>0</v>
      </c>
      <c r="N838">
        <v>0</v>
      </c>
      <c r="O838">
        <v>2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 x14ac:dyDescent="0.25">
      <c r="A839" t="s">
        <v>128</v>
      </c>
      <c r="B839" t="s">
        <v>226</v>
      </c>
      <c r="C839">
        <v>202504</v>
      </c>
      <c r="D839" s="47" t="str">
        <f>MID(C839,1,4)</f>
        <v>2025</v>
      </c>
      <c r="E839" t="str">
        <f>IF(Portfolio!$M$1=1,CONCATENATE(A839,C839),CONCATENATE(B839,C839))</f>
        <v>SUPRA BOGA LESTARI202504</v>
      </c>
      <c r="F839">
        <v>2</v>
      </c>
      <c r="G839">
        <v>0</v>
      </c>
      <c r="H839">
        <v>0</v>
      </c>
      <c r="I839">
        <v>0</v>
      </c>
      <c r="J839">
        <v>0</v>
      </c>
      <c r="K839">
        <v>130323</v>
      </c>
      <c r="L839">
        <v>0</v>
      </c>
      <c r="M839">
        <v>0</v>
      </c>
      <c r="N839">
        <v>0</v>
      </c>
      <c r="O839">
        <v>0</v>
      </c>
      <c r="P839">
        <v>195</v>
      </c>
      <c r="Q839">
        <v>0</v>
      </c>
      <c r="R839">
        <v>0</v>
      </c>
      <c r="S839">
        <v>0</v>
      </c>
      <c r="T839">
        <v>0</v>
      </c>
    </row>
    <row r="840" spans="1:20" x14ac:dyDescent="0.25">
      <c r="A840" t="s">
        <v>134</v>
      </c>
      <c r="B840" t="s">
        <v>134</v>
      </c>
      <c r="C840">
        <v>202504</v>
      </c>
      <c r="D840" s="47" t="str">
        <f>MID(C840,1,4)</f>
        <v>2025</v>
      </c>
      <c r="E840" t="str">
        <f>IF(Portfolio!$M$1=1,CONCATENATE(A840,C840),CONCATENATE(B840,C840))</f>
        <v>TAMANI202504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149600</v>
      </c>
      <c r="M840">
        <v>0</v>
      </c>
      <c r="N840">
        <v>0</v>
      </c>
      <c r="O840">
        <v>0</v>
      </c>
      <c r="P840">
        <v>0</v>
      </c>
      <c r="Q840">
        <v>1496</v>
      </c>
      <c r="R840">
        <v>0</v>
      </c>
      <c r="S840">
        <v>0</v>
      </c>
      <c r="T840">
        <v>0</v>
      </c>
    </row>
    <row r="841" spans="1:20" x14ac:dyDescent="0.25">
      <c r="A841" t="s">
        <v>138</v>
      </c>
      <c r="B841" t="s">
        <v>138</v>
      </c>
      <c r="C841">
        <v>202504</v>
      </c>
      <c r="D841" s="47" t="str">
        <f>MID(C841,1,4)</f>
        <v>2025</v>
      </c>
      <c r="E841" t="str">
        <f>IF(Portfolio!$M$1=1,CONCATENATE(A841,C841),CONCATENATE(B841,C841))</f>
        <v>YOSHINOYA202504</v>
      </c>
      <c r="F841">
        <v>442</v>
      </c>
      <c r="G841">
        <v>14168</v>
      </c>
      <c r="H841">
        <v>1452</v>
      </c>
      <c r="I841">
        <v>2652</v>
      </c>
      <c r="J841">
        <v>152360</v>
      </c>
      <c r="K841">
        <v>71753100</v>
      </c>
      <c r="L841">
        <v>2385092521</v>
      </c>
      <c r="M841">
        <v>150558900</v>
      </c>
      <c r="N841">
        <v>284244100</v>
      </c>
      <c r="O841">
        <v>20151470528</v>
      </c>
      <c r="P841">
        <v>107630</v>
      </c>
      <c r="Q841">
        <v>23850925</v>
      </c>
      <c r="R841">
        <v>1656148</v>
      </c>
      <c r="S841">
        <v>1989689</v>
      </c>
      <c r="T841">
        <v>141059673</v>
      </c>
    </row>
    <row r="842" spans="1:20" x14ac:dyDescent="0.25">
      <c r="A842" t="s">
        <v>67</v>
      </c>
      <c r="B842" t="s">
        <v>68</v>
      </c>
      <c r="C842">
        <v>202505</v>
      </c>
      <c r="D842" s="47" t="str">
        <f>MID(C842,1,4)</f>
        <v>2025</v>
      </c>
      <c r="E842" t="str">
        <f>IF(Portfolio!$M$1=1,CONCATENATE(A842,C842),CONCATENATE(B842,C842))</f>
        <v>ALFA GROUP202505</v>
      </c>
      <c r="F842">
        <v>19508</v>
      </c>
      <c r="G842">
        <v>62864</v>
      </c>
      <c r="H842">
        <v>20250</v>
      </c>
      <c r="I842">
        <v>25</v>
      </c>
      <c r="J842">
        <v>300</v>
      </c>
      <c r="K842">
        <v>1931910754</v>
      </c>
      <c r="L842">
        <v>6355621637</v>
      </c>
      <c r="M842">
        <v>2886020511</v>
      </c>
      <c r="N842">
        <v>923500</v>
      </c>
      <c r="O842">
        <v>16081501</v>
      </c>
      <c r="P842">
        <v>2897863</v>
      </c>
      <c r="Q842">
        <v>63556216</v>
      </c>
      <c r="R842">
        <v>51699177</v>
      </c>
      <c r="S842">
        <v>0</v>
      </c>
      <c r="T842">
        <v>4545</v>
      </c>
    </row>
    <row r="843" spans="1:20" x14ac:dyDescent="0.25">
      <c r="A843" t="s">
        <v>67</v>
      </c>
      <c r="B843" t="s">
        <v>69</v>
      </c>
      <c r="C843">
        <v>202505</v>
      </c>
      <c r="D843" s="47" t="str">
        <f>MID(C843,1,4)</f>
        <v>2025</v>
      </c>
      <c r="E843" t="str">
        <f>IF(Portfolio!$M$1=1,CONCATENATE(A843,C843),CONCATENATE(B843,C843))</f>
        <v>ALFA GROUP202505</v>
      </c>
      <c r="F843">
        <v>12</v>
      </c>
      <c r="G843">
        <v>59</v>
      </c>
      <c r="H843">
        <v>32</v>
      </c>
      <c r="I843">
        <v>1</v>
      </c>
      <c r="J843">
        <v>58</v>
      </c>
      <c r="K843">
        <v>1918604</v>
      </c>
      <c r="L843">
        <v>6113011</v>
      </c>
      <c r="M843">
        <v>5262281</v>
      </c>
      <c r="N843">
        <v>9200</v>
      </c>
      <c r="O843">
        <v>1915000</v>
      </c>
      <c r="P843">
        <v>2878</v>
      </c>
      <c r="Q843">
        <v>61130</v>
      </c>
      <c r="R843">
        <v>94721</v>
      </c>
      <c r="S843">
        <v>64</v>
      </c>
      <c r="T843">
        <v>13404</v>
      </c>
    </row>
    <row r="844" spans="1:20" x14ac:dyDescent="0.25">
      <c r="A844" t="s">
        <v>67</v>
      </c>
      <c r="B844" t="s">
        <v>72</v>
      </c>
      <c r="C844">
        <v>202505</v>
      </c>
      <c r="D844" s="47" t="str">
        <f>MID(C844,1,4)</f>
        <v>2025</v>
      </c>
      <c r="E844" t="str">
        <f>IF(Portfolio!$M$1=1,CONCATENATE(A844,C844),CONCATENATE(B844,C844))</f>
        <v>ALFA GROUP202505</v>
      </c>
      <c r="F844">
        <v>385</v>
      </c>
      <c r="G844">
        <v>1354</v>
      </c>
      <c r="H844">
        <v>235</v>
      </c>
      <c r="I844">
        <v>0</v>
      </c>
      <c r="J844">
        <v>0</v>
      </c>
      <c r="K844">
        <v>63410304</v>
      </c>
      <c r="L844">
        <v>207408653</v>
      </c>
      <c r="M844">
        <v>47335868</v>
      </c>
      <c r="N844">
        <v>0</v>
      </c>
      <c r="O844">
        <v>0</v>
      </c>
      <c r="P844">
        <v>95115</v>
      </c>
      <c r="Q844">
        <v>2074087</v>
      </c>
      <c r="R844">
        <v>847650</v>
      </c>
      <c r="S844">
        <v>0</v>
      </c>
      <c r="T844">
        <v>0</v>
      </c>
    </row>
    <row r="845" spans="1:20" x14ac:dyDescent="0.25">
      <c r="A845" t="s">
        <v>70</v>
      </c>
      <c r="B845" t="s">
        <v>70</v>
      </c>
      <c r="C845">
        <v>202505</v>
      </c>
      <c r="D845" s="47" t="str">
        <f>MID(C845,1,4)</f>
        <v>2025</v>
      </c>
      <c r="E845" t="str">
        <f>IF(Portfolio!$M$1=1,CONCATENATE(A845,C845),CONCATENATE(B845,C845))</f>
        <v>ANCOL202505</v>
      </c>
      <c r="F845">
        <v>3</v>
      </c>
      <c r="G845">
        <v>3</v>
      </c>
      <c r="H845">
        <v>3</v>
      </c>
      <c r="I845">
        <v>0</v>
      </c>
      <c r="J845">
        <v>135</v>
      </c>
      <c r="K845">
        <v>3010323</v>
      </c>
      <c r="L845">
        <v>853223</v>
      </c>
      <c r="M845">
        <v>3935663</v>
      </c>
      <c r="N845">
        <v>0</v>
      </c>
      <c r="O845">
        <v>11312126</v>
      </c>
      <c r="P845">
        <v>4515</v>
      </c>
      <c r="Q845">
        <v>8532</v>
      </c>
      <c r="R845">
        <v>78713</v>
      </c>
      <c r="S845">
        <v>0</v>
      </c>
      <c r="T845">
        <v>9617</v>
      </c>
    </row>
    <row r="846" spans="1:20" x14ac:dyDescent="0.25">
      <c r="A846" t="s">
        <v>73</v>
      </c>
      <c r="B846" t="s">
        <v>73</v>
      </c>
      <c r="C846">
        <v>202505</v>
      </c>
      <c r="D846" s="47" t="str">
        <f>MID(C846,1,4)</f>
        <v>2025</v>
      </c>
      <c r="E846" t="str">
        <f>IF(Portfolio!$M$1=1,CONCATENATE(A846,C846),CONCATENATE(B846,C846))</f>
        <v>BANBAN TEA202505</v>
      </c>
      <c r="F846">
        <v>10</v>
      </c>
      <c r="G846">
        <v>17</v>
      </c>
      <c r="H846">
        <v>4</v>
      </c>
      <c r="I846">
        <v>69</v>
      </c>
      <c r="J846">
        <v>240</v>
      </c>
      <c r="K846">
        <v>899899</v>
      </c>
      <c r="L846">
        <v>1306901</v>
      </c>
      <c r="M846">
        <v>387101</v>
      </c>
      <c r="N846">
        <v>4319695</v>
      </c>
      <c r="O846">
        <v>14865487</v>
      </c>
      <c r="P846">
        <v>1350</v>
      </c>
      <c r="Q846">
        <v>13069</v>
      </c>
      <c r="R846">
        <v>6968</v>
      </c>
      <c r="S846">
        <v>30238</v>
      </c>
      <c r="T846">
        <v>104059</v>
      </c>
    </row>
    <row r="847" spans="1:20" x14ac:dyDescent="0.25">
      <c r="A847" t="s">
        <v>75</v>
      </c>
      <c r="B847" t="s">
        <v>81</v>
      </c>
      <c r="C847">
        <v>202505</v>
      </c>
      <c r="D847" s="47" t="str">
        <f>MID(C847,1,4)</f>
        <v>2025</v>
      </c>
      <c r="E847" t="str">
        <f>IF(Portfolio!$M$1=1,CONCATENATE(A847,C847),CONCATENATE(B847,C847))</f>
        <v>CHAMP RESTO202505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522500</v>
      </c>
      <c r="L847">
        <v>0</v>
      </c>
      <c r="M847">
        <v>0</v>
      </c>
      <c r="N847">
        <v>0</v>
      </c>
      <c r="O847">
        <v>0</v>
      </c>
      <c r="P847">
        <v>784</v>
      </c>
      <c r="Q847">
        <v>0</v>
      </c>
      <c r="R847">
        <v>0</v>
      </c>
      <c r="S847">
        <v>0</v>
      </c>
      <c r="T847">
        <v>0</v>
      </c>
    </row>
    <row r="848" spans="1:20" x14ac:dyDescent="0.25">
      <c r="A848" t="s">
        <v>75</v>
      </c>
      <c r="B848" t="s">
        <v>83</v>
      </c>
      <c r="C848">
        <v>202505</v>
      </c>
      <c r="D848" s="47" t="str">
        <f>MID(C848,1,4)</f>
        <v>2025</v>
      </c>
      <c r="E848" t="str">
        <f>IF(Portfolio!$M$1=1,CONCATENATE(A848,C848),CONCATENATE(B848,C848))</f>
        <v>CHAMP RESTO202505</v>
      </c>
      <c r="F848">
        <v>0</v>
      </c>
      <c r="G848">
        <v>47</v>
      </c>
      <c r="H848">
        <v>21</v>
      </c>
      <c r="I848">
        <v>0</v>
      </c>
      <c r="J848">
        <v>34</v>
      </c>
      <c r="K848">
        <v>0</v>
      </c>
      <c r="L848">
        <v>16764000</v>
      </c>
      <c r="M848">
        <v>7399000</v>
      </c>
      <c r="N848">
        <v>0</v>
      </c>
      <c r="O848">
        <v>1676700</v>
      </c>
      <c r="P848">
        <v>0</v>
      </c>
      <c r="Q848">
        <v>167640</v>
      </c>
      <c r="R848">
        <v>147980</v>
      </c>
      <c r="S848">
        <v>0</v>
      </c>
      <c r="T848">
        <v>0</v>
      </c>
    </row>
    <row r="849" spans="1:20" x14ac:dyDescent="0.25">
      <c r="A849" t="s">
        <v>75</v>
      </c>
      <c r="B849" t="s">
        <v>85</v>
      </c>
      <c r="C849">
        <v>202505</v>
      </c>
      <c r="D849" s="47" t="str">
        <f>MID(C849,1,4)</f>
        <v>2025</v>
      </c>
      <c r="E849" t="str">
        <f>IF(Portfolio!$M$1=1,CONCATENATE(A849,C849),CONCATENATE(B849,C849))</f>
        <v>CHAMP RESTO202505</v>
      </c>
      <c r="F849">
        <v>10</v>
      </c>
      <c r="G849">
        <v>12</v>
      </c>
      <c r="H849">
        <v>0</v>
      </c>
      <c r="I849">
        <v>37</v>
      </c>
      <c r="J849">
        <v>239</v>
      </c>
      <c r="K849">
        <v>1607000</v>
      </c>
      <c r="L849">
        <v>2349978</v>
      </c>
      <c r="M849">
        <v>0</v>
      </c>
      <c r="N849">
        <v>1769000</v>
      </c>
      <c r="O849">
        <v>11153000</v>
      </c>
      <c r="P849">
        <v>2410</v>
      </c>
      <c r="Q849">
        <v>23500</v>
      </c>
      <c r="R849">
        <v>0</v>
      </c>
      <c r="S849">
        <v>0</v>
      </c>
      <c r="T849">
        <v>0</v>
      </c>
    </row>
    <row r="850" spans="1:20" x14ac:dyDescent="0.25">
      <c r="A850" t="s">
        <v>75</v>
      </c>
      <c r="B850" t="s">
        <v>91</v>
      </c>
      <c r="C850">
        <v>202505</v>
      </c>
      <c r="D850" s="47" t="str">
        <f>MID(C850,1,4)</f>
        <v>2025</v>
      </c>
      <c r="E850" t="str">
        <f>IF(Portfolio!$M$1=1,CONCATENATE(A850,C850),CONCATENATE(B850,C850))</f>
        <v>CHAMP RESTO202505</v>
      </c>
      <c r="F850">
        <v>0</v>
      </c>
      <c r="G850">
        <v>10</v>
      </c>
      <c r="H850">
        <v>1</v>
      </c>
      <c r="I850">
        <v>0</v>
      </c>
      <c r="J850">
        <v>0</v>
      </c>
      <c r="K850">
        <v>0</v>
      </c>
      <c r="L850">
        <v>1475466</v>
      </c>
      <c r="M850">
        <v>223492</v>
      </c>
      <c r="N850">
        <v>0</v>
      </c>
      <c r="O850">
        <v>0</v>
      </c>
      <c r="P850">
        <v>0</v>
      </c>
      <c r="Q850">
        <v>14755</v>
      </c>
      <c r="R850">
        <v>4023</v>
      </c>
      <c r="S850">
        <v>0</v>
      </c>
      <c r="T850">
        <v>0</v>
      </c>
    </row>
    <row r="851" spans="1:20" x14ac:dyDescent="0.25">
      <c r="A851" t="s">
        <v>75</v>
      </c>
      <c r="B851" t="s">
        <v>93</v>
      </c>
      <c r="C851">
        <v>202505</v>
      </c>
      <c r="D851" s="47" t="str">
        <f>MID(C851,1,4)</f>
        <v>2025</v>
      </c>
      <c r="E851" t="str">
        <f>IF(Portfolio!$M$1=1,CONCATENATE(A851,C851),CONCATENATE(B851,C851))</f>
        <v>CHAMP RESTO202505</v>
      </c>
      <c r="F851">
        <v>0</v>
      </c>
      <c r="G851">
        <v>0</v>
      </c>
      <c r="H851">
        <v>0</v>
      </c>
      <c r="I851">
        <v>0</v>
      </c>
      <c r="J851">
        <v>172</v>
      </c>
      <c r="K851">
        <v>0</v>
      </c>
      <c r="L851">
        <v>0</v>
      </c>
      <c r="M851">
        <v>0</v>
      </c>
      <c r="N851">
        <v>0</v>
      </c>
      <c r="O851">
        <v>2454000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 x14ac:dyDescent="0.25">
      <c r="A852" t="s">
        <v>75</v>
      </c>
      <c r="B852" t="s">
        <v>95</v>
      </c>
      <c r="C852">
        <v>202505</v>
      </c>
      <c r="D852" s="47" t="str">
        <f>MID(C852,1,4)</f>
        <v>2025</v>
      </c>
      <c r="E852" t="str">
        <f>IF(Portfolio!$M$1=1,CONCATENATE(A852,C852),CONCATENATE(B852,C852))</f>
        <v>CHAMP RESTO202505</v>
      </c>
      <c r="F852">
        <v>29</v>
      </c>
      <c r="G852">
        <v>4</v>
      </c>
      <c r="H852">
        <v>0</v>
      </c>
      <c r="I852">
        <v>7</v>
      </c>
      <c r="J852">
        <v>116</v>
      </c>
      <c r="K852">
        <v>8675157</v>
      </c>
      <c r="L852">
        <v>1098004</v>
      </c>
      <c r="M852">
        <v>0</v>
      </c>
      <c r="N852">
        <v>204000</v>
      </c>
      <c r="O852">
        <v>3486000</v>
      </c>
      <c r="P852">
        <v>13013</v>
      </c>
      <c r="Q852">
        <v>10980</v>
      </c>
      <c r="R852">
        <v>0</v>
      </c>
      <c r="S852">
        <v>0</v>
      </c>
      <c r="T852">
        <v>0</v>
      </c>
    </row>
    <row r="853" spans="1:20" x14ac:dyDescent="0.25">
      <c r="A853" t="s">
        <v>76</v>
      </c>
      <c r="B853" t="s">
        <v>76</v>
      </c>
      <c r="C853">
        <v>202505</v>
      </c>
      <c r="D853" s="47" t="str">
        <f>MID(C853,1,4)</f>
        <v>2025</v>
      </c>
      <c r="E853" t="str">
        <f>IF(Portfolio!$M$1=1,CONCATENATE(A853,C853),CONCATENATE(B853,C853))</f>
        <v>DAMRI202505</v>
      </c>
      <c r="F853">
        <v>1</v>
      </c>
      <c r="G853">
        <v>17</v>
      </c>
      <c r="H853">
        <v>1</v>
      </c>
      <c r="I853">
        <v>0</v>
      </c>
      <c r="J853">
        <v>105</v>
      </c>
      <c r="K853">
        <v>80000</v>
      </c>
      <c r="L853">
        <v>7190000</v>
      </c>
      <c r="M853">
        <v>355000</v>
      </c>
      <c r="N853">
        <v>0</v>
      </c>
      <c r="O853">
        <v>47541000</v>
      </c>
      <c r="P853">
        <v>120</v>
      </c>
      <c r="Q853">
        <v>71900</v>
      </c>
      <c r="R853">
        <v>7100</v>
      </c>
      <c r="S853">
        <v>0</v>
      </c>
      <c r="T853">
        <v>332787</v>
      </c>
    </row>
    <row r="854" spans="1:20" x14ac:dyDescent="0.25">
      <c r="A854" t="s">
        <v>80</v>
      </c>
      <c r="B854" t="s">
        <v>80</v>
      </c>
      <c r="C854">
        <v>202505</v>
      </c>
      <c r="D854" s="47" t="str">
        <f>MID(C854,1,4)</f>
        <v>2025</v>
      </c>
      <c r="E854" t="str">
        <f>IF(Portfolio!$M$1=1,CONCATENATE(A854,C854),CONCATENATE(B854,C854))</f>
        <v>DWIDAYA202505</v>
      </c>
      <c r="F854">
        <v>24</v>
      </c>
      <c r="G854">
        <v>0</v>
      </c>
      <c r="H854">
        <v>0</v>
      </c>
      <c r="I854">
        <v>1</v>
      </c>
      <c r="J854">
        <v>45</v>
      </c>
      <c r="K854">
        <v>389255000</v>
      </c>
      <c r="L854">
        <v>0</v>
      </c>
      <c r="M854">
        <v>0</v>
      </c>
      <c r="N854">
        <v>1600000</v>
      </c>
      <c r="O854">
        <v>152413001</v>
      </c>
      <c r="P854">
        <v>583882</v>
      </c>
      <c r="Q854">
        <v>0</v>
      </c>
      <c r="R854">
        <v>0</v>
      </c>
      <c r="S854">
        <v>11200</v>
      </c>
      <c r="T854">
        <v>1066892</v>
      </c>
    </row>
    <row r="855" spans="1:20" x14ac:dyDescent="0.25">
      <c r="A855" t="s">
        <v>82</v>
      </c>
      <c r="B855" t="s">
        <v>82</v>
      </c>
      <c r="C855">
        <v>202505</v>
      </c>
      <c r="D855" s="47" t="str">
        <f>MID(C855,1,4)</f>
        <v>2025</v>
      </c>
      <c r="E855" t="str">
        <f>IF(Portfolio!$M$1=1,CONCATENATE(A855,C855),CONCATENATE(B855,C855))</f>
        <v>EKA HOSPITAL202505</v>
      </c>
      <c r="F855">
        <v>1</v>
      </c>
      <c r="G855">
        <v>2</v>
      </c>
      <c r="H855">
        <v>20</v>
      </c>
      <c r="I855">
        <v>0</v>
      </c>
      <c r="J855">
        <v>5</v>
      </c>
      <c r="K855">
        <v>15000</v>
      </c>
      <c r="L855">
        <v>342871</v>
      </c>
      <c r="M855">
        <v>10047700</v>
      </c>
      <c r="N855">
        <v>0</v>
      </c>
      <c r="O855">
        <v>5</v>
      </c>
      <c r="P855">
        <v>22</v>
      </c>
      <c r="Q855">
        <v>3429</v>
      </c>
      <c r="R855">
        <v>142138</v>
      </c>
      <c r="S855">
        <v>0</v>
      </c>
      <c r="T855">
        <v>0</v>
      </c>
    </row>
    <row r="856" spans="1:20" x14ac:dyDescent="0.25">
      <c r="A856" t="s">
        <v>84</v>
      </c>
      <c r="B856" t="s">
        <v>84</v>
      </c>
      <c r="C856">
        <v>202505</v>
      </c>
      <c r="D856" s="47" t="str">
        <f>MID(C856,1,4)</f>
        <v>2025</v>
      </c>
      <c r="E856" t="str">
        <f>IF(Portfolio!$M$1=1,CONCATENATE(A856,C856),CONCATENATE(B856,C856))</f>
        <v>ES TELLER 77202505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50000</v>
      </c>
      <c r="M856">
        <v>0</v>
      </c>
      <c r="N856">
        <v>0</v>
      </c>
      <c r="O856">
        <v>0</v>
      </c>
      <c r="P856">
        <v>0</v>
      </c>
      <c r="Q856">
        <v>500</v>
      </c>
      <c r="R856">
        <v>0</v>
      </c>
      <c r="S856">
        <v>0</v>
      </c>
      <c r="T856">
        <v>0</v>
      </c>
    </row>
    <row r="857" spans="1:20" x14ac:dyDescent="0.25">
      <c r="A857" t="s">
        <v>86</v>
      </c>
      <c r="B857" t="s">
        <v>86</v>
      </c>
      <c r="C857">
        <v>202505</v>
      </c>
      <c r="D857" s="47" t="str">
        <f>MID(C857,1,4)</f>
        <v>2025</v>
      </c>
      <c r="E857" t="str">
        <f>IF(Portfolio!$M$1=1,CONCATENATE(A857,C857),CONCATENATE(B857,C857))</f>
        <v>GRAMEDIA202505</v>
      </c>
      <c r="F857">
        <v>5</v>
      </c>
      <c r="G857">
        <v>0</v>
      </c>
      <c r="H857">
        <v>1</v>
      </c>
      <c r="I857">
        <v>3</v>
      </c>
      <c r="J857">
        <v>169</v>
      </c>
      <c r="K857">
        <v>1041900</v>
      </c>
      <c r="L857">
        <v>0</v>
      </c>
      <c r="M857">
        <v>419800</v>
      </c>
      <c r="N857">
        <v>108000</v>
      </c>
      <c r="O857">
        <v>5420701</v>
      </c>
      <c r="P857">
        <v>1563</v>
      </c>
      <c r="Q857">
        <v>0</v>
      </c>
      <c r="R857">
        <v>7556</v>
      </c>
      <c r="S857">
        <v>0</v>
      </c>
      <c r="T857">
        <v>0</v>
      </c>
    </row>
    <row r="858" spans="1:20" x14ac:dyDescent="0.25">
      <c r="A858" t="s">
        <v>88</v>
      </c>
      <c r="B858" t="s">
        <v>88</v>
      </c>
      <c r="C858">
        <v>202505</v>
      </c>
      <c r="D858" s="47" t="str">
        <f>MID(C858,1,4)</f>
        <v>2025</v>
      </c>
      <c r="E858" t="str">
        <f>IF(Portfolio!$M$1=1,CONCATENATE(A858,C858),CONCATENATE(B858,C858))</f>
        <v>HAUS202505</v>
      </c>
      <c r="F858">
        <v>0</v>
      </c>
      <c r="G858">
        <v>2</v>
      </c>
      <c r="H858">
        <v>0</v>
      </c>
      <c r="I858">
        <v>80</v>
      </c>
      <c r="J858">
        <v>18614</v>
      </c>
      <c r="K858">
        <v>0</v>
      </c>
      <c r="L858">
        <v>55000</v>
      </c>
      <c r="M858">
        <v>0</v>
      </c>
      <c r="N858">
        <v>3419000</v>
      </c>
      <c r="O858">
        <v>735904504</v>
      </c>
      <c r="P858">
        <v>0</v>
      </c>
      <c r="Q858">
        <v>550</v>
      </c>
      <c r="R858">
        <v>0</v>
      </c>
      <c r="S858">
        <v>103742</v>
      </c>
      <c r="T858">
        <v>5068207</v>
      </c>
    </row>
    <row r="859" spans="1:20" x14ac:dyDescent="0.25">
      <c r="A859" t="s">
        <v>90</v>
      </c>
      <c r="B859" t="s">
        <v>90</v>
      </c>
      <c r="C859">
        <v>202505</v>
      </c>
      <c r="D859" s="47" t="str">
        <f>MID(C859,1,4)</f>
        <v>2025</v>
      </c>
      <c r="E859" t="str">
        <f>IF(Portfolio!$M$1=1,CONCATENATE(A859,C859),CONCATENATE(B859,C859))</f>
        <v>HEAVENLY WANG202505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227535</v>
      </c>
      <c r="N859">
        <v>0</v>
      </c>
      <c r="O859">
        <v>0</v>
      </c>
      <c r="P859">
        <v>0</v>
      </c>
      <c r="Q859">
        <v>0</v>
      </c>
      <c r="R859">
        <v>4096</v>
      </c>
      <c r="S859">
        <v>0</v>
      </c>
      <c r="T859">
        <v>0</v>
      </c>
    </row>
    <row r="860" spans="1:20" x14ac:dyDescent="0.25">
      <c r="A860" t="s">
        <v>92</v>
      </c>
      <c r="B860" t="s">
        <v>108</v>
      </c>
      <c r="C860">
        <v>202505</v>
      </c>
      <c r="D860" s="47" t="str">
        <f>MID(C860,1,4)</f>
        <v>2025</v>
      </c>
      <c r="E860" t="str">
        <f>IF(Portfolio!$M$1=1,CONCATENATE(A860,C860),CONCATENATE(B860,C860))</f>
        <v>HERO GROUP202505</v>
      </c>
      <c r="F860">
        <v>36</v>
      </c>
      <c r="G860">
        <v>3</v>
      </c>
      <c r="H860">
        <v>3</v>
      </c>
      <c r="I860">
        <v>0</v>
      </c>
      <c r="J860">
        <v>52</v>
      </c>
      <c r="K860">
        <v>16284155</v>
      </c>
      <c r="L860">
        <v>1380367</v>
      </c>
      <c r="M860">
        <v>696558</v>
      </c>
      <c r="N860">
        <v>0</v>
      </c>
      <c r="O860">
        <v>3398851</v>
      </c>
      <c r="P860">
        <v>24426</v>
      </c>
      <c r="Q860">
        <v>13804</v>
      </c>
      <c r="R860">
        <v>13931</v>
      </c>
      <c r="S860">
        <v>0</v>
      </c>
      <c r="T860">
        <v>0</v>
      </c>
    </row>
    <row r="861" spans="1:20" x14ac:dyDescent="0.25">
      <c r="A861" t="s">
        <v>94</v>
      </c>
      <c r="B861" t="s">
        <v>94</v>
      </c>
      <c r="C861">
        <v>202505</v>
      </c>
      <c r="D861" s="47" t="str">
        <f>MID(C861,1,4)</f>
        <v>2025</v>
      </c>
      <c r="E861" t="str">
        <f>IF(Portfolio!$M$1=1,CONCATENATE(A861,C861),CONCATENATE(B861,C861))</f>
        <v>HOKBEN202505</v>
      </c>
      <c r="F861">
        <v>0</v>
      </c>
      <c r="G861">
        <v>0</v>
      </c>
      <c r="H861">
        <v>0</v>
      </c>
      <c r="I861">
        <v>12</v>
      </c>
      <c r="J861">
        <v>2706</v>
      </c>
      <c r="K861">
        <v>0</v>
      </c>
      <c r="L861">
        <v>0</v>
      </c>
      <c r="M861">
        <v>0</v>
      </c>
      <c r="N861">
        <v>2187000</v>
      </c>
      <c r="O861">
        <v>279829520</v>
      </c>
      <c r="P861">
        <v>0</v>
      </c>
      <c r="Q861">
        <v>0</v>
      </c>
      <c r="R861">
        <v>0</v>
      </c>
      <c r="S861">
        <v>618149</v>
      </c>
      <c r="T861">
        <v>1958806</v>
      </c>
    </row>
    <row r="862" spans="1:20" x14ac:dyDescent="0.25">
      <c r="A862" t="s">
        <v>96</v>
      </c>
      <c r="B862" t="s">
        <v>96</v>
      </c>
      <c r="C862">
        <v>202505</v>
      </c>
      <c r="D862" s="47" t="str">
        <f>MID(C862,1,4)</f>
        <v>2025</v>
      </c>
      <c r="E862" t="str">
        <f>IF(Portfolio!$M$1=1,CONCATENATE(A862,C862),CONCATENATE(B862,C862))</f>
        <v>HOKKAIDO BAKED CHEESE202505</v>
      </c>
      <c r="F862">
        <v>10</v>
      </c>
      <c r="G862">
        <v>133</v>
      </c>
      <c r="H862">
        <v>5</v>
      </c>
      <c r="I862">
        <v>31</v>
      </c>
      <c r="J862">
        <v>4671</v>
      </c>
      <c r="K862">
        <v>1160005</v>
      </c>
      <c r="L862">
        <v>12910627</v>
      </c>
      <c r="M862">
        <v>623400</v>
      </c>
      <c r="N862">
        <v>2795880</v>
      </c>
      <c r="O862">
        <v>247375849</v>
      </c>
      <c r="P862">
        <v>1740</v>
      </c>
      <c r="Q862">
        <v>129106</v>
      </c>
      <c r="R862">
        <v>11904</v>
      </c>
      <c r="S862">
        <v>17030</v>
      </c>
      <c r="T862">
        <v>1499382</v>
      </c>
    </row>
    <row r="863" spans="1:20" x14ac:dyDescent="0.25">
      <c r="A863" t="s">
        <v>97</v>
      </c>
      <c r="B863" t="s">
        <v>97</v>
      </c>
      <c r="C863">
        <v>202505</v>
      </c>
      <c r="D863" s="47" t="str">
        <f>MID(C863,1,4)</f>
        <v>2025</v>
      </c>
      <c r="E863" t="str">
        <f>IF(Portfolio!$M$1=1,CONCATENATE(A863,C863),CONCATENATE(B863,C863))</f>
        <v>HOP HOP202505</v>
      </c>
      <c r="F863">
        <v>0</v>
      </c>
      <c r="G863">
        <v>0</v>
      </c>
      <c r="H863">
        <v>0</v>
      </c>
      <c r="I863">
        <v>137</v>
      </c>
      <c r="J863">
        <v>12716</v>
      </c>
      <c r="K863">
        <v>0</v>
      </c>
      <c r="L863">
        <v>0</v>
      </c>
      <c r="M863">
        <v>0</v>
      </c>
      <c r="N863">
        <v>5729900</v>
      </c>
      <c r="O863">
        <v>363716208</v>
      </c>
      <c r="P863">
        <v>0</v>
      </c>
      <c r="Q863">
        <v>0</v>
      </c>
      <c r="R863">
        <v>0</v>
      </c>
      <c r="S863">
        <v>-150172</v>
      </c>
      <c r="T863">
        <v>26910</v>
      </c>
    </row>
    <row r="864" spans="1:20" x14ac:dyDescent="0.25">
      <c r="A864" t="s">
        <v>97</v>
      </c>
      <c r="B864" t="s">
        <v>113</v>
      </c>
      <c r="C864">
        <v>202505</v>
      </c>
      <c r="D864" s="47" t="str">
        <f>MID(C864,1,4)</f>
        <v>2025</v>
      </c>
      <c r="E864" t="str">
        <f>IF(Portfolio!$M$1=1,CONCATENATE(A864,C864),CONCATENATE(B864,C864))</f>
        <v>HOP HOP202505</v>
      </c>
      <c r="F864">
        <v>0</v>
      </c>
      <c r="G864">
        <v>0</v>
      </c>
      <c r="H864">
        <v>0</v>
      </c>
      <c r="I864">
        <v>16</v>
      </c>
      <c r="J864">
        <v>2683</v>
      </c>
      <c r="K864">
        <v>0</v>
      </c>
      <c r="L864">
        <v>0</v>
      </c>
      <c r="M864">
        <v>0</v>
      </c>
      <c r="N864">
        <v>706000</v>
      </c>
      <c r="O864">
        <v>65336600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 x14ac:dyDescent="0.25">
      <c r="A865" t="s">
        <v>99</v>
      </c>
      <c r="B865" t="s">
        <v>99</v>
      </c>
      <c r="C865">
        <v>202505</v>
      </c>
      <c r="D865" s="47" t="str">
        <f>MID(C865,1,4)</f>
        <v>2025</v>
      </c>
      <c r="E865" t="str">
        <f>IF(Portfolio!$M$1=1,CONCATENATE(A865,C865),CONCATENATE(B865,C865))</f>
        <v>IKEA202505</v>
      </c>
      <c r="F865">
        <v>23</v>
      </c>
      <c r="G865">
        <v>0</v>
      </c>
      <c r="H865">
        <v>0</v>
      </c>
      <c r="I865">
        <v>0</v>
      </c>
      <c r="J865">
        <v>0</v>
      </c>
      <c r="K865">
        <v>50014800</v>
      </c>
      <c r="L865">
        <v>0</v>
      </c>
      <c r="M865">
        <v>0</v>
      </c>
      <c r="N865">
        <v>0</v>
      </c>
      <c r="O865">
        <v>0</v>
      </c>
      <c r="P865">
        <v>75022</v>
      </c>
      <c r="Q865">
        <v>0</v>
      </c>
      <c r="R865">
        <v>0</v>
      </c>
      <c r="S865">
        <v>0</v>
      </c>
      <c r="T865">
        <v>0</v>
      </c>
    </row>
    <row r="866" spans="1:20" x14ac:dyDescent="0.25">
      <c r="A866" t="s">
        <v>101</v>
      </c>
      <c r="B866" t="s">
        <v>101</v>
      </c>
      <c r="C866">
        <v>202505</v>
      </c>
      <c r="D866" s="47" t="str">
        <f>MID(C866,1,4)</f>
        <v>2025</v>
      </c>
      <c r="E866" t="str">
        <f>IF(Portfolio!$M$1=1,CONCATENATE(A866,C866),CONCATENATE(B866,C866))</f>
        <v>INDOMARET202505</v>
      </c>
      <c r="F866">
        <v>27468</v>
      </c>
      <c r="G866">
        <v>58193</v>
      </c>
      <c r="H866">
        <v>20380</v>
      </c>
      <c r="I866">
        <v>2</v>
      </c>
      <c r="J866">
        <v>43</v>
      </c>
      <c r="K866">
        <v>2723293142</v>
      </c>
      <c r="L866">
        <v>5106296275</v>
      </c>
      <c r="M866">
        <v>2645623060</v>
      </c>
      <c r="N866">
        <v>50000</v>
      </c>
      <c r="O866">
        <v>1448700</v>
      </c>
      <c r="P866">
        <v>4084938</v>
      </c>
      <c r="Q866">
        <v>51062963</v>
      </c>
      <c r="R866">
        <v>44273262</v>
      </c>
      <c r="S866">
        <v>350</v>
      </c>
      <c r="T866">
        <v>4841</v>
      </c>
    </row>
    <row r="867" spans="1:20" x14ac:dyDescent="0.25">
      <c r="A867" t="s">
        <v>101</v>
      </c>
      <c r="B867" t="s">
        <v>117</v>
      </c>
      <c r="C867">
        <v>202505</v>
      </c>
      <c r="D867" s="47" t="str">
        <f>MID(C867,1,4)</f>
        <v>2025</v>
      </c>
      <c r="E867" t="str">
        <f>IF(Portfolio!$M$1=1,CONCATENATE(A867,C867),CONCATENATE(B867,C867))</f>
        <v>INDOMARET202505</v>
      </c>
      <c r="F867">
        <v>97</v>
      </c>
      <c r="G867">
        <v>175</v>
      </c>
      <c r="H867">
        <v>83</v>
      </c>
      <c r="I867">
        <v>0</v>
      </c>
      <c r="J867">
        <v>0</v>
      </c>
      <c r="K867">
        <v>10040606</v>
      </c>
      <c r="L867">
        <v>14684600</v>
      </c>
      <c r="M867">
        <v>10568200</v>
      </c>
      <c r="N867">
        <v>0</v>
      </c>
      <c r="O867">
        <v>0</v>
      </c>
      <c r="P867">
        <v>15061</v>
      </c>
      <c r="Q867">
        <v>146846</v>
      </c>
      <c r="R867">
        <v>174375</v>
      </c>
      <c r="S867">
        <v>0</v>
      </c>
      <c r="T867">
        <v>0</v>
      </c>
    </row>
    <row r="868" spans="1:20" x14ac:dyDescent="0.25">
      <c r="A868" t="s">
        <v>102</v>
      </c>
      <c r="B868" t="s">
        <v>123</v>
      </c>
      <c r="C868">
        <v>202505</v>
      </c>
      <c r="D868" s="47" t="str">
        <f>MID(C868,1,4)</f>
        <v>2025</v>
      </c>
      <c r="E868" t="str">
        <f>IF(Portfolio!$M$1=1,CONCATENATE(A868,C868),CONCATENATE(B868,C868))</f>
        <v>KAWAN LAMA202505</v>
      </c>
      <c r="F868">
        <v>1163</v>
      </c>
      <c r="G868">
        <v>0</v>
      </c>
      <c r="H868">
        <v>0</v>
      </c>
      <c r="I868">
        <v>89</v>
      </c>
      <c r="J868">
        <v>17</v>
      </c>
      <c r="K868">
        <v>918873358</v>
      </c>
      <c r="L868">
        <v>0</v>
      </c>
      <c r="M868">
        <v>0</v>
      </c>
      <c r="N868">
        <v>35810777</v>
      </c>
      <c r="O868">
        <v>15547528</v>
      </c>
      <c r="P868">
        <v>1378309</v>
      </c>
      <c r="Q868">
        <v>0</v>
      </c>
      <c r="R868">
        <v>0</v>
      </c>
      <c r="S868">
        <v>250669</v>
      </c>
      <c r="T868">
        <v>108832</v>
      </c>
    </row>
    <row r="869" spans="1:20" x14ac:dyDescent="0.25">
      <c r="A869" t="s">
        <v>102</v>
      </c>
      <c r="B869" t="s">
        <v>125</v>
      </c>
      <c r="C869">
        <v>202505</v>
      </c>
      <c r="D869" s="47" t="str">
        <f>MID(C869,1,4)</f>
        <v>2025</v>
      </c>
      <c r="E869" t="str">
        <f>IF(Portfolio!$M$1=1,CONCATENATE(A869,C869),CONCATENATE(B869,C869))</f>
        <v>KAWAN LAMA202505</v>
      </c>
      <c r="F869">
        <v>348</v>
      </c>
      <c r="G869">
        <v>0</v>
      </c>
      <c r="H869">
        <v>1</v>
      </c>
      <c r="I869">
        <v>400</v>
      </c>
      <c r="J869">
        <v>50</v>
      </c>
      <c r="K869">
        <v>36010994</v>
      </c>
      <c r="L869">
        <v>0</v>
      </c>
      <c r="M869">
        <v>46000</v>
      </c>
      <c r="N869">
        <v>20502000</v>
      </c>
      <c r="O869">
        <v>10441010</v>
      </c>
      <c r="P869">
        <v>54016</v>
      </c>
      <c r="Q869">
        <v>0</v>
      </c>
      <c r="R869">
        <v>920</v>
      </c>
      <c r="S869">
        <v>143514</v>
      </c>
      <c r="T869">
        <v>73087</v>
      </c>
    </row>
    <row r="870" spans="1:20" x14ac:dyDescent="0.25">
      <c r="A870" t="s">
        <v>102</v>
      </c>
      <c r="B870" t="s">
        <v>129</v>
      </c>
      <c r="C870">
        <v>202505</v>
      </c>
      <c r="D870" s="47" t="str">
        <f>MID(C870,1,4)</f>
        <v>2025</v>
      </c>
      <c r="E870" t="str">
        <f>IF(Portfolio!$M$1=1,CONCATENATE(A870,C870),CONCATENATE(B870,C870))</f>
        <v>KAWAN LAMA202505</v>
      </c>
      <c r="F870">
        <v>2</v>
      </c>
      <c r="G870">
        <v>0</v>
      </c>
      <c r="H870">
        <v>0</v>
      </c>
      <c r="I870">
        <v>0</v>
      </c>
      <c r="J870">
        <v>1</v>
      </c>
      <c r="K870">
        <v>1364501</v>
      </c>
      <c r="L870">
        <v>0</v>
      </c>
      <c r="M870">
        <v>0</v>
      </c>
      <c r="N870">
        <v>0</v>
      </c>
      <c r="O870">
        <v>200500</v>
      </c>
      <c r="P870">
        <v>2047</v>
      </c>
      <c r="Q870">
        <v>0</v>
      </c>
      <c r="R870">
        <v>0</v>
      </c>
      <c r="S870">
        <v>0</v>
      </c>
      <c r="T870">
        <v>0</v>
      </c>
    </row>
    <row r="871" spans="1:20" x14ac:dyDescent="0.25">
      <c r="A871" t="s">
        <v>102</v>
      </c>
      <c r="B871" t="s">
        <v>131</v>
      </c>
      <c r="C871">
        <v>202505</v>
      </c>
      <c r="D871" s="47" t="str">
        <f>MID(C871,1,4)</f>
        <v>2025</v>
      </c>
      <c r="E871" t="str">
        <f>IF(Portfolio!$M$1=1,CONCATENATE(A871,C871),CONCATENATE(B871,C871))</f>
        <v>KAWAN LAMA202505</v>
      </c>
      <c r="F871">
        <v>7</v>
      </c>
      <c r="G871">
        <v>0</v>
      </c>
      <c r="H871">
        <v>0</v>
      </c>
      <c r="I871">
        <v>0</v>
      </c>
      <c r="J871">
        <v>0</v>
      </c>
      <c r="K871">
        <v>588000</v>
      </c>
      <c r="L871">
        <v>0</v>
      </c>
      <c r="M871">
        <v>0</v>
      </c>
      <c r="N871">
        <v>0</v>
      </c>
      <c r="O871">
        <v>0</v>
      </c>
      <c r="P871">
        <v>882</v>
      </c>
      <c r="Q871">
        <v>0</v>
      </c>
      <c r="R871">
        <v>0</v>
      </c>
      <c r="S871">
        <v>0</v>
      </c>
      <c r="T871">
        <v>0</v>
      </c>
    </row>
    <row r="872" spans="1:20" x14ac:dyDescent="0.25">
      <c r="A872" t="s">
        <v>102</v>
      </c>
      <c r="B872" t="s">
        <v>133</v>
      </c>
      <c r="C872">
        <v>202505</v>
      </c>
      <c r="D872" s="47" t="str">
        <f>MID(C872,1,4)</f>
        <v>2025</v>
      </c>
      <c r="E872" t="str">
        <f>IF(Portfolio!$M$1=1,CONCATENATE(A872,C872),CONCATENATE(B872,C872))</f>
        <v>KAWAN LAMA202505</v>
      </c>
      <c r="F872">
        <v>17</v>
      </c>
      <c r="G872">
        <v>0</v>
      </c>
      <c r="H872">
        <v>0</v>
      </c>
      <c r="I872">
        <v>0</v>
      </c>
      <c r="J872">
        <v>0</v>
      </c>
      <c r="K872">
        <v>2371000</v>
      </c>
      <c r="L872">
        <v>0</v>
      </c>
      <c r="M872">
        <v>0</v>
      </c>
      <c r="N872">
        <v>0</v>
      </c>
      <c r="O872">
        <v>0</v>
      </c>
      <c r="P872">
        <v>3556</v>
      </c>
      <c r="Q872">
        <v>0</v>
      </c>
      <c r="R872">
        <v>0</v>
      </c>
      <c r="S872">
        <v>0</v>
      </c>
      <c r="T872">
        <v>0</v>
      </c>
    </row>
    <row r="873" spans="1:20" x14ac:dyDescent="0.25">
      <c r="A873" t="s">
        <v>102</v>
      </c>
      <c r="B873" t="s">
        <v>135</v>
      </c>
      <c r="C873">
        <v>202505</v>
      </c>
      <c r="D873" s="47" t="str">
        <f>MID(C873,1,4)</f>
        <v>2025</v>
      </c>
      <c r="E873" t="str">
        <f>IF(Portfolio!$M$1=1,CONCATENATE(A873,C873),CONCATENATE(B873,C873))</f>
        <v>KAWAN LAMA202505</v>
      </c>
      <c r="F873">
        <v>280</v>
      </c>
      <c r="G873">
        <v>0</v>
      </c>
      <c r="H873">
        <v>0</v>
      </c>
      <c r="I873">
        <v>28</v>
      </c>
      <c r="J873">
        <v>4</v>
      </c>
      <c r="K873">
        <v>949293413</v>
      </c>
      <c r="L873">
        <v>0</v>
      </c>
      <c r="M873">
        <v>0</v>
      </c>
      <c r="N873">
        <v>33279585</v>
      </c>
      <c r="O873">
        <v>33905449</v>
      </c>
      <c r="P873">
        <v>1423940</v>
      </c>
      <c r="Q873">
        <v>0</v>
      </c>
      <c r="R873">
        <v>0</v>
      </c>
      <c r="S873">
        <v>232956</v>
      </c>
      <c r="T873">
        <v>237339</v>
      </c>
    </row>
    <row r="874" spans="1:20" x14ac:dyDescent="0.25">
      <c r="A874" t="s">
        <v>102</v>
      </c>
      <c r="B874" t="s">
        <v>137</v>
      </c>
      <c r="C874">
        <v>202505</v>
      </c>
      <c r="D874" s="47" t="str">
        <f>MID(C874,1,4)</f>
        <v>2025</v>
      </c>
      <c r="E874" t="str">
        <f>IF(Portfolio!$M$1=1,CONCATENATE(A874,C874),CONCATENATE(B874,C874))</f>
        <v>KAWAN LAMA202505</v>
      </c>
      <c r="F874">
        <v>12</v>
      </c>
      <c r="G874">
        <v>0</v>
      </c>
      <c r="H874">
        <v>0</v>
      </c>
      <c r="I874">
        <v>4</v>
      </c>
      <c r="J874">
        <v>1</v>
      </c>
      <c r="K874">
        <v>55170900</v>
      </c>
      <c r="L874">
        <v>0</v>
      </c>
      <c r="M874">
        <v>0</v>
      </c>
      <c r="N874">
        <v>15025800</v>
      </c>
      <c r="O874">
        <v>615001</v>
      </c>
      <c r="P874">
        <v>82756</v>
      </c>
      <c r="Q874">
        <v>0</v>
      </c>
      <c r="R874">
        <v>0</v>
      </c>
      <c r="S874">
        <v>105181</v>
      </c>
      <c r="T874">
        <v>4305</v>
      </c>
    </row>
    <row r="875" spans="1:20" x14ac:dyDescent="0.25">
      <c r="A875" t="s">
        <v>102</v>
      </c>
      <c r="B875" t="s">
        <v>142</v>
      </c>
      <c r="C875">
        <v>202505</v>
      </c>
      <c r="D875" s="47" t="str">
        <f>MID(C875,1,4)</f>
        <v>2025</v>
      </c>
      <c r="E875" t="str">
        <f>IF(Portfolio!$M$1=1,CONCATENATE(A875,C875),CONCATENATE(B875,C875))</f>
        <v>KAWAN LAMA202505</v>
      </c>
      <c r="F875">
        <v>2</v>
      </c>
      <c r="G875">
        <v>0</v>
      </c>
      <c r="H875">
        <v>0</v>
      </c>
      <c r="I875">
        <v>5</v>
      </c>
      <c r="J875">
        <v>18</v>
      </c>
      <c r="K875">
        <v>839000</v>
      </c>
      <c r="L875">
        <v>0</v>
      </c>
      <c r="M875">
        <v>0</v>
      </c>
      <c r="N875">
        <v>4562520</v>
      </c>
      <c r="O875">
        <v>4080002</v>
      </c>
      <c r="P875">
        <v>1258</v>
      </c>
      <c r="Q875">
        <v>0</v>
      </c>
      <c r="R875">
        <v>0</v>
      </c>
      <c r="S875">
        <v>31937</v>
      </c>
      <c r="T875">
        <v>21399</v>
      </c>
    </row>
    <row r="876" spans="1:20" x14ac:dyDescent="0.25">
      <c r="A876" t="s">
        <v>102</v>
      </c>
      <c r="B876" t="s">
        <v>144</v>
      </c>
      <c r="C876">
        <v>202505</v>
      </c>
      <c r="D876" s="47" t="str">
        <f>MID(C876,1,4)</f>
        <v>2025</v>
      </c>
      <c r="E876" t="str">
        <f>IF(Portfolio!$M$1=1,CONCATENATE(A876,C876),CONCATENATE(B876,C876))</f>
        <v>KAWAN LAMA202505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148000</v>
      </c>
      <c r="L876">
        <v>0</v>
      </c>
      <c r="M876">
        <v>0</v>
      </c>
      <c r="N876">
        <v>0</v>
      </c>
      <c r="O876">
        <v>0</v>
      </c>
      <c r="P876">
        <v>222</v>
      </c>
      <c r="Q876">
        <v>0</v>
      </c>
      <c r="R876">
        <v>0</v>
      </c>
      <c r="S876">
        <v>0</v>
      </c>
      <c r="T876">
        <v>0</v>
      </c>
    </row>
    <row r="877" spans="1:20" x14ac:dyDescent="0.25">
      <c r="A877" t="s">
        <v>103</v>
      </c>
      <c r="B877" t="s">
        <v>146</v>
      </c>
      <c r="C877">
        <v>202505</v>
      </c>
      <c r="D877" s="47" t="str">
        <f>MID(C877,1,4)</f>
        <v>2025</v>
      </c>
      <c r="E877" t="str">
        <f>IF(Portfolio!$M$1=1,CONCATENATE(A877,C877),CONCATENATE(B877,C877))</f>
        <v>KCIC202505</v>
      </c>
      <c r="F877">
        <v>50</v>
      </c>
      <c r="G877">
        <v>1576</v>
      </c>
      <c r="H877">
        <v>1048</v>
      </c>
      <c r="I877">
        <v>0</v>
      </c>
      <c r="J877">
        <v>0</v>
      </c>
      <c r="K877">
        <v>22200000</v>
      </c>
      <c r="L877">
        <v>799600000</v>
      </c>
      <c r="M877">
        <v>762100000</v>
      </c>
      <c r="N877">
        <v>0</v>
      </c>
      <c r="O877">
        <v>0</v>
      </c>
      <c r="P877">
        <v>33300</v>
      </c>
      <c r="Q877">
        <v>7996000</v>
      </c>
      <c r="R877">
        <v>13726900</v>
      </c>
      <c r="S877">
        <v>0</v>
      </c>
      <c r="T877">
        <v>0</v>
      </c>
    </row>
    <row r="878" spans="1:20" x14ac:dyDescent="0.25">
      <c r="A878" t="s">
        <v>104</v>
      </c>
      <c r="B878" t="s">
        <v>147</v>
      </c>
      <c r="C878">
        <v>202505</v>
      </c>
      <c r="D878" s="47" t="str">
        <f>MID(C878,1,4)</f>
        <v>2025</v>
      </c>
      <c r="E878" t="str">
        <f>IF(Portfolio!$M$1=1,CONCATENATE(A878,C878),CONCATENATE(B878,C878))</f>
        <v>KIMIA FARMA202505</v>
      </c>
      <c r="F878">
        <v>0</v>
      </c>
      <c r="G878">
        <v>0</v>
      </c>
      <c r="H878">
        <v>0</v>
      </c>
      <c r="I878">
        <v>0</v>
      </c>
      <c r="J878">
        <v>5</v>
      </c>
      <c r="K878">
        <v>0</v>
      </c>
      <c r="L878">
        <v>0</v>
      </c>
      <c r="M878">
        <v>0</v>
      </c>
      <c r="N878">
        <v>0</v>
      </c>
      <c r="O878">
        <v>773451</v>
      </c>
      <c r="P878">
        <v>0</v>
      </c>
      <c r="Q878">
        <v>0</v>
      </c>
      <c r="R878">
        <v>0</v>
      </c>
      <c r="S878">
        <v>0</v>
      </c>
      <c r="T878">
        <v>5414</v>
      </c>
    </row>
    <row r="879" spans="1:20" x14ac:dyDescent="0.25">
      <c r="A879" t="s">
        <v>107</v>
      </c>
      <c r="B879" t="s">
        <v>162</v>
      </c>
      <c r="C879">
        <v>202505</v>
      </c>
      <c r="D879" s="47" t="str">
        <f>MID(C879,1,4)</f>
        <v>2025</v>
      </c>
      <c r="E879" t="str">
        <f>IF(Portfolio!$M$1=1,CONCATENATE(A879,C879),CONCATENATE(B879,C879))</f>
        <v>MAP GROUP202505</v>
      </c>
      <c r="F879">
        <v>0</v>
      </c>
      <c r="G879">
        <v>4</v>
      </c>
      <c r="H879">
        <v>0</v>
      </c>
      <c r="I879">
        <v>0</v>
      </c>
      <c r="J879">
        <v>0</v>
      </c>
      <c r="K879">
        <v>0</v>
      </c>
      <c r="L879">
        <v>413100</v>
      </c>
      <c r="M879">
        <v>0</v>
      </c>
      <c r="N879">
        <v>0</v>
      </c>
      <c r="O879">
        <v>0</v>
      </c>
      <c r="P879">
        <v>0</v>
      </c>
      <c r="Q879">
        <v>4131</v>
      </c>
      <c r="R879">
        <v>0</v>
      </c>
      <c r="S879">
        <v>0</v>
      </c>
      <c r="T879">
        <v>0</v>
      </c>
    </row>
    <row r="880" spans="1:20" x14ac:dyDescent="0.25">
      <c r="A880" t="s">
        <v>107</v>
      </c>
      <c r="B880" t="s">
        <v>178</v>
      </c>
      <c r="C880">
        <v>202505</v>
      </c>
      <c r="D880" s="47" t="str">
        <f>MID(C880,1,4)</f>
        <v>2025</v>
      </c>
      <c r="E880" t="str">
        <f>IF(Portfolio!$M$1=1,CONCATENATE(A880,C880),CONCATENATE(B880,C880))</f>
        <v>MAP GROUP202505</v>
      </c>
      <c r="F880">
        <v>0</v>
      </c>
      <c r="G880">
        <v>71</v>
      </c>
      <c r="H880">
        <v>0</v>
      </c>
      <c r="I880">
        <v>27</v>
      </c>
      <c r="J880">
        <v>1029</v>
      </c>
      <c r="K880">
        <v>0</v>
      </c>
      <c r="L880">
        <v>21772200</v>
      </c>
      <c r="M880">
        <v>0</v>
      </c>
      <c r="N880">
        <v>427100</v>
      </c>
      <c r="O880">
        <v>90807600</v>
      </c>
      <c r="P880">
        <v>0</v>
      </c>
      <c r="Q880">
        <v>217722</v>
      </c>
      <c r="R880">
        <v>0</v>
      </c>
      <c r="S880">
        <v>1078</v>
      </c>
      <c r="T880">
        <v>605076</v>
      </c>
    </row>
    <row r="881" spans="1:20" x14ac:dyDescent="0.25">
      <c r="A881" t="s">
        <v>107</v>
      </c>
      <c r="B881" t="s">
        <v>201</v>
      </c>
      <c r="C881">
        <v>202505</v>
      </c>
      <c r="D881" s="47" t="str">
        <f>MID(C881,1,4)</f>
        <v>2025</v>
      </c>
      <c r="E881" t="str">
        <f>IF(Portfolio!$M$1=1,CONCATENATE(A881,C881),CONCATENATE(B881,C881))</f>
        <v>MAP GROUP202505</v>
      </c>
      <c r="F881">
        <v>2</v>
      </c>
      <c r="G881">
        <v>0</v>
      </c>
      <c r="H881">
        <v>2</v>
      </c>
      <c r="I881">
        <v>0</v>
      </c>
      <c r="J881">
        <v>0</v>
      </c>
      <c r="K881">
        <v>2600000</v>
      </c>
      <c r="L881">
        <v>0</v>
      </c>
      <c r="M881">
        <v>694000</v>
      </c>
      <c r="N881">
        <v>0</v>
      </c>
      <c r="O881">
        <v>0</v>
      </c>
      <c r="P881">
        <v>3900</v>
      </c>
      <c r="Q881">
        <v>0</v>
      </c>
      <c r="R881">
        <v>9022</v>
      </c>
      <c r="S881">
        <v>0</v>
      </c>
      <c r="T881">
        <v>0</v>
      </c>
    </row>
    <row r="882" spans="1:20" x14ac:dyDescent="0.25">
      <c r="A882" t="s">
        <v>109</v>
      </c>
      <c r="B882" t="s">
        <v>109</v>
      </c>
      <c r="C882">
        <v>202505</v>
      </c>
      <c r="D882" s="47" t="str">
        <f>MID(C882,1,4)</f>
        <v>2025</v>
      </c>
      <c r="E882" t="str">
        <f>IF(Portfolio!$M$1=1,CONCATENATE(A882,C882),CONCATENATE(B882,C882))</f>
        <v>MITRA10202505</v>
      </c>
      <c r="F882">
        <v>473</v>
      </c>
      <c r="G882">
        <v>0</v>
      </c>
      <c r="H882">
        <v>1</v>
      </c>
      <c r="I882">
        <v>0</v>
      </c>
      <c r="J882">
        <v>0</v>
      </c>
      <c r="K882">
        <v>1000475718</v>
      </c>
      <c r="L882">
        <v>0</v>
      </c>
      <c r="M882">
        <v>3442655</v>
      </c>
      <c r="N882">
        <v>0</v>
      </c>
      <c r="O882">
        <v>0</v>
      </c>
      <c r="P882">
        <v>1500712</v>
      </c>
      <c r="Q882">
        <v>0</v>
      </c>
      <c r="R882">
        <v>68853</v>
      </c>
      <c r="S882">
        <v>0</v>
      </c>
      <c r="T882">
        <v>0</v>
      </c>
    </row>
    <row r="883" spans="1:20" x14ac:dyDescent="0.25">
      <c r="A883" t="s">
        <v>110</v>
      </c>
      <c r="B883" t="s">
        <v>110</v>
      </c>
      <c r="C883">
        <v>202505</v>
      </c>
      <c r="D883" s="47" t="str">
        <f>MID(C883,1,4)</f>
        <v>2025</v>
      </c>
      <c r="E883" t="str">
        <f>IF(Portfolio!$M$1=1,CONCATENATE(A883,C883),CONCATENATE(B883,C883))</f>
        <v>OPTIK MELAWAI202505</v>
      </c>
      <c r="F883">
        <v>82</v>
      </c>
      <c r="G883">
        <v>0</v>
      </c>
      <c r="H883">
        <v>0</v>
      </c>
      <c r="I883">
        <v>0</v>
      </c>
      <c r="J883">
        <v>48</v>
      </c>
      <c r="K883">
        <v>138732500</v>
      </c>
      <c r="L883">
        <v>0</v>
      </c>
      <c r="M883">
        <v>0</v>
      </c>
      <c r="N883">
        <v>0</v>
      </c>
      <c r="O883">
        <v>66503000</v>
      </c>
      <c r="P883">
        <v>208099</v>
      </c>
      <c r="Q883">
        <v>0</v>
      </c>
      <c r="R883">
        <v>0</v>
      </c>
      <c r="S883">
        <v>0</v>
      </c>
      <c r="T883">
        <v>465521</v>
      </c>
    </row>
    <row r="884" spans="1:20" x14ac:dyDescent="0.25">
      <c r="A884" t="s">
        <v>111</v>
      </c>
      <c r="B884" t="s">
        <v>212</v>
      </c>
      <c r="C884">
        <v>202505</v>
      </c>
      <c r="D884" s="47" t="str">
        <f>MID(C884,1,4)</f>
        <v>2025</v>
      </c>
      <c r="E884" t="str">
        <f>IF(Portfolio!$M$1=1,CONCATENATE(A884,C884),CONCATENATE(B884,C884))</f>
        <v>PATRA JASA202505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750000</v>
      </c>
      <c r="M884">
        <v>0</v>
      </c>
      <c r="N884">
        <v>0</v>
      </c>
      <c r="O884">
        <v>0</v>
      </c>
      <c r="P884">
        <v>0</v>
      </c>
      <c r="Q884">
        <v>7500</v>
      </c>
      <c r="R884">
        <v>0</v>
      </c>
      <c r="S884">
        <v>0</v>
      </c>
      <c r="T884">
        <v>0</v>
      </c>
    </row>
    <row r="885" spans="1:20" x14ac:dyDescent="0.25">
      <c r="A885" t="s">
        <v>112</v>
      </c>
      <c r="B885" t="s">
        <v>216</v>
      </c>
      <c r="C885">
        <v>202505</v>
      </c>
      <c r="D885" s="47" t="str">
        <f>MID(C885,1,4)</f>
        <v>2025</v>
      </c>
      <c r="E885" t="str">
        <f>IF(Portfolio!$M$1=1,CONCATENATE(A885,C885),CONCATENATE(B885,C885))</f>
        <v>PERTAMINA RETAIL202505</v>
      </c>
      <c r="F885">
        <v>84</v>
      </c>
      <c r="G885">
        <v>4937</v>
      </c>
      <c r="H885">
        <v>133</v>
      </c>
      <c r="I885">
        <v>41</v>
      </c>
      <c r="J885">
        <v>4040</v>
      </c>
      <c r="K885">
        <v>23035205</v>
      </c>
      <c r="L885">
        <v>1130348245</v>
      </c>
      <c r="M885">
        <v>55436047</v>
      </c>
      <c r="N885">
        <v>4919342</v>
      </c>
      <c r="O885">
        <v>550984197</v>
      </c>
      <c r="P885">
        <v>34553</v>
      </c>
      <c r="Q885">
        <v>7212019</v>
      </c>
      <c r="R885">
        <v>997849</v>
      </c>
      <c r="S885">
        <v>14696</v>
      </c>
      <c r="T885">
        <v>1428868</v>
      </c>
    </row>
    <row r="886" spans="1:20" x14ac:dyDescent="0.25">
      <c r="A886" t="s">
        <v>114</v>
      </c>
      <c r="B886" t="s">
        <v>217</v>
      </c>
      <c r="C886">
        <v>202505</v>
      </c>
      <c r="D886" s="47" t="str">
        <f>MID(C886,1,4)</f>
        <v>2025</v>
      </c>
      <c r="E886" t="str">
        <f>IF(Portfolio!$M$1=1,CONCATENATE(A886,C886),CONCATENATE(B886,C886))</f>
        <v>PIZZA HUT202505</v>
      </c>
      <c r="F886">
        <v>16</v>
      </c>
      <c r="G886">
        <v>0</v>
      </c>
      <c r="H886">
        <v>0</v>
      </c>
      <c r="I886">
        <v>6</v>
      </c>
      <c r="J886">
        <v>102</v>
      </c>
      <c r="K886">
        <v>3229996</v>
      </c>
      <c r="L886">
        <v>0</v>
      </c>
      <c r="M886">
        <v>0</v>
      </c>
      <c r="N886">
        <v>250000</v>
      </c>
      <c r="O886">
        <v>4702000</v>
      </c>
      <c r="P886">
        <v>4845</v>
      </c>
      <c r="Q886">
        <v>0</v>
      </c>
      <c r="R886">
        <v>0</v>
      </c>
      <c r="S886">
        <v>0</v>
      </c>
      <c r="T886">
        <v>0</v>
      </c>
    </row>
    <row r="887" spans="1:20" x14ac:dyDescent="0.25">
      <c r="A887" t="s">
        <v>114</v>
      </c>
      <c r="B887" t="s">
        <v>218</v>
      </c>
      <c r="C887">
        <v>202505</v>
      </c>
      <c r="D887" s="47" t="str">
        <f>MID(C887,1,4)</f>
        <v>2025</v>
      </c>
      <c r="E887" t="str">
        <f>IF(Portfolio!$M$1=1,CONCATENATE(A887,C887),CONCATENATE(B887,C887))</f>
        <v>PIZZA HUT202505</v>
      </c>
      <c r="F887">
        <v>218</v>
      </c>
      <c r="G887">
        <v>0</v>
      </c>
      <c r="H887">
        <v>0</v>
      </c>
      <c r="I887">
        <v>0</v>
      </c>
      <c r="J887">
        <v>0</v>
      </c>
      <c r="K887">
        <v>59237004</v>
      </c>
      <c r="L887">
        <v>0</v>
      </c>
      <c r="M887">
        <v>0</v>
      </c>
      <c r="N887">
        <v>0</v>
      </c>
      <c r="O887">
        <v>0</v>
      </c>
      <c r="P887">
        <v>88855</v>
      </c>
      <c r="Q887">
        <v>0</v>
      </c>
      <c r="R887">
        <v>0</v>
      </c>
      <c r="S887">
        <v>0</v>
      </c>
      <c r="T887">
        <v>0</v>
      </c>
    </row>
    <row r="888" spans="1:20" x14ac:dyDescent="0.25">
      <c r="A888" t="s">
        <v>115</v>
      </c>
      <c r="B888" t="s">
        <v>115</v>
      </c>
      <c r="C888">
        <v>202505</v>
      </c>
      <c r="D888" s="47" t="str">
        <f>MID(C888,1,4)</f>
        <v>2025</v>
      </c>
      <c r="E888" t="str">
        <f>IF(Portfolio!$M$1=1,CONCATENATE(A888,C888),CONCATENATE(B888,C888))</f>
        <v>PLATINUM CINEPLEX202505</v>
      </c>
      <c r="F888">
        <v>2</v>
      </c>
      <c r="G888">
        <v>352</v>
      </c>
      <c r="H888">
        <v>163</v>
      </c>
      <c r="I888">
        <v>12</v>
      </c>
      <c r="J888">
        <v>1431</v>
      </c>
      <c r="K888">
        <v>250000</v>
      </c>
      <c r="L888">
        <v>44462000</v>
      </c>
      <c r="M888">
        <v>19100000</v>
      </c>
      <c r="N888">
        <v>1136000</v>
      </c>
      <c r="O888">
        <v>172479000</v>
      </c>
      <c r="P888">
        <v>375</v>
      </c>
      <c r="Q888">
        <v>444620</v>
      </c>
      <c r="R888">
        <v>344472</v>
      </c>
      <c r="S888">
        <v>7952</v>
      </c>
      <c r="T888">
        <v>1207353</v>
      </c>
    </row>
    <row r="889" spans="1:20" x14ac:dyDescent="0.25">
      <c r="A889" t="s">
        <v>116</v>
      </c>
      <c r="B889" t="s">
        <v>116</v>
      </c>
      <c r="C889">
        <v>202505</v>
      </c>
      <c r="D889" s="47" t="str">
        <f>MID(C889,1,4)</f>
        <v>2025</v>
      </c>
      <c r="E889" t="str">
        <f>IF(Portfolio!$M$1=1,CONCATENATE(A889,C889),CONCATENATE(B889,C889))</f>
        <v>POPEYES202505</v>
      </c>
      <c r="F889">
        <v>0</v>
      </c>
      <c r="G889">
        <v>0</v>
      </c>
      <c r="H889">
        <v>0</v>
      </c>
      <c r="I889">
        <v>1</v>
      </c>
      <c r="J889">
        <v>1</v>
      </c>
      <c r="K889">
        <v>0</v>
      </c>
      <c r="L889">
        <v>0</v>
      </c>
      <c r="M889">
        <v>0</v>
      </c>
      <c r="N889">
        <v>959277</v>
      </c>
      <c r="O889">
        <v>1</v>
      </c>
      <c r="P889">
        <v>0</v>
      </c>
      <c r="Q889">
        <v>0</v>
      </c>
      <c r="R889">
        <v>0</v>
      </c>
      <c r="S889">
        <v>6715</v>
      </c>
      <c r="T889">
        <v>0</v>
      </c>
    </row>
    <row r="890" spans="1:20" x14ac:dyDescent="0.25">
      <c r="A890" t="s">
        <v>118</v>
      </c>
      <c r="B890" t="s">
        <v>118</v>
      </c>
      <c r="C890">
        <v>202505</v>
      </c>
      <c r="D890" s="47" t="str">
        <f>MID(C890,1,4)</f>
        <v>2025</v>
      </c>
      <c r="E890" t="str">
        <f>IF(Portfolio!$M$1=1,CONCATENATE(A890,C890),CONCATENATE(B890,C890))</f>
        <v>SARINAH202505</v>
      </c>
      <c r="F890">
        <v>14</v>
      </c>
      <c r="G890">
        <v>177</v>
      </c>
      <c r="H890">
        <v>484</v>
      </c>
      <c r="I890">
        <v>5</v>
      </c>
      <c r="J890">
        <v>436</v>
      </c>
      <c r="K890">
        <v>16122165</v>
      </c>
      <c r="L890">
        <v>204533236</v>
      </c>
      <c r="M890">
        <v>496241473</v>
      </c>
      <c r="N890">
        <v>1959001</v>
      </c>
      <c r="O890">
        <v>21828502</v>
      </c>
      <c r="P890">
        <v>24183</v>
      </c>
      <c r="Q890">
        <v>2045332</v>
      </c>
      <c r="R890">
        <v>8932346</v>
      </c>
      <c r="S890">
        <v>6913</v>
      </c>
      <c r="T890">
        <v>151399</v>
      </c>
    </row>
    <row r="891" spans="1:20" x14ac:dyDescent="0.25">
      <c r="A891" t="s">
        <v>120</v>
      </c>
      <c r="B891" t="s">
        <v>120</v>
      </c>
      <c r="C891">
        <v>202505</v>
      </c>
      <c r="D891" s="47" t="str">
        <f>MID(C891,1,4)</f>
        <v>2025</v>
      </c>
      <c r="E891" t="str">
        <f>IF(Portfolio!$M$1=1,CONCATENATE(A891,C891),CONCATENATE(B891,C891))</f>
        <v>SHIHLIN202505</v>
      </c>
      <c r="F891">
        <v>142</v>
      </c>
      <c r="G891">
        <v>1</v>
      </c>
      <c r="H891">
        <v>2</v>
      </c>
      <c r="I891">
        <v>1017</v>
      </c>
      <c r="J891">
        <v>302</v>
      </c>
      <c r="K891">
        <v>10050200</v>
      </c>
      <c r="L891">
        <v>54000</v>
      </c>
      <c r="M891">
        <v>288000</v>
      </c>
      <c r="N891">
        <v>73638288</v>
      </c>
      <c r="O891">
        <v>12563244</v>
      </c>
      <c r="P891">
        <v>15075</v>
      </c>
      <c r="Q891">
        <v>540</v>
      </c>
      <c r="R891">
        <v>5668</v>
      </c>
      <c r="S891">
        <v>429724</v>
      </c>
      <c r="T891">
        <v>52976</v>
      </c>
    </row>
    <row r="892" spans="1:20" x14ac:dyDescent="0.25">
      <c r="A892" t="s">
        <v>122</v>
      </c>
      <c r="B892" t="s">
        <v>122</v>
      </c>
      <c r="C892">
        <v>202505</v>
      </c>
      <c r="D892" s="47" t="str">
        <f>MID(C892,1,4)</f>
        <v>2025</v>
      </c>
      <c r="E892" t="str">
        <f>IF(Portfolio!$M$1=1,CONCATENATE(A892,C892),CONCATENATE(B892,C892))</f>
        <v>SOLARIA202505</v>
      </c>
      <c r="F892">
        <v>1621</v>
      </c>
      <c r="G892">
        <v>1</v>
      </c>
      <c r="H892">
        <v>0</v>
      </c>
      <c r="I892">
        <v>0</v>
      </c>
      <c r="J892">
        <v>0</v>
      </c>
      <c r="K892">
        <v>263364900</v>
      </c>
      <c r="L892">
        <v>134000</v>
      </c>
      <c r="M892">
        <v>0</v>
      </c>
      <c r="N892">
        <v>0</v>
      </c>
      <c r="O892">
        <v>0</v>
      </c>
      <c r="P892">
        <v>395047</v>
      </c>
      <c r="Q892">
        <v>1340</v>
      </c>
      <c r="R892">
        <v>0</v>
      </c>
      <c r="S892">
        <v>0</v>
      </c>
      <c r="T892">
        <v>0</v>
      </c>
    </row>
    <row r="893" spans="1:20" x14ac:dyDescent="0.25">
      <c r="A893" t="s">
        <v>124</v>
      </c>
      <c r="B893" t="s">
        <v>124</v>
      </c>
      <c r="C893">
        <v>202505</v>
      </c>
      <c r="D893" s="47" t="str">
        <f>MID(C893,1,4)</f>
        <v>2025</v>
      </c>
      <c r="E893" t="str">
        <f>IF(Portfolio!$M$1=1,CONCATENATE(A893,C893),CONCATENATE(B893,C893))</f>
        <v>SOUR SALLY202505</v>
      </c>
      <c r="F893">
        <v>1</v>
      </c>
      <c r="G893">
        <v>6</v>
      </c>
      <c r="H893">
        <v>0</v>
      </c>
      <c r="I893">
        <v>66</v>
      </c>
      <c r="J893">
        <v>440</v>
      </c>
      <c r="K893">
        <v>64000</v>
      </c>
      <c r="L893">
        <v>680000</v>
      </c>
      <c r="M893">
        <v>0</v>
      </c>
      <c r="N893">
        <v>4911000</v>
      </c>
      <c r="O893">
        <v>27153313</v>
      </c>
      <c r="P893">
        <v>96</v>
      </c>
      <c r="Q893">
        <v>6800</v>
      </c>
      <c r="R893">
        <v>0</v>
      </c>
      <c r="S893">
        <v>34377</v>
      </c>
      <c r="T893">
        <v>190073</v>
      </c>
    </row>
    <row r="894" spans="1:20" x14ac:dyDescent="0.25">
      <c r="A894" t="s">
        <v>126</v>
      </c>
      <c r="B894" t="s">
        <v>220</v>
      </c>
      <c r="C894">
        <v>202505</v>
      </c>
      <c r="D894" s="47" t="str">
        <f>MID(C894,1,4)</f>
        <v>2025</v>
      </c>
      <c r="E894" t="str">
        <f>IF(Portfolio!$M$1=1,CONCATENATE(A894,C894),CONCATENATE(B894,C894))</f>
        <v>STEVEN GROUP202505</v>
      </c>
      <c r="F894">
        <v>37</v>
      </c>
      <c r="G894">
        <v>25</v>
      </c>
      <c r="H894">
        <v>4</v>
      </c>
      <c r="I894">
        <v>89</v>
      </c>
      <c r="J894">
        <v>198</v>
      </c>
      <c r="K894">
        <v>3741047</v>
      </c>
      <c r="L894">
        <v>3214147</v>
      </c>
      <c r="M894">
        <v>619138</v>
      </c>
      <c r="N894">
        <v>7409444</v>
      </c>
      <c r="O894">
        <v>20036765</v>
      </c>
      <c r="P894">
        <v>5611</v>
      </c>
      <c r="Q894">
        <v>32141</v>
      </c>
      <c r="R894">
        <v>12383</v>
      </c>
      <c r="S894">
        <v>51870</v>
      </c>
      <c r="T894">
        <v>140251</v>
      </c>
    </row>
    <row r="895" spans="1:20" x14ac:dyDescent="0.25">
      <c r="A895" t="s">
        <v>126</v>
      </c>
      <c r="B895" t="s">
        <v>222</v>
      </c>
      <c r="C895">
        <v>202505</v>
      </c>
      <c r="D895" s="47" t="str">
        <f>MID(C895,1,4)</f>
        <v>2025</v>
      </c>
      <c r="E895" t="str">
        <f>IF(Portfolio!$M$1=1,CONCATENATE(A895,C895),CONCATENATE(B895,C895))</f>
        <v>STEVEN GROUP202505</v>
      </c>
      <c r="F895">
        <v>2</v>
      </c>
      <c r="G895">
        <v>0</v>
      </c>
      <c r="H895">
        <v>0</v>
      </c>
      <c r="I895">
        <v>0</v>
      </c>
      <c r="J895">
        <v>2</v>
      </c>
      <c r="K895">
        <v>444502</v>
      </c>
      <c r="L895">
        <v>0</v>
      </c>
      <c r="M895">
        <v>0</v>
      </c>
      <c r="N895">
        <v>0</v>
      </c>
      <c r="O895">
        <v>2</v>
      </c>
      <c r="P895">
        <v>667</v>
      </c>
      <c r="Q895">
        <v>0</v>
      </c>
      <c r="R895">
        <v>0</v>
      </c>
      <c r="S895">
        <v>0</v>
      </c>
      <c r="T895">
        <v>0</v>
      </c>
    </row>
    <row r="896" spans="1:20" x14ac:dyDescent="0.25">
      <c r="A896" t="s">
        <v>126</v>
      </c>
      <c r="B896" t="s">
        <v>224</v>
      </c>
      <c r="C896">
        <v>202505</v>
      </c>
      <c r="D896" s="47" t="str">
        <f>MID(C896,1,4)</f>
        <v>2025</v>
      </c>
      <c r="E896" t="str">
        <f>IF(Portfolio!$M$1=1,CONCATENATE(A896,C896),CONCATENATE(B896,C896))</f>
        <v>STEVEN GROUP202505</v>
      </c>
      <c r="F896">
        <v>1</v>
      </c>
      <c r="G896">
        <v>0</v>
      </c>
      <c r="H896">
        <v>0</v>
      </c>
      <c r="I896">
        <v>0</v>
      </c>
      <c r="J896">
        <v>4</v>
      </c>
      <c r="K896">
        <v>325000</v>
      </c>
      <c r="L896">
        <v>0</v>
      </c>
      <c r="M896">
        <v>0</v>
      </c>
      <c r="N896">
        <v>0</v>
      </c>
      <c r="O896">
        <v>3600004</v>
      </c>
      <c r="P896">
        <v>488</v>
      </c>
      <c r="Q896">
        <v>0</v>
      </c>
      <c r="R896">
        <v>0</v>
      </c>
      <c r="S896">
        <v>0</v>
      </c>
      <c r="T896">
        <v>25200</v>
      </c>
    </row>
    <row r="897" spans="1:20" x14ac:dyDescent="0.25">
      <c r="A897" t="s">
        <v>126</v>
      </c>
      <c r="B897" t="s">
        <v>228</v>
      </c>
      <c r="C897">
        <v>202505</v>
      </c>
      <c r="D897" s="47" t="str">
        <f>MID(C897,1,4)</f>
        <v>2025</v>
      </c>
      <c r="E897" t="str">
        <f>IF(Portfolio!$M$1=1,CONCATENATE(A897,C897),CONCATENATE(B897,C897))</f>
        <v>STEVEN GROUP202505</v>
      </c>
      <c r="F897">
        <v>0</v>
      </c>
      <c r="G897">
        <v>0</v>
      </c>
      <c r="H897">
        <v>0</v>
      </c>
      <c r="I897">
        <v>22</v>
      </c>
      <c r="J897">
        <v>7246</v>
      </c>
      <c r="K897">
        <v>0</v>
      </c>
      <c r="L897">
        <v>0</v>
      </c>
      <c r="M897">
        <v>0</v>
      </c>
      <c r="N897">
        <v>1578900</v>
      </c>
      <c r="O897">
        <v>499551502</v>
      </c>
      <c r="P897">
        <v>0</v>
      </c>
      <c r="Q897">
        <v>0</v>
      </c>
      <c r="R897">
        <v>0</v>
      </c>
      <c r="S897">
        <v>0</v>
      </c>
      <c r="T897">
        <v>2723</v>
      </c>
    </row>
    <row r="898" spans="1:20" x14ac:dyDescent="0.25">
      <c r="A898" t="s">
        <v>126</v>
      </c>
      <c r="B898" t="s">
        <v>225</v>
      </c>
      <c r="C898">
        <v>202505</v>
      </c>
      <c r="D898" s="47" t="str">
        <f>MID(C898,1,4)</f>
        <v>2025</v>
      </c>
      <c r="E898" t="str">
        <f>IF(Portfolio!$M$1=1,CONCATENATE(A898,C898),CONCATENATE(B898,C898))</f>
        <v>STEVEN GROUP202505</v>
      </c>
      <c r="F898">
        <v>1</v>
      </c>
      <c r="G898">
        <v>0</v>
      </c>
      <c r="H898">
        <v>0</v>
      </c>
      <c r="I898">
        <v>0</v>
      </c>
      <c r="J898">
        <v>1</v>
      </c>
      <c r="K898">
        <v>1568270</v>
      </c>
      <c r="L898">
        <v>0</v>
      </c>
      <c r="M898">
        <v>0</v>
      </c>
      <c r="N898">
        <v>0</v>
      </c>
      <c r="O898">
        <v>1</v>
      </c>
      <c r="P898">
        <v>2352</v>
      </c>
      <c r="Q898">
        <v>0</v>
      </c>
      <c r="R898">
        <v>0</v>
      </c>
      <c r="S898">
        <v>0</v>
      </c>
      <c r="T898">
        <v>0</v>
      </c>
    </row>
    <row r="899" spans="1:20" x14ac:dyDescent="0.25">
      <c r="A899" t="s">
        <v>126</v>
      </c>
      <c r="B899" t="s">
        <v>132</v>
      </c>
      <c r="C899">
        <v>202505</v>
      </c>
      <c r="D899" s="47" t="str">
        <f>MID(C899,1,4)</f>
        <v>2025</v>
      </c>
      <c r="E899" t="str">
        <f>IF(Portfolio!$M$1=1,CONCATENATE(A899,C899),CONCATENATE(B899,C899))</f>
        <v>STEVEN GROUP202505</v>
      </c>
      <c r="F899">
        <v>0</v>
      </c>
      <c r="G899">
        <v>0</v>
      </c>
      <c r="H899">
        <v>0</v>
      </c>
      <c r="I899">
        <v>0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2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 x14ac:dyDescent="0.25">
      <c r="A900" t="s">
        <v>126</v>
      </c>
      <c r="B900" t="s">
        <v>136</v>
      </c>
      <c r="C900">
        <v>202505</v>
      </c>
      <c r="D900" s="47" t="str">
        <f>MID(C900,1,4)</f>
        <v>2025</v>
      </c>
      <c r="E900" t="str">
        <f>IF(Portfolio!$M$1=1,CONCATENATE(A900,C900),CONCATENATE(B900,C900))</f>
        <v>STEVEN GROUP202505</v>
      </c>
      <c r="F900">
        <v>4</v>
      </c>
      <c r="G900">
        <v>0</v>
      </c>
      <c r="H900">
        <v>0</v>
      </c>
      <c r="I900">
        <v>0</v>
      </c>
      <c r="J900">
        <v>0</v>
      </c>
      <c r="K900">
        <v>281710</v>
      </c>
      <c r="L900">
        <v>0</v>
      </c>
      <c r="M900">
        <v>0</v>
      </c>
      <c r="N900">
        <v>0</v>
      </c>
      <c r="O900">
        <v>0</v>
      </c>
      <c r="P900">
        <v>423</v>
      </c>
      <c r="Q900">
        <v>0</v>
      </c>
      <c r="R900">
        <v>0</v>
      </c>
      <c r="S900">
        <v>0</v>
      </c>
      <c r="T900">
        <v>0</v>
      </c>
    </row>
    <row r="901" spans="1:20" x14ac:dyDescent="0.25">
      <c r="A901" t="s">
        <v>128</v>
      </c>
      <c r="B901" t="s">
        <v>226</v>
      </c>
      <c r="C901">
        <v>202505</v>
      </c>
      <c r="D901" s="47" t="str">
        <f>MID(C901,1,4)</f>
        <v>2025</v>
      </c>
      <c r="E901" t="str">
        <f>IF(Portfolio!$M$1=1,CONCATENATE(A901,C901),CONCATENATE(B901,C901))</f>
        <v>SUPRA BOGA LESTARI202505</v>
      </c>
      <c r="F901">
        <v>15</v>
      </c>
      <c r="G901">
        <v>0</v>
      </c>
      <c r="H901">
        <v>0</v>
      </c>
      <c r="I901">
        <v>0</v>
      </c>
      <c r="J901">
        <v>0</v>
      </c>
      <c r="K901">
        <v>8765096</v>
      </c>
      <c r="L901">
        <v>0</v>
      </c>
      <c r="M901">
        <v>0</v>
      </c>
      <c r="N901">
        <v>0</v>
      </c>
      <c r="O901">
        <v>0</v>
      </c>
      <c r="P901">
        <v>13148</v>
      </c>
      <c r="Q901">
        <v>0</v>
      </c>
      <c r="R901">
        <v>0</v>
      </c>
      <c r="S901">
        <v>0</v>
      </c>
      <c r="T901">
        <v>0</v>
      </c>
    </row>
    <row r="902" spans="1:20" x14ac:dyDescent="0.25">
      <c r="A902" t="s">
        <v>138</v>
      </c>
      <c r="B902" t="s">
        <v>138</v>
      </c>
      <c r="C902">
        <v>202505</v>
      </c>
      <c r="D902" s="47" t="str">
        <f>MID(C902,1,4)</f>
        <v>2025</v>
      </c>
      <c r="E902" t="str">
        <f>IF(Portfolio!$M$1=1,CONCATENATE(A902,C902),CONCATENATE(B902,C902))</f>
        <v>YOSHINOYA202505</v>
      </c>
      <c r="F902">
        <v>326</v>
      </c>
      <c r="G902">
        <v>11246</v>
      </c>
      <c r="H902">
        <v>568</v>
      </c>
      <c r="I902">
        <v>968</v>
      </c>
      <c r="J902">
        <v>151221</v>
      </c>
      <c r="K902">
        <v>49851700</v>
      </c>
      <c r="L902">
        <v>1722059700</v>
      </c>
      <c r="M902">
        <v>67160500</v>
      </c>
      <c r="N902">
        <v>112618502</v>
      </c>
      <c r="O902">
        <v>18622937574</v>
      </c>
      <c r="P902">
        <v>74778</v>
      </c>
      <c r="Q902">
        <v>17220597</v>
      </c>
      <c r="R902">
        <v>738766</v>
      </c>
      <c r="S902">
        <v>788310</v>
      </c>
      <c r="T902">
        <v>130359777</v>
      </c>
    </row>
    <row r="903" spans="1:20" x14ac:dyDescent="0.25">
      <c r="A903" t="s">
        <v>140</v>
      </c>
      <c r="B903" t="s">
        <v>140</v>
      </c>
      <c r="C903">
        <v>202505</v>
      </c>
      <c r="D903" s="47" t="str">
        <f>MID(C903,1,4)</f>
        <v>2025</v>
      </c>
      <c r="E903" t="str">
        <f>IF(Portfolio!$M$1=1,CONCATENATE(A903,C903),CONCATENATE(B903,C903))</f>
        <v>ZENBU202505</v>
      </c>
      <c r="F903">
        <v>0</v>
      </c>
      <c r="G903">
        <v>0</v>
      </c>
      <c r="H903">
        <v>0</v>
      </c>
      <c r="I903">
        <v>14</v>
      </c>
      <c r="J903">
        <v>5481</v>
      </c>
      <c r="K903">
        <v>0</v>
      </c>
      <c r="L903">
        <v>0</v>
      </c>
      <c r="M903">
        <v>0</v>
      </c>
      <c r="N903">
        <v>4131864</v>
      </c>
      <c r="O903">
        <v>1309817796</v>
      </c>
      <c r="P903">
        <v>0</v>
      </c>
      <c r="Q903">
        <v>0</v>
      </c>
      <c r="R903">
        <v>0</v>
      </c>
      <c r="S903">
        <v>778443</v>
      </c>
      <c r="T903">
        <v>9168705</v>
      </c>
    </row>
    <row r="904" spans="1:20" x14ac:dyDescent="0.25">
      <c r="A904" t="s">
        <v>67</v>
      </c>
      <c r="B904" t="s">
        <v>68</v>
      </c>
      <c r="C904">
        <v>202506</v>
      </c>
      <c r="D904" s="47" t="str">
        <f>MID(C904,1,4)</f>
        <v>2025</v>
      </c>
      <c r="E904" t="str">
        <f>IF(Portfolio!$M$1=1,CONCATENATE(A904,C904),CONCATENATE(B904,C904))</f>
        <v>ALFA GROUP202506</v>
      </c>
      <c r="F904">
        <v>21868</v>
      </c>
      <c r="G904">
        <v>78838</v>
      </c>
      <c r="H904">
        <v>23016</v>
      </c>
      <c r="I904">
        <v>26</v>
      </c>
      <c r="J904">
        <v>300</v>
      </c>
      <c r="K904">
        <v>2211018280</v>
      </c>
      <c r="L904">
        <v>8296194669</v>
      </c>
      <c r="M904">
        <v>3270077470</v>
      </c>
      <c r="N904">
        <v>2015058</v>
      </c>
      <c r="O904">
        <v>20242750</v>
      </c>
      <c r="P904">
        <v>3316524</v>
      </c>
      <c r="Q904">
        <v>82961947</v>
      </c>
      <c r="R904">
        <v>58552718</v>
      </c>
      <c r="S904">
        <v>7276</v>
      </c>
      <c r="T904">
        <v>4218</v>
      </c>
    </row>
    <row r="905" spans="1:20" x14ac:dyDescent="0.25">
      <c r="A905" t="s">
        <v>67</v>
      </c>
      <c r="B905" t="s">
        <v>69</v>
      </c>
      <c r="C905">
        <v>202506</v>
      </c>
      <c r="D905" s="47" t="str">
        <f>MID(C905,1,4)</f>
        <v>2025</v>
      </c>
      <c r="E905" t="str">
        <f>IF(Portfolio!$M$1=1,CONCATENATE(A905,C905),CONCATENATE(B905,C905))</f>
        <v>ALFA GROUP202506</v>
      </c>
      <c r="F905">
        <v>17</v>
      </c>
      <c r="G905">
        <v>83</v>
      </c>
      <c r="H905">
        <v>31</v>
      </c>
      <c r="I905">
        <v>0</v>
      </c>
      <c r="J905">
        <v>74</v>
      </c>
      <c r="K905">
        <v>2798793</v>
      </c>
      <c r="L905">
        <v>12681581</v>
      </c>
      <c r="M905">
        <v>6075872</v>
      </c>
      <c r="N905">
        <v>0</v>
      </c>
      <c r="O905">
        <v>2388635</v>
      </c>
      <c r="P905">
        <v>4198</v>
      </c>
      <c r="Q905">
        <v>126816</v>
      </c>
      <c r="R905">
        <v>109366</v>
      </c>
      <c r="S905">
        <v>0</v>
      </c>
      <c r="T905">
        <v>16721</v>
      </c>
    </row>
    <row r="906" spans="1:20" x14ac:dyDescent="0.25">
      <c r="A906" t="s">
        <v>67</v>
      </c>
      <c r="B906" t="s">
        <v>72</v>
      </c>
      <c r="C906">
        <v>202506</v>
      </c>
      <c r="D906" s="47" t="str">
        <f>MID(C906,1,4)</f>
        <v>2025</v>
      </c>
      <c r="E906" t="str">
        <f>IF(Portfolio!$M$1=1,CONCATENATE(A906,C906),CONCATENATE(B906,C906))</f>
        <v>ALFA GROUP202506</v>
      </c>
      <c r="F906">
        <v>409</v>
      </c>
      <c r="G906">
        <v>1689</v>
      </c>
      <c r="H906">
        <v>244</v>
      </c>
      <c r="I906">
        <v>0</v>
      </c>
      <c r="J906">
        <v>0</v>
      </c>
      <c r="K906">
        <v>68906003</v>
      </c>
      <c r="L906">
        <v>268588188</v>
      </c>
      <c r="M906">
        <v>43981101</v>
      </c>
      <c r="N906">
        <v>0</v>
      </c>
      <c r="O906">
        <v>0</v>
      </c>
      <c r="P906">
        <v>103359</v>
      </c>
      <c r="Q906">
        <v>2685882</v>
      </c>
      <c r="R906">
        <v>789558</v>
      </c>
      <c r="S906">
        <v>0</v>
      </c>
      <c r="T906">
        <v>0</v>
      </c>
    </row>
    <row r="907" spans="1:20" x14ac:dyDescent="0.25">
      <c r="A907" t="s">
        <v>70</v>
      </c>
      <c r="B907" t="s">
        <v>70</v>
      </c>
      <c r="C907">
        <v>202506</v>
      </c>
      <c r="D907" s="47" t="str">
        <f>MID(C907,1,4)</f>
        <v>2025</v>
      </c>
      <c r="E907" t="str">
        <f>IF(Portfolio!$M$1=1,CONCATENATE(A907,C907),CONCATENATE(B907,C907))</f>
        <v>ANCOL202506</v>
      </c>
      <c r="F907">
        <v>2</v>
      </c>
      <c r="G907">
        <v>0</v>
      </c>
      <c r="H907">
        <v>2</v>
      </c>
      <c r="I907">
        <v>3</v>
      </c>
      <c r="J907">
        <v>400</v>
      </c>
      <c r="K907">
        <v>1577961</v>
      </c>
      <c r="L907">
        <v>0</v>
      </c>
      <c r="M907">
        <v>299400</v>
      </c>
      <c r="N907">
        <v>207072</v>
      </c>
      <c r="O907">
        <v>44530315</v>
      </c>
      <c r="P907">
        <v>2367</v>
      </c>
      <c r="Q907">
        <v>0</v>
      </c>
      <c r="R907">
        <v>4940</v>
      </c>
      <c r="S907">
        <v>0</v>
      </c>
      <c r="T907">
        <v>0</v>
      </c>
    </row>
    <row r="908" spans="1:20" x14ac:dyDescent="0.25">
      <c r="A908" t="s">
        <v>73</v>
      </c>
      <c r="B908" t="s">
        <v>73</v>
      </c>
      <c r="C908">
        <v>202506</v>
      </c>
      <c r="D908" s="47" t="str">
        <f>MID(C908,1,4)</f>
        <v>2025</v>
      </c>
      <c r="E908" t="str">
        <f>IF(Portfolio!$M$1=1,CONCATENATE(A908,C908),CONCATENATE(B908,C908))</f>
        <v>BANBAN TEA202506</v>
      </c>
      <c r="F908">
        <v>12</v>
      </c>
      <c r="G908">
        <v>60</v>
      </c>
      <c r="H908">
        <v>12</v>
      </c>
      <c r="I908">
        <v>38</v>
      </c>
      <c r="J908">
        <v>576</v>
      </c>
      <c r="K908">
        <v>937499</v>
      </c>
      <c r="L908">
        <v>4469896</v>
      </c>
      <c r="M908">
        <v>828200</v>
      </c>
      <c r="N908">
        <v>2377699</v>
      </c>
      <c r="O908">
        <v>37888974</v>
      </c>
      <c r="P908">
        <v>1406</v>
      </c>
      <c r="Q908">
        <v>44699</v>
      </c>
      <c r="R908">
        <v>14908</v>
      </c>
      <c r="S908">
        <v>16644</v>
      </c>
      <c r="T908">
        <v>265222</v>
      </c>
    </row>
    <row r="909" spans="1:20" x14ac:dyDescent="0.25">
      <c r="A909" t="s">
        <v>75</v>
      </c>
      <c r="B909" t="s">
        <v>81</v>
      </c>
      <c r="C909">
        <v>202506</v>
      </c>
      <c r="D909" s="47" t="str">
        <f>MID(C909,1,4)</f>
        <v>2025</v>
      </c>
      <c r="E909" t="str">
        <f>IF(Portfolio!$M$1=1,CONCATENATE(A909,C909),CONCATENATE(B909,C909))</f>
        <v>CHAMP RESTO202506</v>
      </c>
      <c r="F909">
        <v>1</v>
      </c>
      <c r="G909">
        <v>0</v>
      </c>
      <c r="H909">
        <v>0</v>
      </c>
      <c r="I909">
        <v>0</v>
      </c>
      <c r="J909">
        <v>5</v>
      </c>
      <c r="K909">
        <v>183260</v>
      </c>
      <c r="L909">
        <v>0</v>
      </c>
      <c r="M909">
        <v>0</v>
      </c>
      <c r="N909">
        <v>0</v>
      </c>
      <c r="O909">
        <v>891202</v>
      </c>
      <c r="P909">
        <v>275</v>
      </c>
      <c r="Q909">
        <v>0</v>
      </c>
      <c r="R909">
        <v>0</v>
      </c>
      <c r="S909">
        <v>0</v>
      </c>
      <c r="T909">
        <v>6237</v>
      </c>
    </row>
    <row r="910" spans="1:20" x14ac:dyDescent="0.25">
      <c r="A910" t="s">
        <v>75</v>
      </c>
      <c r="B910" t="s">
        <v>83</v>
      </c>
      <c r="C910">
        <v>202506</v>
      </c>
      <c r="D910" s="47" t="str">
        <f>MID(C910,1,4)</f>
        <v>2025</v>
      </c>
      <c r="E910" t="str">
        <f>IF(Portfolio!$M$1=1,CONCATENATE(A910,C910),CONCATENATE(B910,C910))</f>
        <v>CHAMP RESTO202506</v>
      </c>
      <c r="F910">
        <v>0</v>
      </c>
      <c r="G910">
        <v>13</v>
      </c>
      <c r="H910">
        <v>2</v>
      </c>
      <c r="I910">
        <v>4</v>
      </c>
      <c r="J910">
        <v>44</v>
      </c>
      <c r="K910">
        <v>0</v>
      </c>
      <c r="L910">
        <v>3106000</v>
      </c>
      <c r="M910">
        <v>1100000</v>
      </c>
      <c r="N910">
        <v>2309000</v>
      </c>
      <c r="O910">
        <v>14654102</v>
      </c>
      <c r="P910">
        <v>0</v>
      </c>
      <c r="Q910">
        <v>31060</v>
      </c>
      <c r="R910">
        <v>22000</v>
      </c>
      <c r="S910">
        <v>6000</v>
      </c>
      <c r="T910">
        <v>38400</v>
      </c>
    </row>
    <row r="911" spans="1:20" x14ac:dyDescent="0.25">
      <c r="A911" t="s">
        <v>75</v>
      </c>
      <c r="B911" t="s">
        <v>85</v>
      </c>
      <c r="C911">
        <v>202506</v>
      </c>
      <c r="D911" s="47" t="str">
        <f>MID(C911,1,4)</f>
        <v>2025</v>
      </c>
      <c r="E911" t="str">
        <f>IF(Portfolio!$M$1=1,CONCATENATE(A911,C911),CONCATENATE(B911,C911))</f>
        <v>CHAMP RESTO202506</v>
      </c>
      <c r="F911">
        <v>12</v>
      </c>
      <c r="G911">
        <v>9</v>
      </c>
      <c r="H911">
        <v>0</v>
      </c>
      <c r="I911">
        <v>0</v>
      </c>
      <c r="J911">
        <v>0</v>
      </c>
      <c r="K911">
        <v>2015089</v>
      </c>
      <c r="L911">
        <v>1398000</v>
      </c>
      <c r="M911">
        <v>0</v>
      </c>
      <c r="N911">
        <v>0</v>
      </c>
      <c r="O911">
        <v>0</v>
      </c>
      <c r="P911">
        <v>3023</v>
      </c>
      <c r="Q911">
        <v>13980</v>
      </c>
      <c r="R911">
        <v>0</v>
      </c>
      <c r="S911">
        <v>0</v>
      </c>
      <c r="T911">
        <v>0</v>
      </c>
    </row>
    <row r="912" spans="1:20" x14ac:dyDescent="0.25">
      <c r="A912" t="s">
        <v>75</v>
      </c>
      <c r="B912" t="s">
        <v>91</v>
      </c>
      <c r="C912">
        <v>202506</v>
      </c>
      <c r="D912" s="47" t="str">
        <f>MID(C912,1,4)</f>
        <v>2025</v>
      </c>
      <c r="E912" t="str">
        <f>IF(Portfolio!$M$1=1,CONCATENATE(A912,C912),CONCATENATE(B912,C912))</f>
        <v>CHAMP RESTO202506</v>
      </c>
      <c r="F912">
        <v>0</v>
      </c>
      <c r="G912">
        <v>10</v>
      </c>
      <c r="H912">
        <v>0</v>
      </c>
      <c r="I912">
        <v>0</v>
      </c>
      <c r="J912">
        <v>1</v>
      </c>
      <c r="K912">
        <v>0</v>
      </c>
      <c r="L912">
        <v>2314150</v>
      </c>
      <c r="M912">
        <v>0</v>
      </c>
      <c r="N912">
        <v>0</v>
      </c>
      <c r="O912">
        <v>3132826</v>
      </c>
      <c r="P912">
        <v>0</v>
      </c>
      <c r="Q912">
        <v>23141</v>
      </c>
      <c r="R912">
        <v>0</v>
      </c>
      <c r="S912">
        <v>0</v>
      </c>
      <c r="T912">
        <v>21930</v>
      </c>
    </row>
    <row r="913" spans="1:20" x14ac:dyDescent="0.25">
      <c r="A913" t="s">
        <v>75</v>
      </c>
      <c r="B913" t="s">
        <v>93</v>
      </c>
      <c r="C913">
        <v>202506</v>
      </c>
      <c r="D913" s="47" t="str">
        <f>MID(C913,1,4)</f>
        <v>2025</v>
      </c>
      <c r="E913" t="str">
        <f>IF(Portfolio!$M$1=1,CONCATENATE(A913,C913),CONCATENATE(B913,C913))</f>
        <v>CHAMP RESTO202506</v>
      </c>
      <c r="F913">
        <v>0</v>
      </c>
      <c r="G913">
        <v>0</v>
      </c>
      <c r="H913">
        <v>0</v>
      </c>
      <c r="I913">
        <v>1</v>
      </c>
      <c r="J913">
        <v>206</v>
      </c>
      <c r="K913">
        <v>0</v>
      </c>
      <c r="L913">
        <v>0</v>
      </c>
      <c r="M913">
        <v>0</v>
      </c>
      <c r="N913">
        <v>80000</v>
      </c>
      <c r="O913">
        <v>3600000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 x14ac:dyDescent="0.25">
      <c r="A914" t="s">
        <v>75</v>
      </c>
      <c r="B914" t="s">
        <v>95</v>
      </c>
      <c r="C914">
        <v>202506</v>
      </c>
      <c r="D914" s="47" t="str">
        <f>MID(C914,1,4)</f>
        <v>2025</v>
      </c>
      <c r="E914" t="str">
        <f>IF(Portfolio!$M$1=1,CONCATENATE(A914,C914),CONCATENATE(B914,C914))</f>
        <v>CHAMP RESTO202506</v>
      </c>
      <c r="F914">
        <v>25</v>
      </c>
      <c r="G914">
        <v>0</v>
      </c>
      <c r="H914">
        <v>0</v>
      </c>
      <c r="I914">
        <v>0</v>
      </c>
      <c r="J914">
        <v>0</v>
      </c>
      <c r="K914">
        <v>7085754</v>
      </c>
      <c r="L914">
        <v>0</v>
      </c>
      <c r="M914">
        <v>0</v>
      </c>
      <c r="N914">
        <v>0</v>
      </c>
      <c r="O914">
        <v>0</v>
      </c>
      <c r="P914">
        <v>10629</v>
      </c>
      <c r="Q914">
        <v>0</v>
      </c>
      <c r="R914">
        <v>0</v>
      </c>
      <c r="S914">
        <v>0</v>
      </c>
      <c r="T914">
        <v>0</v>
      </c>
    </row>
    <row r="915" spans="1:20" x14ac:dyDescent="0.25">
      <c r="A915" t="s">
        <v>76</v>
      </c>
      <c r="B915" t="s">
        <v>76</v>
      </c>
      <c r="C915">
        <v>202506</v>
      </c>
      <c r="D915" s="47" t="str">
        <f>MID(C915,1,4)</f>
        <v>2025</v>
      </c>
      <c r="E915" t="str">
        <f>IF(Portfolio!$M$1=1,CONCATENATE(A915,C915),CONCATENATE(B915,C915))</f>
        <v>DAMRI202506</v>
      </c>
      <c r="F915">
        <v>2</v>
      </c>
      <c r="G915">
        <v>12</v>
      </c>
      <c r="H915">
        <v>1</v>
      </c>
      <c r="I915">
        <v>1</v>
      </c>
      <c r="J915">
        <v>58</v>
      </c>
      <c r="K915">
        <v>160000</v>
      </c>
      <c r="L915">
        <v>6395000</v>
      </c>
      <c r="M915">
        <v>155000</v>
      </c>
      <c r="N915">
        <v>1</v>
      </c>
      <c r="O915">
        <v>23142000</v>
      </c>
      <c r="P915">
        <v>240</v>
      </c>
      <c r="Q915">
        <v>63950</v>
      </c>
      <c r="R915">
        <v>3100</v>
      </c>
      <c r="S915">
        <v>0</v>
      </c>
      <c r="T915">
        <v>161994</v>
      </c>
    </row>
    <row r="916" spans="1:20" x14ac:dyDescent="0.25">
      <c r="A916" t="s">
        <v>80</v>
      </c>
      <c r="B916" t="s">
        <v>80</v>
      </c>
      <c r="C916">
        <v>202506</v>
      </c>
      <c r="D916" s="47" t="str">
        <f>MID(C916,1,4)</f>
        <v>2025</v>
      </c>
      <c r="E916" t="str">
        <f>IF(Portfolio!$M$1=1,CONCATENATE(A916,C916),CONCATENATE(B916,C916))</f>
        <v>DWIDAYA202506</v>
      </c>
      <c r="F916">
        <v>11</v>
      </c>
      <c r="G916">
        <v>0</v>
      </c>
      <c r="H916">
        <v>0</v>
      </c>
      <c r="I916">
        <v>0</v>
      </c>
      <c r="J916">
        <v>44</v>
      </c>
      <c r="K916">
        <v>176357940</v>
      </c>
      <c r="L916">
        <v>0</v>
      </c>
      <c r="M916">
        <v>0</v>
      </c>
      <c r="N916">
        <v>0</v>
      </c>
      <c r="O916">
        <v>129646120</v>
      </c>
      <c r="P916">
        <v>264537</v>
      </c>
      <c r="Q916">
        <v>0</v>
      </c>
      <c r="R916">
        <v>0</v>
      </c>
      <c r="S916">
        <v>0</v>
      </c>
      <c r="T916">
        <v>907522</v>
      </c>
    </row>
    <row r="917" spans="1:20" x14ac:dyDescent="0.25">
      <c r="A917" t="s">
        <v>82</v>
      </c>
      <c r="B917" t="s">
        <v>82</v>
      </c>
      <c r="C917">
        <v>202506</v>
      </c>
      <c r="D917" s="47" t="str">
        <f>MID(C917,1,4)</f>
        <v>2025</v>
      </c>
      <c r="E917" t="str">
        <f>IF(Portfolio!$M$1=1,CONCATENATE(A917,C917),CONCATENATE(B917,C917))</f>
        <v>EKA HOSPITAL202506</v>
      </c>
      <c r="F917">
        <v>0</v>
      </c>
      <c r="G917">
        <v>4</v>
      </c>
      <c r="H917">
        <v>8</v>
      </c>
      <c r="I917">
        <v>0</v>
      </c>
      <c r="J917">
        <v>5</v>
      </c>
      <c r="K917">
        <v>0</v>
      </c>
      <c r="L917">
        <v>76320061</v>
      </c>
      <c r="M917">
        <v>2855840</v>
      </c>
      <c r="N917">
        <v>0</v>
      </c>
      <c r="O917">
        <v>5</v>
      </c>
      <c r="P917">
        <v>0</v>
      </c>
      <c r="Q917">
        <v>763201</v>
      </c>
      <c r="R917">
        <v>57117</v>
      </c>
      <c r="S917">
        <v>0</v>
      </c>
      <c r="T917">
        <v>0</v>
      </c>
    </row>
    <row r="918" spans="1:20" x14ac:dyDescent="0.25">
      <c r="A918" t="s">
        <v>86</v>
      </c>
      <c r="B918" t="s">
        <v>86</v>
      </c>
      <c r="C918">
        <v>202506</v>
      </c>
      <c r="D918" s="47" t="str">
        <f>MID(C918,1,4)</f>
        <v>2025</v>
      </c>
      <c r="E918" t="str">
        <f>IF(Portfolio!$M$1=1,CONCATENATE(A918,C918),CONCATENATE(B918,C918))</f>
        <v>GRAMEDIA202506</v>
      </c>
      <c r="F918">
        <v>4</v>
      </c>
      <c r="G918">
        <v>0</v>
      </c>
      <c r="H918">
        <v>1</v>
      </c>
      <c r="I918">
        <v>6</v>
      </c>
      <c r="J918">
        <v>120</v>
      </c>
      <c r="K918">
        <v>535300</v>
      </c>
      <c r="L918">
        <v>0</v>
      </c>
      <c r="M918">
        <v>499800</v>
      </c>
      <c r="N918">
        <v>240000</v>
      </c>
      <c r="O918">
        <v>3062800</v>
      </c>
      <c r="P918">
        <v>803</v>
      </c>
      <c r="Q918">
        <v>0</v>
      </c>
      <c r="R918">
        <v>9996</v>
      </c>
      <c r="S918">
        <v>0</v>
      </c>
      <c r="T918">
        <v>0</v>
      </c>
    </row>
    <row r="919" spans="1:20" x14ac:dyDescent="0.25">
      <c r="A919" t="s">
        <v>88</v>
      </c>
      <c r="B919" t="s">
        <v>88</v>
      </c>
      <c r="C919">
        <v>202506</v>
      </c>
      <c r="D919" s="47" t="str">
        <f>MID(C919,1,4)</f>
        <v>2025</v>
      </c>
      <c r="E919" t="str">
        <f>IF(Portfolio!$M$1=1,CONCATENATE(A919,C919),CONCATENATE(B919,C919))</f>
        <v>HAUS202506</v>
      </c>
      <c r="F919">
        <v>0</v>
      </c>
      <c r="G919">
        <v>5</v>
      </c>
      <c r="H919">
        <v>0</v>
      </c>
      <c r="I919">
        <v>99</v>
      </c>
      <c r="J919">
        <v>23857</v>
      </c>
      <c r="K919">
        <v>0</v>
      </c>
      <c r="L919">
        <v>154000</v>
      </c>
      <c r="M919">
        <v>0</v>
      </c>
      <c r="N919">
        <v>3848000</v>
      </c>
      <c r="O919">
        <v>997015595</v>
      </c>
      <c r="P919">
        <v>0</v>
      </c>
      <c r="Q919">
        <v>1540</v>
      </c>
      <c r="R919">
        <v>0</v>
      </c>
      <c r="S919">
        <v>22211</v>
      </c>
      <c r="T919">
        <v>6836490</v>
      </c>
    </row>
    <row r="920" spans="1:20" x14ac:dyDescent="0.25">
      <c r="A920" t="s">
        <v>92</v>
      </c>
      <c r="B920" t="s">
        <v>108</v>
      </c>
      <c r="C920">
        <v>202506</v>
      </c>
      <c r="D920" s="47" t="str">
        <f>MID(C920,1,4)</f>
        <v>2025</v>
      </c>
      <c r="E920" t="str">
        <f>IF(Portfolio!$M$1=1,CONCATENATE(A920,C920),CONCATENATE(B920,C920))</f>
        <v>HERO GROUP202506</v>
      </c>
      <c r="F920">
        <v>35</v>
      </c>
      <c r="G920">
        <v>0</v>
      </c>
      <c r="H920">
        <v>0</v>
      </c>
      <c r="I920">
        <v>15</v>
      </c>
      <c r="J920">
        <v>448</v>
      </c>
      <c r="K920">
        <v>16871102</v>
      </c>
      <c r="L920">
        <v>0</v>
      </c>
      <c r="M920">
        <v>0</v>
      </c>
      <c r="N920">
        <v>4566271</v>
      </c>
      <c r="O920">
        <v>38067323</v>
      </c>
      <c r="P920">
        <v>25307</v>
      </c>
      <c r="Q920">
        <v>0</v>
      </c>
      <c r="R920">
        <v>0</v>
      </c>
      <c r="S920">
        <v>31965</v>
      </c>
      <c r="T920">
        <v>245373</v>
      </c>
    </row>
    <row r="921" spans="1:20" x14ac:dyDescent="0.25">
      <c r="A921" t="s">
        <v>94</v>
      </c>
      <c r="B921" t="s">
        <v>94</v>
      </c>
      <c r="C921">
        <v>202506</v>
      </c>
      <c r="D921" s="47" t="str">
        <f>MID(C921,1,4)</f>
        <v>2025</v>
      </c>
      <c r="E921" t="str">
        <f>IF(Portfolio!$M$1=1,CONCATENATE(A921,C921),CONCATENATE(B921,C921))</f>
        <v>HOKBEN202506</v>
      </c>
      <c r="F921">
        <v>0</v>
      </c>
      <c r="G921">
        <v>0</v>
      </c>
      <c r="H921">
        <v>0</v>
      </c>
      <c r="I921">
        <v>7</v>
      </c>
      <c r="J921">
        <v>2475</v>
      </c>
      <c r="K921">
        <v>0</v>
      </c>
      <c r="L921">
        <v>0</v>
      </c>
      <c r="M921">
        <v>0</v>
      </c>
      <c r="N921">
        <v>855000</v>
      </c>
      <c r="O921">
        <v>247067000</v>
      </c>
      <c r="P921">
        <v>0</v>
      </c>
      <c r="Q921">
        <v>0</v>
      </c>
      <c r="R921">
        <v>0</v>
      </c>
      <c r="S921">
        <v>5986</v>
      </c>
      <c r="T921">
        <v>1729469</v>
      </c>
    </row>
    <row r="922" spans="1:20" x14ac:dyDescent="0.25">
      <c r="A922" t="s">
        <v>96</v>
      </c>
      <c r="B922" t="s">
        <v>96</v>
      </c>
      <c r="C922">
        <v>202506</v>
      </c>
      <c r="D922" s="47" t="str">
        <f>MID(C922,1,4)</f>
        <v>2025</v>
      </c>
      <c r="E922" t="str">
        <f>IF(Portfolio!$M$1=1,CONCATENATE(A922,C922),CONCATENATE(B922,C922))</f>
        <v>HOKKAIDO BAKED CHEESE202506</v>
      </c>
      <c r="F922">
        <v>9</v>
      </c>
      <c r="G922">
        <v>153</v>
      </c>
      <c r="H922">
        <v>8</v>
      </c>
      <c r="I922">
        <v>24</v>
      </c>
      <c r="J922">
        <v>2784</v>
      </c>
      <c r="K922">
        <v>838600</v>
      </c>
      <c r="L922">
        <v>14807372</v>
      </c>
      <c r="M922">
        <v>891900</v>
      </c>
      <c r="N922">
        <v>2270658</v>
      </c>
      <c r="O922">
        <v>146099206</v>
      </c>
      <c r="P922">
        <v>1258</v>
      </c>
      <c r="Q922">
        <v>148074</v>
      </c>
      <c r="R922">
        <v>16808</v>
      </c>
      <c r="S922">
        <v>15894</v>
      </c>
      <c r="T922">
        <v>832639</v>
      </c>
    </row>
    <row r="923" spans="1:20" x14ac:dyDescent="0.25">
      <c r="A923" t="s">
        <v>97</v>
      </c>
      <c r="B923" t="s">
        <v>97</v>
      </c>
      <c r="C923">
        <v>202506</v>
      </c>
      <c r="D923" s="47" t="str">
        <f>MID(C923,1,4)</f>
        <v>2025</v>
      </c>
      <c r="E923" t="str">
        <f>IF(Portfolio!$M$1=1,CONCATENATE(A923,C923),CONCATENATE(B923,C923))</f>
        <v>HOP HOP202506</v>
      </c>
      <c r="F923">
        <v>3</v>
      </c>
      <c r="G923">
        <v>6</v>
      </c>
      <c r="H923">
        <v>1</v>
      </c>
      <c r="I923">
        <v>187</v>
      </c>
      <c r="J923">
        <v>11552</v>
      </c>
      <c r="K923">
        <v>131000</v>
      </c>
      <c r="L923">
        <v>165000</v>
      </c>
      <c r="M923">
        <v>60000</v>
      </c>
      <c r="N923">
        <v>7396000</v>
      </c>
      <c r="O923">
        <v>307217769</v>
      </c>
      <c r="P923">
        <v>196</v>
      </c>
      <c r="Q923">
        <v>1650</v>
      </c>
      <c r="R923">
        <v>1080</v>
      </c>
      <c r="S923">
        <v>553</v>
      </c>
      <c r="T923">
        <v>8697</v>
      </c>
    </row>
    <row r="924" spans="1:20" x14ac:dyDescent="0.25">
      <c r="A924" t="s">
        <v>97</v>
      </c>
      <c r="B924" t="s">
        <v>113</v>
      </c>
      <c r="C924">
        <v>202506</v>
      </c>
      <c r="D924" s="47" t="str">
        <f>MID(C924,1,4)</f>
        <v>2025</v>
      </c>
      <c r="E924" t="str">
        <f>IF(Portfolio!$M$1=1,CONCATENATE(A924,C924),CONCATENATE(B924,C924))</f>
        <v>HOP HOP202506</v>
      </c>
      <c r="F924">
        <v>0</v>
      </c>
      <c r="G924">
        <v>0</v>
      </c>
      <c r="H924">
        <v>0</v>
      </c>
      <c r="I924">
        <v>44</v>
      </c>
      <c r="J924">
        <v>2762</v>
      </c>
      <c r="K924">
        <v>0</v>
      </c>
      <c r="L924">
        <v>0</v>
      </c>
      <c r="M924">
        <v>0</v>
      </c>
      <c r="N924">
        <v>2064000</v>
      </c>
      <c r="O924">
        <v>64482108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 x14ac:dyDescent="0.25">
      <c r="A925" t="s">
        <v>99</v>
      </c>
      <c r="B925" t="s">
        <v>99</v>
      </c>
      <c r="C925">
        <v>202506</v>
      </c>
      <c r="D925" s="47" t="str">
        <f>MID(C925,1,4)</f>
        <v>2025</v>
      </c>
      <c r="E925" t="str">
        <f>IF(Portfolio!$M$1=1,CONCATENATE(A925,C925),CONCATENATE(B925,C925))</f>
        <v>IKEA202506</v>
      </c>
      <c r="F925">
        <v>19</v>
      </c>
      <c r="G925">
        <v>0</v>
      </c>
      <c r="H925">
        <v>0</v>
      </c>
      <c r="I925">
        <v>0</v>
      </c>
      <c r="J925">
        <v>0</v>
      </c>
      <c r="K925">
        <v>14739100</v>
      </c>
      <c r="L925">
        <v>0</v>
      </c>
      <c r="M925">
        <v>0</v>
      </c>
      <c r="N925">
        <v>0</v>
      </c>
      <c r="O925">
        <v>0</v>
      </c>
      <c r="P925">
        <v>22109</v>
      </c>
      <c r="Q925">
        <v>0</v>
      </c>
      <c r="R925">
        <v>0</v>
      </c>
      <c r="S925">
        <v>0</v>
      </c>
      <c r="T925">
        <v>0</v>
      </c>
    </row>
    <row r="926" spans="1:20" x14ac:dyDescent="0.25">
      <c r="A926" t="s">
        <v>101</v>
      </c>
      <c r="B926" t="s">
        <v>101</v>
      </c>
      <c r="C926">
        <v>202506</v>
      </c>
      <c r="D926" s="47" t="str">
        <f>MID(C926,1,4)</f>
        <v>2025</v>
      </c>
      <c r="E926" t="str">
        <f>IF(Portfolio!$M$1=1,CONCATENATE(A926,C926),CONCATENATE(B926,C926))</f>
        <v>INDOMARET202506</v>
      </c>
      <c r="F926">
        <v>29806</v>
      </c>
      <c r="G926">
        <v>73659</v>
      </c>
      <c r="H926">
        <v>24326</v>
      </c>
      <c r="I926">
        <v>5</v>
      </c>
      <c r="J926">
        <v>112</v>
      </c>
      <c r="K926">
        <v>3000760114</v>
      </c>
      <c r="L926">
        <v>6731294309</v>
      </c>
      <c r="M926">
        <v>3273143330</v>
      </c>
      <c r="N926">
        <v>133200</v>
      </c>
      <c r="O926">
        <v>6582300</v>
      </c>
      <c r="P926">
        <v>4501137</v>
      </c>
      <c r="Q926">
        <v>67312943</v>
      </c>
      <c r="R926">
        <v>54791063</v>
      </c>
      <c r="S926">
        <v>933</v>
      </c>
      <c r="T926">
        <v>32548</v>
      </c>
    </row>
    <row r="927" spans="1:20" x14ac:dyDescent="0.25">
      <c r="A927" t="s">
        <v>101</v>
      </c>
      <c r="B927" t="s">
        <v>117</v>
      </c>
      <c r="C927">
        <v>202506</v>
      </c>
      <c r="D927" s="47" t="str">
        <f>MID(C927,1,4)</f>
        <v>2025</v>
      </c>
      <c r="E927" t="str">
        <f>IF(Portfolio!$M$1=1,CONCATENATE(A927,C927),CONCATENATE(B927,C927))</f>
        <v>INDOMARET202506</v>
      </c>
      <c r="F927">
        <v>110</v>
      </c>
      <c r="G927">
        <v>246</v>
      </c>
      <c r="H927">
        <v>121</v>
      </c>
      <c r="I927">
        <v>0</v>
      </c>
      <c r="J927">
        <v>0</v>
      </c>
      <c r="K927">
        <v>9522150</v>
      </c>
      <c r="L927">
        <v>20448700</v>
      </c>
      <c r="M927">
        <v>15600750</v>
      </c>
      <c r="N927">
        <v>0</v>
      </c>
      <c r="O927">
        <v>0</v>
      </c>
      <c r="P927">
        <v>14283</v>
      </c>
      <c r="Q927">
        <v>204487</v>
      </c>
      <c r="R927">
        <v>257412</v>
      </c>
      <c r="S927">
        <v>0</v>
      </c>
      <c r="T927">
        <v>0</v>
      </c>
    </row>
    <row r="928" spans="1:20" x14ac:dyDescent="0.25">
      <c r="A928" t="s">
        <v>102</v>
      </c>
      <c r="B928" t="s">
        <v>123</v>
      </c>
      <c r="C928">
        <v>202506</v>
      </c>
      <c r="D928" s="47" t="str">
        <f>MID(C928,1,4)</f>
        <v>2025</v>
      </c>
      <c r="E928" t="str">
        <f>IF(Portfolio!$M$1=1,CONCATENATE(A928,C928),CONCATENATE(B928,C928))</f>
        <v>KAWAN LAMA202506</v>
      </c>
      <c r="F928">
        <v>1248</v>
      </c>
      <c r="G928">
        <v>7</v>
      </c>
      <c r="H928">
        <v>1</v>
      </c>
      <c r="I928">
        <v>0</v>
      </c>
      <c r="J928">
        <v>47</v>
      </c>
      <c r="K928">
        <v>907825904</v>
      </c>
      <c r="L928">
        <v>959300</v>
      </c>
      <c r="M928">
        <v>219800</v>
      </c>
      <c r="N928">
        <v>0</v>
      </c>
      <c r="O928">
        <v>254154394</v>
      </c>
      <c r="P928">
        <v>1361737</v>
      </c>
      <c r="Q928">
        <v>9593</v>
      </c>
      <c r="R928">
        <v>3956</v>
      </c>
      <c r="S928">
        <v>0</v>
      </c>
      <c r="T928">
        <v>1779070</v>
      </c>
    </row>
    <row r="929" spans="1:20" x14ac:dyDescent="0.25">
      <c r="A929" t="s">
        <v>102</v>
      </c>
      <c r="B929" t="s">
        <v>125</v>
      </c>
      <c r="C929">
        <v>202506</v>
      </c>
      <c r="D929" s="47" t="str">
        <f>MID(C929,1,4)</f>
        <v>2025</v>
      </c>
      <c r="E929" t="str">
        <f>IF(Portfolio!$M$1=1,CONCATENATE(A929,C929),CONCATENATE(B929,C929))</f>
        <v>KAWAN LAMA202506</v>
      </c>
      <c r="F929">
        <v>353</v>
      </c>
      <c r="G929">
        <v>1</v>
      </c>
      <c r="H929">
        <v>2</v>
      </c>
      <c r="I929">
        <v>0</v>
      </c>
      <c r="J929">
        <v>45</v>
      </c>
      <c r="K929">
        <v>24827000</v>
      </c>
      <c r="L929">
        <v>35000</v>
      </c>
      <c r="M929">
        <v>213000</v>
      </c>
      <c r="N929">
        <v>0</v>
      </c>
      <c r="O929">
        <v>31115014</v>
      </c>
      <c r="P929">
        <v>37240</v>
      </c>
      <c r="Q929">
        <v>350</v>
      </c>
      <c r="R929">
        <v>4260</v>
      </c>
      <c r="S929">
        <v>0</v>
      </c>
      <c r="T929">
        <v>217805</v>
      </c>
    </row>
    <row r="930" spans="1:20" x14ac:dyDescent="0.25">
      <c r="A930" t="s">
        <v>102</v>
      </c>
      <c r="B930" t="s">
        <v>129</v>
      </c>
      <c r="C930">
        <v>202506</v>
      </c>
      <c r="D930" s="47" t="str">
        <f>MID(C930,1,4)</f>
        <v>2025</v>
      </c>
      <c r="E930" t="str">
        <f>IF(Portfolio!$M$1=1,CONCATENATE(A930,C930),CONCATENATE(B930,C930))</f>
        <v>KAWAN LAMA202506</v>
      </c>
      <c r="F930">
        <v>1</v>
      </c>
      <c r="G930">
        <v>0</v>
      </c>
      <c r="H930">
        <v>0</v>
      </c>
      <c r="I930">
        <v>2</v>
      </c>
      <c r="J930">
        <v>27</v>
      </c>
      <c r="K930">
        <v>1119200</v>
      </c>
      <c r="L930">
        <v>0</v>
      </c>
      <c r="M930">
        <v>0</v>
      </c>
      <c r="N930">
        <v>336000</v>
      </c>
      <c r="O930">
        <v>24477557</v>
      </c>
      <c r="P930">
        <v>1679</v>
      </c>
      <c r="Q930">
        <v>0</v>
      </c>
      <c r="R930">
        <v>0</v>
      </c>
      <c r="S930">
        <v>0</v>
      </c>
      <c r="T930">
        <v>171343</v>
      </c>
    </row>
    <row r="931" spans="1:20" x14ac:dyDescent="0.25">
      <c r="A931" t="s">
        <v>102</v>
      </c>
      <c r="B931" t="s">
        <v>131</v>
      </c>
      <c r="C931">
        <v>202506</v>
      </c>
      <c r="D931" s="47" t="str">
        <f>MID(C931,1,4)</f>
        <v>2025</v>
      </c>
      <c r="E931" t="str">
        <f>IF(Portfolio!$M$1=1,CONCATENATE(A931,C931),CONCATENATE(B931,C931))</f>
        <v>KAWAN LAMA202506</v>
      </c>
      <c r="F931">
        <v>3</v>
      </c>
      <c r="G931">
        <v>0</v>
      </c>
      <c r="H931">
        <v>0</v>
      </c>
      <c r="I931">
        <v>0</v>
      </c>
      <c r="J931">
        <v>0</v>
      </c>
      <c r="K931">
        <v>284000</v>
      </c>
      <c r="L931">
        <v>0</v>
      </c>
      <c r="M931">
        <v>0</v>
      </c>
      <c r="N931">
        <v>0</v>
      </c>
      <c r="O931">
        <v>0</v>
      </c>
      <c r="P931">
        <v>426</v>
      </c>
      <c r="Q931">
        <v>0</v>
      </c>
      <c r="R931">
        <v>0</v>
      </c>
      <c r="S931">
        <v>0</v>
      </c>
      <c r="T931">
        <v>0</v>
      </c>
    </row>
    <row r="932" spans="1:20" x14ac:dyDescent="0.25">
      <c r="A932" t="s">
        <v>102</v>
      </c>
      <c r="B932" t="s">
        <v>133</v>
      </c>
      <c r="C932">
        <v>202506</v>
      </c>
      <c r="D932" s="47" t="str">
        <f>MID(C932,1,4)</f>
        <v>2025</v>
      </c>
      <c r="E932" t="str">
        <f>IF(Portfolio!$M$1=1,CONCATENATE(A932,C932),CONCATENATE(B932,C932))</f>
        <v>KAWAN LAMA202506</v>
      </c>
      <c r="F932">
        <v>24</v>
      </c>
      <c r="G932">
        <v>0</v>
      </c>
      <c r="H932">
        <v>0</v>
      </c>
      <c r="I932">
        <v>0</v>
      </c>
      <c r="J932">
        <v>0</v>
      </c>
      <c r="K932">
        <v>3927000</v>
      </c>
      <c r="L932">
        <v>0</v>
      </c>
      <c r="M932">
        <v>0</v>
      </c>
      <c r="N932">
        <v>0</v>
      </c>
      <c r="O932">
        <v>0</v>
      </c>
      <c r="P932">
        <v>5890</v>
      </c>
      <c r="Q932">
        <v>0</v>
      </c>
      <c r="R932">
        <v>0</v>
      </c>
      <c r="S932">
        <v>0</v>
      </c>
      <c r="T932">
        <v>0</v>
      </c>
    </row>
    <row r="933" spans="1:20" x14ac:dyDescent="0.25">
      <c r="A933" t="s">
        <v>102</v>
      </c>
      <c r="B933" t="s">
        <v>135</v>
      </c>
      <c r="C933">
        <v>202506</v>
      </c>
      <c r="D933" s="47" t="str">
        <f>MID(C933,1,4)</f>
        <v>2025</v>
      </c>
      <c r="E933" t="str">
        <f>IF(Portfolio!$M$1=1,CONCATENATE(A933,C933),CONCATENATE(B933,C933))</f>
        <v>KAWAN LAMA202506</v>
      </c>
      <c r="F933">
        <v>301</v>
      </c>
      <c r="G933">
        <v>0</v>
      </c>
      <c r="H933">
        <v>0</v>
      </c>
      <c r="I933">
        <v>0</v>
      </c>
      <c r="J933">
        <v>5</v>
      </c>
      <c r="K933">
        <v>988730421</v>
      </c>
      <c r="L933">
        <v>0</v>
      </c>
      <c r="M933">
        <v>0</v>
      </c>
      <c r="N933">
        <v>0</v>
      </c>
      <c r="O933">
        <v>155942065</v>
      </c>
      <c r="P933">
        <v>1483095</v>
      </c>
      <c r="Q933">
        <v>0</v>
      </c>
      <c r="R933">
        <v>0</v>
      </c>
      <c r="S933">
        <v>0</v>
      </c>
      <c r="T933">
        <v>1091591</v>
      </c>
    </row>
    <row r="934" spans="1:20" x14ac:dyDescent="0.25">
      <c r="A934" t="s">
        <v>102</v>
      </c>
      <c r="B934" t="s">
        <v>137</v>
      </c>
      <c r="C934">
        <v>202506</v>
      </c>
      <c r="D934" s="47" t="str">
        <f>MID(C934,1,4)</f>
        <v>2025</v>
      </c>
      <c r="E934" t="str">
        <f>IF(Portfolio!$M$1=1,CONCATENATE(A934,C934),CONCATENATE(B934,C934))</f>
        <v>KAWAN LAMA202506</v>
      </c>
      <c r="F934">
        <v>20</v>
      </c>
      <c r="G934">
        <v>0</v>
      </c>
      <c r="H934">
        <v>0</v>
      </c>
      <c r="I934">
        <v>0</v>
      </c>
      <c r="J934">
        <v>1</v>
      </c>
      <c r="K934">
        <v>56780600</v>
      </c>
      <c r="L934">
        <v>0</v>
      </c>
      <c r="M934">
        <v>0</v>
      </c>
      <c r="N934">
        <v>0</v>
      </c>
      <c r="O934">
        <v>27596728</v>
      </c>
      <c r="P934">
        <v>85171</v>
      </c>
      <c r="Q934">
        <v>0</v>
      </c>
      <c r="R934">
        <v>0</v>
      </c>
      <c r="S934">
        <v>0</v>
      </c>
      <c r="T934">
        <v>193176</v>
      </c>
    </row>
    <row r="935" spans="1:20" x14ac:dyDescent="0.25">
      <c r="A935" t="s">
        <v>102</v>
      </c>
      <c r="B935" t="s">
        <v>142</v>
      </c>
      <c r="C935">
        <v>202506</v>
      </c>
      <c r="D935" s="47" t="str">
        <f>MID(C935,1,4)</f>
        <v>2025</v>
      </c>
      <c r="E935" t="str">
        <f>IF(Portfolio!$M$1=1,CONCATENATE(A935,C935),CONCATENATE(B935,C935))</f>
        <v>KAWAN LAMA202506</v>
      </c>
      <c r="F935">
        <v>15</v>
      </c>
      <c r="G935">
        <v>0</v>
      </c>
      <c r="H935">
        <v>0</v>
      </c>
      <c r="I935">
        <v>0</v>
      </c>
      <c r="J935">
        <v>25</v>
      </c>
      <c r="K935">
        <v>33607832</v>
      </c>
      <c r="L935">
        <v>0</v>
      </c>
      <c r="M935">
        <v>0</v>
      </c>
      <c r="N935">
        <v>0</v>
      </c>
      <c r="O935">
        <v>48240818</v>
      </c>
      <c r="P935">
        <v>50412</v>
      </c>
      <c r="Q935">
        <v>0</v>
      </c>
      <c r="R935">
        <v>0</v>
      </c>
      <c r="S935">
        <v>0</v>
      </c>
      <c r="T935">
        <v>325458</v>
      </c>
    </row>
    <row r="936" spans="1:20" x14ac:dyDescent="0.25">
      <c r="A936" t="s">
        <v>102</v>
      </c>
      <c r="B936" t="s">
        <v>144</v>
      </c>
      <c r="C936">
        <v>202506</v>
      </c>
      <c r="D936" s="47" t="str">
        <f>MID(C936,1,4)</f>
        <v>2025</v>
      </c>
      <c r="E936" t="str">
        <f>IF(Portfolio!$M$1=1,CONCATENATE(A936,C936),CONCATENATE(B936,C936))</f>
        <v>KAWAN LAMA202506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23400</v>
      </c>
      <c r="M936">
        <v>0</v>
      </c>
      <c r="N936">
        <v>0</v>
      </c>
      <c r="O936">
        <v>0</v>
      </c>
      <c r="P936">
        <v>0</v>
      </c>
      <c r="Q936">
        <v>234</v>
      </c>
      <c r="R936">
        <v>0</v>
      </c>
      <c r="S936">
        <v>0</v>
      </c>
      <c r="T936">
        <v>0</v>
      </c>
    </row>
    <row r="937" spans="1:20" x14ac:dyDescent="0.25">
      <c r="A937" t="s">
        <v>103</v>
      </c>
      <c r="B937" t="s">
        <v>146</v>
      </c>
      <c r="C937">
        <v>202506</v>
      </c>
      <c r="D937" s="47" t="str">
        <f>MID(C937,1,4)</f>
        <v>2025</v>
      </c>
      <c r="E937" t="str">
        <f>IF(Portfolio!$M$1=1,CONCATENATE(A937,C937),CONCATENATE(B937,C937))</f>
        <v>KCIC202506</v>
      </c>
      <c r="F937">
        <v>64</v>
      </c>
      <c r="G937">
        <v>1809</v>
      </c>
      <c r="H937">
        <v>1234</v>
      </c>
      <c r="I937">
        <v>0</v>
      </c>
      <c r="J937">
        <v>0</v>
      </c>
      <c r="K937">
        <v>30950000</v>
      </c>
      <c r="L937">
        <v>1003125000</v>
      </c>
      <c r="M937">
        <v>875087000</v>
      </c>
      <c r="N937">
        <v>0</v>
      </c>
      <c r="O937">
        <v>0</v>
      </c>
      <c r="P937">
        <v>46425</v>
      </c>
      <c r="Q937">
        <v>10031250</v>
      </c>
      <c r="R937">
        <v>15764266</v>
      </c>
      <c r="S937">
        <v>0</v>
      </c>
      <c r="T937">
        <v>0</v>
      </c>
    </row>
    <row r="938" spans="1:20" x14ac:dyDescent="0.25">
      <c r="A938" t="s">
        <v>104</v>
      </c>
      <c r="B938" t="s">
        <v>147</v>
      </c>
      <c r="C938">
        <v>202506</v>
      </c>
      <c r="D938" s="47" t="str">
        <f>MID(C938,1,4)</f>
        <v>2025</v>
      </c>
      <c r="E938" t="str">
        <f>IF(Portfolio!$M$1=1,CONCATENATE(A938,C938),CONCATENATE(B938,C938))</f>
        <v>KIMIA FARMA202506</v>
      </c>
      <c r="F938">
        <v>0</v>
      </c>
      <c r="G938">
        <v>0</v>
      </c>
      <c r="H938">
        <v>0</v>
      </c>
      <c r="I938">
        <v>1</v>
      </c>
      <c r="J938">
        <v>5</v>
      </c>
      <c r="K938">
        <v>0</v>
      </c>
      <c r="L938">
        <v>0</v>
      </c>
      <c r="M938">
        <v>0</v>
      </c>
      <c r="N938">
        <v>1</v>
      </c>
      <c r="O938">
        <v>1187679</v>
      </c>
      <c r="P938">
        <v>0</v>
      </c>
      <c r="Q938">
        <v>0</v>
      </c>
      <c r="R938">
        <v>0</v>
      </c>
      <c r="S938">
        <v>0</v>
      </c>
      <c r="T938">
        <v>8313</v>
      </c>
    </row>
    <row r="939" spans="1:20" x14ac:dyDescent="0.25">
      <c r="A939" t="s">
        <v>107</v>
      </c>
      <c r="B939" t="s">
        <v>162</v>
      </c>
      <c r="C939">
        <v>202506</v>
      </c>
      <c r="D939" s="47" t="str">
        <f>MID(C939,1,4)</f>
        <v>2025</v>
      </c>
      <c r="E939" t="str">
        <f>IF(Portfolio!$M$1=1,CONCATENATE(A939,C939),CONCATENATE(B939,C939))</f>
        <v>MAP GROUP202506</v>
      </c>
      <c r="F939">
        <v>1</v>
      </c>
      <c r="G939">
        <v>4</v>
      </c>
      <c r="H939">
        <v>1</v>
      </c>
      <c r="I939">
        <v>0</v>
      </c>
      <c r="J939">
        <v>0</v>
      </c>
      <c r="K939">
        <v>310900</v>
      </c>
      <c r="L939">
        <v>455000</v>
      </c>
      <c r="M939">
        <v>217100</v>
      </c>
      <c r="N939">
        <v>0</v>
      </c>
      <c r="O939">
        <v>0</v>
      </c>
      <c r="P939">
        <v>466</v>
      </c>
      <c r="Q939">
        <v>4550</v>
      </c>
      <c r="R939">
        <v>3908</v>
      </c>
      <c r="S939">
        <v>0</v>
      </c>
      <c r="T939">
        <v>0</v>
      </c>
    </row>
    <row r="940" spans="1:20" x14ac:dyDescent="0.25">
      <c r="A940" t="s">
        <v>107</v>
      </c>
      <c r="B940" t="s">
        <v>178</v>
      </c>
      <c r="C940">
        <v>202506</v>
      </c>
      <c r="D940" s="47" t="str">
        <f>MID(C940,1,4)</f>
        <v>2025</v>
      </c>
      <c r="E940" t="str">
        <f>IF(Portfolio!$M$1=1,CONCATENATE(A940,C940),CONCATENATE(B940,C940))</f>
        <v>MAP GROUP202506</v>
      </c>
      <c r="F940">
        <v>0</v>
      </c>
      <c r="G940">
        <v>79</v>
      </c>
      <c r="H940">
        <v>0</v>
      </c>
      <c r="I940">
        <v>5</v>
      </c>
      <c r="J940">
        <v>798</v>
      </c>
      <c r="K940">
        <v>0</v>
      </c>
      <c r="L940">
        <v>20983600</v>
      </c>
      <c r="M940">
        <v>0</v>
      </c>
      <c r="N940">
        <v>248000</v>
      </c>
      <c r="O940">
        <v>97263300</v>
      </c>
      <c r="P940">
        <v>0</v>
      </c>
      <c r="Q940">
        <v>209836</v>
      </c>
      <c r="R940">
        <v>0</v>
      </c>
      <c r="S940">
        <v>1519</v>
      </c>
      <c r="T940">
        <v>674748</v>
      </c>
    </row>
    <row r="941" spans="1:20" x14ac:dyDescent="0.25">
      <c r="A941" t="s">
        <v>107</v>
      </c>
      <c r="B941" t="s">
        <v>190</v>
      </c>
      <c r="C941">
        <v>202506</v>
      </c>
      <c r="D941" s="47" t="str">
        <f>MID(C941,1,4)</f>
        <v>2025</v>
      </c>
      <c r="E941" t="str">
        <f>IF(Portfolio!$M$1=1,CONCATENATE(A941,C941),CONCATENATE(B941,C941))</f>
        <v>MAP GROUP202506</v>
      </c>
      <c r="F941">
        <v>0</v>
      </c>
      <c r="G941">
        <v>0</v>
      </c>
      <c r="H941">
        <v>0</v>
      </c>
      <c r="I941">
        <v>2</v>
      </c>
      <c r="J941">
        <v>107</v>
      </c>
      <c r="K941">
        <v>0</v>
      </c>
      <c r="L941">
        <v>0</v>
      </c>
      <c r="M941">
        <v>0</v>
      </c>
      <c r="N941">
        <v>70000</v>
      </c>
      <c r="O941">
        <v>8919400</v>
      </c>
      <c r="P941">
        <v>0</v>
      </c>
      <c r="Q941">
        <v>0</v>
      </c>
      <c r="R941">
        <v>0</v>
      </c>
      <c r="S941">
        <v>0</v>
      </c>
      <c r="T941">
        <v>1545</v>
      </c>
    </row>
    <row r="942" spans="1:20" x14ac:dyDescent="0.25">
      <c r="A942" t="s">
        <v>109</v>
      </c>
      <c r="B942" t="s">
        <v>109</v>
      </c>
      <c r="C942">
        <v>202506</v>
      </c>
      <c r="D942" s="47" t="str">
        <f>MID(C942,1,4)</f>
        <v>2025</v>
      </c>
      <c r="E942" t="str">
        <f>IF(Portfolio!$M$1=1,CONCATENATE(A942,C942),CONCATENATE(B942,C942))</f>
        <v>MITRA10202506</v>
      </c>
      <c r="F942">
        <v>515</v>
      </c>
      <c r="G942">
        <v>0</v>
      </c>
      <c r="H942">
        <v>1</v>
      </c>
      <c r="I942">
        <v>0</v>
      </c>
      <c r="J942">
        <v>0</v>
      </c>
      <c r="K942">
        <v>1033667872</v>
      </c>
      <c r="L942">
        <v>0</v>
      </c>
      <c r="M942">
        <v>105120</v>
      </c>
      <c r="N942">
        <v>0</v>
      </c>
      <c r="O942">
        <v>0</v>
      </c>
      <c r="P942">
        <v>1550500</v>
      </c>
      <c r="Q942">
        <v>0</v>
      </c>
      <c r="R942">
        <v>2102</v>
      </c>
      <c r="S942">
        <v>0</v>
      </c>
      <c r="T942">
        <v>0</v>
      </c>
    </row>
    <row r="943" spans="1:20" x14ac:dyDescent="0.25">
      <c r="A943" t="s">
        <v>110</v>
      </c>
      <c r="B943" t="s">
        <v>110</v>
      </c>
      <c r="C943">
        <v>202506</v>
      </c>
      <c r="D943" s="47" t="str">
        <f>MID(C943,1,4)</f>
        <v>2025</v>
      </c>
      <c r="E943" t="str">
        <f>IF(Portfolio!$M$1=1,CONCATENATE(A943,C943),CONCATENATE(B943,C943))</f>
        <v>OPTIK MELAWAI202506</v>
      </c>
      <c r="F943">
        <v>85</v>
      </c>
      <c r="G943">
        <v>0</v>
      </c>
      <c r="H943">
        <v>0</v>
      </c>
      <c r="I943">
        <v>0</v>
      </c>
      <c r="J943">
        <v>0</v>
      </c>
      <c r="K943">
        <v>135944000</v>
      </c>
      <c r="L943">
        <v>0</v>
      </c>
      <c r="M943">
        <v>0</v>
      </c>
      <c r="N943">
        <v>0</v>
      </c>
      <c r="O943">
        <v>0</v>
      </c>
      <c r="P943">
        <v>203916</v>
      </c>
      <c r="Q943">
        <v>0</v>
      </c>
      <c r="R943">
        <v>0</v>
      </c>
      <c r="S943">
        <v>0</v>
      </c>
      <c r="T943">
        <v>0</v>
      </c>
    </row>
    <row r="944" spans="1:20" x14ac:dyDescent="0.25">
      <c r="A944" t="s">
        <v>111</v>
      </c>
      <c r="B944" t="s">
        <v>212</v>
      </c>
      <c r="C944">
        <v>202506</v>
      </c>
      <c r="D944" s="47" t="str">
        <f>MID(C944,1,4)</f>
        <v>2025</v>
      </c>
      <c r="E944" t="str">
        <f>IF(Portfolio!$M$1=1,CONCATENATE(A944,C944),CONCATENATE(B944,C944))</f>
        <v>PATRA JASA202506</v>
      </c>
      <c r="F944">
        <v>0</v>
      </c>
      <c r="G944">
        <v>2</v>
      </c>
      <c r="H944">
        <v>0</v>
      </c>
      <c r="I944">
        <v>0</v>
      </c>
      <c r="J944">
        <v>0</v>
      </c>
      <c r="K944">
        <v>0</v>
      </c>
      <c r="L944">
        <v>3750000</v>
      </c>
      <c r="M944">
        <v>0</v>
      </c>
      <c r="N944">
        <v>0</v>
      </c>
      <c r="O944">
        <v>0</v>
      </c>
      <c r="P944">
        <v>0</v>
      </c>
      <c r="Q944">
        <v>37500</v>
      </c>
      <c r="R944">
        <v>0</v>
      </c>
      <c r="S944">
        <v>0</v>
      </c>
      <c r="T944">
        <v>0</v>
      </c>
    </row>
    <row r="945" spans="1:20" x14ac:dyDescent="0.25">
      <c r="A945" t="s">
        <v>112</v>
      </c>
      <c r="B945" t="s">
        <v>216</v>
      </c>
      <c r="C945">
        <v>202506</v>
      </c>
      <c r="D945" s="47" t="str">
        <f>MID(C945,1,4)</f>
        <v>2025</v>
      </c>
      <c r="E945" t="str">
        <f>IF(Portfolio!$M$1=1,CONCATENATE(A945,C945),CONCATENATE(B945,C945))</f>
        <v>PERTAMINA RETAIL202506</v>
      </c>
      <c r="F945">
        <v>76</v>
      </c>
      <c r="G945">
        <v>4640</v>
      </c>
      <c r="H945">
        <v>177</v>
      </c>
      <c r="I945">
        <v>28</v>
      </c>
      <c r="J945">
        <v>4425</v>
      </c>
      <c r="K945">
        <v>14107375</v>
      </c>
      <c r="L945">
        <v>1050167065</v>
      </c>
      <c r="M945">
        <v>66499084</v>
      </c>
      <c r="N945">
        <v>3098877</v>
      </c>
      <c r="O945">
        <v>596124912</v>
      </c>
      <c r="P945">
        <v>21161</v>
      </c>
      <c r="Q945">
        <v>7056280</v>
      </c>
      <c r="R945">
        <v>1196983</v>
      </c>
      <c r="S945">
        <v>7760</v>
      </c>
      <c r="T945">
        <v>1478955</v>
      </c>
    </row>
    <row r="946" spans="1:20" x14ac:dyDescent="0.25">
      <c r="A946" t="s">
        <v>114</v>
      </c>
      <c r="B946" t="s">
        <v>217</v>
      </c>
      <c r="C946">
        <v>202506</v>
      </c>
      <c r="D946" s="47" t="str">
        <f>MID(C946,1,4)</f>
        <v>2025</v>
      </c>
      <c r="E946" t="str">
        <f>IF(Portfolio!$M$1=1,CONCATENATE(A946,C946),CONCATENATE(B946,C946))</f>
        <v>PIZZA HUT202506</v>
      </c>
      <c r="F946">
        <v>44</v>
      </c>
      <c r="G946">
        <v>0</v>
      </c>
      <c r="H946">
        <v>0</v>
      </c>
      <c r="I946">
        <v>0</v>
      </c>
      <c r="J946">
        <v>43</v>
      </c>
      <c r="K946">
        <v>7439495</v>
      </c>
      <c r="L946">
        <v>0</v>
      </c>
      <c r="M946">
        <v>0</v>
      </c>
      <c r="N946">
        <v>0</v>
      </c>
      <c r="O946">
        <v>1826000</v>
      </c>
      <c r="P946">
        <v>11159</v>
      </c>
      <c r="Q946">
        <v>0</v>
      </c>
      <c r="R946">
        <v>0</v>
      </c>
      <c r="S946">
        <v>0</v>
      </c>
      <c r="T946">
        <v>0</v>
      </c>
    </row>
    <row r="947" spans="1:20" x14ac:dyDescent="0.25">
      <c r="A947" t="s">
        <v>114</v>
      </c>
      <c r="B947" t="s">
        <v>218</v>
      </c>
      <c r="C947">
        <v>202506</v>
      </c>
      <c r="D947" s="47" t="str">
        <f>MID(C947,1,4)</f>
        <v>2025</v>
      </c>
      <c r="E947" t="str">
        <f>IF(Portfolio!$M$1=1,CONCATENATE(A947,C947),CONCATENATE(B947,C947))</f>
        <v>PIZZA HUT202506</v>
      </c>
      <c r="F947">
        <v>307</v>
      </c>
      <c r="G947">
        <v>0</v>
      </c>
      <c r="H947">
        <v>0</v>
      </c>
      <c r="I947">
        <v>0</v>
      </c>
      <c r="J947">
        <v>0</v>
      </c>
      <c r="K947">
        <v>84808017</v>
      </c>
      <c r="L947">
        <v>0</v>
      </c>
      <c r="M947">
        <v>0</v>
      </c>
      <c r="N947">
        <v>0</v>
      </c>
      <c r="O947">
        <v>0</v>
      </c>
      <c r="P947">
        <v>127211</v>
      </c>
      <c r="Q947">
        <v>0</v>
      </c>
      <c r="R947">
        <v>0</v>
      </c>
      <c r="S947">
        <v>0</v>
      </c>
      <c r="T947">
        <v>0</v>
      </c>
    </row>
    <row r="948" spans="1:20" x14ac:dyDescent="0.25">
      <c r="A948" t="s">
        <v>115</v>
      </c>
      <c r="B948" t="s">
        <v>115</v>
      </c>
      <c r="C948">
        <v>202506</v>
      </c>
      <c r="D948" s="47" t="str">
        <f>MID(C948,1,4)</f>
        <v>2025</v>
      </c>
      <c r="E948" t="str">
        <f>IF(Portfolio!$M$1=1,CONCATENATE(A948,C948),CONCATENATE(B948,C948))</f>
        <v>PLATINUM CINEPLEX202506</v>
      </c>
      <c r="F948">
        <v>1</v>
      </c>
      <c r="G948">
        <v>349</v>
      </c>
      <c r="H948">
        <v>138</v>
      </c>
      <c r="I948">
        <v>13</v>
      </c>
      <c r="J948">
        <v>1306</v>
      </c>
      <c r="K948">
        <v>42000</v>
      </c>
      <c r="L948">
        <v>38623000</v>
      </c>
      <c r="M948">
        <v>20065000</v>
      </c>
      <c r="N948">
        <v>1396000</v>
      </c>
      <c r="O948">
        <v>136139000</v>
      </c>
      <c r="P948">
        <v>63</v>
      </c>
      <c r="Q948">
        <v>386230</v>
      </c>
      <c r="R948">
        <v>361170</v>
      </c>
      <c r="S948">
        <v>9772</v>
      </c>
      <c r="T948">
        <v>952973</v>
      </c>
    </row>
    <row r="949" spans="1:20" x14ac:dyDescent="0.25">
      <c r="A949" t="s">
        <v>116</v>
      </c>
      <c r="B949" t="s">
        <v>116</v>
      </c>
      <c r="C949">
        <v>202506</v>
      </c>
      <c r="D949" s="47" t="str">
        <f>MID(C949,1,4)</f>
        <v>2025</v>
      </c>
      <c r="E949" t="str">
        <f>IF(Portfolio!$M$1=1,CONCATENATE(A949,C949),CONCATENATE(B949,C949))</f>
        <v>POPEYES202506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 x14ac:dyDescent="0.25">
      <c r="A950" t="s">
        <v>118</v>
      </c>
      <c r="B950" t="s">
        <v>118</v>
      </c>
      <c r="C950">
        <v>202506</v>
      </c>
      <c r="D950" s="47" t="str">
        <f>MID(C950,1,4)</f>
        <v>2025</v>
      </c>
      <c r="E950" t="str">
        <f>IF(Portfolio!$M$1=1,CONCATENATE(A950,C950),CONCATENATE(B950,C950))</f>
        <v>SARINAH202506</v>
      </c>
      <c r="F950">
        <v>10</v>
      </c>
      <c r="G950">
        <v>176</v>
      </c>
      <c r="H950">
        <v>382</v>
      </c>
      <c r="I950">
        <v>1</v>
      </c>
      <c r="J950">
        <v>626</v>
      </c>
      <c r="K950">
        <v>8078174</v>
      </c>
      <c r="L950">
        <v>162891576</v>
      </c>
      <c r="M950">
        <v>408639976</v>
      </c>
      <c r="N950">
        <v>45000</v>
      </c>
      <c r="O950">
        <v>42505385</v>
      </c>
      <c r="P950">
        <v>12117</v>
      </c>
      <c r="Q950">
        <v>1628916</v>
      </c>
      <c r="R950">
        <v>7355520</v>
      </c>
      <c r="S950">
        <v>315</v>
      </c>
      <c r="T950">
        <v>296837</v>
      </c>
    </row>
    <row r="951" spans="1:20" x14ac:dyDescent="0.25">
      <c r="A951" t="s">
        <v>120</v>
      </c>
      <c r="B951" t="s">
        <v>120</v>
      </c>
      <c r="C951">
        <v>202506</v>
      </c>
      <c r="D951" s="47" t="str">
        <f>MID(C951,1,4)</f>
        <v>2025</v>
      </c>
      <c r="E951" t="str">
        <f>IF(Portfolio!$M$1=1,CONCATENATE(A951,C951),CONCATENATE(B951,C951))</f>
        <v>SHIHLIN202506</v>
      </c>
      <c r="F951">
        <v>86</v>
      </c>
      <c r="G951">
        <v>9</v>
      </c>
      <c r="H951">
        <v>2</v>
      </c>
      <c r="I951">
        <v>327</v>
      </c>
      <c r="J951">
        <v>376</v>
      </c>
      <c r="K951">
        <v>5876000</v>
      </c>
      <c r="L951">
        <v>506000</v>
      </c>
      <c r="M951">
        <v>184000</v>
      </c>
      <c r="N951">
        <v>24774001</v>
      </c>
      <c r="O951">
        <v>56273924</v>
      </c>
      <c r="P951">
        <v>8814</v>
      </c>
      <c r="Q951">
        <v>5060</v>
      </c>
      <c r="R951">
        <v>3312</v>
      </c>
      <c r="S951">
        <v>127148</v>
      </c>
      <c r="T951">
        <v>353778</v>
      </c>
    </row>
    <row r="952" spans="1:20" x14ac:dyDescent="0.25">
      <c r="A952" t="s">
        <v>122</v>
      </c>
      <c r="B952" t="s">
        <v>122</v>
      </c>
      <c r="C952">
        <v>202506</v>
      </c>
      <c r="D952" s="47" t="str">
        <f>MID(C952,1,4)</f>
        <v>2025</v>
      </c>
      <c r="E952" t="str">
        <f>IF(Portfolio!$M$1=1,CONCATENATE(A952,C952),CONCATENATE(B952,C952))</f>
        <v>SOLARIA202506</v>
      </c>
      <c r="F952">
        <v>2014</v>
      </c>
      <c r="G952">
        <v>1</v>
      </c>
      <c r="H952">
        <v>0</v>
      </c>
      <c r="I952">
        <v>0</v>
      </c>
      <c r="J952">
        <v>0</v>
      </c>
      <c r="K952">
        <v>342331300</v>
      </c>
      <c r="L952">
        <v>45000</v>
      </c>
      <c r="M952">
        <v>0</v>
      </c>
      <c r="N952">
        <v>0</v>
      </c>
      <c r="O952">
        <v>0</v>
      </c>
      <c r="P952">
        <v>513497</v>
      </c>
      <c r="Q952">
        <v>450</v>
      </c>
      <c r="R952">
        <v>0</v>
      </c>
      <c r="S952">
        <v>0</v>
      </c>
      <c r="T952">
        <v>0</v>
      </c>
    </row>
    <row r="953" spans="1:20" x14ac:dyDescent="0.25">
      <c r="A953" t="s">
        <v>124</v>
      </c>
      <c r="B953" t="s">
        <v>124</v>
      </c>
      <c r="C953">
        <v>202506</v>
      </c>
      <c r="D953" s="47" t="str">
        <f>MID(C953,1,4)</f>
        <v>2025</v>
      </c>
      <c r="E953" t="str">
        <f>IF(Portfolio!$M$1=1,CONCATENATE(A953,C953),CONCATENATE(B953,C953))</f>
        <v>SOUR SALLY202506</v>
      </c>
      <c r="F953">
        <v>9</v>
      </c>
      <c r="G953">
        <v>5</v>
      </c>
      <c r="H953">
        <v>0</v>
      </c>
      <c r="I953">
        <v>46</v>
      </c>
      <c r="J953">
        <v>700</v>
      </c>
      <c r="K953">
        <v>806000</v>
      </c>
      <c r="L953">
        <v>424000</v>
      </c>
      <c r="M953">
        <v>0</v>
      </c>
      <c r="N953">
        <v>3481000</v>
      </c>
      <c r="O953">
        <v>46950900</v>
      </c>
      <c r="P953">
        <v>1209</v>
      </c>
      <c r="Q953">
        <v>4240</v>
      </c>
      <c r="R953">
        <v>0</v>
      </c>
      <c r="S953">
        <v>24367</v>
      </c>
      <c r="T953">
        <v>328656</v>
      </c>
    </row>
    <row r="954" spans="1:20" x14ac:dyDescent="0.25">
      <c r="A954" t="s">
        <v>126</v>
      </c>
      <c r="B954" t="s">
        <v>219</v>
      </c>
      <c r="C954">
        <v>202506</v>
      </c>
      <c r="D954" s="47" t="str">
        <f>MID(C954,1,4)</f>
        <v>2025</v>
      </c>
      <c r="E954" t="str">
        <f>IF(Portfolio!$M$1=1,CONCATENATE(A954,C954),CONCATENATE(B954,C954))</f>
        <v>STEVEN GROUP202506</v>
      </c>
      <c r="F954">
        <v>3</v>
      </c>
      <c r="G954">
        <v>0</v>
      </c>
      <c r="H954">
        <v>0</v>
      </c>
      <c r="I954">
        <v>0</v>
      </c>
      <c r="J954">
        <v>0</v>
      </c>
      <c r="K954">
        <v>1125740</v>
      </c>
      <c r="L954">
        <v>0</v>
      </c>
      <c r="M954">
        <v>0</v>
      </c>
      <c r="N954">
        <v>0</v>
      </c>
      <c r="O954">
        <v>2809000</v>
      </c>
      <c r="P954">
        <v>1689</v>
      </c>
      <c r="Q954">
        <v>0</v>
      </c>
      <c r="R954">
        <v>0</v>
      </c>
      <c r="S954">
        <v>0</v>
      </c>
      <c r="T954">
        <v>6486</v>
      </c>
    </row>
    <row r="955" spans="1:20" x14ac:dyDescent="0.25">
      <c r="A955" t="s">
        <v>126</v>
      </c>
      <c r="B955" t="s">
        <v>220</v>
      </c>
      <c r="C955">
        <v>202506</v>
      </c>
      <c r="D955" s="47" t="str">
        <f>MID(C955,1,4)</f>
        <v>2025</v>
      </c>
      <c r="E955" t="str">
        <f>IF(Portfolio!$M$1=1,CONCATENATE(A955,C955),CONCATENATE(B955,C955))</f>
        <v>STEVEN GROUP202506</v>
      </c>
      <c r="F955">
        <v>67</v>
      </c>
      <c r="G955">
        <v>26</v>
      </c>
      <c r="H955">
        <v>6</v>
      </c>
      <c r="I955">
        <v>0</v>
      </c>
      <c r="J955">
        <v>78</v>
      </c>
      <c r="K955">
        <v>6787342</v>
      </c>
      <c r="L955">
        <v>2505013</v>
      </c>
      <c r="M955">
        <v>385846</v>
      </c>
      <c r="N955">
        <v>0</v>
      </c>
      <c r="O955">
        <v>23354581</v>
      </c>
      <c r="P955">
        <v>10181</v>
      </c>
      <c r="Q955">
        <v>25050</v>
      </c>
      <c r="R955">
        <v>7285</v>
      </c>
      <c r="S955">
        <v>0</v>
      </c>
      <c r="T955">
        <v>163481</v>
      </c>
    </row>
    <row r="956" spans="1:20" x14ac:dyDescent="0.25">
      <c r="A956" t="s">
        <v>126</v>
      </c>
      <c r="B956" t="s">
        <v>221</v>
      </c>
      <c r="C956">
        <v>202506</v>
      </c>
      <c r="D956" s="47" t="str">
        <f>MID(C956,1,4)</f>
        <v>2025</v>
      </c>
      <c r="E956" t="str">
        <f>IF(Portfolio!$M$1=1,CONCATENATE(A956,C956),CONCATENATE(B956,C956))</f>
        <v>STEVEN GROUP202506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 x14ac:dyDescent="0.25">
      <c r="A957" t="s">
        <v>126</v>
      </c>
      <c r="B957" t="s">
        <v>222</v>
      </c>
      <c r="C957">
        <v>202506</v>
      </c>
      <c r="D957" s="47" t="str">
        <f>MID(C957,1,4)</f>
        <v>2025</v>
      </c>
      <c r="E957" t="str">
        <f>IF(Portfolio!$M$1=1,CONCATENATE(A957,C957),CONCATENATE(B957,C957))</f>
        <v>STEVEN GROUP202506</v>
      </c>
      <c r="F957">
        <v>10</v>
      </c>
      <c r="G957">
        <v>10</v>
      </c>
      <c r="H957">
        <v>2</v>
      </c>
      <c r="I957">
        <v>0</v>
      </c>
      <c r="J957">
        <v>0</v>
      </c>
      <c r="K957">
        <v>1660726</v>
      </c>
      <c r="L957">
        <v>813000</v>
      </c>
      <c r="M957">
        <v>417000</v>
      </c>
      <c r="N957">
        <v>0</v>
      </c>
      <c r="O957">
        <v>0</v>
      </c>
      <c r="P957">
        <v>2491</v>
      </c>
      <c r="Q957">
        <v>8130</v>
      </c>
      <c r="R957">
        <v>7506</v>
      </c>
      <c r="S957">
        <v>0</v>
      </c>
      <c r="T957">
        <v>0</v>
      </c>
    </row>
    <row r="958" spans="1:20" x14ac:dyDescent="0.25">
      <c r="A958" t="s">
        <v>126</v>
      </c>
      <c r="B958" t="s">
        <v>224</v>
      </c>
      <c r="C958">
        <v>202506</v>
      </c>
      <c r="D958" s="47" t="str">
        <f>MID(C958,1,4)</f>
        <v>2025</v>
      </c>
      <c r="E958" t="str">
        <f>IF(Portfolio!$M$1=1,CONCATENATE(A958,C958),CONCATENATE(B958,C958))</f>
        <v>STEVEN GROUP202506</v>
      </c>
      <c r="F958">
        <v>3</v>
      </c>
      <c r="G958">
        <v>0</v>
      </c>
      <c r="H958">
        <v>0</v>
      </c>
      <c r="I958">
        <v>0</v>
      </c>
      <c r="J958">
        <v>4</v>
      </c>
      <c r="K958">
        <v>32225000</v>
      </c>
      <c r="L958">
        <v>0</v>
      </c>
      <c r="M958">
        <v>0</v>
      </c>
      <c r="N958">
        <v>0</v>
      </c>
      <c r="O958">
        <v>2700004</v>
      </c>
      <c r="P958">
        <v>48338</v>
      </c>
      <c r="Q958">
        <v>0</v>
      </c>
      <c r="R958">
        <v>0</v>
      </c>
      <c r="S958">
        <v>0</v>
      </c>
      <c r="T958">
        <v>18900</v>
      </c>
    </row>
    <row r="959" spans="1:20" x14ac:dyDescent="0.25">
      <c r="A959" t="s">
        <v>126</v>
      </c>
      <c r="B959" t="s">
        <v>228</v>
      </c>
      <c r="C959">
        <v>202506</v>
      </c>
      <c r="D959" s="47" t="str">
        <f>MID(C959,1,4)</f>
        <v>2025</v>
      </c>
      <c r="E959" t="str">
        <f>IF(Portfolio!$M$1=1,CONCATENATE(A959,C959),CONCATENATE(B959,C959))</f>
        <v>STEVEN GROUP202506</v>
      </c>
      <c r="F959">
        <v>0</v>
      </c>
      <c r="G959">
        <v>0</v>
      </c>
      <c r="H959">
        <v>0</v>
      </c>
      <c r="I959">
        <v>0</v>
      </c>
      <c r="J959">
        <v>7150</v>
      </c>
      <c r="K959">
        <v>0</v>
      </c>
      <c r="L959">
        <v>0</v>
      </c>
      <c r="M959">
        <v>0</v>
      </c>
      <c r="N959">
        <v>0</v>
      </c>
      <c r="O959">
        <v>503633543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 x14ac:dyDescent="0.25">
      <c r="A960" t="s">
        <v>126</v>
      </c>
      <c r="B960" t="s">
        <v>225</v>
      </c>
      <c r="C960">
        <v>202506</v>
      </c>
      <c r="D960" s="47" t="str">
        <f>MID(C960,1,4)</f>
        <v>2025</v>
      </c>
      <c r="E960" t="str">
        <f>IF(Portfolio!$M$1=1,CONCATENATE(A960,C960),CONCATENATE(B960,C960))</f>
        <v>STEVEN GROUP202506</v>
      </c>
      <c r="F960">
        <v>6</v>
      </c>
      <c r="G960">
        <v>0</v>
      </c>
      <c r="H960">
        <v>0</v>
      </c>
      <c r="I960">
        <v>0</v>
      </c>
      <c r="J960">
        <v>1</v>
      </c>
      <c r="K960">
        <v>3792883</v>
      </c>
      <c r="L960">
        <v>0</v>
      </c>
      <c r="M960">
        <v>0</v>
      </c>
      <c r="N960">
        <v>0</v>
      </c>
      <c r="O960">
        <v>1</v>
      </c>
      <c r="P960">
        <v>5689</v>
      </c>
      <c r="Q960">
        <v>0</v>
      </c>
      <c r="R960">
        <v>0</v>
      </c>
      <c r="S960">
        <v>0</v>
      </c>
      <c r="T960">
        <v>0</v>
      </c>
    </row>
    <row r="961" spans="1:20" x14ac:dyDescent="0.25">
      <c r="A961" t="s">
        <v>126</v>
      </c>
      <c r="B961" t="s">
        <v>132</v>
      </c>
      <c r="C961">
        <v>202506</v>
      </c>
      <c r="D961" s="47" t="str">
        <f>MID(C961,1,4)</f>
        <v>2025</v>
      </c>
      <c r="E961" t="str">
        <f>IF(Portfolio!$M$1=1,CONCATENATE(A961,C961),CONCATENATE(B961,C961))</f>
        <v>STEVEN GROUP202506</v>
      </c>
      <c r="F961">
        <v>7</v>
      </c>
      <c r="G961">
        <v>0</v>
      </c>
      <c r="H961">
        <v>0</v>
      </c>
      <c r="I961">
        <v>0</v>
      </c>
      <c r="J961">
        <v>1</v>
      </c>
      <c r="K961">
        <v>3598404</v>
      </c>
      <c r="L961">
        <v>0</v>
      </c>
      <c r="M961">
        <v>0</v>
      </c>
      <c r="N961">
        <v>0</v>
      </c>
      <c r="O961">
        <v>1</v>
      </c>
      <c r="P961">
        <v>5398</v>
      </c>
      <c r="Q961">
        <v>0</v>
      </c>
      <c r="R961">
        <v>0</v>
      </c>
      <c r="S961">
        <v>0</v>
      </c>
      <c r="T961">
        <v>0</v>
      </c>
    </row>
    <row r="962" spans="1:20" x14ac:dyDescent="0.25">
      <c r="A962" t="s">
        <v>126</v>
      </c>
      <c r="B962" t="s">
        <v>136</v>
      </c>
      <c r="C962">
        <v>202506</v>
      </c>
      <c r="D962" s="47" t="str">
        <f>MID(C962,1,4)</f>
        <v>2025</v>
      </c>
      <c r="E962" t="str">
        <f>IF(Portfolio!$M$1=1,CONCATENATE(A962,C962),CONCATENATE(B962,C962))</f>
        <v>STEVEN GROUP202506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112860</v>
      </c>
      <c r="L962">
        <v>0</v>
      </c>
      <c r="M962">
        <v>0</v>
      </c>
      <c r="N962">
        <v>0</v>
      </c>
      <c r="O962">
        <v>0</v>
      </c>
      <c r="P962">
        <v>169</v>
      </c>
      <c r="Q962">
        <v>0</v>
      </c>
      <c r="R962">
        <v>0</v>
      </c>
      <c r="S962">
        <v>0</v>
      </c>
      <c r="T962">
        <v>0</v>
      </c>
    </row>
    <row r="963" spans="1:20" x14ac:dyDescent="0.25">
      <c r="A963" t="s">
        <v>128</v>
      </c>
      <c r="B963" t="s">
        <v>226</v>
      </c>
      <c r="C963">
        <v>202506</v>
      </c>
      <c r="D963" s="47" t="str">
        <f>MID(C963,1,4)</f>
        <v>2025</v>
      </c>
      <c r="E963" t="str">
        <f>IF(Portfolio!$M$1=1,CONCATENATE(A963,C963),CONCATENATE(B963,C963))</f>
        <v>SUPRA BOGA LESTARI202506</v>
      </c>
      <c r="F963">
        <v>3</v>
      </c>
      <c r="G963">
        <v>0</v>
      </c>
      <c r="H963">
        <v>0</v>
      </c>
      <c r="I963">
        <v>0</v>
      </c>
      <c r="J963">
        <v>0</v>
      </c>
      <c r="K963">
        <v>4072152</v>
      </c>
      <c r="L963">
        <v>0</v>
      </c>
      <c r="M963">
        <v>0</v>
      </c>
      <c r="N963">
        <v>0</v>
      </c>
      <c r="O963">
        <v>0</v>
      </c>
      <c r="P963">
        <v>6108</v>
      </c>
      <c r="Q963">
        <v>0</v>
      </c>
      <c r="R963">
        <v>0</v>
      </c>
      <c r="S963">
        <v>0</v>
      </c>
      <c r="T963">
        <v>0</v>
      </c>
    </row>
    <row r="964" spans="1:20" x14ac:dyDescent="0.25">
      <c r="A964" t="s">
        <v>130</v>
      </c>
      <c r="B964" t="s">
        <v>227</v>
      </c>
      <c r="C964">
        <v>202506</v>
      </c>
      <c r="D964" s="47" t="str">
        <f>MID(C964,1,4)</f>
        <v>2025</v>
      </c>
      <c r="E964" t="str">
        <f>IF(Portfolio!$M$1=1,CONCATENATE(A964,C964),CONCATENATE(B964,C964))</f>
        <v>SURYA BUMI RETAILINDO202506</v>
      </c>
      <c r="F964">
        <v>0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3380000</v>
      </c>
      <c r="M964">
        <v>0</v>
      </c>
      <c r="N964">
        <v>0</v>
      </c>
      <c r="O964">
        <v>0</v>
      </c>
      <c r="P964">
        <v>0</v>
      </c>
      <c r="Q964">
        <v>33800</v>
      </c>
      <c r="R964">
        <v>0</v>
      </c>
      <c r="S964">
        <v>0</v>
      </c>
      <c r="T964">
        <v>0</v>
      </c>
    </row>
    <row r="965" spans="1:20" x14ac:dyDescent="0.25">
      <c r="A965" t="s">
        <v>134</v>
      </c>
      <c r="B965" t="s">
        <v>134</v>
      </c>
      <c r="C965">
        <v>202506</v>
      </c>
      <c r="D965" s="47" t="str">
        <f>MID(C965,1,4)</f>
        <v>2025</v>
      </c>
      <c r="E965" t="str">
        <f>IF(Portfolio!$M$1=1,CONCATENATE(A965,C965),CONCATENATE(B965,C965))</f>
        <v>TAMANI202506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31900</v>
      </c>
      <c r="M965">
        <v>0</v>
      </c>
      <c r="N965">
        <v>0</v>
      </c>
      <c r="O965">
        <v>0</v>
      </c>
      <c r="P965">
        <v>0</v>
      </c>
      <c r="Q965">
        <v>319</v>
      </c>
      <c r="R965">
        <v>0</v>
      </c>
      <c r="S965">
        <v>0</v>
      </c>
      <c r="T965">
        <v>0</v>
      </c>
    </row>
    <row r="966" spans="1:20" x14ac:dyDescent="0.25">
      <c r="A966" t="s">
        <v>138</v>
      </c>
      <c r="B966" t="s">
        <v>138</v>
      </c>
      <c r="C966">
        <v>202506</v>
      </c>
      <c r="D966" s="47" t="str">
        <f>MID(C966,1,4)</f>
        <v>2025</v>
      </c>
      <c r="E966" t="str">
        <f>IF(Portfolio!$M$1=1,CONCATENATE(A966,C966),CONCATENATE(B966,C966))</f>
        <v>YOSHINOYA202506</v>
      </c>
      <c r="F966">
        <v>347</v>
      </c>
      <c r="G966">
        <v>12122</v>
      </c>
      <c r="H966">
        <v>514</v>
      </c>
      <c r="I966">
        <v>0</v>
      </c>
      <c r="J966">
        <v>119863</v>
      </c>
      <c r="K966">
        <v>56521400</v>
      </c>
      <c r="L966">
        <v>1899019000</v>
      </c>
      <c r="M966">
        <v>72265000</v>
      </c>
      <c r="N966">
        <v>0</v>
      </c>
      <c r="O966">
        <v>15238170611</v>
      </c>
      <c r="P966">
        <v>84782</v>
      </c>
      <c r="Q966">
        <v>18990190</v>
      </c>
      <c r="R966">
        <v>794915</v>
      </c>
      <c r="S966">
        <v>0</v>
      </c>
      <c r="T966">
        <v>106666501</v>
      </c>
    </row>
    <row r="967" spans="1:20" x14ac:dyDescent="0.25">
      <c r="A967" t="s">
        <v>140</v>
      </c>
      <c r="B967" t="s">
        <v>140</v>
      </c>
      <c r="C967">
        <v>202506</v>
      </c>
      <c r="D967" s="47" t="str">
        <f>MID(C967,1,4)</f>
        <v>2025</v>
      </c>
      <c r="E967" t="str">
        <f>IF(Portfolio!$M$1=1,CONCATENATE(A967,C967),CONCATENATE(B967,C967))</f>
        <v>ZENBU202506</v>
      </c>
      <c r="F967">
        <v>0</v>
      </c>
      <c r="G967">
        <v>0</v>
      </c>
      <c r="H967">
        <v>0</v>
      </c>
      <c r="I967">
        <v>19</v>
      </c>
      <c r="J967">
        <v>6770</v>
      </c>
      <c r="K967">
        <v>0</v>
      </c>
      <c r="L967">
        <v>0</v>
      </c>
      <c r="M967">
        <v>0</v>
      </c>
      <c r="N967">
        <v>5982026</v>
      </c>
      <c r="O967">
        <v>1770361925</v>
      </c>
      <c r="P967">
        <v>0</v>
      </c>
      <c r="Q967">
        <v>0</v>
      </c>
      <c r="R967">
        <v>0</v>
      </c>
      <c r="S967">
        <v>41873</v>
      </c>
      <c r="T967">
        <v>12392517</v>
      </c>
    </row>
    <row r="968" spans="1:20" x14ac:dyDescent="0.25">
      <c r="A968" t="s">
        <v>67</v>
      </c>
      <c r="B968" t="s">
        <v>68</v>
      </c>
      <c r="C968">
        <v>202507</v>
      </c>
      <c r="D968" s="47" t="str">
        <f>MID(C968,1,4)</f>
        <v>2025</v>
      </c>
      <c r="E968" t="str">
        <f>IF(Portfolio!$M$1=1,CONCATENATE(A968,C968),CONCATENATE(B968,C968))</f>
        <v>ALFA GROUP202507</v>
      </c>
      <c r="F968">
        <v>22519</v>
      </c>
      <c r="G968">
        <v>79443</v>
      </c>
      <c r="H968">
        <v>24476</v>
      </c>
      <c r="I968">
        <v>23</v>
      </c>
      <c r="J968">
        <v>434</v>
      </c>
      <c r="K968">
        <v>2227476647</v>
      </c>
      <c r="L968">
        <v>8251414386</v>
      </c>
      <c r="M968">
        <v>3423255857</v>
      </c>
      <c r="N968">
        <v>773500</v>
      </c>
      <c r="O968">
        <v>31296500</v>
      </c>
      <c r="P968">
        <v>3341212</v>
      </c>
      <c r="Q968">
        <v>82514144</v>
      </c>
      <c r="R968">
        <v>61276673</v>
      </c>
      <c r="S968">
        <v>0</v>
      </c>
      <c r="T968">
        <v>8022</v>
      </c>
    </row>
    <row r="969" spans="1:20" x14ac:dyDescent="0.25">
      <c r="A969" t="s">
        <v>67</v>
      </c>
      <c r="B969" t="s">
        <v>69</v>
      </c>
      <c r="C969">
        <v>202507</v>
      </c>
      <c r="D969" s="47" t="str">
        <f>MID(C969,1,4)</f>
        <v>2025</v>
      </c>
      <c r="E969" t="str">
        <f>IF(Portfolio!$M$1=1,CONCATENATE(A969,C969),CONCATENATE(B969,C969))</f>
        <v>ALFA GROUP202507</v>
      </c>
      <c r="F969">
        <v>14</v>
      </c>
      <c r="G969">
        <v>84</v>
      </c>
      <c r="H969">
        <v>33</v>
      </c>
      <c r="I969">
        <v>6</v>
      </c>
      <c r="J969">
        <v>51</v>
      </c>
      <c r="K969">
        <v>1546066</v>
      </c>
      <c r="L969">
        <v>11970438</v>
      </c>
      <c r="M969">
        <v>5717997</v>
      </c>
      <c r="N969">
        <v>170900</v>
      </c>
      <c r="O969">
        <v>1930500</v>
      </c>
      <c r="P969">
        <v>2319</v>
      </c>
      <c r="Q969">
        <v>119704</v>
      </c>
      <c r="R969">
        <v>102924</v>
      </c>
      <c r="S969">
        <v>1197</v>
      </c>
      <c r="T969">
        <v>13515</v>
      </c>
    </row>
    <row r="970" spans="1:20" x14ac:dyDescent="0.25">
      <c r="A970" t="s">
        <v>67</v>
      </c>
      <c r="B970" t="s">
        <v>72</v>
      </c>
      <c r="C970">
        <v>202507</v>
      </c>
      <c r="D970" s="47" t="str">
        <f>MID(C970,1,4)</f>
        <v>2025</v>
      </c>
      <c r="E970" t="str">
        <f>IF(Portfolio!$M$1=1,CONCATENATE(A970,C970),CONCATENATE(B970,C970))</f>
        <v>ALFA GROUP202507</v>
      </c>
      <c r="F970">
        <v>403</v>
      </c>
      <c r="G970">
        <v>1898</v>
      </c>
      <c r="H970">
        <v>257</v>
      </c>
      <c r="I970">
        <v>0</v>
      </c>
      <c r="J970">
        <v>0</v>
      </c>
      <c r="K970">
        <v>70316711</v>
      </c>
      <c r="L970">
        <v>298137771</v>
      </c>
      <c r="M970">
        <v>49172901</v>
      </c>
      <c r="N970">
        <v>0</v>
      </c>
      <c r="O970">
        <v>0</v>
      </c>
      <c r="P970">
        <v>105475</v>
      </c>
      <c r="Q970">
        <v>2981378</v>
      </c>
      <c r="R970">
        <v>882615</v>
      </c>
      <c r="S970">
        <v>0</v>
      </c>
      <c r="T970">
        <v>0</v>
      </c>
    </row>
    <row r="971" spans="1:20" x14ac:dyDescent="0.25">
      <c r="A971" t="s">
        <v>70</v>
      </c>
      <c r="B971" t="s">
        <v>70</v>
      </c>
      <c r="C971">
        <v>202507</v>
      </c>
      <c r="D971" s="47" t="str">
        <f>MID(C971,1,4)</f>
        <v>2025</v>
      </c>
      <c r="E971" t="str">
        <f>IF(Portfolio!$M$1=1,CONCATENATE(A971,C971),CONCATENATE(B971,C971))</f>
        <v>ANCOL202507</v>
      </c>
      <c r="F971">
        <v>0</v>
      </c>
      <c r="G971">
        <v>3</v>
      </c>
      <c r="H971">
        <v>2</v>
      </c>
      <c r="I971">
        <v>7</v>
      </c>
      <c r="J971">
        <v>854</v>
      </c>
      <c r="K971">
        <v>0</v>
      </c>
      <c r="L971">
        <v>418700</v>
      </c>
      <c r="M971">
        <v>257100</v>
      </c>
      <c r="N971">
        <v>816501</v>
      </c>
      <c r="O971">
        <v>84615322</v>
      </c>
      <c r="P971">
        <v>0</v>
      </c>
      <c r="Q971">
        <v>4187</v>
      </c>
      <c r="R971">
        <v>4242</v>
      </c>
      <c r="S971">
        <v>0</v>
      </c>
      <c r="T971">
        <v>15912</v>
      </c>
    </row>
    <row r="972" spans="1:20" x14ac:dyDescent="0.25">
      <c r="A972" t="s">
        <v>73</v>
      </c>
      <c r="B972" t="s">
        <v>73</v>
      </c>
      <c r="C972">
        <v>202507</v>
      </c>
      <c r="D972" s="47" t="str">
        <f>MID(C972,1,4)</f>
        <v>2025</v>
      </c>
      <c r="E972" t="str">
        <f>IF(Portfolio!$M$1=1,CONCATENATE(A972,C972),CONCATENATE(B972,C972))</f>
        <v>BANBAN TEA202507</v>
      </c>
      <c r="F972">
        <v>3</v>
      </c>
      <c r="G972">
        <v>31</v>
      </c>
      <c r="H972">
        <v>2</v>
      </c>
      <c r="I972">
        <v>32</v>
      </c>
      <c r="J972">
        <v>185</v>
      </c>
      <c r="K972">
        <v>190100</v>
      </c>
      <c r="L972">
        <v>2558099</v>
      </c>
      <c r="M972">
        <v>200200</v>
      </c>
      <c r="N972">
        <v>1943798</v>
      </c>
      <c r="O972">
        <v>11451095</v>
      </c>
      <c r="P972">
        <v>285</v>
      </c>
      <c r="Q972">
        <v>25581</v>
      </c>
      <c r="R972">
        <v>3604</v>
      </c>
      <c r="S972">
        <v>13604</v>
      </c>
      <c r="T972">
        <v>80158</v>
      </c>
    </row>
    <row r="973" spans="1:20" x14ac:dyDescent="0.25">
      <c r="A973" t="s">
        <v>74</v>
      </c>
      <c r="B973" t="s">
        <v>74</v>
      </c>
      <c r="C973">
        <v>202507</v>
      </c>
      <c r="D973" s="47" t="str">
        <f>MID(C973,1,4)</f>
        <v>2025</v>
      </c>
      <c r="E973" t="str">
        <f>IF(Portfolio!$M$1=1,CONCATENATE(A973,C973),CONCATENATE(B973,C973))</f>
        <v>BEARD PAPA202507</v>
      </c>
      <c r="F973">
        <v>7</v>
      </c>
      <c r="G973">
        <v>45</v>
      </c>
      <c r="H973">
        <v>5</v>
      </c>
      <c r="I973">
        <v>0</v>
      </c>
      <c r="J973">
        <v>0</v>
      </c>
      <c r="K973">
        <v>965000</v>
      </c>
      <c r="L973">
        <v>4264000</v>
      </c>
      <c r="M973">
        <v>495000</v>
      </c>
      <c r="N973">
        <v>0</v>
      </c>
      <c r="O973">
        <v>0</v>
      </c>
      <c r="P973">
        <v>1448</v>
      </c>
      <c r="Q973">
        <v>42640</v>
      </c>
      <c r="R973">
        <v>9900</v>
      </c>
      <c r="S973">
        <v>0</v>
      </c>
      <c r="T973">
        <v>0</v>
      </c>
    </row>
    <row r="974" spans="1:20" x14ac:dyDescent="0.25">
      <c r="A974" t="s">
        <v>75</v>
      </c>
      <c r="B974" t="s">
        <v>81</v>
      </c>
      <c r="C974">
        <v>202507</v>
      </c>
      <c r="D974" s="47" t="str">
        <f>MID(C974,1,4)</f>
        <v>2025</v>
      </c>
      <c r="E974" t="str">
        <f>IF(Portfolio!$M$1=1,CONCATENATE(A974,C974),CONCATENATE(B974,C974))</f>
        <v>CHAMP RESTO202507</v>
      </c>
      <c r="F974">
        <v>7</v>
      </c>
      <c r="G974">
        <v>0</v>
      </c>
      <c r="H974">
        <v>0</v>
      </c>
      <c r="I974">
        <v>0</v>
      </c>
      <c r="J974">
        <v>9</v>
      </c>
      <c r="K974">
        <v>1545165</v>
      </c>
      <c r="L974">
        <v>0</v>
      </c>
      <c r="M974">
        <v>0</v>
      </c>
      <c r="N974">
        <v>0</v>
      </c>
      <c r="O974">
        <v>1644500</v>
      </c>
      <c r="P974">
        <v>2318</v>
      </c>
      <c r="Q974">
        <v>0</v>
      </c>
      <c r="R974">
        <v>0</v>
      </c>
      <c r="S974">
        <v>0</v>
      </c>
      <c r="T974">
        <v>11512</v>
      </c>
    </row>
    <row r="975" spans="1:20" x14ac:dyDescent="0.25">
      <c r="A975" t="s">
        <v>75</v>
      </c>
      <c r="B975" t="s">
        <v>83</v>
      </c>
      <c r="C975">
        <v>202507</v>
      </c>
      <c r="D975" s="47" t="str">
        <f>MID(C975,1,4)</f>
        <v>2025</v>
      </c>
      <c r="E975" t="str">
        <f>IF(Portfolio!$M$1=1,CONCATENATE(A975,C975),CONCATENATE(B975,C975))</f>
        <v>CHAMP RESTO202507</v>
      </c>
      <c r="F975">
        <v>1</v>
      </c>
      <c r="G975">
        <v>42</v>
      </c>
      <c r="H975">
        <v>10</v>
      </c>
      <c r="I975">
        <v>0</v>
      </c>
      <c r="J975">
        <v>42</v>
      </c>
      <c r="K975">
        <v>100000</v>
      </c>
      <c r="L975">
        <v>13074500</v>
      </c>
      <c r="M975">
        <v>2803580</v>
      </c>
      <c r="N975">
        <v>0</v>
      </c>
      <c r="O975">
        <v>2999600</v>
      </c>
      <c r="P975">
        <v>150</v>
      </c>
      <c r="Q975">
        <v>130745</v>
      </c>
      <c r="R975">
        <v>56072</v>
      </c>
      <c r="S975">
        <v>0</v>
      </c>
      <c r="T975">
        <v>2100</v>
      </c>
    </row>
    <row r="976" spans="1:20" x14ac:dyDescent="0.25">
      <c r="A976" t="s">
        <v>75</v>
      </c>
      <c r="B976" t="s">
        <v>85</v>
      </c>
      <c r="C976">
        <v>202507</v>
      </c>
      <c r="D976" s="47" t="str">
        <f>MID(C976,1,4)</f>
        <v>2025</v>
      </c>
      <c r="E976" t="str">
        <f>IF(Portfolio!$M$1=1,CONCATENATE(A976,C976),CONCATENATE(B976,C976))</f>
        <v>CHAMP RESTO202507</v>
      </c>
      <c r="F976">
        <v>4</v>
      </c>
      <c r="G976">
        <v>4</v>
      </c>
      <c r="H976">
        <v>0</v>
      </c>
      <c r="I976">
        <v>0</v>
      </c>
      <c r="J976">
        <v>0</v>
      </c>
      <c r="K976">
        <v>556500</v>
      </c>
      <c r="L976">
        <v>800489</v>
      </c>
      <c r="M976">
        <v>0</v>
      </c>
      <c r="N976">
        <v>0</v>
      </c>
      <c r="O976">
        <v>0</v>
      </c>
      <c r="P976">
        <v>835</v>
      </c>
      <c r="Q976">
        <v>8005</v>
      </c>
      <c r="R976">
        <v>0</v>
      </c>
      <c r="S976">
        <v>0</v>
      </c>
      <c r="T976">
        <v>0</v>
      </c>
    </row>
    <row r="977" spans="1:20" x14ac:dyDescent="0.25">
      <c r="A977" t="s">
        <v>75</v>
      </c>
      <c r="B977" t="s">
        <v>91</v>
      </c>
      <c r="C977">
        <v>202507</v>
      </c>
      <c r="D977" s="47" t="str">
        <f>MID(C977,1,4)</f>
        <v>2025</v>
      </c>
      <c r="E977" t="str">
        <f>IF(Portfolio!$M$1=1,CONCATENATE(A977,C977),CONCATENATE(B977,C977))</f>
        <v>CHAMP RESTO202507</v>
      </c>
      <c r="F977">
        <v>5</v>
      </c>
      <c r="G977">
        <v>6</v>
      </c>
      <c r="H977">
        <v>0</v>
      </c>
      <c r="I977">
        <v>0</v>
      </c>
      <c r="J977">
        <v>0</v>
      </c>
      <c r="K977">
        <v>2223787</v>
      </c>
      <c r="L977">
        <v>2327158</v>
      </c>
      <c r="M977">
        <v>0</v>
      </c>
      <c r="N977">
        <v>0</v>
      </c>
      <c r="O977">
        <v>0</v>
      </c>
      <c r="P977">
        <v>3336</v>
      </c>
      <c r="Q977">
        <v>23272</v>
      </c>
      <c r="R977">
        <v>0</v>
      </c>
      <c r="S977">
        <v>0</v>
      </c>
      <c r="T977">
        <v>0</v>
      </c>
    </row>
    <row r="978" spans="1:20" x14ac:dyDescent="0.25">
      <c r="A978" t="s">
        <v>75</v>
      </c>
      <c r="B978" t="s">
        <v>93</v>
      </c>
      <c r="C978">
        <v>202507</v>
      </c>
      <c r="D978" s="47" t="str">
        <f>MID(C978,1,4)</f>
        <v>2025</v>
      </c>
      <c r="E978" t="str">
        <f>IF(Portfolio!$M$1=1,CONCATENATE(A978,C978),CONCATENATE(B978,C978))</f>
        <v>CHAMP RESTO202507</v>
      </c>
      <c r="F978">
        <v>0</v>
      </c>
      <c r="G978">
        <v>0</v>
      </c>
      <c r="H978">
        <v>0</v>
      </c>
      <c r="I978">
        <v>0</v>
      </c>
      <c r="J978">
        <v>248</v>
      </c>
      <c r="K978">
        <v>0</v>
      </c>
      <c r="L978">
        <v>0</v>
      </c>
      <c r="M978">
        <v>0</v>
      </c>
      <c r="N978">
        <v>0</v>
      </c>
      <c r="O978">
        <v>20158000</v>
      </c>
      <c r="P978">
        <v>0</v>
      </c>
      <c r="Q978">
        <v>0</v>
      </c>
      <c r="R978">
        <v>0</v>
      </c>
      <c r="S978">
        <v>0</v>
      </c>
      <c r="T978">
        <v>11100</v>
      </c>
    </row>
    <row r="979" spans="1:20" x14ac:dyDescent="0.25">
      <c r="A979" t="s">
        <v>75</v>
      </c>
      <c r="B979" t="s">
        <v>95</v>
      </c>
      <c r="C979">
        <v>202507</v>
      </c>
      <c r="D979" s="47" t="str">
        <f>MID(C979,1,4)</f>
        <v>2025</v>
      </c>
      <c r="E979" t="str">
        <f>IF(Portfolio!$M$1=1,CONCATENATE(A979,C979),CONCATENATE(B979,C979))</f>
        <v>CHAMP RESTO202507</v>
      </c>
      <c r="F979">
        <v>11</v>
      </c>
      <c r="G979">
        <v>4</v>
      </c>
      <c r="H979">
        <v>0</v>
      </c>
      <c r="I979">
        <v>0</v>
      </c>
      <c r="J979">
        <v>0</v>
      </c>
      <c r="K979">
        <v>3717835</v>
      </c>
      <c r="L979">
        <v>1073402</v>
      </c>
      <c r="M979">
        <v>0</v>
      </c>
      <c r="N979">
        <v>0</v>
      </c>
      <c r="O979">
        <v>0</v>
      </c>
      <c r="P979">
        <v>5577</v>
      </c>
      <c r="Q979">
        <v>10734</v>
      </c>
      <c r="R979">
        <v>0</v>
      </c>
      <c r="S979">
        <v>0</v>
      </c>
      <c r="T979">
        <v>0</v>
      </c>
    </row>
    <row r="980" spans="1:20" x14ac:dyDescent="0.25">
      <c r="A980" t="s">
        <v>76</v>
      </c>
      <c r="B980" t="s">
        <v>76</v>
      </c>
      <c r="C980">
        <v>202507</v>
      </c>
      <c r="D980" s="47" t="str">
        <f>MID(C980,1,4)</f>
        <v>2025</v>
      </c>
      <c r="E980" t="str">
        <f>IF(Portfolio!$M$1=1,CONCATENATE(A980,C980),CONCATENATE(B980,C980))</f>
        <v>DAMRI202507</v>
      </c>
      <c r="F980">
        <v>1</v>
      </c>
      <c r="G980">
        <v>10</v>
      </c>
      <c r="H980">
        <v>0</v>
      </c>
      <c r="I980">
        <v>2</v>
      </c>
      <c r="J980">
        <v>52</v>
      </c>
      <c r="K980">
        <v>80000</v>
      </c>
      <c r="L980">
        <v>5310000</v>
      </c>
      <c r="M980">
        <v>0</v>
      </c>
      <c r="N980">
        <v>1550000</v>
      </c>
      <c r="O980">
        <v>23160000</v>
      </c>
      <c r="P980">
        <v>120</v>
      </c>
      <c r="Q980">
        <v>53100</v>
      </c>
      <c r="R980">
        <v>0</v>
      </c>
      <c r="S980">
        <v>10850</v>
      </c>
      <c r="T980">
        <v>162120</v>
      </c>
    </row>
    <row r="981" spans="1:20" x14ac:dyDescent="0.25">
      <c r="A981" t="s">
        <v>80</v>
      </c>
      <c r="B981" t="s">
        <v>80</v>
      </c>
      <c r="C981">
        <v>202507</v>
      </c>
      <c r="D981" s="47" t="str">
        <f>MID(C981,1,4)</f>
        <v>2025</v>
      </c>
      <c r="E981" t="str">
        <f>IF(Portfolio!$M$1=1,CONCATENATE(A981,C981),CONCATENATE(B981,C981))</f>
        <v>DWIDAYA202507</v>
      </c>
      <c r="F981">
        <v>15</v>
      </c>
      <c r="G981">
        <v>1</v>
      </c>
      <c r="H981">
        <v>0</v>
      </c>
      <c r="I981">
        <v>0</v>
      </c>
      <c r="J981">
        <v>55</v>
      </c>
      <c r="K981">
        <v>302555433</v>
      </c>
      <c r="L981">
        <v>7806123</v>
      </c>
      <c r="M981">
        <v>0</v>
      </c>
      <c r="N981">
        <v>0</v>
      </c>
      <c r="O981">
        <v>191617021</v>
      </c>
      <c r="P981">
        <v>453833</v>
      </c>
      <c r="Q981">
        <v>78061</v>
      </c>
      <c r="R981">
        <v>0</v>
      </c>
      <c r="S981">
        <v>0</v>
      </c>
      <c r="T981">
        <v>1341319</v>
      </c>
    </row>
    <row r="982" spans="1:20" x14ac:dyDescent="0.25">
      <c r="A982" t="s">
        <v>82</v>
      </c>
      <c r="B982" t="s">
        <v>82</v>
      </c>
      <c r="C982">
        <v>202507</v>
      </c>
      <c r="D982" s="47" t="str">
        <f>MID(C982,1,4)</f>
        <v>2025</v>
      </c>
      <c r="E982" t="str">
        <f>IF(Portfolio!$M$1=1,CONCATENATE(A982,C982),CONCATENATE(B982,C982))</f>
        <v>EKA HOSPITAL202507</v>
      </c>
      <c r="F982">
        <v>0</v>
      </c>
      <c r="G982">
        <v>2</v>
      </c>
      <c r="H982">
        <v>5</v>
      </c>
      <c r="I982">
        <v>0</v>
      </c>
      <c r="J982">
        <v>5</v>
      </c>
      <c r="K982">
        <v>0</v>
      </c>
      <c r="L982">
        <v>37745584</v>
      </c>
      <c r="M982">
        <v>50000</v>
      </c>
      <c r="N982">
        <v>0</v>
      </c>
      <c r="O982">
        <v>5</v>
      </c>
      <c r="P982">
        <v>0</v>
      </c>
      <c r="Q982">
        <v>377456</v>
      </c>
      <c r="R982">
        <v>650</v>
      </c>
      <c r="S982">
        <v>0</v>
      </c>
      <c r="T982">
        <v>0</v>
      </c>
    </row>
    <row r="983" spans="1:20" x14ac:dyDescent="0.25">
      <c r="A983" t="s">
        <v>86</v>
      </c>
      <c r="B983" t="s">
        <v>86</v>
      </c>
      <c r="C983">
        <v>202507</v>
      </c>
      <c r="D983" s="47" t="str">
        <f>MID(C983,1,4)</f>
        <v>2025</v>
      </c>
      <c r="E983" t="str">
        <f>IF(Portfolio!$M$1=1,CONCATENATE(A983,C983),CONCATENATE(B983,C983))</f>
        <v>GRAMEDIA202507</v>
      </c>
      <c r="F983">
        <v>16</v>
      </c>
      <c r="G983">
        <v>0</v>
      </c>
      <c r="H983">
        <v>0</v>
      </c>
      <c r="I983">
        <v>4</v>
      </c>
      <c r="J983">
        <v>124</v>
      </c>
      <c r="K983">
        <v>38085065</v>
      </c>
      <c r="L983">
        <v>0</v>
      </c>
      <c r="M983">
        <v>0</v>
      </c>
      <c r="N983">
        <v>234000</v>
      </c>
      <c r="O983">
        <v>3974300</v>
      </c>
      <c r="P983">
        <v>57128</v>
      </c>
      <c r="Q983">
        <v>0</v>
      </c>
      <c r="R983">
        <v>0</v>
      </c>
      <c r="S983">
        <v>0</v>
      </c>
      <c r="T983">
        <v>0</v>
      </c>
    </row>
    <row r="984" spans="1:20" x14ac:dyDescent="0.25">
      <c r="A984" t="s">
        <v>88</v>
      </c>
      <c r="B984" t="s">
        <v>88</v>
      </c>
      <c r="C984">
        <v>202507</v>
      </c>
      <c r="D984" s="47" t="str">
        <f>MID(C984,1,4)</f>
        <v>2025</v>
      </c>
      <c r="E984" t="str">
        <f>IF(Portfolio!$M$1=1,CONCATENATE(A984,C984),CONCATENATE(B984,C984))</f>
        <v>HAUS202507</v>
      </c>
      <c r="F984">
        <v>0</v>
      </c>
      <c r="G984">
        <v>2</v>
      </c>
      <c r="H984">
        <v>0</v>
      </c>
      <c r="I984">
        <v>101</v>
      </c>
      <c r="J984">
        <v>25972</v>
      </c>
      <c r="K984">
        <v>0</v>
      </c>
      <c r="L984">
        <v>96000</v>
      </c>
      <c r="M984">
        <v>0</v>
      </c>
      <c r="N984">
        <v>4978001</v>
      </c>
      <c r="O984">
        <v>1221986601</v>
      </c>
      <c r="P984">
        <v>0</v>
      </c>
      <c r="Q984">
        <v>960</v>
      </c>
      <c r="R984">
        <v>0</v>
      </c>
      <c r="S984">
        <v>31024</v>
      </c>
      <c r="T984">
        <v>8399332</v>
      </c>
    </row>
    <row r="985" spans="1:20" x14ac:dyDescent="0.25">
      <c r="A985" t="s">
        <v>92</v>
      </c>
      <c r="B985" t="s">
        <v>108</v>
      </c>
      <c r="C985">
        <v>202507</v>
      </c>
      <c r="D985" s="47" t="str">
        <f>MID(C985,1,4)</f>
        <v>2025</v>
      </c>
      <c r="E985" t="str">
        <f>IF(Portfolio!$M$1=1,CONCATENATE(A985,C985),CONCATENATE(B985,C985))</f>
        <v>HERO GROUP202507</v>
      </c>
      <c r="F985">
        <v>33</v>
      </c>
      <c r="G985">
        <v>2</v>
      </c>
      <c r="H985">
        <v>3</v>
      </c>
      <c r="I985">
        <v>17</v>
      </c>
      <c r="J985">
        <v>223</v>
      </c>
      <c r="K985">
        <v>18281268</v>
      </c>
      <c r="L985">
        <v>705536</v>
      </c>
      <c r="M985">
        <v>892602</v>
      </c>
      <c r="N985">
        <v>3836548</v>
      </c>
      <c r="O985">
        <v>16937890</v>
      </c>
      <c r="P985">
        <v>27422</v>
      </c>
      <c r="Q985">
        <v>7055</v>
      </c>
      <c r="R985">
        <v>17852</v>
      </c>
      <c r="S985">
        <v>25314</v>
      </c>
      <c r="T985">
        <v>100552</v>
      </c>
    </row>
    <row r="986" spans="1:20" x14ac:dyDescent="0.25">
      <c r="A986" t="s">
        <v>94</v>
      </c>
      <c r="B986" t="s">
        <v>94</v>
      </c>
      <c r="C986">
        <v>202507</v>
      </c>
      <c r="D986" s="47" t="str">
        <f>MID(C986,1,4)</f>
        <v>2025</v>
      </c>
      <c r="E986" t="str">
        <f>IF(Portfolio!$M$1=1,CONCATENATE(A986,C986),CONCATENATE(B986,C986))</f>
        <v>HOKBEN202507</v>
      </c>
      <c r="F986">
        <v>0</v>
      </c>
      <c r="G986">
        <v>0</v>
      </c>
      <c r="H986">
        <v>0</v>
      </c>
      <c r="I986">
        <v>7</v>
      </c>
      <c r="J986">
        <v>3357</v>
      </c>
      <c r="K986">
        <v>0</v>
      </c>
      <c r="L986">
        <v>0</v>
      </c>
      <c r="M986">
        <v>0</v>
      </c>
      <c r="N986">
        <v>570000</v>
      </c>
      <c r="O986">
        <v>351575200</v>
      </c>
      <c r="P986">
        <v>0</v>
      </c>
      <c r="Q986">
        <v>0</v>
      </c>
      <c r="R986">
        <v>0</v>
      </c>
      <c r="S986">
        <v>3990</v>
      </c>
      <c r="T986">
        <v>2461033</v>
      </c>
    </row>
    <row r="987" spans="1:20" x14ac:dyDescent="0.25">
      <c r="A987" t="s">
        <v>96</v>
      </c>
      <c r="B987" t="s">
        <v>96</v>
      </c>
      <c r="C987">
        <v>202507</v>
      </c>
      <c r="D987" s="47" t="str">
        <f>MID(C987,1,4)</f>
        <v>2025</v>
      </c>
      <c r="E987" t="str">
        <f>IF(Portfolio!$M$1=1,CONCATENATE(A987,C987),CONCATENATE(B987,C987))</f>
        <v>HOKKAIDO BAKED CHEESE202507</v>
      </c>
      <c r="F987">
        <v>8</v>
      </c>
      <c r="G987">
        <v>116</v>
      </c>
      <c r="H987">
        <v>5</v>
      </c>
      <c r="I987">
        <v>9</v>
      </c>
      <c r="J987">
        <v>2894</v>
      </c>
      <c r="K987">
        <v>979411</v>
      </c>
      <c r="L987">
        <v>12921796</v>
      </c>
      <c r="M987">
        <v>815800</v>
      </c>
      <c r="N987">
        <v>975602</v>
      </c>
      <c r="O987">
        <v>139487854</v>
      </c>
      <c r="P987">
        <v>1469</v>
      </c>
      <c r="Q987">
        <v>129218</v>
      </c>
      <c r="R987">
        <v>16316</v>
      </c>
      <c r="S987">
        <v>6828</v>
      </c>
      <c r="T987">
        <v>738593</v>
      </c>
    </row>
    <row r="988" spans="1:20" x14ac:dyDescent="0.25">
      <c r="A988" t="s">
        <v>97</v>
      </c>
      <c r="B988" t="s">
        <v>97</v>
      </c>
      <c r="C988">
        <v>202507</v>
      </c>
      <c r="D988" s="47" t="str">
        <f>MID(C988,1,4)</f>
        <v>2025</v>
      </c>
      <c r="E988" t="str">
        <f>IF(Portfolio!$M$1=1,CONCATENATE(A988,C988),CONCATENATE(B988,C988))</f>
        <v>HOP HOP202507</v>
      </c>
      <c r="F988">
        <v>0</v>
      </c>
      <c r="G988">
        <v>0</v>
      </c>
      <c r="H988">
        <v>0</v>
      </c>
      <c r="I988">
        <v>120</v>
      </c>
      <c r="J988">
        <v>9428</v>
      </c>
      <c r="K988">
        <v>0</v>
      </c>
      <c r="L988">
        <v>0</v>
      </c>
      <c r="M988">
        <v>0</v>
      </c>
      <c r="N988">
        <v>4758000</v>
      </c>
      <c r="O988">
        <v>240576421</v>
      </c>
      <c r="P988">
        <v>0</v>
      </c>
      <c r="Q988">
        <v>0</v>
      </c>
      <c r="R988">
        <v>0</v>
      </c>
      <c r="S988">
        <v>0</v>
      </c>
      <c r="T988">
        <v>3381</v>
      </c>
    </row>
    <row r="989" spans="1:20" x14ac:dyDescent="0.25">
      <c r="A989" t="s">
        <v>97</v>
      </c>
      <c r="B989" t="s">
        <v>113</v>
      </c>
      <c r="C989">
        <v>202507</v>
      </c>
      <c r="D989" s="47" t="str">
        <f>MID(C989,1,4)</f>
        <v>2025</v>
      </c>
      <c r="E989" t="str">
        <f>IF(Portfolio!$M$1=1,CONCATENATE(A989,C989),CONCATENATE(B989,C989))</f>
        <v>HOP HOP202507</v>
      </c>
      <c r="F989">
        <v>0</v>
      </c>
      <c r="G989">
        <v>0</v>
      </c>
      <c r="H989">
        <v>0</v>
      </c>
      <c r="I989">
        <v>31</v>
      </c>
      <c r="J989">
        <v>2572</v>
      </c>
      <c r="K989">
        <v>0</v>
      </c>
      <c r="L989">
        <v>0</v>
      </c>
      <c r="M989">
        <v>0</v>
      </c>
      <c r="N989">
        <v>1555000</v>
      </c>
      <c r="O989">
        <v>59584799</v>
      </c>
      <c r="P989">
        <v>0</v>
      </c>
      <c r="Q989">
        <v>0</v>
      </c>
      <c r="R989">
        <v>0</v>
      </c>
      <c r="S989">
        <v>0</v>
      </c>
      <c r="T989">
        <v>8406</v>
      </c>
    </row>
    <row r="990" spans="1:20" x14ac:dyDescent="0.25">
      <c r="A990" t="s">
        <v>99</v>
      </c>
      <c r="B990" t="s">
        <v>99</v>
      </c>
      <c r="C990">
        <v>202507</v>
      </c>
      <c r="D990" s="47" t="str">
        <f>MID(C990,1,4)</f>
        <v>2025</v>
      </c>
      <c r="E990" t="str">
        <f>IF(Portfolio!$M$1=1,CONCATENATE(A990,C990),CONCATENATE(B990,C990))</f>
        <v>IKEA202507</v>
      </c>
      <c r="F990">
        <v>13</v>
      </c>
      <c r="G990">
        <v>0</v>
      </c>
      <c r="H990">
        <v>0</v>
      </c>
      <c r="I990">
        <v>0</v>
      </c>
      <c r="J990">
        <v>0</v>
      </c>
      <c r="K990">
        <v>5428200</v>
      </c>
      <c r="L990">
        <v>0</v>
      </c>
      <c r="M990">
        <v>0</v>
      </c>
      <c r="N990">
        <v>0</v>
      </c>
      <c r="O990">
        <v>0</v>
      </c>
      <c r="P990">
        <v>8142</v>
      </c>
      <c r="Q990">
        <v>0</v>
      </c>
      <c r="R990">
        <v>0</v>
      </c>
      <c r="S990">
        <v>0</v>
      </c>
      <c r="T990">
        <v>0</v>
      </c>
    </row>
    <row r="991" spans="1:20" x14ac:dyDescent="0.25">
      <c r="A991" t="s">
        <v>101</v>
      </c>
      <c r="B991" t="s">
        <v>101</v>
      </c>
      <c r="C991">
        <v>202507</v>
      </c>
      <c r="D991" s="47" t="str">
        <f>MID(C991,1,4)</f>
        <v>2025</v>
      </c>
      <c r="E991" t="str">
        <f>IF(Portfolio!$M$1=1,CONCATENATE(A991,C991),CONCATENATE(B991,C991))</f>
        <v>INDOMARET202507</v>
      </c>
      <c r="F991">
        <v>29785</v>
      </c>
      <c r="G991">
        <v>75985</v>
      </c>
      <c r="H991">
        <v>29798</v>
      </c>
      <c r="I991">
        <v>1</v>
      </c>
      <c r="J991">
        <v>98</v>
      </c>
      <c r="K991">
        <v>3008222434</v>
      </c>
      <c r="L991">
        <v>6915802119</v>
      </c>
      <c r="M991">
        <v>4107216915</v>
      </c>
      <c r="N991">
        <v>51300</v>
      </c>
      <c r="O991">
        <v>6355360</v>
      </c>
      <c r="P991">
        <v>4512331</v>
      </c>
      <c r="Q991">
        <v>69158021</v>
      </c>
      <c r="R991">
        <v>68621991</v>
      </c>
      <c r="S991">
        <v>359</v>
      </c>
      <c r="T991">
        <v>26245</v>
      </c>
    </row>
    <row r="992" spans="1:20" x14ac:dyDescent="0.25">
      <c r="A992" t="s">
        <v>101</v>
      </c>
      <c r="B992" t="s">
        <v>117</v>
      </c>
      <c r="C992">
        <v>202507</v>
      </c>
      <c r="D992" s="47" t="str">
        <f>MID(C992,1,4)</f>
        <v>2025</v>
      </c>
      <c r="E992" t="str">
        <f>IF(Portfolio!$M$1=1,CONCATENATE(A992,C992),CONCATENATE(B992,C992))</f>
        <v>INDOMARET202507</v>
      </c>
      <c r="F992">
        <v>101</v>
      </c>
      <c r="G992">
        <v>288</v>
      </c>
      <c r="H992">
        <v>148</v>
      </c>
      <c r="I992">
        <v>0</v>
      </c>
      <c r="J992">
        <v>0</v>
      </c>
      <c r="K992">
        <v>6528580</v>
      </c>
      <c r="L992">
        <v>24112450</v>
      </c>
      <c r="M992">
        <v>20944150</v>
      </c>
      <c r="N992">
        <v>0</v>
      </c>
      <c r="O992">
        <v>0</v>
      </c>
      <c r="P992">
        <v>9793</v>
      </c>
      <c r="Q992">
        <v>241124</v>
      </c>
      <c r="R992">
        <v>346030</v>
      </c>
      <c r="S992">
        <v>0</v>
      </c>
      <c r="T992">
        <v>0</v>
      </c>
    </row>
    <row r="993" spans="1:20" x14ac:dyDescent="0.25">
      <c r="A993" t="s">
        <v>102</v>
      </c>
      <c r="B993" t="s">
        <v>123</v>
      </c>
      <c r="C993">
        <v>202507</v>
      </c>
      <c r="D993" s="47" t="str">
        <f>MID(C993,1,4)</f>
        <v>2025</v>
      </c>
      <c r="E993" t="str">
        <f>IF(Portfolio!$M$1=1,CONCATENATE(A993,C993),CONCATENATE(B993,C993))</f>
        <v>KAWAN LAMA202507</v>
      </c>
      <c r="F993">
        <v>1227</v>
      </c>
      <c r="G993">
        <v>0</v>
      </c>
      <c r="H993">
        <v>0</v>
      </c>
      <c r="I993">
        <v>0</v>
      </c>
      <c r="J993">
        <v>16</v>
      </c>
      <c r="K993">
        <v>989426645</v>
      </c>
      <c r="L993">
        <v>0</v>
      </c>
      <c r="M993">
        <v>0</v>
      </c>
      <c r="N993">
        <v>0</v>
      </c>
      <c r="O993">
        <v>407235322</v>
      </c>
      <c r="P993">
        <v>1484138</v>
      </c>
      <c r="Q993">
        <v>0</v>
      </c>
      <c r="R993">
        <v>0</v>
      </c>
      <c r="S993">
        <v>0</v>
      </c>
      <c r="T993">
        <v>2850638</v>
      </c>
    </row>
    <row r="994" spans="1:20" x14ac:dyDescent="0.25">
      <c r="A994" t="s">
        <v>102</v>
      </c>
      <c r="B994" t="s">
        <v>125</v>
      </c>
      <c r="C994">
        <v>202507</v>
      </c>
      <c r="D994" s="47" t="str">
        <f>MID(C994,1,4)</f>
        <v>2025</v>
      </c>
      <c r="E994" t="str">
        <f>IF(Portfolio!$M$1=1,CONCATENATE(A994,C994),CONCATENATE(B994,C994))</f>
        <v>KAWAN LAMA202507</v>
      </c>
      <c r="F994">
        <v>306</v>
      </c>
      <c r="G994">
        <v>0</v>
      </c>
      <c r="H994">
        <v>0</v>
      </c>
      <c r="I994">
        <v>0</v>
      </c>
      <c r="J994">
        <v>32</v>
      </c>
      <c r="K994">
        <v>23011300</v>
      </c>
      <c r="L994">
        <v>0</v>
      </c>
      <c r="M994">
        <v>0</v>
      </c>
      <c r="N994">
        <v>0</v>
      </c>
      <c r="O994">
        <v>32651012</v>
      </c>
      <c r="P994">
        <v>34517</v>
      </c>
      <c r="Q994">
        <v>0</v>
      </c>
      <c r="R994">
        <v>0</v>
      </c>
      <c r="S994">
        <v>0</v>
      </c>
      <c r="T994">
        <v>228557</v>
      </c>
    </row>
    <row r="995" spans="1:20" x14ac:dyDescent="0.25">
      <c r="A995" t="s">
        <v>102</v>
      </c>
      <c r="B995" t="s">
        <v>127</v>
      </c>
      <c r="C995">
        <v>202507</v>
      </c>
      <c r="D995" s="47" t="str">
        <f>MID(C995,1,4)</f>
        <v>2025</v>
      </c>
      <c r="E995" t="str">
        <f>IF(Portfolio!$M$1=1,CONCATENATE(A995,C995),CONCATENATE(B995,C995))</f>
        <v>KAWAN LAMA202507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49000</v>
      </c>
      <c r="L995">
        <v>0</v>
      </c>
      <c r="M995">
        <v>0</v>
      </c>
      <c r="N995">
        <v>0</v>
      </c>
      <c r="O995">
        <v>0</v>
      </c>
      <c r="P995">
        <v>74</v>
      </c>
      <c r="Q995">
        <v>0</v>
      </c>
      <c r="R995">
        <v>0</v>
      </c>
      <c r="S995">
        <v>0</v>
      </c>
      <c r="T995">
        <v>0</v>
      </c>
    </row>
    <row r="996" spans="1:20" x14ac:dyDescent="0.25">
      <c r="A996" t="s">
        <v>102</v>
      </c>
      <c r="B996" t="s">
        <v>129</v>
      </c>
      <c r="C996">
        <v>202507</v>
      </c>
      <c r="D996" s="47" t="str">
        <f>MID(C996,1,4)</f>
        <v>2025</v>
      </c>
      <c r="E996" t="str">
        <f>IF(Portfolio!$M$1=1,CONCATENATE(A996,C996),CONCATENATE(B996,C996))</f>
        <v>KAWAN LAMA202507</v>
      </c>
      <c r="F996">
        <v>3</v>
      </c>
      <c r="G996">
        <v>0</v>
      </c>
      <c r="H996">
        <v>0</v>
      </c>
      <c r="I996">
        <v>0</v>
      </c>
      <c r="J996">
        <v>1</v>
      </c>
      <c r="K996">
        <v>3036417</v>
      </c>
      <c r="L996">
        <v>0</v>
      </c>
      <c r="M996">
        <v>0</v>
      </c>
      <c r="N996">
        <v>0</v>
      </c>
      <c r="O996">
        <v>1122102</v>
      </c>
      <c r="P996">
        <v>4555</v>
      </c>
      <c r="Q996">
        <v>0</v>
      </c>
      <c r="R996">
        <v>0</v>
      </c>
      <c r="S996">
        <v>0</v>
      </c>
      <c r="T996">
        <v>7854</v>
      </c>
    </row>
    <row r="997" spans="1:20" x14ac:dyDescent="0.25">
      <c r="A997" t="s">
        <v>102</v>
      </c>
      <c r="B997" t="s">
        <v>131</v>
      </c>
      <c r="C997">
        <v>202507</v>
      </c>
      <c r="D997" s="47" t="str">
        <f>MID(C997,1,4)</f>
        <v>2025</v>
      </c>
      <c r="E997" t="str">
        <f>IF(Portfolio!$M$1=1,CONCATENATE(A997,C997),CONCATENATE(B997,C997))</f>
        <v>KAWAN LAMA202507</v>
      </c>
      <c r="F997">
        <v>5</v>
      </c>
      <c r="G997">
        <v>0</v>
      </c>
      <c r="H997">
        <v>0</v>
      </c>
      <c r="I997">
        <v>0</v>
      </c>
      <c r="J997">
        <v>0</v>
      </c>
      <c r="K997">
        <v>451000</v>
      </c>
      <c r="L997">
        <v>0</v>
      </c>
      <c r="M997">
        <v>0</v>
      </c>
      <c r="N997">
        <v>0</v>
      </c>
      <c r="O997">
        <v>0</v>
      </c>
      <c r="P997">
        <v>676</v>
      </c>
      <c r="Q997">
        <v>0</v>
      </c>
      <c r="R997">
        <v>0</v>
      </c>
      <c r="S997">
        <v>0</v>
      </c>
      <c r="T997">
        <v>0</v>
      </c>
    </row>
    <row r="998" spans="1:20" x14ac:dyDescent="0.25">
      <c r="A998" t="s">
        <v>102</v>
      </c>
      <c r="B998" t="s">
        <v>133</v>
      </c>
      <c r="C998">
        <v>202507</v>
      </c>
      <c r="D998" s="47" t="str">
        <f>MID(C998,1,4)</f>
        <v>2025</v>
      </c>
      <c r="E998" t="str">
        <f>IF(Portfolio!$M$1=1,CONCATENATE(A998,C998),CONCATENATE(B998,C998))</f>
        <v>KAWAN LAMA202507</v>
      </c>
      <c r="F998">
        <v>14</v>
      </c>
      <c r="G998">
        <v>0</v>
      </c>
      <c r="H998">
        <v>0</v>
      </c>
      <c r="I998">
        <v>0</v>
      </c>
      <c r="J998">
        <v>0</v>
      </c>
      <c r="K998">
        <v>3590000</v>
      </c>
      <c r="L998">
        <v>0</v>
      </c>
      <c r="M998">
        <v>0</v>
      </c>
      <c r="N998">
        <v>0</v>
      </c>
      <c r="O998">
        <v>0</v>
      </c>
      <c r="P998">
        <v>5385</v>
      </c>
      <c r="Q998">
        <v>0</v>
      </c>
      <c r="R998">
        <v>0</v>
      </c>
      <c r="S998">
        <v>0</v>
      </c>
      <c r="T998">
        <v>0</v>
      </c>
    </row>
    <row r="999" spans="1:20" x14ac:dyDescent="0.25">
      <c r="A999" t="s">
        <v>102</v>
      </c>
      <c r="B999" t="s">
        <v>135</v>
      </c>
      <c r="C999">
        <v>202507</v>
      </c>
      <c r="D999" s="47" t="str">
        <f>MID(C999,1,4)</f>
        <v>2025</v>
      </c>
      <c r="E999" t="str">
        <f>IF(Portfolio!$M$1=1,CONCATENATE(A999,C999),CONCATENATE(B999,C999))</f>
        <v>KAWAN LAMA202507</v>
      </c>
      <c r="F999">
        <v>337</v>
      </c>
      <c r="G999">
        <v>0</v>
      </c>
      <c r="H999">
        <v>0</v>
      </c>
      <c r="I999">
        <v>0</v>
      </c>
      <c r="J999">
        <v>6</v>
      </c>
      <c r="K999">
        <v>1167707729</v>
      </c>
      <c r="L999">
        <v>0</v>
      </c>
      <c r="M999">
        <v>0</v>
      </c>
      <c r="N999">
        <v>0</v>
      </c>
      <c r="O999">
        <v>411332539</v>
      </c>
      <c r="P999">
        <v>1751562</v>
      </c>
      <c r="Q999">
        <v>0</v>
      </c>
      <c r="R999">
        <v>0</v>
      </c>
      <c r="S999">
        <v>0</v>
      </c>
      <c r="T999">
        <v>2879326</v>
      </c>
    </row>
    <row r="1000" spans="1:20" x14ac:dyDescent="0.25">
      <c r="A1000" t="s">
        <v>102</v>
      </c>
      <c r="B1000" t="s">
        <v>137</v>
      </c>
      <c r="C1000">
        <v>202507</v>
      </c>
      <c r="D1000" s="47" t="str">
        <f>MID(C1000,1,4)</f>
        <v>2025</v>
      </c>
      <c r="E1000" t="str">
        <f>IF(Portfolio!$M$1=1,CONCATENATE(A1000,C1000),CONCATENATE(B1000,C1000))</f>
        <v>KAWAN LAMA202507</v>
      </c>
      <c r="F1000">
        <v>13</v>
      </c>
      <c r="G1000">
        <v>0</v>
      </c>
      <c r="H1000">
        <v>0</v>
      </c>
      <c r="I1000">
        <v>0</v>
      </c>
      <c r="J1000">
        <v>0</v>
      </c>
      <c r="K1000">
        <v>31900152</v>
      </c>
      <c r="L1000">
        <v>0</v>
      </c>
      <c r="M1000">
        <v>0</v>
      </c>
      <c r="N1000">
        <v>0</v>
      </c>
      <c r="O1000">
        <v>22834950</v>
      </c>
      <c r="P1000">
        <v>47850</v>
      </c>
      <c r="Q1000">
        <v>0</v>
      </c>
      <c r="R1000">
        <v>0</v>
      </c>
      <c r="S1000">
        <v>0</v>
      </c>
      <c r="T1000">
        <v>159843</v>
      </c>
    </row>
    <row r="1001" spans="1:20" x14ac:dyDescent="0.25">
      <c r="A1001" t="s">
        <v>102</v>
      </c>
      <c r="B1001" t="s">
        <v>142</v>
      </c>
      <c r="C1001">
        <v>202507</v>
      </c>
      <c r="D1001" s="47" t="str">
        <f>MID(C1001,1,4)</f>
        <v>2025</v>
      </c>
      <c r="E1001" t="str">
        <f>IF(Portfolio!$M$1=1,CONCATENATE(A1001,C1001),CONCATENATE(B1001,C1001))</f>
        <v>KAWAN LAMA202507</v>
      </c>
      <c r="F1001">
        <v>18</v>
      </c>
      <c r="G1001">
        <v>0</v>
      </c>
      <c r="H1001">
        <v>0</v>
      </c>
      <c r="I1001">
        <v>0</v>
      </c>
      <c r="J1001">
        <v>14</v>
      </c>
      <c r="K1001">
        <v>15175300</v>
      </c>
      <c r="L1001">
        <v>0</v>
      </c>
      <c r="M1001">
        <v>0</v>
      </c>
      <c r="N1001">
        <v>0</v>
      </c>
      <c r="O1001">
        <v>41580102</v>
      </c>
      <c r="P1001">
        <v>22763</v>
      </c>
      <c r="Q1001">
        <v>0</v>
      </c>
      <c r="R1001">
        <v>0</v>
      </c>
      <c r="S1001">
        <v>0</v>
      </c>
      <c r="T1001">
        <v>282437</v>
      </c>
    </row>
    <row r="1002" spans="1:20" x14ac:dyDescent="0.25">
      <c r="A1002" t="s">
        <v>103</v>
      </c>
      <c r="B1002" t="s">
        <v>146</v>
      </c>
      <c r="C1002">
        <v>202507</v>
      </c>
      <c r="D1002" s="47" t="str">
        <f>MID(C1002,1,4)</f>
        <v>2025</v>
      </c>
      <c r="E1002" t="str">
        <f>IF(Portfolio!$M$1=1,CONCATENATE(A1002,C1002),CONCATENATE(B1002,C1002))</f>
        <v>KCIC202507</v>
      </c>
      <c r="F1002">
        <v>85</v>
      </c>
      <c r="G1002">
        <v>2173</v>
      </c>
      <c r="H1002">
        <v>1466</v>
      </c>
      <c r="I1002">
        <v>0</v>
      </c>
      <c r="J1002">
        <v>0</v>
      </c>
      <c r="K1002">
        <v>50270000</v>
      </c>
      <c r="L1002">
        <v>1268475000</v>
      </c>
      <c r="M1002">
        <v>1140735000</v>
      </c>
      <c r="N1002">
        <v>0</v>
      </c>
      <c r="O1002">
        <v>0</v>
      </c>
      <c r="P1002">
        <v>75405</v>
      </c>
      <c r="Q1002">
        <v>12684750</v>
      </c>
      <c r="R1002">
        <v>20546330</v>
      </c>
      <c r="S1002">
        <v>0</v>
      </c>
      <c r="T1002">
        <v>0</v>
      </c>
    </row>
    <row r="1003" spans="1:20" x14ac:dyDescent="0.25">
      <c r="A1003" t="s">
        <v>104</v>
      </c>
      <c r="B1003" t="s">
        <v>147</v>
      </c>
      <c r="C1003">
        <v>202507</v>
      </c>
      <c r="D1003" s="47" t="str">
        <f>MID(C1003,1,4)</f>
        <v>2025</v>
      </c>
      <c r="E1003" t="str">
        <f>IF(Portfolio!$M$1=1,CONCATENATE(A1003,C1003),CONCATENATE(B1003,C1003))</f>
        <v>KIMIA FARMA202507</v>
      </c>
      <c r="F1003">
        <v>0</v>
      </c>
      <c r="G1003">
        <v>0</v>
      </c>
      <c r="H1003">
        <v>0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425963</v>
      </c>
      <c r="O1003">
        <v>53396</v>
      </c>
      <c r="P1003">
        <v>0</v>
      </c>
      <c r="Q1003">
        <v>0</v>
      </c>
      <c r="R1003">
        <v>0</v>
      </c>
      <c r="S1003">
        <v>2982</v>
      </c>
      <c r="T1003">
        <v>374</v>
      </c>
    </row>
    <row r="1004" spans="1:20" x14ac:dyDescent="0.25">
      <c r="A1004" t="s">
        <v>105</v>
      </c>
      <c r="B1004" t="s">
        <v>148</v>
      </c>
      <c r="C1004">
        <v>202507</v>
      </c>
      <c r="D1004" s="47" t="str">
        <f>MID(C1004,1,4)</f>
        <v>2025</v>
      </c>
      <c r="E1004" t="str">
        <f>IF(Portfolio!$M$1=1,CONCATENATE(A1004,C1004),CONCATENATE(B1004,C1004))</f>
        <v>LOTTE GROUP202507</v>
      </c>
      <c r="F1004">
        <v>334</v>
      </c>
      <c r="G1004">
        <v>0</v>
      </c>
      <c r="H1004">
        <v>0</v>
      </c>
      <c r="I1004">
        <v>0</v>
      </c>
      <c r="J1004">
        <v>0</v>
      </c>
      <c r="K1004">
        <v>196894418</v>
      </c>
      <c r="L1004">
        <v>0</v>
      </c>
      <c r="M1004">
        <v>0</v>
      </c>
      <c r="N1004">
        <v>0</v>
      </c>
      <c r="O1004">
        <v>0</v>
      </c>
      <c r="P1004">
        <v>295341</v>
      </c>
      <c r="Q1004">
        <v>0</v>
      </c>
      <c r="R1004">
        <v>0</v>
      </c>
      <c r="S1004">
        <v>0</v>
      </c>
      <c r="T1004">
        <v>0</v>
      </c>
    </row>
    <row r="1005" spans="1:20" x14ac:dyDescent="0.25">
      <c r="A1005" t="s">
        <v>105</v>
      </c>
      <c r="B1005" t="s">
        <v>149</v>
      </c>
      <c r="C1005">
        <v>202507</v>
      </c>
      <c r="D1005" s="47" t="str">
        <f>MID(C1005,1,4)</f>
        <v>2025</v>
      </c>
      <c r="E1005" t="str">
        <f>IF(Portfolio!$M$1=1,CONCATENATE(A1005,C1005),CONCATENATE(B1005,C1005))</f>
        <v>LOTTE GROUP202507</v>
      </c>
      <c r="F1005">
        <v>229</v>
      </c>
      <c r="G1005">
        <v>1</v>
      </c>
      <c r="H1005">
        <v>0</v>
      </c>
      <c r="I1005">
        <v>0</v>
      </c>
      <c r="J1005">
        <v>0</v>
      </c>
      <c r="K1005">
        <v>58443800</v>
      </c>
      <c r="L1005">
        <v>84800</v>
      </c>
      <c r="M1005">
        <v>0</v>
      </c>
      <c r="N1005">
        <v>0</v>
      </c>
      <c r="O1005">
        <v>0</v>
      </c>
      <c r="P1005">
        <v>87666</v>
      </c>
      <c r="Q1005">
        <v>848</v>
      </c>
      <c r="R1005">
        <v>0</v>
      </c>
      <c r="S1005">
        <v>0</v>
      </c>
      <c r="T1005">
        <v>0</v>
      </c>
    </row>
    <row r="1006" spans="1:20" x14ac:dyDescent="0.25">
      <c r="A1006" t="s">
        <v>107</v>
      </c>
      <c r="B1006" t="s">
        <v>162</v>
      </c>
      <c r="C1006">
        <v>202507</v>
      </c>
      <c r="D1006" s="47" t="str">
        <f>MID(C1006,1,4)</f>
        <v>2025</v>
      </c>
      <c r="E1006" t="str">
        <f>IF(Portfolio!$M$1=1,CONCATENATE(A1006,C1006),CONCATENATE(B1006,C1006))</f>
        <v>MAP GROUP202507</v>
      </c>
      <c r="F1006">
        <v>0</v>
      </c>
      <c r="G1006">
        <v>3</v>
      </c>
      <c r="H1006">
        <v>0</v>
      </c>
      <c r="I1006">
        <v>0</v>
      </c>
      <c r="J1006">
        <v>0</v>
      </c>
      <c r="K1006">
        <v>0</v>
      </c>
      <c r="L1006">
        <v>334400</v>
      </c>
      <c r="M1006">
        <v>0</v>
      </c>
      <c r="N1006">
        <v>0</v>
      </c>
      <c r="O1006">
        <v>0</v>
      </c>
      <c r="P1006">
        <v>0</v>
      </c>
      <c r="Q1006">
        <v>3344</v>
      </c>
      <c r="R1006">
        <v>0</v>
      </c>
      <c r="S1006">
        <v>0</v>
      </c>
      <c r="T1006">
        <v>0</v>
      </c>
    </row>
    <row r="1007" spans="1:20" x14ac:dyDescent="0.25">
      <c r="A1007" t="s">
        <v>107</v>
      </c>
      <c r="B1007" t="s">
        <v>178</v>
      </c>
      <c r="C1007">
        <v>202507</v>
      </c>
      <c r="D1007" s="47" t="str">
        <f>MID(C1007,1,4)</f>
        <v>2025</v>
      </c>
      <c r="E1007" t="str">
        <f>IF(Portfolio!$M$1=1,CONCATENATE(A1007,C1007),CONCATENATE(B1007,C1007))</f>
        <v>MAP GROUP202507</v>
      </c>
      <c r="F1007">
        <v>0</v>
      </c>
      <c r="G1007">
        <v>89</v>
      </c>
      <c r="H1007">
        <v>0</v>
      </c>
      <c r="I1007">
        <v>5</v>
      </c>
      <c r="J1007">
        <v>866</v>
      </c>
      <c r="K1007">
        <v>0</v>
      </c>
      <c r="L1007">
        <v>24316100</v>
      </c>
      <c r="M1007">
        <v>0</v>
      </c>
      <c r="N1007">
        <v>588800</v>
      </c>
      <c r="O1007">
        <v>117699100</v>
      </c>
      <c r="P1007">
        <v>0</v>
      </c>
      <c r="Q1007">
        <v>243161</v>
      </c>
      <c r="R1007">
        <v>0</v>
      </c>
      <c r="S1007">
        <v>4073</v>
      </c>
      <c r="T1007">
        <v>818342</v>
      </c>
    </row>
    <row r="1008" spans="1:20" x14ac:dyDescent="0.25">
      <c r="A1008" t="s">
        <v>107</v>
      </c>
      <c r="B1008" t="s">
        <v>190</v>
      </c>
      <c r="C1008">
        <v>202507</v>
      </c>
      <c r="D1008" s="47" t="str">
        <f>MID(C1008,1,4)</f>
        <v>2025</v>
      </c>
      <c r="E1008" t="str">
        <f>IF(Portfolio!$M$1=1,CONCATENATE(A1008,C1008),CONCATENATE(B1008,C1008))</f>
        <v>MAP GROUP202507</v>
      </c>
      <c r="F1008">
        <v>0</v>
      </c>
      <c r="G1008">
        <v>0</v>
      </c>
      <c r="H1008">
        <v>0</v>
      </c>
      <c r="I1008">
        <v>1</v>
      </c>
      <c r="J1008">
        <v>183</v>
      </c>
      <c r="K1008">
        <v>0</v>
      </c>
      <c r="L1008">
        <v>0</v>
      </c>
      <c r="M1008">
        <v>0</v>
      </c>
      <c r="N1008">
        <v>323800</v>
      </c>
      <c r="O1008">
        <v>16009150</v>
      </c>
      <c r="P1008">
        <v>0</v>
      </c>
      <c r="Q1008">
        <v>0</v>
      </c>
      <c r="R1008">
        <v>0</v>
      </c>
      <c r="S1008">
        <v>0</v>
      </c>
      <c r="T1008">
        <v>3184</v>
      </c>
    </row>
    <row r="1009" spans="1:20" x14ac:dyDescent="0.25">
      <c r="A1009" t="s">
        <v>109</v>
      </c>
      <c r="B1009" t="s">
        <v>109</v>
      </c>
      <c r="C1009">
        <v>202507</v>
      </c>
      <c r="D1009" s="47" t="str">
        <f>MID(C1009,1,4)</f>
        <v>2025</v>
      </c>
      <c r="E1009" t="str">
        <f>IF(Portfolio!$M$1=1,CONCATENATE(A1009,C1009),CONCATENATE(B1009,C1009))</f>
        <v>MITRA10202507</v>
      </c>
      <c r="F1009">
        <v>468</v>
      </c>
      <c r="G1009">
        <v>0</v>
      </c>
      <c r="H1009">
        <v>1</v>
      </c>
      <c r="I1009">
        <v>0</v>
      </c>
      <c r="J1009">
        <v>0</v>
      </c>
      <c r="K1009">
        <v>1104052183</v>
      </c>
      <c r="L1009">
        <v>0</v>
      </c>
      <c r="M1009">
        <v>502012</v>
      </c>
      <c r="N1009">
        <v>0</v>
      </c>
      <c r="O1009">
        <v>0</v>
      </c>
      <c r="P1009">
        <v>1656077</v>
      </c>
      <c r="Q1009">
        <v>0</v>
      </c>
      <c r="R1009">
        <v>10040</v>
      </c>
      <c r="S1009">
        <v>0</v>
      </c>
      <c r="T1009">
        <v>0</v>
      </c>
    </row>
    <row r="1010" spans="1:20" x14ac:dyDescent="0.25">
      <c r="A1010" t="s">
        <v>110</v>
      </c>
      <c r="B1010" t="s">
        <v>110</v>
      </c>
      <c r="C1010">
        <v>202507</v>
      </c>
      <c r="D1010" s="47" t="str">
        <f>MID(C1010,1,4)</f>
        <v>2025</v>
      </c>
      <c r="E1010" t="str">
        <f>IF(Portfolio!$M$1=1,CONCATENATE(A1010,C1010),CONCATENATE(B1010,C1010))</f>
        <v>OPTIK MELAWAI202507</v>
      </c>
      <c r="F1010">
        <v>71</v>
      </c>
      <c r="G1010">
        <v>0</v>
      </c>
      <c r="H1010">
        <v>0</v>
      </c>
      <c r="I1010">
        <v>0</v>
      </c>
      <c r="J1010">
        <v>0</v>
      </c>
      <c r="K1010">
        <v>93244500</v>
      </c>
      <c r="L1010">
        <v>0</v>
      </c>
      <c r="M1010">
        <v>0</v>
      </c>
      <c r="N1010">
        <v>0</v>
      </c>
      <c r="O1010">
        <v>0</v>
      </c>
      <c r="P1010">
        <v>139867</v>
      </c>
      <c r="Q1010">
        <v>0</v>
      </c>
      <c r="R1010">
        <v>0</v>
      </c>
      <c r="S1010">
        <v>0</v>
      </c>
      <c r="T1010">
        <v>0</v>
      </c>
    </row>
    <row r="1011" spans="1:20" x14ac:dyDescent="0.25">
      <c r="A1011" t="s">
        <v>112</v>
      </c>
      <c r="B1011" t="s">
        <v>216</v>
      </c>
      <c r="C1011">
        <v>202507</v>
      </c>
      <c r="D1011" s="47" t="str">
        <f>MID(C1011,1,4)</f>
        <v>2025</v>
      </c>
      <c r="E1011" t="str">
        <f>IF(Portfolio!$M$1=1,CONCATENATE(A1011,C1011),CONCATENATE(B1011,C1011))</f>
        <v>PERTAMINA RETAIL202507</v>
      </c>
      <c r="F1011">
        <v>74</v>
      </c>
      <c r="G1011">
        <v>4715</v>
      </c>
      <c r="H1011">
        <v>299</v>
      </c>
      <c r="I1011">
        <v>33</v>
      </c>
      <c r="J1011">
        <v>4808</v>
      </c>
      <c r="K1011">
        <v>16461250</v>
      </c>
      <c r="L1011">
        <v>1045765211</v>
      </c>
      <c r="M1011">
        <v>116811737</v>
      </c>
      <c r="N1011">
        <v>3813938</v>
      </c>
      <c r="O1011">
        <v>701024615</v>
      </c>
      <c r="P1011">
        <v>24692</v>
      </c>
      <c r="Q1011">
        <v>7487804</v>
      </c>
      <c r="R1011">
        <v>2102611</v>
      </c>
      <c r="S1011">
        <v>9756</v>
      </c>
      <c r="T1011">
        <v>1774254</v>
      </c>
    </row>
    <row r="1012" spans="1:20" x14ac:dyDescent="0.25">
      <c r="A1012" t="s">
        <v>114</v>
      </c>
      <c r="B1012" t="s">
        <v>217</v>
      </c>
      <c r="C1012">
        <v>202507</v>
      </c>
      <c r="D1012" s="47" t="str">
        <f>MID(C1012,1,4)</f>
        <v>2025</v>
      </c>
      <c r="E1012" t="str">
        <f>IF(Portfolio!$M$1=1,CONCATENATE(A1012,C1012),CONCATENATE(B1012,C1012))</f>
        <v>PIZZA HUT202507</v>
      </c>
      <c r="F1012">
        <v>28</v>
      </c>
      <c r="G1012">
        <v>0</v>
      </c>
      <c r="H1012">
        <v>0</v>
      </c>
      <c r="I1012">
        <v>0</v>
      </c>
      <c r="J1012">
        <v>0</v>
      </c>
      <c r="K1012">
        <v>6286500</v>
      </c>
      <c r="L1012">
        <v>0</v>
      </c>
      <c r="M1012">
        <v>0</v>
      </c>
      <c r="N1012">
        <v>0</v>
      </c>
      <c r="O1012">
        <v>0</v>
      </c>
      <c r="P1012">
        <v>9430</v>
      </c>
      <c r="Q1012">
        <v>0</v>
      </c>
      <c r="R1012">
        <v>0</v>
      </c>
      <c r="S1012">
        <v>0</v>
      </c>
      <c r="T1012">
        <v>0</v>
      </c>
    </row>
    <row r="1013" spans="1:20" x14ac:dyDescent="0.25">
      <c r="A1013" t="s">
        <v>114</v>
      </c>
      <c r="B1013" t="s">
        <v>218</v>
      </c>
      <c r="C1013">
        <v>202507</v>
      </c>
      <c r="D1013" s="47" t="str">
        <f>MID(C1013,1,4)</f>
        <v>2025</v>
      </c>
      <c r="E1013" t="str">
        <f>IF(Portfolio!$M$1=1,CONCATENATE(A1013,C1013),CONCATENATE(B1013,C1013))</f>
        <v>PIZZA HUT202507</v>
      </c>
      <c r="F1013">
        <v>240</v>
      </c>
      <c r="G1013">
        <v>0</v>
      </c>
      <c r="H1013">
        <v>0</v>
      </c>
      <c r="I1013">
        <v>0</v>
      </c>
      <c r="J1013">
        <v>0</v>
      </c>
      <c r="K1013">
        <v>70616040</v>
      </c>
      <c r="L1013">
        <v>0</v>
      </c>
      <c r="M1013">
        <v>0</v>
      </c>
      <c r="N1013">
        <v>0</v>
      </c>
      <c r="O1013">
        <v>0</v>
      </c>
      <c r="P1013">
        <v>105924</v>
      </c>
      <c r="Q1013">
        <v>0</v>
      </c>
      <c r="R1013">
        <v>0</v>
      </c>
      <c r="S1013">
        <v>0</v>
      </c>
      <c r="T1013">
        <v>0</v>
      </c>
    </row>
    <row r="1014" spans="1:20" x14ac:dyDescent="0.25">
      <c r="A1014" t="s">
        <v>115</v>
      </c>
      <c r="B1014" t="s">
        <v>115</v>
      </c>
      <c r="C1014">
        <v>202507</v>
      </c>
      <c r="D1014" s="47" t="str">
        <f>MID(C1014,1,4)</f>
        <v>2025</v>
      </c>
      <c r="E1014" t="str">
        <f>IF(Portfolio!$M$1=1,CONCATENATE(A1014,C1014),CONCATENATE(B1014,C1014))</f>
        <v>PLATINUM CINEPLEX202507</v>
      </c>
      <c r="F1014">
        <v>0</v>
      </c>
      <c r="G1014">
        <v>152</v>
      </c>
      <c r="H1014">
        <v>79</v>
      </c>
      <c r="I1014">
        <v>4</v>
      </c>
      <c r="J1014">
        <v>527</v>
      </c>
      <c r="K1014">
        <v>0</v>
      </c>
      <c r="L1014">
        <v>19758000</v>
      </c>
      <c r="M1014">
        <v>11917000</v>
      </c>
      <c r="N1014">
        <v>301000</v>
      </c>
      <c r="O1014">
        <v>77265000</v>
      </c>
      <c r="P1014">
        <v>0</v>
      </c>
      <c r="Q1014">
        <v>197580</v>
      </c>
      <c r="R1014">
        <v>215426</v>
      </c>
      <c r="S1014">
        <v>2107</v>
      </c>
      <c r="T1014">
        <v>540855</v>
      </c>
    </row>
    <row r="1015" spans="1:20" x14ac:dyDescent="0.25">
      <c r="A1015" t="s">
        <v>118</v>
      </c>
      <c r="B1015" t="s">
        <v>118</v>
      </c>
      <c r="C1015">
        <v>202507</v>
      </c>
      <c r="D1015" s="47" t="str">
        <f>MID(C1015,1,4)</f>
        <v>2025</v>
      </c>
      <c r="E1015" t="str">
        <f>IF(Portfolio!$M$1=1,CONCATENATE(A1015,C1015),CONCATENATE(B1015,C1015))</f>
        <v>SARINAH202507</v>
      </c>
      <c r="F1015">
        <v>10</v>
      </c>
      <c r="G1015">
        <v>143</v>
      </c>
      <c r="H1015">
        <v>314</v>
      </c>
      <c r="I1015">
        <v>3</v>
      </c>
      <c r="J1015">
        <v>698</v>
      </c>
      <c r="K1015">
        <v>13197630</v>
      </c>
      <c r="L1015">
        <v>252298303</v>
      </c>
      <c r="M1015">
        <v>364734914</v>
      </c>
      <c r="N1015">
        <v>90300</v>
      </c>
      <c r="O1015">
        <v>41009827</v>
      </c>
      <c r="P1015">
        <v>19796</v>
      </c>
      <c r="Q1015">
        <v>2522983</v>
      </c>
      <c r="R1015">
        <v>6565228</v>
      </c>
      <c r="S1015">
        <v>630</v>
      </c>
      <c r="T1015">
        <v>282925</v>
      </c>
    </row>
    <row r="1016" spans="1:20" x14ac:dyDescent="0.25">
      <c r="A1016" t="s">
        <v>120</v>
      </c>
      <c r="B1016" t="s">
        <v>120</v>
      </c>
      <c r="C1016">
        <v>202507</v>
      </c>
      <c r="D1016" s="47" t="str">
        <f>MID(C1016,1,4)</f>
        <v>2025</v>
      </c>
      <c r="E1016" t="str">
        <f>IF(Portfolio!$M$1=1,CONCATENATE(A1016,C1016),CONCATENATE(B1016,C1016))</f>
        <v>SHIHLIN202507</v>
      </c>
      <c r="F1016">
        <v>110</v>
      </c>
      <c r="G1016">
        <v>3</v>
      </c>
      <c r="H1016">
        <v>0</v>
      </c>
      <c r="I1016">
        <v>504</v>
      </c>
      <c r="J1016">
        <v>560</v>
      </c>
      <c r="K1016">
        <v>8399000</v>
      </c>
      <c r="L1016">
        <v>184000</v>
      </c>
      <c r="M1016">
        <v>0</v>
      </c>
      <c r="N1016">
        <v>30724000</v>
      </c>
      <c r="O1016">
        <v>74425903</v>
      </c>
      <c r="P1016">
        <v>12598</v>
      </c>
      <c r="Q1016">
        <v>1840</v>
      </c>
      <c r="R1016">
        <v>0</v>
      </c>
      <c r="S1016">
        <v>22603</v>
      </c>
      <c r="T1016">
        <v>382228</v>
      </c>
    </row>
    <row r="1017" spans="1:20" x14ac:dyDescent="0.25">
      <c r="A1017" t="s">
        <v>122</v>
      </c>
      <c r="B1017" t="s">
        <v>122</v>
      </c>
      <c r="C1017">
        <v>202507</v>
      </c>
      <c r="D1017" s="47" t="str">
        <f>MID(C1017,1,4)</f>
        <v>2025</v>
      </c>
      <c r="E1017" t="str">
        <f>IF(Portfolio!$M$1=1,CONCATENATE(A1017,C1017),CONCATENATE(B1017,C1017))</f>
        <v>SOLARIA202507</v>
      </c>
      <c r="F1017">
        <v>1803</v>
      </c>
      <c r="G1017">
        <v>3</v>
      </c>
      <c r="H1017">
        <v>0</v>
      </c>
      <c r="I1017">
        <v>34</v>
      </c>
      <c r="J1017">
        <v>1052</v>
      </c>
      <c r="K1017">
        <v>311694500</v>
      </c>
      <c r="L1017">
        <v>525000</v>
      </c>
      <c r="M1017">
        <v>0</v>
      </c>
      <c r="N1017">
        <v>5609000</v>
      </c>
      <c r="O1017">
        <v>152102500</v>
      </c>
      <c r="P1017">
        <v>467542</v>
      </c>
      <c r="Q1017">
        <v>5250</v>
      </c>
      <c r="R1017">
        <v>0</v>
      </c>
      <c r="S1017">
        <v>39263</v>
      </c>
      <c r="T1017">
        <v>1064718</v>
      </c>
    </row>
    <row r="1018" spans="1:20" x14ac:dyDescent="0.25">
      <c r="A1018" t="s">
        <v>124</v>
      </c>
      <c r="B1018" t="s">
        <v>124</v>
      </c>
      <c r="C1018">
        <v>202507</v>
      </c>
      <c r="D1018" s="47" t="str">
        <f>MID(C1018,1,4)</f>
        <v>2025</v>
      </c>
      <c r="E1018" t="str">
        <f>IF(Portfolio!$M$1=1,CONCATENATE(A1018,C1018),CONCATENATE(B1018,C1018))</f>
        <v>SOUR SALLY202507</v>
      </c>
      <c r="F1018">
        <v>5</v>
      </c>
      <c r="G1018">
        <v>1</v>
      </c>
      <c r="H1018">
        <v>0</v>
      </c>
      <c r="I1018">
        <v>33</v>
      </c>
      <c r="J1018">
        <v>495</v>
      </c>
      <c r="K1018">
        <v>380000</v>
      </c>
      <c r="L1018">
        <v>74000</v>
      </c>
      <c r="M1018">
        <v>0</v>
      </c>
      <c r="N1018">
        <v>2288000</v>
      </c>
      <c r="O1018">
        <v>36658000</v>
      </c>
      <c r="P1018">
        <v>570</v>
      </c>
      <c r="Q1018">
        <v>740</v>
      </c>
      <c r="R1018">
        <v>0</v>
      </c>
      <c r="S1018">
        <v>16016</v>
      </c>
      <c r="T1018">
        <v>256606</v>
      </c>
    </row>
    <row r="1019" spans="1:20" x14ac:dyDescent="0.25">
      <c r="A1019" t="s">
        <v>126</v>
      </c>
      <c r="B1019" t="s">
        <v>219</v>
      </c>
      <c r="C1019">
        <v>202507</v>
      </c>
      <c r="D1019" s="47" t="str">
        <f>MID(C1019,1,4)</f>
        <v>2025</v>
      </c>
      <c r="E1019" t="str">
        <f>IF(Portfolio!$M$1=1,CONCATENATE(A1019,C1019),CONCATENATE(B1019,C1019))</f>
        <v>STEVEN GROUP202507</v>
      </c>
      <c r="F1019">
        <v>2</v>
      </c>
      <c r="G1019">
        <v>0</v>
      </c>
      <c r="H1019">
        <v>0</v>
      </c>
      <c r="I1019">
        <v>0</v>
      </c>
      <c r="J1019">
        <v>0</v>
      </c>
      <c r="K1019">
        <v>726381</v>
      </c>
      <c r="L1019">
        <v>0</v>
      </c>
      <c r="M1019">
        <v>0</v>
      </c>
      <c r="N1019">
        <v>0</v>
      </c>
      <c r="O1019">
        <v>600947</v>
      </c>
      <c r="P1019">
        <v>1090</v>
      </c>
      <c r="Q1019">
        <v>0</v>
      </c>
      <c r="R1019">
        <v>0</v>
      </c>
      <c r="S1019">
        <v>0</v>
      </c>
      <c r="T1019">
        <v>0</v>
      </c>
    </row>
    <row r="1020" spans="1:20" x14ac:dyDescent="0.25">
      <c r="A1020" t="s">
        <v>126</v>
      </c>
      <c r="B1020" t="s">
        <v>220</v>
      </c>
      <c r="C1020">
        <v>202507</v>
      </c>
      <c r="D1020" s="47" t="str">
        <f>MID(C1020,1,4)</f>
        <v>2025</v>
      </c>
      <c r="E1020" t="str">
        <f>IF(Portfolio!$M$1=1,CONCATENATE(A1020,C1020),CONCATENATE(B1020,C1020))</f>
        <v>STEVEN GROUP202507</v>
      </c>
      <c r="F1020">
        <v>37</v>
      </c>
      <c r="G1020">
        <v>10</v>
      </c>
      <c r="H1020">
        <v>8</v>
      </c>
      <c r="I1020">
        <v>0</v>
      </c>
      <c r="J1020">
        <v>195</v>
      </c>
      <c r="K1020">
        <v>3554783</v>
      </c>
      <c r="L1020">
        <v>1198307</v>
      </c>
      <c r="M1020">
        <v>1053234</v>
      </c>
      <c r="N1020">
        <v>0</v>
      </c>
      <c r="O1020">
        <v>27948293</v>
      </c>
      <c r="P1020">
        <v>5332</v>
      </c>
      <c r="Q1020">
        <v>11983</v>
      </c>
      <c r="R1020">
        <v>21065</v>
      </c>
      <c r="S1020">
        <v>0</v>
      </c>
      <c r="T1020">
        <v>195635</v>
      </c>
    </row>
    <row r="1021" spans="1:20" x14ac:dyDescent="0.25">
      <c r="A1021" t="s">
        <v>126</v>
      </c>
      <c r="B1021" t="s">
        <v>221</v>
      </c>
      <c r="C1021">
        <v>202507</v>
      </c>
      <c r="D1021" s="47" t="str">
        <f>MID(C1021,1,4)</f>
        <v>2025</v>
      </c>
      <c r="E1021" t="str">
        <f>IF(Portfolio!$M$1=1,CONCATENATE(A1021,C1021),CONCATENATE(B1021,C1021))</f>
        <v>STEVEN GROUP202507</v>
      </c>
      <c r="F1021">
        <v>0</v>
      </c>
      <c r="G1021">
        <v>0</v>
      </c>
      <c r="H1021">
        <v>0</v>
      </c>
      <c r="I1021">
        <v>3</v>
      </c>
      <c r="J1021">
        <v>147</v>
      </c>
      <c r="K1021">
        <v>0</v>
      </c>
      <c r="L1021">
        <v>0</v>
      </c>
      <c r="M1021">
        <v>0</v>
      </c>
      <c r="N1021">
        <v>600</v>
      </c>
      <c r="O1021">
        <v>5339000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 x14ac:dyDescent="0.25">
      <c r="A1022" t="s">
        <v>126</v>
      </c>
      <c r="B1022" t="s">
        <v>222</v>
      </c>
      <c r="C1022">
        <v>202507</v>
      </c>
      <c r="D1022" s="47" t="str">
        <f>MID(C1022,1,4)</f>
        <v>2025</v>
      </c>
      <c r="E1022" t="str">
        <f>IF(Portfolio!$M$1=1,CONCATENATE(A1022,C1022),CONCATENATE(B1022,C1022))</f>
        <v>STEVEN GROUP202507</v>
      </c>
      <c r="F1022">
        <v>2</v>
      </c>
      <c r="G1022">
        <v>0</v>
      </c>
      <c r="H1022">
        <v>0</v>
      </c>
      <c r="I1022">
        <v>0</v>
      </c>
      <c r="J1022">
        <v>2</v>
      </c>
      <c r="K1022">
        <v>494167</v>
      </c>
      <c r="L1022">
        <v>0</v>
      </c>
      <c r="M1022">
        <v>0</v>
      </c>
      <c r="N1022">
        <v>0</v>
      </c>
      <c r="O1022">
        <v>2</v>
      </c>
      <c r="P1022">
        <v>741</v>
      </c>
      <c r="Q1022">
        <v>0</v>
      </c>
      <c r="R1022">
        <v>0</v>
      </c>
      <c r="S1022">
        <v>0</v>
      </c>
      <c r="T1022">
        <v>0</v>
      </c>
    </row>
    <row r="1023" spans="1:20" x14ac:dyDescent="0.25">
      <c r="A1023" t="s">
        <v>126</v>
      </c>
      <c r="B1023" t="s">
        <v>224</v>
      </c>
      <c r="C1023">
        <v>202507</v>
      </c>
      <c r="D1023" s="47" t="str">
        <f>MID(C1023,1,4)</f>
        <v>2025</v>
      </c>
      <c r="E1023" t="str">
        <f>IF(Portfolio!$M$1=1,CONCATENATE(A1023,C1023),CONCATENATE(B1023,C1023))</f>
        <v>STEVEN GROUP202507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 x14ac:dyDescent="0.25">
      <c r="A1024" t="s">
        <v>126</v>
      </c>
      <c r="B1024" t="s">
        <v>228</v>
      </c>
      <c r="C1024">
        <v>202507</v>
      </c>
      <c r="D1024" s="47" t="str">
        <f>MID(C1024,1,4)</f>
        <v>2025</v>
      </c>
      <c r="E1024" t="str">
        <f>IF(Portfolio!$M$1=1,CONCATENATE(A1024,C1024),CONCATENATE(B1024,C1024))</f>
        <v>STEVEN GROUP202507</v>
      </c>
      <c r="F1024">
        <v>0</v>
      </c>
      <c r="G1024">
        <v>0</v>
      </c>
      <c r="H1024">
        <v>0</v>
      </c>
      <c r="I1024">
        <v>7</v>
      </c>
      <c r="J1024">
        <v>7602</v>
      </c>
      <c r="K1024">
        <v>0</v>
      </c>
      <c r="L1024">
        <v>0</v>
      </c>
      <c r="M1024">
        <v>0</v>
      </c>
      <c r="N1024">
        <v>384200</v>
      </c>
      <c r="O1024">
        <v>533506958</v>
      </c>
      <c r="P1024">
        <v>0</v>
      </c>
      <c r="Q1024">
        <v>0</v>
      </c>
      <c r="R1024">
        <v>0</v>
      </c>
      <c r="S1024">
        <v>0</v>
      </c>
      <c r="T1024">
        <v>2822</v>
      </c>
    </row>
    <row r="1025" spans="1:20" x14ac:dyDescent="0.25">
      <c r="A1025" t="s">
        <v>126</v>
      </c>
      <c r="B1025" t="s">
        <v>225</v>
      </c>
      <c r="C1025">
        <v>202507</v>
      </c>
      <c r="D1025" s="47" t="str">
        <f>MID(C1025,1,4)</f>
        <v>2025</v>
      </c>
      <c r="E1025" t="str">
        <f>IF(Portfolio!$M$1=1,CONCATENATE(A1025,C1025),CONCATENATE(B1025,C1025))</f>
        <v>STEVEN GROUP202507</v>
      </c>
      <c r="F1025">
        <v>4</v>
      </c>
      <c r="G1025">
        <v>0</v>
      </c>
      <c r="H1025">
        <v>0</v>
      </c>
      <c r="I1025">
        <v>0</v>
      </c>
      <c r="J1025">
        <v>1</v>
      </c>
      <c r="K1025">
        <v>3264801</v>
      </c>
      <c r="L1025">
        <v>0</v>
      </c>
      <c r="M1025">
        <v>0</v>
      </c>
      <c r="N1025">
        <v>0</v>
      </c>
      <c r="O1025">
        <v>1</v>
      </c>
      <c r="P1025">
        <v>4897</v>
      </c>
      <c r="Q1025">
        <v>0</v>
      </c>
      <c r="R1025">
        <v>0</v>
      </c>
      <c r="S1025">
        <v>0</v>
      </c>
      <c r="T1025">
        <v>0</v>
      </c>
    </row>
    <row r="1026" spans="1:20" x14ac:dyDescent="0.25">
      <c r="A1026" t="s">
        <v>126</v>
      </c>
      <c r="B1026" t="s">
        <v>132</v>
      </c>
      <c r="C1026">
        <v>202507</v>
      </c>
      <c r="D1026" s="47" t="str">
        <f>MID(C1026,1,4)</f>
        <v>2025</v>
      </c>
      <c r="E1026" t="str">
        <f>IF(Portfolio!$M$1=1,CONCATENATE(A1026,C1026),CONCATENATE(B1026,C1026))</f>
        <v>STEVEN GROUP202507</v>
      </c>
      <c r="F1026">
        <v>17</v>
      </c>
      <c r="G1026">
        <v>0</v>
      </c>
      <c r="H1026">
        <v>0</v>
      </c>
      <c r="I1026">
        <v>0</v>
      </c>
      <c r="J1026">
        <v>2</v>
      </c>
      <c r="K1026">
        <v>8402982</v>
      </c>
      <c r="L1026">
        <v>0</v>
      </c>
      <c r="M1026">
        <v>0</v>
      </c>
      <c r="N1026">
        <v>0</v>
      </c>
      <c r="O1026">
        <v>2</v>
      </c>
      <c r="P1026">
        <v>12604</v>
      </c>
      <c r="Q1026">
        <v>0</v>
      </c>
      <c r="R1026">
        <v>0</v>
      </c>
      <c r="S1026">
        <v>0</v>
      </c>
      <c r="T1026">
        <v>0</v>
      </c>
    </row>
    <row r="1027" spans="1:20" x14ac:dyDescent="0.25">
      <c r="A1027" t="s">
        <v>128</v>
      </c>
      <c r="B1027" t="s">
        <v>226</v>
      </c>
      <c r="C1027">
        <v>202507</v>
      </c>
      <c r="D1027" s="47" t="str">
        <f>MID(C1027,1,4)</f>
        <v>2025</v>
      </c>
      <c r="E1027" t="str">
        <f>IF(Portfolio!$M$1=1,CONCATENATE(A1027,C1027),CONCATENATE(B1027,C1027))</f>
        <v>SUPRA BOGA LESTARI202507</v>
      </c>
      <c r="F1027">
        <v>2</v>
      </c>
      <c r="G1027">
        <v>0</v>
      </c>
      <c r="H1027">
        <v>0</v>
      </c>
      <c r="I1027">
        <v>0</v>
      </c>
      <c r="J1027">
        <v>0</v>
      </c>
      <c r="K1027">
        <v>1960465</v>
      </c>
      <c r="L1027">
        <v>0</v>
      </c>
      <c r="M1027">
        <v>0</v>
      </c>
      <c r="N1027">
        <v>0</v>
      </c>
      <c r="O1027">
        <v>0</v>
      </c>
      <c r="P1027">
        <v>2941</v>
      </c>
      <c r="Q1027">
        <v>0</v>
      </c>
      <c r="R1027">
        <v>0</v>
      </c>
      <c r="S1027">
        <v>0</v>
      </c>
      <c r="T1027">
        <v>0</v>
      </c>
    </row>
    <row r="1028" spans="1:20" x14ac:dyDescent="0.25">
      <c r="A1028" t="s">
        <v>130</v>
      </c>
      <c r="B1028" t="s">
        <v>227</v>
      </c>
      <c r="C1028">
        <v>202507</v>
      </c>
      <c r="D1028" s="47" t="str">
        <f>MID(C1028,1,4)</f>
        <v>2025</v>
      </c>
      <c r="E1028" t="str">
        <f>IF(Portfolio!$M$1=1,CONCATENATE(A1028,C1028),CONCATENATE(B1028,C1028))</f>
        <v>SURYA BUMI RETAILINDO202507</v>
      </c>
      <c r="F1028">
        <v>3</v>
      </c>
      <c r="G1028">
        <v>0</v>
      </c>
      <c r="H1028">
        <v>0</v>
      </c>
      <c r="I1028">
        <v>1</v>
      </c>
      <c r="J1028">
        <v>14</v>
      </c>
      <c r="K1028">
        <v>12006000</v>
      </c>
      <c r="L1028">
        <v>0</v>
      </c>
      <c r="M1028">
        <v>0</v>
      </c>
      <c r="N1028">
        <v>80000</v>
      </c>
      <c r="O1028">
        <v>4520000</v>
      </c>
      <c r="P1028">
        <v>18009</v>
      </c>
      <c r="Q1028">
        <v>0</v>
      </c>
      <c r="R1028">
        <v>0</v>
      </c>
      <c r="S1028">
        <v>560</v>
      </c>
      <c r="T1028">
        <v>31640</v>
      </c>
    </row>
    <row r="1029" spans="1:20" x14ac:dyDescent="0.25">
      <c r="A1029" t="s">
        <v>138</v>
      </c>
      <c r="B1029" t="s">
        <v>138</v>
      </c>
      <c r="C1029">
        <v>202507</v>
      </c>
      <c r="D1029" s="47" t="str">
        <f>MID(C1029,1,4)</f>
        <v>2025</v>
      </c>
      <c r="E1029" t="str">
        <f>IF(Portfolio!$M$1=1,CONCATENATE(A1029,C1029),CONCATENATE(B1029,C1029))</f>
        <v>YOSHINOYA202507</v>
      </c>
      <c r="F1029">
        <v>271</v>
      </c>
      <c r="G1029">
        <v>12182</v>
      </c>
      <c r="H1029">
        <v>434</v>
      </c>
      <c r="I1029">
        <v>0</v>
      </c>
      <c r="J1029">
        <v>124492</v>
      </c>
      <c r="K1029">
        <v>42114400</v>
      </c>
      <c r="L1029">
        <v>1923916800</v>
      </c>
      <c r="M1029">
        <v>58192200</v>
      </c>
      <c r="N1029">
        <v>0</v>
      </c>
      <c r="O1029">
        <v>16175332903</v>
      </c>
      <c r="P1029">
        <v>63172</v>
      </c>
      <c r="Q1029">
        <v>19239168</v>
      </c>
      <c r="R1029">
        <v>643732</v>
      </c>
      <c r="S1029">
        <v>0</v>
      </c>
      <c r="T1029">
        <v>113226605</v>
      </c>
    </row>
    <row r="1030" spans="1:20" x14ac:dyDescent="0.25">
      <c r="A1030" t="s">
        <v>140</v>
      </c>
      <c r="B1030" t="s">
        <v>140</v>
      </c>
      <c r="C1030">
        <v>202507</v>
      </c>
      <c r="D1030" s="47" t="str">
        <f>MID(C1030,1,4)</f>
        <v>2025</v>
      </c>
      <c r="E1030" t="str">
        <f>IF(Portfolio!$M$1=1,CONCATENATE(A1030,C1030),CONCATENATE(B1030,C1030))</f>
        <v>ZENBU202507</v>
      </c>
      <c r="F1030">
        <v>0</v>
      </c>
      <c r="G1030">
        <v>0</v>
      </c>
      <c r="H1030">
        <v>0</v>
      </c>
      <c r="I1030">
        <v>18</v>
      </c>
      <c r="J1030">
        <v>8001</v>
      </c>
      <c r="K1030">
        <v>0</v>
      </c>
      <c r="L1030">
        <v>0</v>
      </c>
      <c r="M1030">
        <v>0</v>
      </c>
      <c r="N1030">
        <v>5466524</v>
      </c>
      <c r="O1030">
        <v>2240552414</v>
      </c>
      <c r="P1030">
        <v>0</v>
      </c>
      <c r="Q1030">
        <v>0</v>
      </c>
      <c r="R1030">
        <v>0</v>
      </c>
      <c r="S1030">
        <v>38265</v>
      </c>
      <c r="T1030">
        <v>15683830</v>
      </c>
    </row>
    <row r="1031" spans="1:20" x14ac:dyDescent="0.25">
      <c r="A1031" t="s">
        <v>67</v>
      </c>
      <c r="B1031" t="s">
        <v>68</v>
      </c>
      <c r="C1031">
        <v>202508</v>
      </c>
      <c r="D1031" s="47" t="str">
        <f>MID(C1031,1,4)</f>
        <v>2025</v>
      </c>
      <c r="E1031" t="str">
        <f>IF(Portfolio!$M$1=1,CONCATENATE(A1031,C1031),CONCATENATE(B1031,C1031))</f>
        <v>ALFA GROUP202508</v>
      </c>
      <c r="F1031">
        <v>21095</v>
      </c>
      <c r="G1031">
        <v>73245</v>
      </c>
      <c r="H1031">
        <v>23256</v>
      </c>
      <c r="I1031">
        <v>30</v>
      </c>
      <c r="J1031">
        <v>472</v>
      </c>
      <c r="K1031">
        <v>2081442266</v>
      </c>
      <c r="L1031">
        <v>7499600596</v>
      </c>
      <c r="M1031">
        <v>3264055392</v>
      </c>
      <c r="N1031">
        <v>3690700</v>
      </c>
      <c r="O1031">
        <v>32835000</v>
      </c>
      <c r="P1031">
        <v>3122161</v>
      </c>
      <c r="Q1031">
        <v>74996006</v>
      </c>
      <c r="R1031">
        <v>58405909</v>
      </c>
      <c r="S1031">
        <v>7815</v>
      </c>
      <c r="T1031">
        <v>4800</v>
      </c>
    </row>
    <row r="1032" spans="1:20" x14ac:dyDescent="0.25">
      <c r="A1032" t="s">
        <v>67</v>
      </c>
      <c r="B1032" t="s">
        <v>69</v>
      </c>
      <c r="C1032">
        <v>202508</v>
      </c>
      <c r="D1032" s="47" t="str">
        <f>MID(C1032,1,4)</f>
        <v>2025</v>
      </c>
      <c r="E1032" t="str">
        <f>IF(Portfolio!$M$1=1,CONCATENATE(A1032,C1032),CONCATENATE(B1032,C1032))</f>
        <v>ALFA GROUP202508</v>
      </c>
      <c r="F1032">
        <v>13</v>
      </c>
      <c r="G1032">
        <v>64</v>
      </c>
      <c r="H1032">
        <v>28</v>
      </c>
      <c r="I1032">
        <v>12</v>
      </c>
      <c r="J1032">
        <v>67</v>
      </c>
      <c r="K1032">
        <v>943502</v>
      </c>
      <c r="L1032">
        <v>11636454</v>
      </c>
      <c r="M1032">
        <v>4773951</v>
      </c>
      <c r="N1032">
        <v>299400</v>
      </c>
      <c r="O1032">
        <v>2370700</v>
      </c>
      <c r="P1032">
        <v>1415</v>
      </c>
      <c r="Q1032">
        <v>116365</v>
      </c>
      <c r="R1032">
        <v>85931</v>
      </c>
      <c r="S1032">
        <v>2097</v>
      </c>
      <c r="T1032">
        <v>16594</v>
      </c>
    </row>
    <row r="1033" spans="1:20" x14ac:dyDescent="0.25">
      <c r="A1033" t="s">
        <v>67</v>
      </c>
      <c r="B1033" t="s">
        <v>72</v>
      </c>
      <c r="C1033">
        <v>202508</v>
      </c>
      <c r="D1033" s="47" t="str">
        <f>MID(C1033,1,4)</f>
        <v>2025</v>
      </c>
      <c r="E1033" t="str">
        <f>IF(Portfolio!$M$1=1,CONCATENATE(A1033,C1033),CONCATENATE(B1033,C1033))</f>
        <v>ALFA GROUP202508</v>
      </c>
      <c r="F1033">
        <v>391</v>
      </c>
      <c r="G1033">
        <v>1528</v>
      </c>
      <c r="H1033">
        <v>220</v>
      </c>
      <c r="I1033">
        <v>0</v>
      </c>
      <c r="J1033">
        <v>0</v>
      </c>
      <c r="K1033">
        <v>62513167</v>
      </c>
      <c r="L1033">
        <v>234247246</v>
      </c>
      <c r="M1033">
        <v>43487995</v>
      </c>
      <c r="N1033">
        <v>0</v>
      </c>
      <c r="O1033">
        <v>0</v>
      </c>
      <c r="P1033">
        <v>93770</v>
      </c>
      <c r="Q1033">
        <v>2342472</v>
      </c>
      <c r="R1033">
        <v>780868</v>
      </c>
      <c r="S1033">
        <v>0</v>
      </c>
      <c r="T1033">
        <v>0</v>
      </c>
    </row>
    <row r="1034" spans="1:20" x14ac:dyDescent="0.25">
      <c r="A1034" t="s">
        <v>70</v>
      </c>
      <c r="B1034" t="s">
        <v>70</v>
      </c>
      <c r="C1034">
        <v>202508</v>
      </c>
      <c r="D1034" s="47" t="str">
        <f>MID(C1034,1,4)</f>
        <v>2025</v>
      </c>
      <c r="E1034" t="str">
        <f>IF(Portfolio!$M$1=1,CONCATENATE(A1034,C1034),CONCATENATE(B1034,C1034))</f>
        <v>ANCOL202508</v>
      </c>
      <c r="F1034">
        <v>0</v>
      </c>
      <c r="G1034">
        <v>1</v>
      </c>
      <c r="H1034">
        <v>1</v>
      </c>
      <c r="I1034">
        <v>15</v>
      </c>
      <c r="J1034">
        <v>862</v>
      </c>
      <c r="K1034">
        <v>0</v>
      </c>
      <c r="L1034">
        <v>80000</v>
      </c>
      <c r="M1034">
        <v>185300</v>
      </c>
      <c r="N1034">
        <v>987608</v>
      </c>
      <c r="O1034">
        <v>80283625</v>
      </c>
      <c r="P1034">
        <v>0</v>
      </c>
      <c r="Q1034">
        <v>800</v>
      </c>
      <c r="R1034">
        <v>3057</v>
      </c>
      <c r="S1034">
        <v>0</v>
      </c>
      <c r="T1034">
        <v>4522</v>
      </c>
    </row>
    <row r="1035" spans="1:20" x14ac:dyDescent="0.25">
      <c r="A1035" t="s">
        <v>73</v>
      </c>
      <c r="B1035" t="s">
        <v>73</v>
      </c>
      <c r="C1035">
        <v>202508</v>
      </c>
      <c r="D1035" s="47" t="str">
        <f>MID(C1035,1,4)</f>
        <v>2025</v>
      </c>
      <c r="E1035" t="str">
        <f>IF(Portfolio!$M$1=1,CONCATENATE(A1035,C1035),CONCATENATE(B1035,C1035))</f>
        <v>BANBAN TEA202508</v>
      </c>
      <c r="F1035">
        <v>2</v>
      </c>
      <c r="G1035">
        <v>9</v>
      </c>
      <c r="H1035">
        <v>3</v>
      </c>
      <c r="I1035">
        <v>6</v>
      </c>
      <c r="J1035">
        <v>143</v>
      </c>
      <c r="K1035">
        <v>93500</v>
      </c>
      <c r="L1035">
        <v>672000</v>
      </c>
      <c r="M1035">
        <v>212300</v>
      </c>
      <c r="N1035">
        <v>301400</v>
      </c>
      <c r="O1035">
        <v>8518939</v>
      </c>
      <c r="P1035">
        <v>140</v>
      </c>
      <c r="Q1035">
        <v>6720</v>
      </c>
      <c r="R1035">
        <v>3821</v>
      </c>
      <c r="S1035">
        <v>2110</v>
      </c>
      <c r="T1035">
        <v>59631</v>
      </c>
    </row>
    <row r="1036" spans="1:20" x14ac:dyDescent="0.25">
      <c r="A1036" t="s">
        <v>74</v>
      </c>
      <c r="B1036" t="s">
        <v>74</v>
      </c>
      <c r="C1036">
        <v>202508</v>
      </c>
      <c r="D1036" s="47" t="str">
        <f>MID(C1036,1,4)</f>
        <v>2025</v>
      </c>
      <c r="E1036" t="str">
        <f>IF(Portfolio!$M$1=1,CONCATENATE(A1036,C1036),CONCATENATE(B1036,C1036))</f>
        <v>BEARD PAPA202508</v>
      </c>
      <c r="F1036">
        <v>4</v>
      </c>
      <c r="G1036">
        <v>58</v>
      </c>
      <c r="H1036">
        <v>12</v>
      </c>
      <c r="I1036">
        <v>0</v>
      </c>
      <c r="J1036">
        <v>158</v>
      </c>
      <c r="K1036">
        <v>222000</v>
      </c>
      <c r="L1036">
        <v>5480000</v>
      </c>
      <c r="M1036">
        <v>1666000</v>
      </c>
      <c r="N1036">
        <v>0</v>
      </c>
      <c r="O1036">
        <v>33600506</v>
      </c>
      <c r="P1036">
        <v>333</v>
      </c>
      <c r="Q1036">
        <v>54800</v>
      </c>
      <c r="R1036">
        <v>33320</v>
      </c>
      <c r="S1036">
        <v>0</v>
      </c>
      <c r="T1036">
        <v>235203</v>
      </c>
    </row>
    <row r="1037" spans="1:20" x14ac:dyDescent="0.25">
      <c r="A1037" t="s">
        <v>75</v>
      </c>
      <c r="B1037" t="s">
        <v>77</v>
      </c>
      <c r="C1037">
        <v>202508</v>
      </c>
      <c r="D1037" s="47" t="str">
        <f>MID(C1037,1,4)</f>
        <v>2025</v>
      </c>
      <c r="E1037" t="str">
        <f>IF(Portfolio!$M$1=1,CONCATENATE(A1037,C1037),CONCATENATE(B1037,C1037))</f>
        <v>CHAMP RESTO202508</v>
      </c>
      <c r="F1037">
        <v>0</v>
      </c>
      <c r="G1037">
        <v>0</v>
      </c>
      <c r="H1037">
        <v>0</v>
      </c>
      <c r="I1037">
        <v>0</v>
      </c>
      <c r="J1037">
        <v>6</v>
      </c>
      <c r="K1037">
        <v>0</v>
      </c>
      <c r="L1037">
        <v>0</v>
      </c>
      <c r="M1037">
        <v>0</v>
      </c>
      <c r="N1037">
        <v>0</v>
      </c>
      <c r="O1037">
        <v>109480</v>
      </c>
      <c r="P1037">
        <v>0</v>
      </c>
      <c r="Q1037">
        <v>0</v>
      </c>
      <c r="R1037">
        <v>0</v>
      </c>
      <c r="S1037">
        <v>0</v>
      </c>
      <c r="T1037">
        <v>766</v>
      </c>
    </row>
    <row r="1038" spans="1:20" x14ac:dyDescent="0.25">
      <c r="A1038" t="s">
        <v>75</v>
      </c>
      <c r="B1038" t="s">
        <v>79</v>
      </c>
      <c r="C1038">
        <v>202508</v>
      </c>
      <c r="D1038" s="47" t="str">
        <f>MID(C1038,1,4)</f>
        <v>2025</v>
      </c>
      <c r="E1038" t="str">
        <f>IF(Portfolio!$M$1=1,CONCATENATE(A1038,C1038),CONCATENATE(B1038,C1038))</f>
        <v>CHAMP RESTO202508</v>
      </c>
      <c r="F1038">
        <v>0</v>
      </c>
      <c r="G1038">
        <v>0</v>
      </c>
      <c r="H1038">
        <v>0</v>
      </c>
      <c r="I1038">
        <v>0</v>
      </c>
      <c r="J1038">
        <v>2</v>
      </c>
      <c r="K1038">
        <v>0</v>
      </c>
      <c r="L1038">
        <v>0</v>
      </c>
      <c r="M1038">
        <v>0</v>
      </c>
      <c r="N1038">
        <v>0</v>
      </c>
      <c r="O1038">
        <v>618234</v>
      </c>
      <c r="P1038">
        <v>0</v>
      </c>
      <c r="Q1038">
        <v>0</v>
      </c>
      <c r="R1038">
        <v>0</v>
      </c>
      <c r="S1038">
        <v>0</v>
      </c>
      <c r="T1038">
        <v>4327</v>
      </c>
    </row>
    <row r="1039" spans="1:20" x14ac:dyDescent="0.25">
      <c r="A1039" t="s">
        <v>75</v>
      </c>
      <c r="B1039" t="s">
        <v>81</v>
      </c>
      <c r="C1039">
        <v>202508</v>
      </c>
      <c r="D1039" s="47" t="str">
        <f>MID(C1039,1,4)</f>
        <v>2025</v>
      </c>
      <c r="E1039" t="str">
        <f>IF(Portfolio!$M$1=1,CONCATENATE(A1039,C1039),CONCATENATE(B1039,C1039))</f>
        <v>CHAMP RESTO202508</v>
      </c>
      <c r="F1039">
        <v>8</v>
      </c>
      <c r="G1039">
        <v>3</v>
      </c>
      <c r="H1039">
        <v>0</v>
      </c>
      <c r="I1039">
        <v>0</v>
      </c>
      <c r="J1039">
        <v>25</v>
      </c>
      <c r="K1039">
        <v>1916950</v>
      </c>
      <c r="L1039">
        <v>1350800</v>
      </c>
      <c r="M1039">
        <v>0</v>
      </c>
      <c r="N1039">
        <v>0</v>
      </c>
      <c r="O1039">
        <v>3498118</v>
      </c>
      <c r="P1039">
        <v>2875</v>
      </c>
      <c r="Q1039">
        <v>13508</v>
      </c>
      <c r="R1039">
        <v>0</v>
      </c>
      <c r="S1039">
        <v>0</v>
      </c>
      <c r="T1039">
        <v>24486</v>
      </c>
    </row>
    <row r="1040" spans="1:20" x14ac:dyDescent="0.25">
      <c r="A1040" t="s">
        <v>75</v>
      </c>
      <c r="B1040" t="s">
        <v>83</v>
      </c>
      <c r="C1040">
        <v>202508</v>
      </c>
      <c r="D1040" s="47" t="str">
        <f>MID(C1040,1,4)</f>
        <v>2025</v>
      </c>
      <c r="E1040" t="str">
        <f>IF(Portfolio!$M$1=1,CONCATENATE(A1040,C1040),CONCATENATE(B1040,C1040))</f>
        <v>CHAMP RESTO202508</v>
      </c>
      <c r="F1040">
        <v>2</v>
      </c>
      <c r="G1040">
        <v>18</v>
      </c>
      <c r="H1040">
        <v>4</v>
      </c>
      <c r="I1040">
        <v>0</v>
      </c>
      <c r="J1040">
        <v>79</v>
      </c>
      <c r="K1040">
        <v>650000</v>
      </c>
      <c r="L1040">
        <v>5789000</v>
      </c>
      <c r="M1040">
        <v>1639760</v>
      </c>
      <c r="N1040">
        <v>0</v>
      </c>
      <c r="O1040">
        <v>4562719</v>
      </c>
      <c r="P1040">
        <v>975</v>
      </c>
      <c r="Q1040">
        <v>57890</v>
      </c>
      <c r="R1040">
        <v>32795</v>
      </c>
      <c r="S1040">
        <v>0</v>
      </c>
      <c r="T1040">
        <v>10984</v>
      </c>
    </row>
    <row r="1041" spans="1:20" x14ac:dyDescent="0.25">
      <c r="A1041" t="s">
        <v>75</v>
      </c>
      <c r="B1041" t="s">
        <v>85</v>
      </c>
      <c r="C1041">
        <v>202508</v>
      </c>
      <c r="D1041" s="47" t="str">
        <f>MID(C1041,1,4)</f>
        <v>2025</v>
      </c>
      <c r="E1041" t="str">
        <f>IF(Portfolio!$M$1=1,CONCATENATE(A1041,C1041),CONCATENATE(B1041,C1041))</f>
        <v>CHAMP RESTO202508</v>
      </c>
      <c r="F1041">
        <v>11</v>
      </c>
      <c r="G1041">
        <v>3</v>
      </c>
      <c r="H1041">
        <v>0</v>
      </c>
      <c r="I1041">
        <v>0</v>
      </c>
      <c r="J1041">
        <v>113</v>
      </c>
      <c r="K1041">
        <v>2019777</v>
      </c>
      <c r="L1041">
        <v>554200</v>
      </c>
      <c r="M1041">
        <v>0</v>
      </c>
      <c r="N1041">
        <v>0</v>
      </c>
      <c r="O1041">
        <v>12555687</v>
      </c>
      <c r="P1041">
        <v>3030</v>
      </c>
      <c r="Q1041">
        <v>5542</v>
      </c>
      <c r="R1041">
        <v>0</v>
      </c>
      <c r="S1041">
        <v>0</v>
      </c>
      <c r="T1041">
        <v>87883</v>
      </c>
    </row>
    <row r="1042" spans="1:20" x14ac:dyDescent="0.25">
      <c r="A1042" t="s">
        <v>75</v>
      </c>
      <c r="B1042" t="s">
        <v>89</v>
      </c>
      <c r="C1042">
        <v>202508</v>
      </c>
      <c r="D1042" s="47" t="str">
        <f>MID(C1042,1,4)</f>
        <v>2025</v>
      </c>
      <c r="E1042" t="str">
        <f>IF(Portfolio!$M$1=1,CONCATENATE(A1042,C1042),CONCATENATE(B1042,C1042))</f>
        <v>CHAMP RESTO202508</v>
      </c>
      <c r="F1042">
        <v>0</v>
      </c>
      <c r="G1042">
        <v>0</v>
      </c>
      <c r="H1042">
        <v>0</v>
      </c>
      <c r="I1042">
        <v>0</v>
      </c>
      <c r="J1042"/>
      <c r="K1042">
        <v>0</v>
      </c>
      <c r="L1042">
        <v>0</v>
      </c>
      <c r="M1042">
        <v>0</v>
      </c>
      <c r="N1042">
        <v>0</v>
      </c>
      <c r="O1042">
        <v>27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 spans="1:20" x14ac:dyDescent="0.25">
      <c r="A1043" t="s">
        <v>75</v>
      </c>
      <c r="B1043" t="s">
        <v>91</v>
      </c>
      <c r="C1043">
        <v>202508</v>
      </c>
      <c r="D1043" s="47" t="str">
        <f>MID(C1043,1,4)</f>
        <v>2025</v>
      </c>
      <c r="E1043" t="str">
        <f>IF(Portfolio!$M$1=1,CONCATENATE(A1043,C1043),CONCATENATE(B1043,C1043))</f>
        <v>CHAMP RESTO202508</v>
      </c>
      <c r="F1043">
        <v>5</v>
      </c>
      <c r="G1043">
        <v>11</v>
      </c>
      <c r="H1043">
        <v>0</v>
      </c>
      <c r="I1043">
        <v>0</v>
      </c>
      <c r="J1043">
        <v>62</v>
      </c>
      <c r="K1043">
        <v>1875228</v>
      </c>
      <c r="L1043">
        <v>4784476</v>
      </c>
      <c r="M1043">
        <v>0</v>
      </c>
      <c r="N1043">
        <v>0</v>
      </c>
      <c r="O1043">
        <v>15494353</v>
      </c>
      <c r="P1043">
        <v>2813</v>
      </c>
      <c r="Q1043">
        <v>47845</v>
      </c>
      <c r="R1043">
        <v>0</v>
      </c>
      <c r="S1043">
        <v>0</v>
      </c>
      <c r="T1043">
        <v>108461</v>
      </c>
    </row>
    <row r="1044" spans="1:20" x14ac:dyDescent="0.25">
      <c r="A1044" t="s">
        <v>75</v>
      </c>
      <c r="B1044" t="s">
        <v>93</v>
      </c>
      <c r="C1044">
        <v>202508</v>
      </c>
      <c r="D1044" s="47" t="str">
        <f>MID(C1044,1,4)</f>
        <v>2025</v>
      </c>
      <c r="E1044" t="str">
        <f>IF(Portfolio!$M$1=1,CONCATENATE(A1044,C1044),CONCATENATE(B1044,C1044))</f>
        <v>CHAMP RESTO202508</v>
      </c>
      <c r="F1044">
        <v>0</v>
      </c>
      <c r="G1044">
        <v>0</v>
      </c>
      <c r="H1044">
        <v>0</v>
      </c>
      <c r="I1044">
        <v>6</v>
      </c>
      <c r="J1044">
        <v>298</v>
      </c>
      <c r="K1044">
        <v>0</v>
      </c>
      <c r="L1044">
        <v>0</v>
      </c>
      <c r="M1044">
        <v>0</v>
      </c>
      <c r="N1044">
        <v>70000</v>
      </c>
      <c r="O1044">
        <v>30331065</v>
      </c>
      <c r="P1044">
        <v>0</v>
      </c>
      <c r="Q1044">
        <v>0</v>
      </c>
      <c r="R1044">
        <v>0</v>
      </c>
      <c r="S1044">
        <v>0</v>
      </c>
      <c r="T1044">
        <v>23100</v>
      </c>
    </row>
    <row r="1045" spans="1:20" x14ac:dyDescent="0.25">
      <c r="A1045" t="s">
        <v>75</v>
      </c>
      <c r="B1045" t="s">
        <v>95</v>
      </c>
      <c r="C1045">
        <v>202508</v>
      </c>
      <c r="D1045" s="47" t="str">
        <f>MID(C1045,1,4)</f>
        <v>2025</v>
      </c>
      <c r="E1045" t="str">
        <f>IF(Portfolio!$M$1=1,CONCATENATE(A1045,C1045),CONCATENATE(B1045,C1045))</f>
        <v>CHAMP RESTO202508</v>
      </c>
      <c r="F1045">
        <v>1</v>
      </c>
      <c r="G1045">
        <v>3</v>
      </c>
      <c r="H1045">
        <v>0</v>
      </c>
      <c r="I1045">
        <v>0</v>
      </c>
      <c r="J1045">
        <v>77</v>
      </c>
      <c r="K1045">
        <v>313802</v>
      </c>
      <c r="L1045">
        <v>852505</v>
      </c>
      <c r="M1045">
        <v>0</v>
      </c>
      <c r="N1045">
        <v>0</v>
      </c>
      <c r="O1045">
        <v>15257210</v>
      </c>
      <c r="P1045">
        <v>471</v>
      </c>
      <c r="Q1045">
        <v>8525</v>
      </c>
      <c r="R1045">
        <v>0</v>
      </c>
      <c r="S1045">
        <v>0</v>
      </c>
      <c r="T1045">
        <v>106796</v>
      </c>
    </row>
    <row r="1046" spans="1:20" x14ac:dyDescent="0.25">
      <c r="A1046" t="s">
        <v>76</v>
      </c>
      <c r="B1046" t="s">
        <v>76</v>
      </c>
      <c r="C1046">
        <v>202508</v>
      </c>
      <c r="D1046" s="47" t="str">
        <f>MID(C1046,1,4)</f>
        <v>2025</v>
      </c>
      <c r="E1046" t="str">
        <f>IF(Portfolio!$M$1=1,CONCATENATE(A1046,C1046),CONCATENATE(B1046,C1046))</f>
        <v>DAMRI202508</v>
      </c>
      <c r="F1046">
        <v>2</v>
      </c>
      <c r="G1046">
        <v>11</v>
      </c>
      <c r="H1046">
        <v>0</v>
      </c>
      <c r="I1046">
        <v>0</v>
      </c>
      <c r="J1046">
        <v>54</v>
      </c>
      <c r="K1046">
        <v>160000</v>
      </c>
      <c r="L1046">
        <v>4635000</v>
      </c>
      <c r="M1046">
        <v>0</v>
      </c>
      <c r="N1046">
        <v>0</v>
      </c>
      <c r="O1046">
        <v>15370012</v>
      </c>
      <c r="P1046">
        <v>240</v>
      </c>
      <c r="Q1046">
        <v>46350</v>
      </c>
      <c r="R1046">
        <v>0</v>
      </c>
      <c r="S1046">
        <v>0</v>
      </c>
      <c r="T1046">
        <v>107590</v>
      </c>
    </row>
    <row r="1047" spans="1:20" x14ac:dyDescent="0.25">
      <c r="A1047" t="s">
        <v>80</v>
      </c>
      <c r="B1047" t="s">
        <v>80</v>
      </c>
      <c r="C1047">
        <v>202508</v>
      </c>
      <c r="D1047" s="47" t="str">
        <f>MID(C1047,1,4)</f>
        <v>2025</v>
      </c>
      <c r="E1047" t="str">
        <f>IF(Portfolio!$M$1=1,CONCATENATE(A1047,C1047),CONCATENATE(B1047,C1047))</f>
        <v>DWIDAYA202508</v>
      </c>
      <c r="F1047">
        <v>13</v>
      </c>
      <c r="G1047">
        <v>0</v>
      </c>
      <c r="H1047">
        <v>1</v>
      </c>
      <c r="I1047">
        <v>1</v>
      </c>
      <c r="J1047">
        <v>64</v>
      </c>
      <c r="K1047">
        <v>354396485</v>
      </c>
      <c r="L1047">
        <v>0</v>
      </c>
      <c r="M1047">
        <v>2950000</v>
      </c>
      <c r="N1047">
        <v>1178000</v>
      </c>
      <c r="O1047">
        <v>211208218</v>
      </c>
      <c r="P1047">
        <v>531595</v>
      </c>
      <c r="Q1047">
        <v>0</v>
      </c>
      <c r="R1047">
        <v>59000</v>
      </c>
      <c r="S1047">
        <v>8246</v>
      </c>
      <c r="T1047">
        <v>1478457</v>
      </c>
    </row>
    <row r="1048" spans="1:20" x14ac:dyDescent="0.25">
      <c r="A1048" t="s">
        <v>82</v>
      </c>
      <c r="B1048" t="s">
        <v>82</v>
      </c>
      <c r="C1048">
        <v>202508</v>
      </c>
      <c r="D1048" s="47" t="str">
        <f>MID(C1048,1,4)</f>
        <v>2025</v>
      </c>
      <c r="E1048" t="str">
        <f>IF(Portfolio!$M$1=1,CONCATENATE(A1048,C1048),CONCATENATE(B1048,C1048))</f>
        <v>EKA HOSPITAL202508</v>
      </c>
      <c r="F1048">
        <v>0</v>
      </c>
      <c r="G1048">
        <v>5</v>
      </c>
      <c r="H1048">
        <v>2</v>
      </c>
      <c r="I1048">
        <v>0</v>
      </c>
      <c r="J1048">
        <v>6</v>
      </c>
      <c r="K1048">
        <v>0</v>
      </c>
      <c r="L1048">
        <v>50000</v>
      </c>
      <c r="M1048">
        <v>2777670</v>
      </c>
      <c r="N1048">
        <v>0</v>
      </c>
      <c r="O1048">
        <v>72905</v>
      </c>
      <c r="P1048">
        <v>0</v>
      </c>
      <c r="Q1048">
        <v>500</v>
      </c>
      <c r="R1048">
        <v>36110</v>
      </c>
      <c r="S1048">
        <v>0</v>
      </c>
      <c r="T1048">
        <v>510</v>
      </c>
    </row>
    <row r="1049" spans="1:20" x14ac:dyDescent="0.25">
      <c r="A1049" t="s">
        <v>84</v>
      </c>
      <c r="B1049" t="s">
        <v>84</v>
      </c>
      <c r="C1049">
        <v>202508</v>
      </c>
      <c r="D1049" s="47" t="str">
        <f>MID(C1049,1,4)</f>
        <v>2025</v>
      </c>
      <c r="E1049" t="str">
        <f>IF(Portfolio!$M$1=1,CONCATENATE(A1049,C1049),CONCATENATE(B1049,C1049))</f>
        <v>ES TELLER 77202508</v>
      </c>
      <c r="F1049">
        <v>0</v>
      </c>
      <c r="G1049">
        <v>0</v>
      </c>
      <c r="H1049">
        <v>0</v>
      </c>
      <c r="I1049">
        <v>0</v>
      </c>
      <c r="J1049">
        <v>2</v>
      </c>
      <c r="K1049">
        <v>0</v>
      </c>
      <c r="L1049">
        <v>0</v>
      </c>
      <c r="M1049">
        <v>0</v>
      </c>
      <c r="N1049">
        <v>0</v>
      </c>
      <c r="O1049">
        <v>26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 x14ac:dyDescent="0.25">
      <c r="A1050" t="s">
        <v>86</v>
      </c>
      <c r="B1050" t="s">
        <v>86</v>
      </c>
      <c r="C1050">
        <v>202508</v>
      </c>
      <c r="D1050" s="47" t="str">
        <f>MID(C1050,1,4)</f>
        <v>2025</v>
      </c>
      <c r="E1050" t="str">
        <f>IF(Portfolio!$M$1=1,CONCATENATE(A1050,C1050),CONCATENATE(B1050,C1050))</f>
        <v>GRAMEDIA202508</v>
      </c>
      <c r="F1050">
        <v>7</v>
      </c>
      <c r="G1050">
        <v>0</v>
      </c>
      <c r="H1050">
        <v>0</v>
      </c>
      <c r="I1050">
        <v>4</v>
      </c>
      <c r="J1050">
        <v>150</v>
      </c>
      <c r="K1050">
        <v>3603500</v>
      </c>
      <c r="L1050">
        <v>0</v>
      </c>
      <c r="M1050">
        <v>0</v>
      </c>
      <c r="N1050">
        <v>85000</v>
      </c>
      <c r="O1050">
        <v>5115200</v>
      </c>
      <c r="P1050">
        <v>5405</v>
      </c>
      <c r="Q1050">
        <v>0</v>
      </c>
      <c r="R1050">
        <v>0</v>
      </c>
      <c r="S1050">
        <v>0</v>
      </c>
      <c r="T1050">
        <v>0</v>
      </c>
    </row>
    <row r="1051" spans="1:20" x14ac:dyDescent="0.25">
      <c r="A1051" t="s">
        <v>88</v>
      </c>
      <c r="B1051" t="s">
        <v>88</v>
      </c>
      <c r="C1051">
        <v>202508</v>
      </c>
      <c r="D1051" s="47" t="str">
        <f>MID(C1051,1,4)</f>
        <v>2025</v>
      </c>
      <c r="E1051" t="str">
        <f>IF(Portfolio!$M$1=1,CONCATENATE(A1051,C1051),CONCATENATE(B1051,C1051))</f>
        <v>HAUS202508</v>
      </c>
      <c r="F1051">
        <v>0</v>
      </c>
      <c r="G1051">
        <v>0</v>
      </c>
      <c r="H1051">
        <v>0</v>
      </c>
      <c r="I1051">
        <v>125</v>
      </c>
      <c r="J1051">
        <v>23464</v>
      </c>
      <c r="K1051">
        <v>0</v>
      </c>
      <c r="L1051">
        <v>0</v>
      </c>
      <c r="M1051">
        <v>0</v>
      </c>
      <c r="N1051">
        <v>6237006</v>
      </c>
      <c r="O1051">
        <v>1063105427</v>
      </c>
      <c r="P1051">
        <v>0</v>
      </c>
      <c r="Q1051">
        <v>0</v>
      </c>
      <c r="R1051">
        <v>0</v>
      </c>
      <c r="S1051">
        <v>23275</v>
      </c>
      <c r="T1051">
        <v>7272589</v>
      </c>
    </row>
    <row r="1052" spans="1:20" x14ac:dyDescent="0.25">
      <c r="A1052" t="s">
        <v>92</v>
      </c>
      <c r="B1052" t="s">
        <v>108</v>
      </c>
      <c r="C1052">
        <v>202508</v>
      </c>
      <c r="D1052" s="47" t="str">
        <f>MID(C1052,1,4)</f>
        <v>2025</v>
      </c>
      <c r="E1052" t="str">
        <f>IF(Portfolio!$M$1=1,CONCATENATE(A1052,C1052),CONCATENATE(B1052,C1052))</f>
        <v>HERO GROUP202508</v>
      </c>
      <c r="F1052">
        <v>28</v>
      </c>
      <c r="G1052">
        <v>0</v>
      </c>
      <c r="H1052">
        <v>1</v>
      </c>
      <c r="I1052">
        <v>1</v>
      </c>
      <c r="J1052">
        <v>125</v>
      </c>
      <c r="K1052">
        <v>14798595</v>
      </c>
      <c r="L1052">
        <v>0</v>
      </c>
      <c r="M1052">
        <v>319362</v>
      </c>
      <c r="N1052">
        <v>28470</v>
      </c>
      <c r="O1052">
        <v>5276414</v>
      </c>
      <c r="P1052">
        <v>22198</v>
      </c>
      <c r="Q1052">
        <v>0</v>
      </c>
      <c r="R1052">
        <v>6387</v>
      </c>
      <c r="S1052">
        <v>199</v>
      </c>
      <c r="T1052">
        <v>22059</v>
      </c>
    </row>
    <row r="1053" spans="1:20" x14ac:dyDescent="0.25">
      <c r="A1053" t="s">
        <v>94</v>
      </c>
      <c r="B1053" t="s">
        <v>94</v>
      </c>
      <c r="C1053">
        <v>202508</v>
      </c>
      <c r="D1053" s="47" t="str">
        <f>MID(C1053,1,4)</f>
        <v>2025</v>
      </c>
      <c r="E1053" t="str">
        <f>IF(Portfolio!$M$1=1,CONCATENATE(A1053,C1053),CONCATENATE(B1053,C1053))</f>
        <v>HOKBEN202508</v>
      </c>
      <c r="F1053">
        <v>0</v>
      </c>
      <c r="G1053">
        <v>0</v>
      </c>
      <c r="H1053">
        <v>0</v>
      </c>
      <c r="I1053">
        <v>6</v>
      </c>
      <c r="J1053">
        <v>2852</v>
      </c>
      <c r="K1053">
        <v>0</v>
      </c>
      <c r="L1053">
        <v>0</v>
      </c>
      <c r="M1053">
        <v>0</v>
      </c>
      <c r="N1053">
        <v>1066500</v>
      </c>
      <c r="O1053">
        <v>284817000</v>
      </c>
      <c r="P1053">
        <v>0</v>
      </c>
      <c r="Q1053">
        <v>0</v>
      </c>
      <c r="R1053">
        <v>0</v>
      </c>
      <c r="S1053">
        <v>7466</v>
      </c>
      <c r="T1053">
        <v>1993717</v>
      </c>
    </row>
    <row r="1054" spans="1:20" x14ac:dyDescent="0.25">
      <c r="A1054" t="s">
        <v>96</v>
      </c>
      <c r="B1054" t="s">
        <v>96</v>
      </c>
      <c r="C1054">
        <v>202508</v>
      </c>
      <c r="D1054" s="47" t="str">
        <f>MID(C1054,1,4)</f>
        <v>2025</v>
      </c>
      <c r="E1054" t="str">
        <f>IF(Portfolio!$M$1=1,CONCATENATE(A1054,C1054),CONCATENATE(B1054,C1054))</f>
        <v>HOKKAIDO BAKED CHEESE202508</v>
      </c>
      <c r="F1054">
        <v>8</v>
      </c>
      <c r="G1054">
        <v>113</v>
      </c>
      <c r="H1054">
        <v>15</v>
      </c>
      <c r="I1054">
        <v>1534</v>
      </c>
      <c r="J1054">
        <v>3173</v>
      </c>
      <c r="K1054">
        <v>700200</v>
      </c>
      <c r="L1054">
        <v>10321301</v>
      </c>
      <c r="M1054">
        <v>2366800</v>
      </c>
      <c r="N1054">
        <v>27342776</v>
      </c>
      <c r="O1054">
        <v>189128257</v>
      </c>
      <c r="P1054">
        <v>1050</v>
      </c>
      <c r="Q1054">
        <v>103213</v>
      </c>
      <c r="R1054">
        <v>46544</v>
      </c>
      <c r="S1054">
        <v>180745</v>
      </c>
      <c r="T1054">
        <v>1149769</v>
      </c>
    </row>
    <row r="1055" spans="1:20" x14ac:dyDescent="0.25">
      <c r="A1055" t="s">
        <v>97</v>
      </c>
      <c r="B1055" t="s">
        <v>97</v>
      </c>
      <c r="C1055">
        <v>202508</v>
      </c>
      <c r="D1055" s="47" t="str">
        <f>MID(C1055,1,4)</f>
        <v>2025</v>
      </c>
      <c r="E1055" t="str">
        <f>IF(Portfolio!$M$1=1,CONCATENATE(A1055,C1055),CONCATENATE(B1055,C1055))</f>
        <v>HOP HOP202508</v>
      </c>
      <c r="F1055">
        <v>0</v>
      </c>
      <c r="G1055">
        <v>0</v>
      </c>
      <c r="H1055">
        <v>0</v>
      </c>
      <c r="I1055">
        <v>692</v>
      </c>
      <c r="J1055">
        <v>9279</v>
      </c>
      <c r="K1055">
        <v>0</v>
      </c>
      <c r="L1055">
        <v>0</v>
      </c>
      <c r="M1055">
        <v>0</v>
      </c>
      <c r="N1055">
        <v>13987000</v>
      </c>
      <c r="O1055">
        <v>242717661</v>
      </c>
      <c r="P1055">
        <v>0</v>
      </c>
      <c r="Q1055">
        <v>0</v>
      </c>
      <c r="R1055">
        <v>0</v>
      </c>
      <c r="S1055">
        <v>0</v>
      </c>
      <c r="T1055">
        <v>4212</v>
      </c>
    </row>
    <row r="1056" spans="1:20" x14ac:dyDescent="0.25">
      <c r="A1056" t="s">
        <v>97</v>
      </c>
      <c r="B1056" t="s">
        <v>113</v>
      </c>
      <c r="C1056">
        <v>202508</v>
      </c>
      <c r="D1056" s="47" t="str">
        <f>MID(C1056,1,4)</f>
        <v>2025</v>
      </c>
      <c r="E1056" t="str">
        <f>IF(Portfolio!$M$1=1,CONCATENATE(A1056,C1056),CONCATENATE(B1056,C1056))</f>
        <v>HOP HOP202508</v>
      </c>
      <c r="F1056">
        <v>0</v>
      </c>
      <c r="G1056">
        <v>0</v>
      </c>
      <c r="H1056">
        <v>0</v>
      </c>
      <c r="I1056">
        <v>188</v>
      </c>
      <c r="J1056">
        <v>2807</v>
      </c>
      <c r="K1056">
        <v>0</v>
      </c>
      <c r="L1056">
        <v>0</v>
      </c>
      <c r="M1056">
        <v>0</v>
      </c>
      <c r="N1056">
        <v>3574000</v>
      </c>
      <c r="O1056">
        <v>63778698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 x14ac:dyDescent="0.25">
      <c r="A1057" t="s">
        <v>99</v>
      </c>
      <c r="B1057" t="s">
        <v>99</v>
      </c>
      <c r="C1057">
        <v>202508</v>
      </c>
      <c r="D1057" s="47" t="str">
        <f>MID(C1057,1,4)</f>
        <v>2025</v>
      </c>
      <c r="E1057" t="str">
        <f>IF(Portfolio!$M$1=1,CONCATENATE(A1057,C1057),CONCATENATE(B1057,C1057))</f>
        <v>IKEA202508</v>
      </c>
      <c r="F1057">
        <v>21</v>
      </c>
      <c r="G1057">
        <v>0</v>
      </c>
      <c r="H1057">
        <v>0</v>
      </c>
      <c r="I1057">
        <v>0</v>
      </c>
      <c r="J1057">
        <v>0</v>
      </c>
      <c r="K1057">
        <v>8885100</v>
      </c>
      <c r="L1057">
        <v>0</v>
      </c>
      <c r="M1057">
        <v>0</v>
      </c>
      <c r="N1057">
        <v>0</v>
      </c>
      <c r="O1057">
        <v>0</v>
      </c>
      <c r="P1057">
        <v>13328</v>
      </c>
      <c r="Q1057">
        <v>0</v>
      </c>
      <c r="R1057">
        <v>0</v>
      </c>
      <c r="S1057">
        <v>0</v>
      </c>
      <c r="T1057">
        <v>0</v>
      </c>
    </row>
    <row r="1058" spans="1:20" x14ac:dyDescent="0.25">
      <c r="A1058" t="s">
        <v>101</v>
      </c>
      <c r="B1058" t="s">
        <v>101</v>
      </c>
      <c r="C1058">
        <v>202508</v>
      </c>
      <c r="D1058" s="47" t="str">
        <f>MID(C1058,1,4)</f>
        <v>2025</v>
      </c>
      <c r="E1058" t="str">
        <f>IF(Portfolio!$M$1=1,CONCATENATE(A1058,C1058),CONCATENATE(B1058,C1058))</f>
        <v>INDOMARET202508</v>
      </c>
      <c r="F1058">
        <v>26361</v>
      </c>
      <c r="G1058">
        <v>67776</v>
      </c>
      <c r="H1058">
        <v>29193</v>
      </c>
      <c r="I1058">
        <v>6</v>
      </c>
      <c r="J1058">
        <v>151</v>
      </c>
      <c r="K1058">
        <v>2646841840</v>
      </c>
      <c r="L1058">
        <v>6066230041</v>
      </c>
      <c r="M1058">
        <v>3966723216</v>
      </c>
      <c r="N1058">
        <v>167400</v>
      </c>
      <c r="O1058">
        <v>7330000</v>
      </c>
      <c r="P1058">
        <v>3970261</v>
      </c>
      <c r="Q1058">
        <v>60662300</v>
      </c>
      <c r="R1058">
        <v>66303342</v>
      </c>
      <c r="S1058">
        <v>1171</v>
      </c>
      <c r="T1058">
        <v>26780</v>
      </c>
    </row>
    <row r="1059" spans="1:20" x14ac:dyDescent="0.25">
      <c r="A1059" t="s">
        <v>101</v>
      </c>
      <c r="B1059" t="s">
        <v>117</v>
      </c>
      <c r="C1059">
        <v>202508</v>
      </c>
      <c r="D1059" s="47" t="str">
        <f>MID(C1059,1,4)</f>
        <v>2025</v>
      </c>
      <c r="E1059" t="str">
        <f>IF(Portfolio!$M$1=1,CONCATENATE(A1059,C1059),CONCATENATE(B1059,C1059))</f>
        <v>INDOMARET202508</v>
      </c>
      <c r="F1059">
        <v>86</v>
      </c>
      <c r="G1059">
        <v>263</v>
      </c>
      <c r="H1059">
        <v>129</v>
      </c>
      <c r="I1059">
        <v>0</v>
      </c>
      <c r="J1059">
        <v>0</v>
      </c>
      <c r="K1059">
        <v>6268900</v>
      </c>
      <c r="L1059">
        <v>19191950</v>
      </c>
      <c r="M1059">
        <v>19510998</v>
      </c>
      <c r="N1059">
        <v>0</v>
      </c>
      <c r="O1059">
        <v>0</v>
      </c>
      <c r="P1059">
        <v>9403</v>
      </c>
      <c r="Q1059">
        <v>191920</v>
      </c>
      <c r="R1059">
        <v>322590</v>
      </c>
      <c r="S1059">
        <v>0</v>
      </c>
      <c r="T1059">
        <v>0</v>
      </c>
    </row>
    <row r="1060" spans="1:20" x14ac:dyDescent="0.25">
      <c r="A1060" t="s">
        <v>102</v>
      </c>
      <c r="B1060" t="s">
        <v>123</v>
      </c>
      <c r="C1060">
        <v>202508</v>
      </c>
      <c r="D1060" s="47" t="str">
        <f>MID(C1060,1,4)</f>
        <v>2025</v>
      </c>
      <c r="E1060" t="str">
        <f>IF(Portfolio!$M$1=1,CONCATENATE(A1060,C1060),CONCATENATE(B1060,C1060))</f>
        <v>KAWAN LAMA202508</v>
      </c>
      <c r="F1060">
        <v>1132</v>
      </c>
      <c r="G1060">
        <v>0</v>
      </c>
      <c r="H1060">
        <v>0</v>
      </c>
      <c r="I1060">
        <v>0</v>
      </c>
      <c r="J1060">
        <v>23</v>
      </c>
      <c r="K1060">
        <v>1022126904</v>
      </c>
      <c r="L1060">
        <v>0</v>
      </c>
      <c r="M1060">
        <v>0</v>
      </c>
      <c r="N1060">
        <v>0</v>
      </c>
      <c r="O1060">
        <v>455075178</v>
      </c>
      <c r="P1060">
        <v>1533189</v>
      </c>
      <c r="Q1060">
        <v>0</v>
      </c>
      <c r="R1060">
        <v>0</v>
      </c>
      <c r="S1060">
        <v>0</v>
      </c>
      <c r="T1060">
        <v>3185516</v>
      </c>
    </row>
    <row r="1061" spans="1:20" x14ac:dyDescent="0.25">
      <c r="A1061" t="s">
        <v>102</v>
      </c>
      <c r="B1061" t="s">
        <v>125</v>
      </c>
      <c r="C1061">
        <v>202508</v>
      </c>
      <c r="D1061" s="47" t="str">
        <f>MID(C1061,1,4)</f>
        <v>2025</v>
      </c>
      <c r="E1061" t="str">
        <f>IF(Portfolio!$M$1=1,CONCATENATE(A1061,C1061),CONCATENATE(B1061,C1061))</f>
        <v>KAWAN LAMA202508</v>
      </c>
      <c r="F1061">
        <v>235</v>
      </c>
      <c r="G1061">
        <v>0</v>
      </c>
      <c r="H1061">
        <v>0</v>
      </c>
      <c r="I1061">
        <v>0</v>
      </c>
      <c r="J1061">
        <v>53</v>
      </c>
      <c r="K1061">
        <v>23268000</v>
      </c>
      <c r="L1061">
        <v>0</v>
      </c>
      <c r="M1061">
        <v>0</v>
      </c>
      <c r="N1061">
        <v>0</v>
      </c>
      <c r="O1061">
        <v>30143210</v>
      </c>
      <c r="P1061">
        <v>34902</v>
      </c>
      <c r="Q1061">
        <v>0</v>
      </c>
      <c r="R1061">
        <v>0</v>
      </c>
      <c r="S1061">
        <v>0</v>
      </c>
      <c r="T1061">
        <v>211002</v>
      </c>
    </row>
    <row r="1062" spans="1:20" x14ac:dyDescent="0.25">
      <c r="A1062" t="s">
        <v>102</v>
      </c>
      <c r="B1062" t="s">
        <v>127</v>
      </c>
      <c r="C1062">
        <v>202508</v>
      </c>
      <c r="D1062" s="47" t="str">
        <f>MID(C1062,1,4)</f>
        <v>2025</v>
      </c>
      <c r="E1062" t="str">
        <f>IF(Portfolio!$M$1=1,CONCATENATE(A1062,C1062),CONCATENATE(B1062,C1062))</f>
        <v>KAWAN LAMA202508</v>
      </c>
      <c r="F1062">
        <v>3</v>
      </c>
      <c r="G1062">
        <v>0</v>
      </c>
      <c r="H1062">
        <v>0</v>
      </c>
      <c r="I1062">
        <v>0</v>
      </c>
      <c r="J1062">
        <v>0</v>
      </c>
      <c r="K1062">
        <v>1123700</v>
      </c>
      <c r="L1062">
        <v>0</v>
      </c>
      <c r="M1062">
        <v>0</v>
      </c>
      <c r="N1062">
        <v>0</v>
      </c>
      <c r="O1062">
        <v>0</v>
      </c>
      <c r="P1062">
        <v>1686</v>
      </c>
      <c r="Q1062">
        <v>0</v>
      </c>
      <c r="R1062">
        <v>0</v>
      </c>
      <c r="S1062">
        <v>0</v>
      </c>
      <c r="T1062">
        <v>0</v>
      </c>
    </row>
    <row r="1063" spans="1:20" x14ac:dyDescent="0.25">
      <c r="A1063" t="s">
        <v>102</v>
      </c>
      <c r="B1063" t="s">
        <v>129</v>
      </c>
      <c r="C1063">
        <v>202508</v>
      </c>
      <c r="D1063" s="47" t="str">
        <f>MID(C1063,1,4)</f>
        <v>2025</v>
      </c>
      <c r="E1063" t="str">
        <f>IF(Portfolio!$M$1=1,CONCATENATE(A1063,C1063),CONCATENATE(B1063,C1063))</f>
        <v>KAWAN LAMA202508</v>
      </c>
      <c r="F1063">
        <v>2</v>
      </c>
      <c r="G1063">
        <v>0</v>
      </c>
      <c r="H1063">
        <v>0</v>
      </c>
      <c r="I1063">
        <v>1</v>
      </c>
      <c r="J1063">
        <v>1</v>
      </c>
      <c r="K1063">
        <v>503003</v>
      </c>
      <c r="L1063">
        <v>0</v>
      </c>
      <c r="M1063">
        <v>0</v>
      </c>
      <c r="N1063">
        <v>10000</v>
      </c>
      <c r="O1063">
        <v>334002</v>
      </c>
      <c r="P1063">
        <v>754</v>
      </c>
      <c r="Q1063">
        <v>0</v>
      </c>
      <c r="R1063">
        <v>0</v>
      </c>
      <c r="S1063">
        <v>0</v>
      </c>
      <c r="T1063">
        <v>2338</v>
      </c>
    </row>
    <row r="1064" spans="1:20" x14ac:dyDescent="0.25">
      <c r="A1064" t="s">
        <v>102</v>
      </c>
      <c r="B1064" t="s">
        <v>131</v>
      </c>
      <c r="C1064">
        <v>202508</v>
      </c>
      <c r="D1064" s="47" t="str">
        <f>MID(C1064,1,4)</f>
        <v>2025</v>
      </c>
      <c r="E1064" t="str">
        <f>IF(Portfolio!$M$1=1,CONCATENATE(A1064,C1064),CONCATENATE(B1064,C1064))</f>
        <v>KAWAN LAMA202508</v>
      </c>
      <c r="F1064">
        <v>3</v>
      </c>
      <c r="G1064">
        <v>0</v>
      </c>
      <c r="H1064">
        <v>0</v>
      </c>
      <c r="I1064">
        <v>0</v>
      </c>
      <c r="J1064">
        <v>0</v>
      </c>
      <c r="K1064">
        <v>92000</v>
      </c>
      <c r="L1064">
        <v>0</v>
      </c>
      <c r="M1064">
        <v>0</v>
      </c>
      <c r="N1064">
        <v>0</v>
      </c>
      <c r="O1064">
        <v>0</v>
      </c>
      <c r="P1064">
        <v>138</v>
      </c>
      <c r="Q1064">
        <v>0</v>
      </c>
      <c r="R1064">
        <v>0</v>
      </c>
      <c r="S1064">
        <v>0</v>
      </c>
      <c r="T1064">
        <v>0</v>
      </c>
    </row>
    <row r="1065" spans="1:20" x14ac:dyDescent="0.25">
      <c r="A1065" t="s">
        <v>102</v>
      </c>
      <c r="B1065" t="s">
        <v>133</v>
      </c>
      <c r="C1065">
        <v>202508</v>
      </c>
      <c r="D1065" s="47" t="str">
        <f>MID(C1065,1,4)</f>
        <v>2025</v>
      </c>
      <c r="E1065" t="str">
        <f>IF(Portfolio!$M$1=1,CONCATENATE(A1065,C1065),CONCATENATE(B1065,C1065))</f>
        <v>KAWAN LAMA202508</v>
      </c>
      <c r="F1065">
        <v>16</v>
      </c>
      <c r="G1065">
        <v>0</v>
      </c>
      <c r="H1065">
        <v>0</v>
      </c>
      <c r="I1065">
        <v>0</v>
      </c>
      <c r="J1065">
        <v>0</v>
      </c>
      <c r="K1065">
        <v>2270000</v>
      </c>
      <c r="L1065">
        <v>0</v>
      </c>
      <c r="M1065">
        <v>0</v>
      </c>
      <c r="N1065">
        <v>0</v>
      </c>
      <c r="O1065">
        <v>0</v>
      </c>
      <c r="P1065">
        <v>3405</v>
      </c>
      <c r="Q1065">
        <v>0</v>
      </c>
      <c r="R1065">
        <v>0</v>
      </c>
      <c r="S1065">
        <v>0</v>
      </c>
      <c r="T1065">
        <v>0</v>
      </c>
    </row>
    <row r="1066" spans="1:20" x14ac:dyDescent="0.25">
      <c r="A1066" t="s">
        <v>102</v>
      </c>
      <c r="B1066" t="s">
        <v>135</v>
      </c>
      <c r="C1066">
        <v>202508</v>
      </c>
      <c r="D1066" s="47" t="str">
        <f>MID(C1066,1,4)</f>
        <v>2025</v>
      </c>
      <c r="E1066" t="str">
        <f>IF(Portfolio!$M$1=1,CONCATENATE(A1066,C1066),CONCATENATE(B1066,C1066))</f>
        <v>KAWAN LAMA202508</v>
      </c>
      <c r="F1066">
        <v>348</v>
      </c>
      <c r="G1066">
        <v>0</v>
      </c>
      <c r="H1066">
        <v>0</v>
      </c>
      <c r="I1066">
        <v>0</v>
      </c>
      <c r="J1066">
        <v>8</v>
      </c>
      <c r="K1066">
        <v>1110983703</v>
      </c>
      <c r="L1066">
        <v>0</v>
      </c>
      <c r="M1066">
        <v>0</v>
      </c>
      <c r="N1066">
        <v>0</v>
      </c>
      <c r="O1066">
        <v>435682727</v>
      </c>
      <c r="P1066">
        <v>1666475</v>
      </c>
      <c r="Q1066">
        <v>0</v>
      </c>
      <c r="R1066">
        <v>0</v>
      </c>
      <c r="S1066">
        <v>0</v>
      </c>
      <c r="T1066">
        <v>3049773</v>
      </c>
    </row>
    <row r="1067" spans="1:20" x14ac:dyDescent="0.25">
      <c r="A1067" t="s">
        <v>102</v>
      </c>
      <c r="B1067" t="s">
        <v>137</v>
      </c>
      <c r="C1067">
        <v>202508</v>
      </c>
      <c r="D1067" s="47" t="str">
        <f>MID(C1067,1,4)</f>
        <v>2025</v>
      </c>
      <c r="E1067" t="str">
        <f>IF(Portfolio!$M$1=1,CONCATENATE(A1067,C1067),CONCATENATE(B1067,C1067))</f>
        <v>KAWAN LAMA202508</v>
      </c>
      <c r="F1067">
        <v>20</v>
      </c>
      <c r="G1067">
        <v>0</v>
      </c>
      <c r="H1067">
        <v>0</v>
      </c>
      <c r="I1067">
        <v>0</v>
      </c>
      <c r="J1067">
        <v>0</v>
      </c>
      <c r="K1067">
        <v>74043750</v>
      </c>
      <c r="L1067">
        <v>0</v>
      </c>
      <c r="M1067">
        <v>0</v>
      </c>
      <c r="N1067">
        <v>0</v>
      </c>
      <c r="O1067">
        <v>69875450</v>
      </c>
      <c r="P1067">
        <v>111066</v>
      </c>
      <c r="Q1067">
        <v>0</v>
      </c>
      <c r="R1067">
        <v>0</v>
      </c>
      <c r="S1067">
        <v>0</v>
      </c>
      <c r="T1067">
        <v>489127</v>
      </c>
    </row>
    <row r="1068" spans="1:20" x14ac:dyDescent="0.25">
      <c r="A1068" t="s">
        <v>102</v>
      </c>
      <c r="B1068" t="s">
        <v>142</v>
      </c>
      <c r="C1068">
        <v>202508</v>
      </c>
      <c r="D1068" s="47" t="str">
        <f>MID(C1068,1,4)</f>
        <v>2025</v>
      </c>
      <c r="E1068" t="str">
        <f>IF(Portfolio!$M$1=1,CONCATENATE(A1068,C1068),CONCATENATE(B1068,C1068))</f>
        <v>KAWAN LAMA202508</v>
      </c>
      <c r="F1068">
        <v>31</v>
      </c>
      <c r="G1068">
        <v>0</v>
      </c>
      <c r="H1068">
        <v>0</v>
      </c>
      <c r="I1068">
        <v>0</v>
      </c>
      <c r="J1068">
        <v>21</v>
      </c>
      <c r="K1068">
        <v>62004401</v>
      </c>
      <c r="L1068">
        <v>0</v>
      </c>
      <c r="M1068">
        <v>0</v>
      </c>
      <c r="N1068">
        <v>0</v>
      </c>
      <c r="O1068">
        <v>54456857</v>
      </c>
      <c r="P1068">
        <v>93007</v>
      </c>
      <c r="Q1068">
        <v>0</v>
      </c>
      <c r="R1068">
        <v>0</v>
      </c>
      <c r="S1068">
        <v>0</v>
      </c>
      <c r="T1068">
        <v>371050</v>
      </c>
    </row>
    <row r="1069" spans="1:20" x14ac:dyDescent="0.25">
      <c r="A1069" t="s">
        <v>102</v>
      </c>
      <c r="B1069" t="s">
        <v>143</v>
      </c>
      <c r="C1069">
        <v>202508</v>
      </c>
      <c r="D1069" s="47" t="str">
        <f>MID(C1069,1,4)</f>
        <v>2025</v>
      </c>
      <c r="E1069" t="str">
        <f>IF(Portfolio!$M$1=1,CONCATENATE(A1069,C1069),CONCATENATE(B1069,C1069))</f>
        <v>KAWAN LAMA202508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720799</v>
      </c>
      <c r="P1069">
        <v>0</v>
      </c>
      <c r="Q1069">
        <v>0</v>
      </c>
      <c r="R1069">
        <v>0</v>
      </c>
      <c r="S1069">
        <v>0</v>
      </c>
      <c r="T1069">
        <v>5046</v>
      </c>
    </row>
    <row r="1070" spans="1:20" x14ac:dyDescent="0.25">
      <c r="A1070" t="s">
        <v>102</v>
      </c>
      <c r="B1070" t="s">
        <v>144</v>
      </c>
      <c r="C1070">
        <v>202508</v>
      </c>
      <c r="D1070" s="47" t="str">
        <f>MID(C1070,1,4)</f>
        <v>2025</v>
      </c>
      <c r="E1070" t="str">
        <f>IF(Portfolio!$M$1=1,CONCATENATE(A1070,C1070),CONCATENATE(B1070,C1070))</f>
        <v>KAWAN LAMA202508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170000</v>
      </c>
      <c r="L1070">
        <v>0</v>
      </c>
      <c r="M1070">
        <v>0</v>
      </c>
      <c r="N1070">
        <v>0</v>
      </c>
      <c r="O1070">
        <v>0</v>
      </c>
      <c r="P1070">
        <v>255</v>
      </c>
      <c r="Q1070">
        <v>0</v>
      </c>
      <c r="R1070">
        <v>0</v>
      </c>
      <c r="S1070">
        <v>0</v>
      </c>
      <c r="T1070">
        <v>0</v>
      </c>
    </row>
    <row r="1071" spans="1:20" x14ac:dyDescent="0.25">
      <c r="A1071" t="s">
        <v>103</v>
      </c>
      <c r="B1071" t="s">
        <v>146</v>
      </c>
      <c r="C1071">
        <v>202508</v>
      </c>
      <c r="D1071" s="47" t="str">
        <f>MID(C1071,1,4)</f>
        <v>2025</v>
      </c>
      <c r="E1071" t="str">
        <f>IF(Portfolio!$M$1=1,CONCATENATE(A1071,C1071),CONCATENATE(B1071,C1071))</f>
        <v>KCIC202508</v>
      </c>
      <c r="F1071">
        <v>84</v>
      </c>
      <c r="G1071">
        <v>1906</v>
      </c>
      <c r="H1071">
        <v>1533</v>
      </c>
      <c r="I1071">
        <v>0</v>
      </c>
      <c r="J1071">
        <v>0</v>
      </c>
      <c r="K1071">
        <v>52875000</v>
      </c>
      <c r="L1071">
        <v>1198530000</v>
      </c>
      <c r="M1071">
        <v>1258945000</v>
      </c>
      <c r="N1071">
        <v>0</v>
      </c>
      <c r="O1071">
        <v>0</v>
      </c>
      <c r="P1071">
        <v>79312</v>
      </c>
      <c r="Q1071">
        <v>11985300</v>
      </c>
      <c r="R1071">
        <v>22673410</v>
      </c>
      <c r="S1071">
        <v>0</v>
      </c>
      <c r="T1071">
        <v>0</v>
      </c>
    </row>
    <row r="1072" spans="1:20" x14ac:dyDescent="0.25">
      <c r="A1072" t="s">
        <v>104</v>
      </c>
      <c r="B1072" t="s">
        <v>147</v>
      </c>
      <c r="C1072">
        <v>202508</v>
      </c>
      <c r="D1072" s="47" t="str">
        <f>MID(C1072,1,4)</f>
        <v>2025</v>
      </c>
      <c r="E1072" t="str">
        <f>IF(Portfolio!$M$1=1,CONCATENATE(A1072,C1072),CONCATENATE(B1072,C1072))</f>
        <v>KIMIA FARMA202508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35500</v>
      </c>
      <c r="P1072">
        <v>0</v>
      </c>
      <c r="Q1072">
        <v>0</v>
      </c>
      <c r="R1072">
        <v>0</v>
      </c>
      <c r="S1072">
        <v>0</v>
      </c>
      <c r="T1072">
        <v>248</v>
      </c>
    </row>
    <row r="1073" spans="1:20" x14ac:dyDescent="0.25">
      <c r="A1073" t="s">
        <v>105</v>
      </c>
      <c r="B1073" t="s">
        <v>148</v>
      </c>
      <c r="C1073">
        <v>202508</v>
      </c>
      <c r="D1073" s="47" t="str">
        <f>MID(C1073,1,4)</f>
        <v>2025</v>
      </c>
      <c r="E1073" t="str">
        <f>IF(Portfolio!$M$1=1,CONCATENATE(A1073,C1073),CONCATENATE(B1073,C1073))</f>
        <v>LOTTE GROUP202508</v>
      </c>
      <c r="F1073">
        <v>664</v>
      </c>
      <c r="G1073">
        <v>0</v>
      </c>
      <c r="H1073">
        <v>0</v>
      </c>
      <c r="I1073">
        <v>0</v>
      </c>
      <c r="J1073">
        <v>0</v>
      </c>
      <c r="K1073">
        <v>399149286</v>
      </c>
      <c r="L1073">
        <v>0</v>
      </c>
      <c r="M1073">
        <v>0</v>
      </c>
      <c r="N1073">
        <v>0</v>
      </c>
      <c r="O1073">
        <v>0</v>
      </c>
      <c r="P1073">
        <v>598722</v>
      </c>
      <c r="Q1073">
        <v>0</v>
      </c>
      <c r="R1073">
        <v>0</v>
      </c>
      <c r="S1073">
        <v>0</v>
      </c>
      <c r="T1073">
        <v>0</v>
      </c>
    </row>
    <row r="1074" spans="1:20" x14ac:dyDescent="0.25">
      <c r="A1074" t="s">
        <v>105</v>
      </c>
      <c r="B1074" t="s">
        <v>149</v>
      </c>
      <c r="C1074">
        <v>202508</v>
      </c>
      <c r="D1074" s="47" t="str">
        <f>MID(C1074,1,4)</f>
        <v>2025</v>
      </c>
      <c r="E1074" t="str">
        <f>IF(Portfolio!$M$1=1,CONCATENATE(A1074,C1074),CONCATENATE(B1074,C1074))</f>
        <v>LOTTE GROUP202508</v>
      </c>
      <c r="F1074">
        <v>380</v>
      </c>
      <c r="G1074">
        <v>0</v>
      </c>
      <c r="H1074">
        <v>0</v>
      </c>
      <c r="I1074">
        <v>0</v>
      </c>
      <c r="J1074">
        <v>0</v>
      </c>
      <c r="K1074">
        <v>125511720</v>
      </c>
      <c r="L1074">
        <v>0</v>
      </c>
      <c r="M1074">
        <v>0</v>
      </c>
      <c r="N1074">
        <v>0</v>
      </c>
      <c r="O1074">
        <v>0</v>
      </c>
      <c r="P1074">
        <v>188268</v>
      </c>
      <c r="Q1074">
        <v>0</v>
      </c>
      <c r="R1074">
        <v>0</v>
      </c>
      <c r="S1074">
        <v>0</v>
      </c>
      <c r="T1074">
        <v>0</v>
      </c>
    </row>
    <row r="1075" spans="1:20" x14ac:dyDescent="0.25">
      <c r="A1075" t="s">
        <v>106</v>
      </c>
      <c r="B1075" t="s">
        <v>106</v>
      </c>
      <c r="C1075">
        <v>202508</v>
      </c>
      <c r="D1075" s="47" t="str">
        <f>MID(C1075,1,4)</f>
        <v>2025</v>
      </c>
      <c r="E1075" t="str">
        <f>IF(Portfolio!$M$1=1,CONCATENATE(A1075,C1075),CONCATENATE(B1075,C1075))</f>
        <v>MAMA ROZ202508</v>
      </c>
      <c r="F1075">
        <v>0</v>
      </c>
      <c r="G1075">
        <v>7</v>
      </c>
      <c r="H1075">
        <v>21</v>
      </c>
      <c r="I1075">
        <v>0</v>
      </c>
      <c r="J1075">
        <v>360</v>
      </c>
      <c r="K1075">
        <v>0</v>
      </c>
      <c r="L1075">
        <v>239810</v>
      </c>
      <c r="M1075">
        <v>807700</v>
      </c>
      <c r="N1075">
        <v>0</v>
      </c>
      <c r="O1075">
        <v>38548666</v>
      </c>
      <c r="P1075">
        <v>0</v>
      </c>
      <c r="Q1075">
        <v>2398</v>
      </c>
      <c r="R1075">
        <v>13366</v>
      </c>
      <c r="S1075">
        <v>0</v>
      </c>
      <c r="T1075">
        <v>269842</v>
      </c>
    </row>
    <row r="1076" spans="1:20" x14ac:dyDescent="0.25">
      <c r="A1076" t="s">
        <v>107</v>
      </c>
      <c r="B1076" t="s">
        <v>160</v>
      </c>
      <c r="C1076">
        <v>202508</v>
      </c>
      <c r="D1076" s="47" t="str">
        <f>MID(C1076,1,4)</f>
        <v>2025</v>
      </c>
      <c r="E1076" t="str">
        <f>IF(Portfolio!$M$1=1,CONCATENATE(A1076,C1076),CONCATENATE(B1076,C1076))</f>
        <v>MAP GROUP202508</v>
      </c>
      <c r="F1076">
        <v>0</v>
      </c>
      <c r="G1076">
        <v>0</v>
      </c>
      <c r="H1076">
        <v>13</v>
      </c>
      <c r="I1076">
        <v>0</v>
      </c>
      <c r="J1076">
        <v>0</v>
      </c>
      <c r="K1076">
        <v>0</v>
      </c>
      <c r="L1076">
        <v>0</v>
      </c>
      <c r="M1076">
        <v>52160800</v>
      </c>
      <c r="N1076">
        <v>0</v>
      </c>
      <c r="O1076">
        <v>0</v>
      </c>
      <c r="P1076">
        <v>0</v>
      </c>
      <c r="Q1076">
        <v>0</v>
      </c>
      <c r="R1076">
        <v>678090</v>
      </c>
      <c r="S1076">
        <v>0</v>
      </c>
      <c r="T1076">
        <v>0</v>
      </c>
    </row>
    <row r="1077" spans="1:20" x14ac:dyDescent="0.25">
      <c r="A1077" t="s">
        <v>107</v>
      </c>
      <c r="B1077" t="s">
        <v>162</v>
      </c>
      <c r="C1077">
        <v>202508</v>
      </c>
      <c r="D1077" s="47" t="str">
        <f>MID(C1077,1,4)</f>
        <v>2025</v>
      </c>
      <c r="E1077" t="str">
        <f>IF(Portfolio!$M$1=1,CONCATENATE(A1077,C1077),CONCATENATE(B1077,C1077))</f>
        <v>MAP GROUP202508</v>
      </c>
      <c r="F1077">
        <v>1</v>
      </c>
      <c r="G1077">
        <v>4</v>
      </c>
      <c r="H1077">
        <v>0</v>
      </c>
      <c r="I1077">
        <v>0</v>
      </c>
      <c r="J1077">
        <v>0</v>
      </c>
      <c r="K1077">
        <v>42500</v>
      </c>
      <c r="L1077">
        <v>391600</v>
      </c>
      <c r="M1077">
        <v>0</v>
      </c>
      <c r="N1077">
        <v>0</v>
      </c>
      <c r="O1077">
        <v>0</v>
      </c>
      <c r="P1077">
        <v>64</v>
      </c>
      <c r="Q1077">
        <v>3916</v>
      </c>
      <c r="R1077">
        <v>0</v>
      </c>
      <c r="S1077">
        <v>0</v>
      </c>
      <c r="T1077">
        <v>0</v>
      </c>
    </row>
    <row r="1078" spans="1:20" x14ac:dyDescent="0.25">
      <c r="A1078" t="s">
        <v>107</v>
      </c>
      <c r="B1078" t="s">
        <v>169</v>
      </c>
      <c r="C1078">
        <v>202508</v>
      </c>
      <c r="D1078" s="47" t="str">
        <f>MID(C1078,1,4)</f>
        <v>2025</v>
      </c>
      <c r="E1078" t="str">
        <f>IF(Portfolio!$M$1=1,CONCATENATE(A1078,C1078),CONCATENATE(B1078,C1078))</f>
        <v>MAP GROUP202508</v>
      </c>
      <c r="F1078">
        <v>0</v>
      </c>
      <c r="G1078">
        <v>9</v>
      </c>
      <c r="H1078">
        <v>5</v>
      </c>
      <c r="I1078">
        <v>0</v>
      </c>
      <c r="J1078">
        <v>0</v>
      </c>
      <c r="K1078">
        <v>0</v>
      </c>
      <c r="L1078">
        <v>496949</v>
      </c>
      <c r="M1078">
        <v>199408</v>
      </c>
      <c r="N1078">
        <v>0</v>
      </c>
      <c r="O1078">
        <v>0</v>
      </c>
      <c r="P1078">
        <v>0</v>
      </c>
      <c r="Q1078">
        <v>4969</v>
      </c>
      <c r="R1078">
        <v>2592</v>
      </c>
      <c r="S1078">
        <v>0</v>
      </c>
      <c r="T1078">
        <v>0</v>
      </c>
    </row>
    <row r="1079" spans="1:20" x14ac:dyDescent="0.25">
      <c r="A1079" t="s">
        <v>107</v>
      </c>
      <c r="B1079" t="s">
        <v>177</v>
      </c>
      <c r="C1079">
        <v>202508</v>
      </c>
      <c r="D1079" s="47" t="str">
        <f>MID(C1079,1,4)</f>
        <v>2025</v>
      </c>
      <c r="E1079" t="str">
        <f>IF(Portfolio!$M$1=1,CONCATENATE(A1079,C1079),CONCATENATE(B1079,C1079))</f>
        <v>MAP GROUP202508</v>
      </c>
      <c r="F1079">
        <v>1</v>
      </c>
      <c r="G1079">
        <v>10</v>
      </c>
      <c r="H1079">
        <v>20</v>
      </c>
      <c r="I1079">
        <v>0</v>
      </c>
      <c r="J1079">
        <v>0</v>
      </c>
      <c r="K1079">
        <v>2002000</v>
      </c>
      <c r="L1079">
        <v>19236400</v>
      </c>
      <c r="M1079">
        <v>38368930</v>
      </c>
      <c r="N1079">
        <v>0</v>
      </c>
      <c r="O1079">
        <v>0</v>
      </c>
      <c r="P1079">
        <v>3003</v>
      </c>
      <c r="Q1079">
        <v>192364</v>
      </c>
      <c r="R1079">
        <v>498796</v>
      </c>
      <c r="S1079">
        <v>0</v>
      </c>
      <c r="T1079">
        <v>0</v>
      </c>
    </row>
    <row r="1080" spans="1:20" x14ac:dyDescent="0.25">
      <c r="A1080" t="s">
        <v>107</v>
      </c>
      <c r="B1080" t="s">
        <v>178</v>
      </c>
      <c r="C1080">
        <v>202508</v>
      </c>
      <c r="D1080" s="47" t="str">
        <f>MID(C1080,1,4)</f>
        <v>2025</v>
      </c>
      <c r="E1080" t="str">
        <f>IF(Portfolio!$M$1=1,CONCATENATE(A1080,C1080),CONCATENATE(B1080,C1080))</f>
        <v>MAP GROUP202508</v>
      </c>
      <c r="F1080">
        <v>1</v>
      </c>
      <c r="G1080">
        <v>94</v>
      </c>
      <c r="H1080">
        <v>23</v>
      </c>
      <c r="I1080">
        <v>9</v>
      </c>
      <c r="J1080">
        <v>974</v>
      </c>
      <c r="K1080">
        <v>3689200</v>
      </c>
      <c r="L1080">
        <v>29035200</v>
      </c>
      <c r="M1080">
        <v>21650322</v>
      </c>
      <c r="N1080">
        <v>672700</v>
      </c>
      <c r="O1080">
        <v>115464200</v>
      </c>
      <c r="P1080">
        <v>5534</v>
      </c>
      <c r="Q1080">
        <v>290352</v>
      </c>
      <c r="R1080">
        <v>283640</v>
      </c>
      <c r="S1080">
        <v>4236</v>
      </c>
      <c r="T1080">
        <v>793609</v>
      </c>
    </row>
    <row r="1081" spans="1:20" x14ac:dyDescent="0.25">
      <c r="A1081" t="s">
        <v>107</v>
      </c>
      <c r="B1081" t="s">
        <v>181</v>
      </c>
      <c r="C1081">
        <v>202508</v>
      </c>
      <c r="D1081" s="47" t="str">
        <f>MID(C1081,1,4)</f>
        <v>2025</v>
      </c>
      <c r="E1081" t="str">
        <f>IF(Portfolio!$M$1=1,CONCATENATE(A1081,C1081),CONCATENATE(B1081,C1081))</f>
        <v>MAP GROUP202508</v>
      </c>
      <c r="F1081">
        <v>2</v>
      </c>
      <c r="G1081">
        <v>0</v>
      </c>
      <c r="H1081">
        <v>5</v>
      </c>
      <c r="I1081">
        <v>0</v>
      </c>
      <c r="J1081">
        <v>0</v>
      </c>
      <c r="K1081">
        <v>20000</v>
      </c>
      <c r="L1081">
        <v>0</v>
      </c>
      <c r="M1081">
        <v>50014</v>
      </c>
      <c r="N1081">
        <v>0</v>
      </c>
      <c r="O1081">
        <v>0</v>
      </c>
      <c r="P1081">
        <v>30</v>
      </c>
      <c r="Q1081">
        <v>0</v>
      </c>
      <c r="R1081">
        <v>1000</v>
      </c>
      <c r="S1081">
        <v>0</v>
      </c>
      <c r="T1081">
        <v>0</v>
      </c>
    </row>
    <row r="1082" spans="1:20" x14ac:dyDescent="0.25">
      <c r="A1082" t="s">
        <v>107</v>
      </c>
      <c r="B1082" t="s">
        <v>189</v>
      </c>
      <c r="C1082">
        <v>202508</v>
      </c>
      <c r="D1082" s="47" t="str">
        <f>MID(C1082,1,4)</f>
        <v>2025</v>
      </c>
      <c r="E1082" t="str">
        <f>IF(Portfolio!$M$1=1,CONCATENATE(A1082,C1082),CONCATENATE(B1082,C1082))</f>
        <v>MAP GROUP202508</v>
      </c>
      <c r="F1082">
        <v>1</v>
      </c>
      <c r="G1082">
        <v>61</v>
      </c>
      <c r="H1082">
        <v>116</v>
      </c>
      <c r="I1082">
        <v>0</v>
      </c>
      <c r="J1082">
        <v>0</v>
      </c>
      <c r="K1082">
        <v>10382000</v>
      </c>
      <c r="L1082">
        <v>119417000</v>
      </c>
      <c r="M1082">
        <v>209579115</v>
      </c>
      <c r="N1082">
        <v>0</v>
      </c>
      <c r="O1082">
        <v>0</v>
      </c>
      <c r="P1082">
        <v>15573</v>
      </c>
      <c r="Q1082">
        <v>1194170</v>
      </c>
      <c r="R1082">
        <v>2724528</v>
      </c>
      <c r="S1082">
        <v>0</v>
      </c>
      <c r="T1082">
        <v>0</v>
      </c>
    </row>
    <row r="1083" spans="1:20" x14ac:dyDescent="0.25">
      <c r="A1083" t="s">
        <v>107</v>
      </c>
      <c r="B1083" t="s">
        <v>190</v>
      </c>
      <c r="C1083">
        <v>202508</v>
      </c>
      <c r="D1083" s="47" t="str">
        <f>MID(C1083,1,4)</f>
        <v>2025</v>
      </c>
      <c r="E1083" t="str">
        <f>IF(Portfolio!$M$1=1,CONCATENATE(A1083,C1083),CONCATENATE(B1083,C1083))</f>
        <v>MAP GROUP202508</v>
      </c>
      <c r="F1083">
        <v>0</v>
      </c>
      <c r="G1083">
        <v>0</v>
      </c>
      <c r="H1083">
        <v>0</v>
      </c>
      <c r="I1083">
        <v>0</v>
      </c>
      <c r="J1083">
        <v>13</v>
      </c>
      <c r="K1083">
        <v>0</v>
      </c>
      <c r="L1083">
        <v>0</v>
      </c>
      <c r="M1083">
        <v>0</v>
      </c>
      <c r="N1083">
        <v>0</v>
      </c>
      <c r="O1083">
        <v>1050300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 spans="1:20" x14ac:dyDescent="0.25">
      <c r="A1084" t="s">
        <v>107</v>
      </c>
      <c r="B1084" t="s">
        <v>199</v>
      </c>
      <c r="C1084">
        <v>202508</v>
      </c>
      <c r="D1084" s="47" t="str">
        <f>MID(C1084,1,4)</f>
        <v>2025</v>
      </c>
      <c r="E1084" t="str">
        <f>IF(Portfolio!$M$1=1,CONCATENATE(A1084,C1084),CONCATENATE(B1084,C1084))</f>
        <v>MAP GROUP202508</v>
      </c>
      <c r="F1084">
        <v>2</v>
      </c>
      <c r="G1084">
        <v>77</v>
      </c>
      <c r="H1084">
        <v>46</v>
      </c>
      <c r="I1084">
        <v>0</v>
      </c>
      <c r="J1084">
        <v>0</v>
      </c>
      <c r="K1084">
        <v>2935920</v>
      </c>
      <c r="L1084">
        <v>185181700</v>
      </c>
      <c r="M1084">
        <v>79064900</v>
      </c>
      <c r="N1084">
        <v>0</v>
      </c>
      <c r="O1084">
        <v>0</v>
      </c>
      <c r="P1084">
        <v>4404</v>
      </c>
      <c r="Q1084">
        <v>1851817</v>
      </c>
      <c r="R1084">
        <v>1027844</v>
      </c>
      <c r="S1084">
        <v>0</v>
      </c>
      <c r="T1084">
        <v>0</v>
      </c>
    </row>
    <row r="1085" spans="1:20" x14ac:dyDescent="0.25">
      <c r="A1085" t="s">
        <v>107</v>
      </c>
      <c r="B1085" t="s">
        <v>203</v>
      </c>
      <c r="C1085">
        <v>202508</v>
      </c>
      <c r="D1085" s="47" t="str">
        <f>MID(C1085,1,4)</f>
        <v>2025</v>
      </c>
      <c r="E1085" t="str">
        <f>IF(Portfolio!$M$1=1,CONCATENATE(A1085,C1085),CONCATENATE(B1085,C1085))</f>
        <v>MAP GROUP202508</v>
      </c>
      <c r="F1085">
        <v>2</v>
      </c>
      <c r="G1085">
        <v>67</v>
      </c>
      <c r="H1085">
        <v>111</v>
      </c>
      <c r="I1085">
        <v>0</v>
      </c>
      <c r="J1085">
        <v>0</v>
      </c>
      <c r="K1085">
        <v>814800</v>
      </c>
      <c r="L1085">
        <v>41602400</v>
      </c>
      <c r="M1085">
        <v>79447200</v>
      </c>
      <c r="N1085">
        <v>0</v>
      </c>
      <c r="O1085">
        <v>0</v>
      </c>
      <c r="P1085">
        <v>1222</v>
      </c>
      <c r="Q1085">
        <v>416024</v>
      </c>
      <c r="R1085">
        <v>1032814</v>
      </c>
      <c r="S1085">
        <v>0</v>
      </c>
      <c r="T1085">
        <v>0</v>
      </c>
    </row>
    <row r="1086" spans="1:20" x14ac:dyDescent="0.25">
      <c r="A1086" t="s">
        <v>107</v>
      </c>
      <c r="B1086" t="s">
        <v>205</v>
      </c>
      <c r="C1086">
        <v>202508</v>
      </c>
      <c r="D1086" s="47" t="str">
        <f>MID(C1086,1,4)</f>
        <v>2025</v>
      </c>
      <c r="E1086" t="str">
        <f>IF(Portfolio!$M$1=1,CONCATENATE(A1086,C1086),CONCATENATE(B1086,C1086))</f>
        <v>MAP GROUP202508</v>
      </c>
      <c r="F1086">
        <v>1</v>
      </c>
      <c r="G1086">
        <v>27</v>
      </c>
      <c r="H1086">
        <v>17</v>
      </c>
      <c r="I1086">
        <v>0</v>
      </c>
      <c r="J1086">
        <v>0</v>
      </c>
      <c r="K1086">
        <v>240000</v>
      </c>
      <c r="L1086">
        <v>2830500</v>
      </c>
      <c r="M1086">
        <v>1831001</v>
      </c>
      <c r="N1086">
        <v>0</v>
      </c>
      <c r="O1086">
        <v>0</v>
      </c>
      <c r="P1086">
        <v>360</v>
      </c>
      <c r="Q1086">
        <v>28305</v>
      </c>
      <c r="R1086">
        <v>23803</v>
      </c>
      <c r="S1086">
        <v>0</v>
      </c>
      <c r="T1086">
        <v>0</v>
      </c>
    </row>
    <row r="1087" spans="1:20" x14ac:dyDescent="0.25">
      <c r="A1087" t="s">
        <v>109</v>
      </c>
      <c r="B1087" t="s">
        <v>109</v>
      </c>
      <c r="C1087">
        <v>202508</v>
      </c>
      <c r="D1087" s="47" t="str">
        <f>MID(C1087,1,4)</f>
        <v>2025</v>
      </c>
      <c r="E1087" t="str">
        <f>IF(Portfolio!$M$1=1,CONCATENATE(A1087,C1087),CONCATENATE(B1087,C1087))</f>
        <v>MITRA10202508</v>
      </c>
      <c r="F1087">
        <v>525</v>
      </c>
      <c r="G1087">
        <v>6</v>
      </c>
      <c r="H1087">
        <v>1</v>
      </c>
      <c r="I1087">
        <v>0</v>
      </c>
      <c r="J1087">
        <v>0</v>
      </c>
      <c r="K1087">
        <v>1146122094</v>
      </c>
      <c r="L1087">
        <v>35361234</v>
      </c>
      <c r="M1087">
        <v>318980</v>
      </c>
      <c r="N1087">
        <v>0</v>
      </c>
      <c r="O1087">
        <v>0</v>
      </c>
      <c r="P1087">
        <v>1719181</v>
      </c>
      <c r="Q1087">
        <v>353612</v>
      </c>
      <c r="R1087">
        <v>6380</v>
      </c>
      <c r="S1087">
        <v>0</v>
      </c>
      <c r="T1087">
        <v>0</v>
      </c>
    </row>
    <row r="1088" spans="1:20" x14ac:dyDescent="0.25">
      <c r="A1088" t="s">
        <v>110</v>
      </c>
      <c r="B1088" t="s">
        <v>110</v>
      </c>
      <c r="C1088">
        <v>202508</v>
      </c>
      <c r="D1088" s="47" t="str">
        <f>MID(C1088,1,4)</f>
        <v>2025</v>
      </c>
      <c r="E1088" t="str">
        <f>IF(Portfolio!$M$1=1,CONCATENATE(A1088,C1088),CONCATENATE(B1088,C1088))</f>
        <v>OPTIK MELAWAI202508</v>
      </c>
      <c r="F1088">
        <v>74</v>
      </c>
      <c r="G1088">
        <v>0</v>
      </c>
      <c r="H1088">
        <v>0</v>
      </c>
      <c r="I1088">
        <v>0</v>
      </c>
      <c r="J1088">
        <v>0</v>
      </c>
      <c r="K1088">
        <v>135529500</v>
      </c>
      <c r="L1088">
        <v>0</v>
      </c>
      <c r="M1088">
        <v>0</v>
      </c>
      <c r="N1088">
        <v>0</v>
      </c>
      <c r="O1088">
        <v>0</v>
      </c>
      <c r="P1088">
        <v>203294</v>
      </c>
      <c r="Q1088">
        <v>0</v>
      </c>
      <c r="R1088">
        <v>0</v>
      </c>
      <c r="S1088">
        <v>0</v>
      </c>
      <c r="T1088">
        <v>0</v>
      </c>
    </row>
    <row r="1089" spans="1:20" x14ac:dyDescent="0.25">
      <c r="A1089" t="s">
        <v>112</v>
      </c>
      <c r="B1089" t="s">
        <v>216</v>
      </c>
      <c r="C1089">
        <v>202508</v>
      </c>
      <c r="D1089" s="47" t="str">
        <f>MID(C1089,1,4)</f>
        <v>2025</v>
      </c>
      <c r="E1089" t="str">
        <f>IF(Portfolio!$M$1=1,CONCATENATE(A1089,C1089),CONCATENATE(B1089,C1089))</f>
        <v>PERTAMINA RETAIL202508</v>
      </c>
      <c r="F1089">
        <v>43</v>
      </c>
      <c r="G1089">
        <v>2869</v>
      </c>
      <c r="H1089">
        <v>334</v>
      </c>
      <c r="I1089">
        <v>44</v>
      </c>
      <c r="J1089">
        <v>6449</v>
      </c>
      <c r="K1089">
        <v>7377238</v>
      </c>
      <c r="L1089">
        <v>543396452</v>
      </c>
      <c r="M1089">
        <v>108653090</v>
      </c>
      <c r="N1089">
        <v>6355804</v>
      </c>
      <c r="O1089">
        <v>774726818</v>
      </c>
      <c r="P1089">
        <v>11066</v>
      </c>
      <c r="Q1089">
        <v>4581171</v>
      </c>
      <c r="R1089">
        <v>1955756</v>
      </c>
      <c r="S1089">
        <v>14907</v>
      </c>
      <c r="T1089">
        <v>1867465</v>
      </c>
    </row>
    <row r="1090" spans="1:20" x14ac:dyDescent="0.25">
      <c r="A1090" t="s">
        <v>114</v>
      </c>
      <c r="B1090" t="s">
        <v>217</v>
      </c>
      <c r="C1090">
        <v>202508</v>
      </c>
      <c r="D1090" s="47" t="str">
        <f>MID(C1090,1,4)</f>
        <v>2025</v>
      </c>
      <c r="E1090" t="str">
        <f>IF(Portfolio!$M$1=1,CONCATENATE(A1090,C1090),CONCATENATE(B1090,C1090))</f>
        <v>PIZZA HUT202508</v>
      </c>
      <c r="F1090">
        <v>39</v>
      </c>
      <c r="G1090">
        <v>0</v>
      </c>
      <c r="H1090">
        <v>0</v>
      </c>
      <c r="I1090">
        <v>67</v>
      </c>
      <c r="J1090">
        <v>11</v>
      </c>
      <c r="K1090">
        <v>8009500</v>
      </c>
      <c r="L1090">
        <v>0</v>
      </c>
      <c r="M1090">
        <v>0</v>
      </c>
      <c r="N1090">
        <v>5216001</v>
      </c>
      <c r="O1090">
        <v>414000</v>
      </c>
      <c r="P1090">
        <v>12014</v>
      </c>
      <c r="Q1090">
        <v>0</v>
      </c>
      <c r="R1090">
        <v>0</v>
      </c>
      <c r="S1090">
        <v>36512</v>
      </c>
      <c r="T1090">
        <v>2898</v>
      </c>
    </row>
    <row r="1091" spans="1:20" x14ac:dyDescent="0.25">
      <c r="A1091" t="s">
        <v>114</v>
      </c>
      <c r="B1091" t="s">
        <v>218</v>
      </c>
      <c r="C1091">
        <v>202508</v>
      </c>
      <c r="D1091" s="47" t="str">
        <f>MID(C1091,1,4)</f>
        <v>2025</v>
      </c>
      <c r="E1091" t="str">
        <f>IF(Portfolio!$M$1=1,CONCATENATE(A1091,C1091),CONCATENATE(B1091,C1091))</f>
        <v>PIZZA HUT202508</v>
      </c>
      <c r="F1091">
        <v>181</v>
      </c>
      <c r="G1091">
        <v>0</v>
      </c>
      <c r="H1091">
        <v>0</v>
      </c>
      <c r="I1091">
        <v>0</v>
      </c>
      <c r="J1091">
        <v>0</v>
      </c>
      <c r="K1091">
        <v>50874993</v>
      </c>
      <c r="L1091">
        <v>0</v>
      </c>
      <c r="M1091">
        <v>0</v>
      </c>
      <c r="N1091">
        <v>0</v>
      </c>
      <c r="O1091">
        <v>0</v>
      </c>
      <c r="P1091">
        <v>76312</v>
      </c>
      <c r="Q1091">
        <v>0</v>
      </c>
      <c r="R1091">
        <v>0</v>
      </c>
      <c r="S1091">
        <v>0</v>
      </c>
      <c r="T1091">
        <v>0</v>
      </c>
    </row>
    <row r="1092" spans="1:20" x14ac:dyDescent="0.25">
      <c r="A1092" t="s">
        <v>115</v>
      </c>
      <c r="B1092" t="s">
        <v>115</v>
      </c>
      <c r="C1092">
        <v>202508</v>
      </c>
      <c r="D1092" s="47" t="str">
        <f>MID(C1092,1,4)</f>
        <v>2025</v>
      </c>
      <c r="E1092" t="str">
        <f>IF(Portfolio!$M$1=1,CONCATENATE(A1092,C1092),CONCATENATE(B1092,C1092))</f>
        <v>PLATINUM CINEPLEX202508</v>
      </c>
      <c r="F1092">
        <v>2</v>
      </c>
      <c r="G1092">
        <v>214</v>
      </c>
      <c r="H1092">
        <v>100</v>
      </c>
      <c r="I1092">
        <v>4</v>
      </c>
      <c r="J1092">
        <v>1292</v>
      </c>
      <c r="K1092">
        <v>345000</v>
      </c>
      <c r="L1092">
        <v>24597000</v>
      </c>
      <c r="M1092">
        <v>12669000</v>
      </c>
      <c r="N1092">
        <v>345000</v>
      </c>
      <c r="O1092">
        <v>134150245</v>
      </c>
      <c r="P1092">
        <v>518</v>
      </c>
      <c r="Q1092">
        <v>245970</v>
      </c>
      <c r="R1092">
        <v>228342</v>
      </c>
      <c r="S1092">
        <v>2415</v>
      </c>
      <c r="T1092">
        <v>939052</v>
      </c>
    </row>
    <row r="1093" spans="1:20" x14ac:dyDescent="0.25">
      <c r="A1093" t="s">
        <v>116</v>
      </c>
      <c r="B1093" t="s">
        <v>116</v>
      </c>
      <c r="C1093">
        <v>202508</v>
      </c>
      <c r="D1093" s="47" t="str">
        <f>MID(C1093,1,4)</f>
        <v>2025</v>
      </c>
      <c r="E1093" t="str">
        <f>IF(Portfolio!$M$1=1,CONCATENATE(A1093,C1093),CONCATENATE(B1093,C1093))</f>
        <v>POPEYES202508</v>
      </c>
      <c r="F1093">
        <v>7</v>
      </c>
      <c r="G1093">
        <v>6</v>
      </c>
      <c r="H1093">
        <v>1</v>
      </c>
      <c r="I1093">
        <v>0</v>
      </c>
      <c r="J1093">
        <v>9</v>
      </c>
      <c r="K1093">
        <v>809383</v>
      </c>
      <c r="L1093">
        <v>482100</v>
      </c>
      <c r="M1093">
        <v>45000</v>
      </c>
      <c r="N1093">
        <v>0</v>
      </c>
      <c r="O1093">
        <v>15846183</v>
      </c>
      <c r="P1093">
        <v>1214</v>
      </c>
      <c r="Q1093">
        <v>4821</v>
      </c>
      <c r="R1093">
        <v>900</v>
      </c>
      <c r="S1093">
        <v>0</v>
      </c>
      <c r="T1093">
        <v>110922</v>
      </c>
    </row>
    <row r="1094" spans="1:20" x14ac:dyDescent="0.25">
      <c r="A1094" t="s">
        <v>118</v>
      </c>
      <c r="B1094" t="s">
        <v>118</v>
      </c>
      <c r="C1094">
        <v>202508</v>
      </c>
      <c r="D1094" s="47" t="str">
        <f>MID(C1094,1,4)</f>
        <v>2025</v>
      </c>
      <c r="E1094" t="str">
        <f>IF(Portfolio!$M$1=1,CONCATENATE(A1094,C1094),CONCATENATE(B1094,C1094))</f>
        <v>SARINAH202508</v>
      </c>
      <c r="F1094">
        <v>10</v>
      </c>
      <c r="G1094">
        <v>129</v>
      </c>
      <c r="H1094">
        <v>375</v>
      </c>
      <c r="I1094">
        <v>0</v>
      </c>
      <c r="J1094">
        <v>52</v>
      </c>
      <c r="K1094">
        <v>11117945</v>
      </c>
      <c r="L1094">
        <v>97466699</v>
      </c>
      <c r="M1094">
        <v>407039311</v>
      </c>
      <c r="N1094">
        <v>0</v>
      </c>
      <c r="O1094">
        <v>4701680</v>
      </c>
      <c r="P1094">
        <v>16677</v>
      </c>
      <c r="Q1094">
        <v>974667</v>
      </c>
      <c r="R1094">
        <v>7326708</v>
      </c>
      <c r="S1094">
        <v>0</v>
      </c>
      <c r="T1094">
        <v>24120</v>
      </c>
    </row>
    <row r="1095" spans="1:20" x14ac:dyDescent="0.25">
      <c r="A1095" t="s">
        <v>120</v>
      </c>
      <c r="B1095" t="s">
        <v>120</v>
      </c>
      <c r="C1095">
        <v>202508</v>
      </c>
      <c r="D1095" s="47" t="str">
        <f>MID(C1095,1,4)</f>
        <v>2025</v>
      </c>
      <c r="E1095" t="str">
        <f>IF(Portfolio!$M$1=1,CONCATENATE(A1095,C1095),CONCATENATE(B1095,C1095))</f>
        <v>SHIHLIN202508</v>
      </c>
      <c r="F1095">
        <v>27</v>
      </c>
      <c r="G1095">
        <v>0</v>
      </c>
      <c r="H1095">
        <v>0</v>
      </c>
      <c r="I1095">
        <v>28</v>
      </c>
      <c r="J1095">
        <v>514</v>
      </c>
      <c r="K1095">
        <v>1877000</v>
      </c>
      <c r="L1095">
        <v>0</v>
      </c>
      <c r="M1095">
        <v>0</v>
      </c>
      <c r="N1095">
        <v>5635000</v>
      </c>
      <c r="O1095">
        <v>37877550</v>
      </c>
      <c r="P1095">
        <v>2816</v>
      </c>
      <c r="Q1095">
        <v>0</v>
      </c>
      <c r="R1095">
        <v>0</v>
      </c>
      <c r="S1095">
        <v>4795</v>
      </c>
      <c r="T1095">
        <v>126575</v>
      </c>
    </row>
    <row r="1096" spans="1:20" x14ac:dyDescent="0.25">
      <c r="A1096" t="s">
        <v>122</v>
      </c>
      <c r="B1096" t="s">
        <v>122</v>
      </c>
      <c r="C1096">
        <v>202508</v>
      </c>
      <c r="D1096" s="47" t="str">
        <f>MID(C1096,1,4)</f>
        <v>2025</v>
      </c>
      <c r="E1096" t="str">
        <f>IF(Portfolio!$M$1=1,CONCATENATE(A1096,C1096),CONCATENATE(B1096,C1096))</f>
        <v>SOLARIA202508</v>
      </c>
      <c r="F1096">
        <v>1261</v>
      </c>
      <c r="G1096">
        <v>1</v>
      </c>
      <c r="H1096">
        <v>0</v>
      </c>
      <c r="I1096">
        <v>19</v>
      </c>
      <c r="J1096">
        <v>1159</v>
      </c>
      <c r="K1096">
        <v>208792100</v>
      </c>
      <c r="L1096">
        <v>112000</v>
      </c>
      <c r="M1096">
        <v>0</v>
      </c>
      <c r="N1096">
        <v>2898000</v>
      </c>
      <c r="O1096">
        <v>159365100</v>
      </c>
      <c r="P1096">
        <v>313188</v>
      </c>
      <c r="Q1096">
        <v>1120</v>
      </c>
      <c r="R1096">
        <v>0</v>
      </c>
      <c r="S1096">
        <v>20286</v>
      </c>
      <c r="T1096">
        <v>1115556</v>
      </c>
    </row>
    <row r="1097" spans="1:20" x14ac:dyDescent="0.25">
      <c r="A1097" t="s">
        <v>124</v>
      </c>
      <c r="B1097" t="s">
        <v>124</v>
      </c>
      <c r="C1097">
        <v>202508</v>
      </c>
      <c r="D1097" s="47" t="str">
        <f>MID(C1097,1,4)</f>
        <v>2025</v>
      </c>
      <c r="E1097" t="str">
        <f>IF(Portfolio!$M$1=1,CONCATENATE(A1097,C1097),CONCATENATE(B1097,C1097))</f>
        <v>SOUR SALLY202508</v>
      </c>
      <c r="F1097">
        <v>5</v>
      </c>
      <c r="G1097">
        <v>3</v>
      </c>
      <c r="H1097">
        <v>0</v>
      </c>
      <c r="I1097">
        <v>33</v>
      </c>
      <c r="J1097">
        <v>246</v>
      </c>
      <c r="K1097">
        <v>540000</v>
      </c>
      <c r="L1097">
        <v>252000</v>
      </c>
      <c r="M1097">
        <v>0</v>
      </c>
      <c r="N1097">
        <v>2887000</v>
      </c>
      <c r="O1097">
        <v>18305000</v>
      </c>
      <c r="P1097">
        <v>810</v>
      </c>
      <c r="Q1097">
        <v>2520</v>
      </c>
      <c r="R1097">
        <v>0</v>
      </c>
      <c r="S1097">
        <v>20209</v>
      </c>
      <c r="T1097">
        <v>128135</v>
      </c>
    </row>
    <row r="1098" spans="1:20" x14ac:dyDescent="0.25">
      <c r="A1098" t="s">
        <v>126</v>
      </c>
      <c r="B1098" t="s">
        <v>219</v>
      </c>
      <c r="C1098">
        <v>202508</v>
      </c>
      <c r="D1098" s="47" t="str">
        <f>MID(C1098,1,4)</f>
        <v>2025</v>
      </c>
      <c r="E1098" t="str">
        <f>IF(Portfolio!$M$1=1,CONCATENATE(A1098,C1098),CONCATENATE(B1098,C1098))</f>
        <v>STEVEN GROUP202508</v>
      </c>
      <c r="F1098">
        <v>4</v>
      </c>
      <c r="G1098">
        <v>0</v>
      </c>
      <c r="H1098">
        <v>0</v>
      </c>
      <c r="I1098">
        <v>0</v>
      </c>
      <c r="J1098">
        <v>0</v>
      </c>
      <c r="K1098">
        <v>1249076</v>
      </c>
      <c r="L1098">
        <v>0</v>
      </c>
      <c r="M1098">
        <v>0</v>
      </c>
      <c r="N1098">
        <v>0</v>
      </c>
      <c r="O1098">
        <v>1880175</v>
      </c>
      <c r="P1098">
        <v>1874</v>
      </c>
      <c r="Q1098">
        <v>0</v>
      </c>
      <c r="R1098">
        <v>0</v>
      </c>
      <c r="S1098">
        <v>0</v>
      </c>
      <c r="T1098">
        <v>5641</v>
      </c>
    </row>
    <row r="1099" spans="1:20" x14ac:dyDescent="0.25">
      <c r="A1099" t="s">
        <v>126</v>
      </c>
      <c r="B1099" t="s">
        <v>220</v>
      </c>
      <c r="C1099">
        <v>202508</v>
      </c>
      <c r="D1099" s="47" t="str">
        <f>MID(C1099,1,4)</f>
        <v>2025</v>
      </c>
      <c r="E1099" t="str">
        <f>IF(Portfolio!$M$1=1,CONCATENATE(A1099,C1099),CONCATENATE(B1099,C1099))</f>
        <v>STEVEN GROUP202508</v>
      </c>
      <c r="F1099">
        <v>44</v>
      </c>
      <c r="G1099">
        <v>92</v>
      </c>
      <c r="H1099">
        <v>26</v>
      </c>
      <c r="I1099">
        <v>0</v>
      </c>
      <c r="J1099">
        <v>266</v>
      </c>
      <c r="K1099">
        <v>3278638</v>
      </c>
      <c r="L1099">
        <v>8914611</v>
      </c>
      <c r="M1099">
        <v>2301982</v>
      </c>
      <c r="N1099">
        <v>0</v>
      </c>
      <c r="O1099">
        <v>102469994</v>
      </c>
      <c r="P1099">
        <v>4918</v>
      </c>
      <c r="Q1099">
        <v>89146</v>
      </c>
      <c r="R1099">
        <v>46040</v>
      </c>
      <c r="S1099">
        <v>0</v>
      </c>
      <c r="T1099">
        <v>717289</v>
      </c>
    </row>
    <row r="1100" spans="1:20" x14ac:dyDescent="0.25">
      <c r="A1100" t="s">
        <v>126</v>
      </c>
      <c r="B1100" t="s">
        <v>221</v>
      </c>
      <c r="C1100">
        <v>202508</v>
      </c>
      <c r="D1100" s="47" t="str">
        <f>MID(C1100,1,4)</f>
        <v>2025</v>
      </c>
      <c r="E1100" t="str">
        <f>IF(Portfolio!$M$1=1,CONCATENATE(A1100,C1100),CONCATENATE(B1100,C1100))</f>
        <v>STEVEN GROUP202508</v>
      </c>
      <c r="F1100">
        <v>0</v>
      </c>
      <c r="G1100">
        <v>0</v>
      </c>
      <c r="H1100">
        <v>0</v>
      </c>
      <c r="I1100">
        <v>6</v>
      </c>
      <c r="J1100">
        <v>564</v>
      </c>
      <c r="K1100">
        <v>0</v>
      </c>
      <c r="L1100">
        <v>0</v>
      </c>
      <c r="M1100">
        <v>0</v>
      </c>
      <c r="N1100">
        <v>179000</v>
      </c>
      <c r="O1100">
        <v>18894800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 spans="1:20" x14ac:dyDescent="0.25">
      <c r="A1101" t="s">
        <v>126</v>
      </c>
      <c r="B1101" t="s">
        <v>222</v>
      </c>
      <c r="C1101">
        <v>202508</v>
      </c>
      <c r="D1101" s="47" t="str">
        <f>MID(C1101,1,4)</f>
        <v>2025</v>
      </c>
      <c r="E1101" t="str">
        <f>IF(Portfolio!$M$1=1,CONCATENATE(A1101,C1101),CONCATENATE(B1101,C1101))</f>
        <v>STEVEN GROUP202508</v>
      </c>
      <c r="F1101">
        <v>3</v>
      </c>
      <c r="G1101">
        <v>0</v>
      </c>
      <c r="H1101">
        <v>0</v>
      </c>
      <c r="I1101">
        <v>0</v>
      </c>
      <c r="J1101">
        <v>1</v>
      </c>
      <c r="K1101">
        <v>931219</v>
      </c>
      <c r="L1101">
        <v>0</v>
      </c>
      <c r="M1101">
        <v>0</v>
      </c>
      <c r="N1101">
        <v>0</v>
      </c>
      <c r="O1101">
        <v>1</v>
      </c>
      <c r="P1101">
        <v>1397</v>
      </c>
      <c r="Q1101">
        <v>0</v>
      </c>
      <c r="R1101">
        <v>0</v>
      </c>
      <c r="S1101">
        <v>0</v>
      </c>
      <c r="T1101">
        <v>0</v>
      </c>
    </row>
    <row r="1102" spans="1:20" x14ac:dyDescent="0.25">
      <c r="A1102" t="s">
        <v>126</v>
      </c>
      <c r="B1102" t="s">
        <v>224</v>
      </c>
      <c r="C1102">
        <v>202508</v>
      </c>
      <c r="D1102" s="47" t="str">
        <f>MID(C1102,1,4)</f>
        <v>2025</v>
      </c>
      <c r="E1102" t="str">
        <f>IF(Portfolio!$M$1=1,CONCATENATE(A1102,C1102),CONCATENATE(B1102,C1102))</f>
        <v>STEVEN GROUP202508</v>
      </c>
      <c r="F1102">
        <v>2</v>
      </c>
      <c r="G1102">
        <v>0</v>
      </c>
      <c r="H1102">
        <v>0</v>
      </c>
      <c r="I1102">
        <v>0</v>
      </c>
      <c r="J1102">
        <v>1</v>
      </c>
      <c r="K1102">
        <v>1350000</v>
      </c>
      <c r="L1102">
        <v>0</v>
      </c>
      <c r="M1102">
        <v>0</v>
      </c>
      <c r="N1102">
        <v>0</v>
      </c>
      <c r="O1102">
        <v>1</v>
      </c>
      <c r="P1102">
        <v>2025</v>
      </c>
      <c r="Q1102">
        <v>0</v>
      </c>
      <c r="R1102">
        <v>0</v>
      </c>
      <c r="S1102">
        <v>0</v>
      </c>
      <c r="T1102">
        <v>0</v>
      </c>
    </row>
    <row r="1103" spans="1:20" x14ac:dyDescent="0.25">
      <c r="A1103" t="s">
        <v>126</v>
      </c>
      <c r="B1103" t="s">
        <v>228</v>
      </c>
      <c r="C1103">
        <v>202508</v>
      </c>
      <c r="D1103" s="47" t="str">
        <f>MID(C1103,1,4)</f>
        <v>2025</v>
      </c>
      <c r="E1103" t="str">
        <f>IF(Portfolio!$M$1=1,CONCATENATE(A1103,C1103),CONCATENATE(B1103,C1103))</f>
        <v>STEVEN GROUP202508</v>
      </c>
      <c r="F1103">
        <v>0</v>
      </c>
      <c r="G1103">
        <v>0</v>
      </c>
      <c r="H1103">
        <v>0</v>
      </c>
      <c r="I1103">
        <v>0</v>
      </c>
      <c r="J1103">
        <v>7039</v>
      </c>
      <c r="K1103">
        <v>0</v>
      </c>
      <c r="L1103">
        <v>0</v>
      </c>
      <c r="M1103">
        <v>0</v>
      </c>
      <c r="N1103">
        <v>0</v>
      </c>
      <c r="O1103">
        <v>470087716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 spans="1:20" x14ac:dyDescent="0.25">
      <c r="A1104" t="s">
        <v>126</v>
      </c>
      <c r="B1104" t="s">
        <v>225</v>
      </c>
      <c r="C1104">
        <v>202508</v>
      </c>
      <c r="D1104" s="47" t="str">
        <f>MID(C1104,1,4)</f>
        <v>2025</v>
      </c>
      <c r="E1104" t="str">
        <f>IF(Portfolio!$M$1=1,CONCATENATE(A1104,C1104),CONCATENATE(B1104,C1104))</f>
        <v>STEVEN GROUP202508</v>
      </c>
      <c r="F1104">
        <v>3</v>
      </c>
      <c r="G1104">
        <v>0</v>
      </c>
      <c r="H1104">
        <v>0</v>
      </c>
      <c r="I1104">
        <v>0</v>
      </c>
      <c r="J1104">
        <v>0</v>
      </c>
      <c r="K1104">
        <v>2334450</v>
      </c>
      <c r="L1104">
        <v>0</v>
      </c>
      <c r="M1104">
        <v>0</v>
      </c>
      <c r="N1104">
        <v>0</v>
      </c>
      <c r="O1104">
        <v>0</v>
      </c>
      <c r="P1104">
        <v>3502</v>
      </c>
      <c r="Q1104">
        <v>0</v>
      </c>
      <c r="R1104">
        <v>0</v>
      </c>
      <c r="S1104">
        <v>0</v>
      </c>
      <c r="T1104">
        <v>0</v>
      </c>
    </row>
    <row r="1105" spans="1:20" x14ac:dyDescent="0.25">
      <c r="A1105" t="s">
        <v>126</v>
      </c>
      <c r="B1105" t="s">
        <v>132</v>
      </c>
      <c r="C1105">
        <v>202508</v>
      </c>
      <c r="D1105" s="47" t="str">
        <f>MID(C1105,1,4)</f>
        <v>2025</v>
      </c>
      <c r="E1105" t="str">
        <f>IF(Portfolio!$M$1=1,CONCATENATE(A1105,C1105),CONCATENATE(B1105,C1105))</f>
        <v>STEVEN GROUP202508</v>
      </c>
      <c r="F1105">
        <v>11</v>
      </c>
      <c r="G1105">
        <v>0</v>
      </c>
      <c r="H1105">
        <v>0</v>
      </c>
      <c r="I1105">
        <v>0</v>
      </c>
      <c r="J1105">
        <v>1</v>
      </c>
      <c r="K1105">
        <v>6756251</v>
      </c>
      <c r="L1105">
        <v>0</v>
      </c>
      <c r="M1105">
        <v>0</v>
      </c>
      <c r="N1105">
        <v>0</v>
      </c>
      <c r="O1105">
        <v>1</v>
      </c>
      <c r="P1105">
        <v>10134</v>
      </c>
      <c r="Q1105">
        <v>0</v>
      </c>
      <c r="R1105">
        <v>0</v>
      </c>
      <c r="S1105">
        <v>0</v>
      </c>
      <c r="T1105">
        <v>0</v>
      </c>
    </row>
    <row r="1106" spans="1:20" x14ac:dyDescent="0.25">
      <c r="A1106" t="s">
        <v>126</v>
      </c>
      <c r="B1106" t="s">
        <v>136</v>
      </c>
      <c r="C1106">
        <v>202508</v>
      </c>
      <c r="D1106" s="47" t="str">
        <f>MID(C1106,1,4)</f>
        <v>2025</v>
      </c>
      <c r="E1106" t="str">
        <f>IF(Portfolio!$M$1=1,CONCATENATE(A1106,C1106),CONCATENATE(B1106,C1106))</f>
        <v>STEVEN GROUP202508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50490</v>
      </c>
      <c r="M1106">
        <v>0</v>
      </c>
      <c r="N1106">
        <v>0</v>
      </c>
      <c r="O1106">
        <v>0</v>
      </c>
      <c r="P1106">
        <v>0</v>
      </c>
      <c r="Q1106">
        <v>505</v>
      </c>
      <c r="R1106">
        <v>0</v>
      </c>
      <c r="S1106">
        <v>0</v>
      </c>
      <c r="T1106">
        <v>0</v>
      </c>
    </row>
    <row r="1107" spans="1:20" x14ac:dyDescent="0.25">
      <c r="A1107" t="s">
        <v>128</v>
      </c>
      <c r="B1107" t="s">
        <v>226</v>
      </c>
      <c r="C1107">
        <v>202508</v>
      </c>
      <c r="D1107" s="47" t="str">
        <f>MID(C1107,1,4)</f>
        <v>2025</v>
      </c>
      <c r="E1107" t="str">
        <f>IF(Portfolio!$M$1=1,CONCATENATE(A1107,C1107),CONCATENATE(B1107,C1107))</f>
        <v>SUPRA BOGA LESTARI202508</v>
      </c>
      <c r="F1107">
        <v>3</v>
      </c>
      <c r="G1107">
        <v>0</v>
      </c>
      <c r="H1107">
        <v>0</v>
      </c>
      <c r="I1107">
        <v>0</v>
      </c>
      <c r="J1107">
        <v>0</v>
      </c>
      <c r="K1107">
        <v>2517001</v>
      </c>
      <c r="L1107">
        <v>0</v>
      </c>
      <c r="M1107">
        <v>0</v>
      </c>
      <c r="N1107">
        <v>0</v>
      </c>
      <c r="O1107">
        <v>0</v>
      </c>
      <c r="P1107">
        <v>3775</v>
      </c>
      <c r="Q1107">
        <v>0</v>
      </c>
      <c r="R1107">
        <v>0</v>
      </c>
      <c r="S1107">
        <v>0</v>
      </c>
      <c r="T1107">
        <v>0</v>
      </c>
    </row>
    <row r="1108" spans="1:20" x14ac:dyDescent="0.25">
      <c r="A1108" t="s">
        <v>130</v>
      </c>
      <c r="B1108" t="s">
        <v>227</v>
      </c>
      <c r="C1108">
        <v>202508</v>
      </c>
      <c r="D1108" s="47" t="str">
        <f>MID(C1108,1,4)</f>
        <v>2025</v>
      </c>
      <c r="E1108" t="str">
        <f>IF(Portfolio!$M$1=1,CONCATENATE(A1108,C1108),CONCATENATE(B1108,C1108))</f>
        <v>SURYA BUMI RETAILINDO202508</v>
      </c>
      <c r="F1108">
        <v>0</v>
      </c>
      <c r="G1108">
        <v>0</v>
      </c>
      <c r="H1108">
        <v>0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5341000</v>
      </c>
      <c r="O1108">
        <v>0</v>
      </c>
      <c r="P1108">
        <v>0</v>
      </c>
      <c r="Q1108">
        <v>0</v>
      </c>
      <c r="R1108">
        <v>0</v>
      </c>
      <c r="S1108">
        <v>37387</v>
      </c>
      <c r="T1108">
        <v>0</v>
      </c>
    </row>
    <row r="1109" spans="1:20" x14ac:dyDescent="0.25">
      <c r="A1109" t="s">
        <v>134</v>
      </c>
      <c r="B1109" t="s">
        <v>134</v>
      </c>
      <c r="C1109">
        <v>202508</v>
      </c>
      <c r="D1109" s="47" t="str">
        <f>MID(C1109,1,4)</f>
        <v>2025</v>
      </c>
      <c r="E1109" t="str">
        <f>IF(Portfolio!$M$1=1,CONCATENATE(A1109,C1109),CONCATENATE(B1109,C1109))</f>
        <v>TAMANI202508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173800</v>
      </c>
      <c r="M1109">
        <v>0</v>
      </c>
      <c r="N1109">
        <v>0</v>
      </c>
      <c r="O1109">
        <v>0</v>
      </c>
      <c r="P1109">
        <v>0</v>
      </c>
      <c r="Q1109">
        <v>1738</v>
      </c>
      <c r="R1109">
        <v>0</v>
      </c>
      <c r="S1109">
        <v>0</v>
      </c>
      <c r="T1109">
        <v>0</v>
      </c>
    </row>
    <row r="1110" spans="1:20" x14ac:dyDescent="0.25">
      <c r="A1110" t="s">
        <v>138</v>
      </c>
      <c r="B1110" t="s">
        <v>138</v>
      </c>
      <c r="C1110">
        <v>202508</v>
      </c>
      <c r="D1110" s="47" t="str">
        <f>MID(C1110,1,4)</f>
        <v>2025</v>
      </c>
      <c r="E1110" t="str">
        <f>IF(Portfolio!$M$1=1,CONCATENATE(A1110,C1110),CONCATENATE(B1110,C1110))</f>
        <v>YOSHINOYA202508</v>
      </c>
      <c r="F1110">
        <v>302</v>
      </c>
      <c r="G1110">
        <v>9062</v>
      </c>
      <c r="H1110">
        <v>332</v>
      </c>
      <c r="I1110">
        <v>0</v>
      </c>
      <c r="J1110">
        <v>166790</v>
      </c>
      <c r="K1110">
        <v>50142000</v>
      </c>
      <c r="L1110">
        <v>1345877400</v>
      </c>
      <c r="M1110">
        <v>42239500</v>
      </c>
      <c r="N1110">
        <v>0</v>
      </c>
      <c r="O1110">
        <v>20297601832</v>
      </c>
      <c r="P1110">
        <v>75213</v>
      </c>
      <c r="Q1110">
        <v>13458774</v>
      </c>
      <c r="R1110">
        <v>469836</v>
      </c>
      <c r="S1110">
        <v>0</v>
      </c>
      <c r="T1110">
        <v>142082354</v>
      </c>
    </row>
    <row r="1111" spans="1:20" x14ac:dyDescent="0.25">
      <c r="A1111" t="s">
        <v>140</v>
      </c>
      <c r="B1111" t="s">
        <v>140</v>
      </c>
      <c r="C1111">
        <v>202508</v>
      </c>
      <c r="D1111" s="47" t="str">
        <f>MID(C1111,1,4)</f>
        <v>2025</v>
      </c>
      <c r="E1111" t="str">
        <f>IF(Portfolio!$M$1=1,CONCATENATE(A1111,C1111),CONCATENATE(B1111,C1111))</f>
        <v>ZENBU202508</v>
      </c>
      <c r="F1111">
        <v>0</v>
      </c>
      <c r="G1111">
        <v>0</v>
      </c>
      <c r="H1111">
        <v>0</v>
      </c>
      <c r="I1111">
        <v>29</v>
      </c>
      <c r="J1111">
        <v>7090</v>
      </c>
      <c r="K1111">
        <v>0</v>
      </c>
      <c r="L1111">
        <v>0</v>
      </c>
      <c r="M1111">
        <v>0</v>
      </c>
      <c r="N1111">
        <v>10490450</v>
      </c>
      <c r="O1111">
        <v>1951732110</v>
      </c>
      <c r="P1111">
        <v>0</v>
      </c>
      <c r="Q1111">
        <v>0</v>
      </c>
      <c r="R1111">
        <v>0</v>
      </c>
      <c r="S1111">
        <v>73434</v>
      </c>
      <c r="T1111">
        <v>13662098</v>
      </c>
    </row>
    <row r="1112" spans="1:20" x14ac:dyDescent="0.25">
      <c r="A1112" t="s">
        <v>67</v>
      </c>
      <c r="B1112" t="s">
        <v>68</v>
      </c>
      <c r="C1112">
        <v>202509</v>
      </c>
      <c r="D1112" s="47" t="str">
        <f>MID(C1112,1,4)</f>
        <v>2025</v>
      </c>
      <c r="E1112" t="str">
        <f>IF(Portfolio!$M$1=1,CONCATENATE(A1112,C1112),CONCATENATE(B1112,C1112))</f>
        <v>ALFA GROUP202509</v>
      </c>
      <c r="F1112">
        <v>21450</v>
      </c>
      <c r="G1112">
        <v>74916</v>
      </c>
      <c r="H1112">
        <v>22695</v>
      </c>
      <c r="I1112">
        <v>23</v>
      </c>
      <c r="J1112">
        <v>436</v>
      </c>
      <c r="K1112">
        <v>2080239211</v>
      </c>
      <c r="L1112">
        <v>7537559862</v>
      </c>
      <c r="M1112">
        <v>3148555337</v>
      </c>
      <c r="N1112">
        <v>503000</v>
      </c>
      <c r="O1112">
        <v>29728510</v>
      </c>
      <c r="P1112">
        <v>3120356</v>
      </c>
      <c r="Q1112">
        <v>75375599</v>
      </c>
      <c r="R1112">
        <v>56313123</v>
      </c>
      <c r="S1112">
        <v>0</v>
      </c>
      <c r="T1112">
        <v>2205</v>
      </c>
    </row>
    <row r="1113" spans="1:20" x14ac:dyDescent="0.25">
      <c r="A1113" t="s">
        <v>67</v>
      </c>
      <c r="B1113" t="s">
        <v>69</v>
      </c>
      <c r="C1113">
        <v>202509</v>
      </c>
      <c r="D1113" s="47" t="str">
        <f>MID(C1113,1,4)</f>
        <v>2025</v>
      </c>
      <c r="E1113" t="str">
        <f>IF(Portfolio!$M$1=1,CONCATENATE(A1113,C1113),CONCATENATE(B1113,C1113))</f>
        <v>ALFA GROUP202509</v>
      </c>
      <c r="F1113">
        <v>17</v>
      </c>
      <c r="G1113">
        <v>72</v>
      </c>
      <c r="H1113">
        <v>30</v>
      </c>
      <c r="I1113">
        <v>7</v>
      </c>
      <c r="J1113">
        <v>69</v>
      </c>
      <c r="K1113">
        <v>3030479</v>
      </c>
      <c r="L1113">
        <v>10588176</v>
      </c>
      <c r="M1113">
        <v>5529667</v>
      </c>
      <c r="N1113">
        <v>327400</v>
      </c>
      <c r="O1113">
        <v>2897600</v>
      </c>
      <c r="P1113">
        <v>4546</v>
      </c>
      <c r="Q1113">
        <v>105882</v>
      </c>
      <c r="R1113">
        <v>99534</v>
      </c>
      <c r="S1113">
        <v>2292</v>
      </c>
      <c r="T1113">
        <v>20284</v>
      </c>
    </row>
    <row r="1114" spans="1:20" x14ac:dyDescent="0.25">
      <c r="A1114" t="s">
        <v>67</v>
      </c>
      <c r="B1114" t="s">
        <v>72</v>
      </c>
      <c r="C1114">
        <v>202509</v>
      </c>
      <c r="D1114" s="47" t="str">
        <f>MID(C1114,1,4)</f>
        <v>2025</v>
      </c>
      <c r="E1114" t="str">
        <f>IF(Portfolio!$M$1=1,CONCATENATE(A1114,C1114),CONCATENATE(B1114,C1114))</f>
        <v>ALFA GROUP202509</v>
      </c>
      <c r="F1114">
        <v>408</v>
      </c>
      <c r="G1114">
        <v>1482</v>
      </c>
      <c r="H1114">
        <v>221</v>
      </c>
      <c r="I1114">
        <v>0</v>
      </c>
      <c r="J1114">
        <v>0</v>
      </c>
      <c r="K1114">
        <v>71186202</v>
      </c>
      <c r="L1114">
        <v>228366507</v>
      </c>
      <c r="M1114">
        <v>44024904</v>
      </c>
      <c r="N1114">
        <v>0</v>
      </c>
      <c r="O1114">
        <v>0</v>
      </c>
      <c r="P1114">
        <v>106779</v>
      </c>
      <c r="Q1114">
        <v>2283665</v>
      </c>
      <c r="R1114">
        <v>793015</v>
      </c>
      <c r="S1114">
        <v>0</v>
      </c>
      <c r="T1114">
        <v>0</v>
      </c>
    </row>
    <row r="1115" spans="1:20" x14ac:dyDescent="0.25">
      <c r="A1115" t="s">
        <v>70</v>
      </c>
      <c r="B1115" t="s">
        <v>70</v>
      </c>
      <c r="C1115">
        <v>202509</v>
      </c>
      <c r="D1115" s="47" t="str">
        <f>MID(C1115,1,4)</f>
        <v>2025</v>
      </c>
      <c r="E1115" t="str">
        <f>IF(Portfolio!$M$1=1,CONCATENATE(A1115,C1115),CONCATENATE(B1115,C1115))</f>
        <v>ANCOL202509</v>
      </c>
      <c r="F1115">
        <v>1</v>
      </c>
      <c r="G1115">
        <v>0</v>
      </c>
      <c r="H1115">
        <v>0</v>
      </c>
      <c r="I1115">
        <v>6</v>
      </c>
      <c r="J1115">
        <v>956</v>
      </c>
      <c r="K1115">
        <v>23700</v>
      </c>
      <c r="L1115">
        <v>0</v>
      </c>
      <c r="M1115">
        <v>0</v>
      </c>
      <c r="N1115">
        <v>601869</v>
      </c>
      <c r="O1115">
        <v>69807972</v>
      </c>
      <c r="P1115">
        <v>36</v>
      </c>
      <c r="Q1115">
        <v>0</v>
      </c>
      <c r="R1115">
        <v>0</v>
      </c>
      <c r="S1115">
        <v>0</v>
      </c>
      <c r="T1115">
        <v>0</v>
      </c>
    </row>
    <row r="1116" spans="1:20" x14ac:dyDescent="0.25">
      <c r="A1116" t="s">
        <v>73</v>
      </c>
      <c r="B1116" t="s">
        <v>73</v>
      </c>
      <c r="C1116">
        <v>202509</v>
      </c>
      <c r="D1116" s="47" t="str">
        <f>MID(C1116,1,4)</f>
        <v>2025</v>
      </c>
      <c r="E1116" t="str">
        <f>IF(Portfolio!$M$1=1,CONCATENATE(A1116,C1116),CONCATENATE(B1116,C1116))</f>
        <v>BANBAN TEA202509</v>
      </c>
      <c r="F1116">
        <v>2</v>
      </c>
      <c r="G1116">
        <v>5</v>
      </c>
      <c r="H1116">
        <v>0</v>
      </c>
      <c r="I1116">
        <v>71</v>
      </c>
      <c r="J1116">
        <v>71</v>
      </c>
      <c r="K1116">
        <v>154000</v>
      </c>
      <c r="L1116">
        <v>267300</v>
      </c>
      <c r="M1116">
        <v>0</v>
      </c>
      <c r="N1116">
        <v>4758996</v>
      </c>
      <c r="O1116">
        <v>4957396</v>
      </c>
      <c r="P1116">
        <v>231</v>
      </c>
      <c r="Q1116">
        <v>2673</v>
      </c>
      <c r="R1116">
        <v>0</v>
      </c>
      <c r="S1116">
        <v>33308</v>
      </c>
      <c r="T1116">
        <v>34702</v>
      </c>
    </row>
    <row r="1117" spans="1:20" x14ac:dyDescent="0.25">
      <c r="A1117" t="s">
        <v>74</v>
      </c>
      <c r="B1117" t="s">
        <v>74</v>
      </c>
      <c r="C1117">
        <v>202509</v>
      </c>
      <c r="D1117" s="47" t="str">
        <f>MID(C1117,1,4)</f>
        <v>2025</v>
      </c>
      <c r="E1117" t="str">
        <f>IF(Portfolio!$M$1=1,CONCATENATE(A1117,C1117),CONCATENATE(B1117,C1117))</f>
        <v>BEARD PAPA202509</v>
      </c>
      <c r="F1117">
        <v>23</v>
      </c>
      <c r="G1117">
        <v>55</v>
      </c>
      <c r="H1117">
        <v>58</v>
      </c>
      <c r="I1117">
        <v>0</v>
      </c>
      <c r="J1117">
        <v>19</v>
      </c>
      <c r="K1117">
        <v>2033000</v>
      </c>
      <c r="L1117">
        <v>5649000</v>
      </c>
      <c r="M1117">
        <v>7113300</v>
      </c>
      <c r="N1117">
        <v>0</v>
      </c>
      <c r="O1117">
        <v>5980707</v>
      </c>
      <c r="P1117">
        <v>3050</v>
      </c>
      <c r="Q1117">
        <v>56490</v>
      </c>
      <c r="R1117">
        <v>142266</v>
      </c>
      <c r="S1117">
        <v>0</v>
      </c>
      <c r="T1117">
        <v>41864</v>
      </c>
    </row>
    <row r="1118" spans="1:20" x14ac:dyDescent="0.25">
      <c r="A1118" t="s">
        <v>75</v>
      </c>
      <c r="B1118" t="s">
        <v>81</v>
      </c>
      <c r="C1118">
        <v>202509</v>
      </c>
      <c r="D1118" s="47" t="str">
        <f>MID(C1118,1,4)</f>
        <v>2025</v>
      </c>
      <c r="E1118" t="str">
        <f>IF(Portfolio!$M$1=1,CONCATENATE(A1118,C1118),CONCATENATE(B1118,C1118))</f>
        <v>CHAMP RESTO202509</v>
      </c>
      <c r="F1118">
        <v>1</v>
      </c>
      <c r="G1118">
        <v>0</v>
      </c>
      <c r="H1118">
        <v>0</v>
      </c>
      <c r="I1118">
        <v>0</v>
      </c>
      <c r="J1118">
        <v>14</v>
      </c>
      <c r="K1118">
        <v>139370</v>
      </c>
      <c r="L1118">
        <v>0</v>
      </c>
      <c r="M1118">
        <v>0</v>
      </c>
      <c r="N1118">
        <v>0</v>
      </c>
      <c r="O1118">
        <v>2212100</v>
      </c>
      <c r="P1118">
        <v>209</v>
      </c>
      <c r="Q1118">
        <v>0</v>
      </c>
      <c r="R1118">
        <v>0</v>
      </c>
      <c r="S1118">
        <v>0</v>
      </c>
      <c r="T1118">
        <v>15483</v>
      </c>
    </row>
    <row r="1119" spans="1:20" x14ac:dyDescent="0.25">
      <c r="A1119" t="s">
        <v>75</v>
      </c>
      <c r="B1119" t="s">
        <v>83</v>
      </c>
      <c r="C1119">
        <v>202509</v>
      </c>
      <c r="D1119" s="47" t="str">
        <f>MID(C1119,1,4)</f>
        <v>2025</v>
      </c>
      <c r="E1119" t="str">
        <f>IF(Portfolio!$M$1=1,CONCATENATE(A1119,C1119),CONCATENATE(B1119,C1119))</f>
        <v>CHAMP RESTO202509</v>
      </c>
      <c r="F1119">
        <v>0</v>
      </c>
      <c r="G1119">
        <v>0</v>
      </c>
      <c r="H1119">
        <v>0</v>
      </c>
      <c r="I1119">
        <v>0</v>
      </c>
      <c r="J1119">
        <v>202</v>
      </c>
      <c r="K1119">
        <v>0</v>
      </c>
      <c r="L1119">
        <v>0</v>
      </c>
      <c r="M1119">
        <v>0</v>
      </c>
      <c r="N1119">
        <v>0</v>
      </c>
      <c r="O1119">
        <v>7773800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 spans="1:20" x14ac:dyDescent="0.25">
      <c r="A1120" t="s">
        <v>75</v>
      </c>
      <c r="B1120" t="s">
        <v>85</v>
      </c>
      <c r="C1120">
        <v>202509</v>
      </c>
      <c r="D1120" s="47" t="str">
        <f>MID(C1120,1,4)</f>
        <v>2025</v>
      </c>
      <c r="E1120" t="str">
        <f>IF(Portfolio!$M$1=1,CONCATENATE(A1120,C1120),CONCATENATE(B1120,C1120))</f>
        <v>CHAMP RESTO202509</v>
      </c>
      <c r="F1120">
        <v>11</v>
      </c>
      <c r="G1120">
        <v>2</v>
      </c>
      <c r="H1120">
        <v>0</v>
      </c>
      <c r="I1120">
        <v>0</v>
      </c>
      <c r="J1120">
        <v>43</v>
      </c>
      <c r="K1120">
        <v>1499854</v>
      </c>
      <c r="L1120">
        <v>371000</v>
      </c>
      <c r="M1120">
        <v>0</v>
      </c>
      <c r="N1120">
        <v>0</v>
      </c>
      <c r="O1120">
        <v>6402336</v>
      </c>
      <c r="P1120">
        <v>2250</v>
      </c>
      <c r="Q1120">
        <v>3710</v>
      </c>
      <c r="R1120">
        <v>0</v>
      </c>
      <c r="S1120">
        <v>0</v>
      </c>
      <c r="T1120">
        <v>44815</v>
      </c>
    </row>
    <row r="1121" spans="1:20" x14ac:dyDescent="0.25">
      <c r="A1121" t="s">
        <v>75</v>
      </c>
      <c r="B1121" t="s">
        <v>91</v>
      </c>
      <c r="C1121">
        <v>202509</v>
      </c>
      <c r="D1121" s="47" t="str">
        <f>MID(C1121,1,4)</f>
        <v>2025</v>
      </c>
      <c r="E1121" t="str">
        <f>IF(Portfolio!$M$1=1,CONCATENATE(A1121,C1121),CONCATENATE(B1121,C1121))</f>
        <v>CHAMP RESTO202509</v>
      </c>
      <c r="F1121">
        <v>4</v>
      </c>
      <c r="G1121">
        <v>8</v>
      </c>
      <c r="H1121">
        <v>0</v>
      </c>
      <c r="I1121">
        <v>0</v>
      </c>
      <c r="J1121">
        <v>34</v>
      </c>
      <c r="K1121">
        <v>885966</v>
      </c>
      <c r="L1121">
        <v>3156256</v>
      </c>
      <c r="M1121">
        <v>0</v>
      </c>
      <c r="N1121">
        <v>0</v>
      </c>
      <c r="O1121">
        <v>17017201</v>
      </c>
      <c r="P1121">
        <v>1329</v>
      </c>
      <c r="Q1121">
        <v>31563</v>
      </c>
      <c r="R1121">
        <v>0</v>
      </c>
      <c r="S1121">
        <v>0</v>
      </c>
      <c r="T1121">
        <v>119123</v>
      </c>
    </row>
    <row r="1122" spans="1:20" x14ac:dyDescent="0.25">
      <c r="A1122" t="s">
        <v>75</v>
      </c>
      <c r="B1122" t="s">
        <v>93</v>
      </c>
      <c r="C1122">
        <v>202509</v>
      </c>
      <c r="D1122" s="47" t="str">
        <f>MID(C1122,1,4)</f>
        <v>2025</v>
      </c>
      <c r="E1122" t="str">
        <f>IF(Portfolio!$M$1=1,CONCATENATE(A1122,C1122),CONCATENATE(B1122,C1122))</f>
        <v>CHAMP RESTO202509</v>
      </c>
      <c r="F1122">
        <v>0</v>
      </c>
      <c r="G1122">
        <v>0</v>
      </c>
      <c r="H1122">
        <v>0</v>
      </c>
      <c r="I1122">
        <v>0</v>
      </c>
      <c r="J1122">
        <v>104</v>
      </c>
      <c r="K1122">
        <v>0</v>
      </c>
      <c r="L1122">
        <v>0</v>
      </c>
      <c r="M1122">
        <v>0</v>
      </c>
      <c r="N1122">
        <v>0</v>
      </c>
      <c r="O1122">
        <v>18652000</v>
      </c>
      <c r="P1122">
        <v>0</v>
      </c>
      <c r="Q1122">
        <v>0</v>
      </c>
      <c r="R1122">
        <v>0</v>
      </c>
      <c r="S1122">
        <v>0</v>
      </c>
      <c r="T1122">
        <v>6576</v>
      </c>
    </row>
    <row r="1123" spans="1:20" x14ac:dyDescent="0.25">
      <c r="A1123" t="s">
        <v>75</v>
      </c>
      <c r="B1123" t="s">
        <v>95</v>
      </c>
      <c r="C1123">
        <v>202509</v>
      </c>
      <c r="D1123" s="47" t="str">
        <f>MID(C1123,1,4)</f>
        <v>2025</v>
      </c>
      <c r="E1123" t="str">
        <f>IF(Portfolio!$M$1=1,CONCATENATE(A1123,C1123),CONCATENATE(B1123,C1123))</f>
        <v>CHAMP RESTO202509</v>
      </c>
      <c r="F1123">
        <v>1</v>
      </c>
      <c r="G1123">
        <v>0</v>
      </c>
      <c r="H1123">
        <v>0</v>
      </c>
      <c r="I1123">
        <v>0</v>
      </c>
      <c r="J1123">
        <v>2</v>
      </c>
      <c r="K1123">
        <v>90000</v>
      </c>
      <c r="L1123">
        <v>0</v>
      </c>
      <c r="M1123">
        <v>0</v>
      </c>
      <c r="N1123">
        <v>0</v>
      </c>
      <c r="O1123">
        <v>446503</v>
      </c>
      <c r="P1123">
        <v>135</v>
      </c>
      <c r="Q1123">
        <v>0</v>
      </c>
      <c r="R1123">
        <v>0</v>
      </c>
      <c r="S1123">
        <v>0</v>
      </c>
      <c r="T1123">
        <v>3126</v>
      </c>
    </row>
    <row r="1124" spans="1:20" x14ac:dyDescent="0.25">
      <c r="A1124" t="s">
        <v>76</v>
      </c>
      <c r="B1124" t="s">
        <v>76</v>
      </c>
      <c r="C1124">
        <v>202509</v>
      </c>
      <c r="D1124" s="47" t="str">
        <f>MID(C1124,1,4)</f>
        <v>2025</v>
      </c>
      <c r="E1124" t="str">
        <f>IF(Portfolio!$M$1=1,CONCATENATE(A1124,C1124),CONCATENATE(B1124,C1124))</f>
        <v>DAMRI202509</v>
      </c>
      <c r="F1124">
        <v>1</v>
      </c>
      <c r="G1124">
        <v>9</v>
      </c>
      <c r="H1124">
        <v>0</v>
      </c>
      <c r="I1124">
        <v>0</v>
      </c>
      <c r="J1124">
        <v>51</v>
      </c>
      <c r="K1124">
        <v>80000</v>
      </c>
      <c r="L1124">
        <v>2235000</v>
      </c>
      <c r="M1124">
        <v>0</v>
      </c>
      <c r="N1124">
        <v>0</v>
      </c>
      <c r="O1124">
        <v>15315000</v>
      </c>
      <c r="P1124">
        <v>120</v>
      </c>
      <c r="Q1124">
        <v>22350</v>
      </c>
      <c r="R1124">
        <v>0</v>
      </c>
      <c r="S1124">
        <v>0</v>
      </c>
      <c r="T1124">
        <v>107205</v>
      </c>
    </row>
    <row r="1125" spans="1:20" x14ac:dyDescent="0.25">
      <c r="A1125" t="s">
        <v>80</v>
      </c>
      <c r="B1125" t="s">
        <v>80</v>
      </c>
      <c r="C1125">
        <v>202509</v>
      </c>
      <c r="D1125" s="47" t="str">
        <f>MID(C1125,1,4)</f>
        <v>2025</v>
      </c>
      <c r="E1125" t="str">
        <f>IF(Portfolio!$M$1=1,CONCATENATE(A1125,C1125),CONCATENATE(B1125,C1125))</f>
        <v>DWIDAYA202509</v>
      </c>
      <c r="F1125">
        <v>10</v>
      </c>
      <c r="G1125">
        <v>2</v>
      </c>
      <c r="H1125">
        <v>9</v>
      </c>
      <c r="I1125">
        <v>2</v>
      </c>
      <c r="J1125">
        <v>83</v>
      </c>
      <c r="K1125">
        <v>189277800</v>
      </c>
      <c r="L1125">
        <v>3705000</v>
      </c>
      <c r="M1125">
        <v>180210225</v>
      </c>
      <c r="N1125">
        <v>2750000</v>
      </c>
      <c r="O1125">
        <v>246105490</v>
      </c>
      <c r="P1125">
        <v>283917</v>
      </c>
      <c r="Q1125">
        <v>37050</v>
      </c>
      <c r="R1125">
        <v>3604204</v>
      </c>
      <c r="S1125">
        <v>19250</v>
      </c>
      <c r="T1125">
        <v>1722739</v>
      </c>
    </row>
    <row r="1126" spans="1:20" x14ac:dyDescent="0.25">
      <c r="A1126" t="s">
        <v>82</v>
      </c>
      <c r="B1126" t="s">
        <v>82</v>
      </c>
      <c r="C1126">
        <v>202509</v>
      </c>
      <c r="D1126" s="47" t="str">
        <f>MID(C1126,1,4)</f>
        <v>2025</v>
      </c>
      <c r="E1126" t="str">
        <f>IF(Portfolio!$M$1=1,CONCATENATE(A1126,C1126),CONCATENATE(B1126,C1126))</f>
        <v>EKA HOSPITAL202509</v>
      </c>
      <c r="F1126">
        <v>0</v>
      </c>
      <c r="G1126">
        <v>5</v>
      </c>
      <c r="H1126">
        <v>0</v>
      </c>
      <c r="I1126">
        <v>0</v>
      </c>
      <c r="J1126">
        <v>5</v>
      </c>
      <c r="K1126">
        <v>0</v>
      </c>
      <c r="L1126">
        <v>50000</v>
      </c>
      <c r="M1126">
        <v>0</v>
      </c>
      <c r="N1126">
        <v>0</v>
      </c>
      <c r="O1126">
        <v>5</v>
      </c>
      <c r="P1126">
        <v>0</v>
      </c>
      <c r="Q1126">
        <v>500</v>
      </c>
      <c r="R1126">
        <v>0</v>
      </c>
      <c r="S1126">
        <v>0</v>
      </c>
      <c r="T1126">
        <v>0</v>
      </c>
    </row>
    <row r="1127" spans="1:20" x14ac:dyDescent="0.25">
      <c r="A1127" t="s">
        <v>84</v>
      </c>
      <c r="B1127" t="s">
        <v>84</v>
      </c>
      <c r="C1127">
        <v>202509</v>
      </c>
      <c r="D1127" s="47" t="str">
        <f>MID(C1127,1,4)</f>
        <v>2025</v>
      </c>
      <c r="E1127" t="str">
        <f>IF(Portfolio!$M$1=1,CONCATENATE(A1127,C1127),CONCATENATE(B1127,C1127))</f>
        <v>ES TELLER 77202509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 spans="1:20" x14ac:dyDescent="0.25">
      <c r="A1128" t="s">
        <v>86</v>
      </c>
      <c r="B1128" t="s">
        <v>86</v>
      </c>
      <c r="C1128">
        <v>202509</v>
      </c>
      <c r="D1128" s="47" t="str">
        <f>MID(C1128,1,4)</f>
        <v>2025</v>
      </c>
      <c r="E1128" t="str">
        <f>IF(Portfolio!$M$1=1,CONCATENATE(A1128,C1128),CONCATENATE(B1128,C1128))</f>
        <v>GRAMEDIA202509</v>
      </c>
      <c r="F1128">
        <v>6</v>
      </c>
      <c r="G1128">
        <v>0</v>
      </c>
      <c r="H1128">
        <v>0</v>
      </c>
      <c r="I1128">
        <v>4</v>
      </c>
      <c r="J1128">
        <v>168</v>
      </c>
      <c r="K1128">
        <v>1238110</v>
      </c>
      <c r="L1128">
        <v>0</v>
      </c>
      <c r="M1128">
        <v>0</v>
      </c>
      <c r="N1128">
        <v>104000</v>
      </c>
      <c r="O1128">
        <v>5224500</v>
      </c>
      <c r="P1128">
        <v>1857</v>
      </c>
      <c r="Q1128">
        <v>0</v>
      </c>
      <c r="R1128">
        <v>0</v>
      </c>
      <c r="S1128">
        <v>0</v>
      </c>
      <c r="T1128">
        <v>0</v>
      </c>
    </row>
    <row r="1129" spans="1:20" x14ac:dyDescent="0.25">
      <c r="A1129" t="s">
        <v>88</v>
      </c>
      <c r="B1129" t="s">
        <v>88</v>
      </c>
      <c r="C1129">
        <v>202509</v>
      </c>
      <c r="D1129" s="47" t="str">
        <f>MID(C1129,1,4)</f>
        <v>2025</v>
      </c>
      <c r="E1129" t="str">
        <f>IF(Portfolio!$M$1=1,CONCATENATE(A1129,C1129),CONCATENATE(B1129,C1129))</f>
        <v>HAUS202509</v>
      </c>
      <c r="F1129">
        <v>0</v>
      </c>
      <c r="G1129">
        <v>2</v>
      </c>
      <c r="H1129">
        <v>0</v>
      </c>
      <c r="I1129">
        <v>98</v>
      </c>
      <c r="J1129">
        <v>20577</v>
      </c>
      <c r="K1129">
        <v>0</v>
      </c>
      <c r="L1129">
        <v>100000</v>
      </c>
      <c r="M1129">
        <v>0</v>
      </c>
      <c r="N1129">
        <v>5857502</v>
      </c>
      <c r="O1129">
        <v>853970392</v>
      </c>
      <c r="P1129">
        <v>0</v>
      </c>
      <c r="Q1129">
        <v>1000</v>
      </c>
      <c r="R1129">
        <v>0</v>
      </c>
      <c r="S1129">
        <v>23699</v>
      </c>
      <c r="T1129">
        <v>5875411</v>
      </c>
    </row>
    <row r="1130" spans="1:20" x14ac:dyDescent="0.25">
      <c r="A1130" t="s">
        <v>92</v>
      </c>
      <c r="B1130" t="s">
        <v>108</v>
      </c>
      <c r="C1130">
        <v>202509</v>
      </c>
      <c r="D1130" s="47" t="str">
        <f>MID(C1130,1,4)</f>
        <v>2025</v>
      </c>
      <c r="E1130" t="str">
        <f>IF(Portfolio!$M$1=1,CONCATENATE(A1130,C1130),CONCATENATE(B1130,C1130))</f>
        <v>HERO GROUP202509</v>
      </c>
      <c r="F1130">
        <v>53</v>
      </c>
      <c r="G1130">
        <v>0</v>
      </c>
      <c r="H1130">
        <v>5</v>
      </c>
      <c r="I1130">
        <v>4</v>
      </c>
      <c r="J1130">
        <v>1004</v>
      </c>
      <c r="K1130">
        <v>22636687</v>
      </c>
      <c r="L1130">
        <v>0</v>
      </c>
      <c r="M1130">
        <v>7514370</v>
      </c>
      <c r="N1130">
        <v>375505</v>
      </c>
      <c r="O1130">
        <v>106965345</v>
      </c>
      <c r="P1130">
        <v>33955</v>
      </c>
      <c r="Q1130">
        <v>0</v>
      </c>
      <c r="R1130">
        <v>150287</v>
      </c>
      <c r="S1130">
        <v>2628</v>
      </c>
      <c r="T1130">
        <v>116077</v>
      </c>
    </row>
    <row r="1131" spans="1:20" x14ac:dyDescent="0.25">
      <c r="A1131" t="s">
        <v>94</v>
      </c>
      <c r="B1131" t="s">
        <v>94</v>
      </c>
      <c r="C1131">
        <v>202509</v>
      </c>
      <c r="D1131" s="47" t="str">
        <f>MID(C1131,1,4)</f>
        <v>2025</v>
      </c>
      <c r="E1131" t="str">
        <f>IF(Portfolio!$M$1=1,CONCATENATE(A1131,C1131),CONCATENATE(B1131,C1131))</f>
        <v>HOKBEN202509</v>
      </c>
      <c r="F1131">
        <v>0</v>
      </c>
      <c r="G1131">
        <v>0</v>
      </c>
      <c r="H1131">
        <v>0</v>
      </c>
      <c r="I1131">
        <v>4</v>
      </c>
      <c r="J1131">
        <v>2616</v>
      </c>
      <c r="K1131">
        <v>0</v>
      </c>
      <c r="L1131">
        <v>0</v>
      </c>
      <c r="M1131">
        <v>0</v>
      </c>
      <c r="N1131">
        <v>596000</v>
      </c>
      <c r="O1131">
        <v>258623120</v>
      </c>
      <c r="P1131">
        <v>0</v>
      </c>
      <c r="Q1131">
        <v>0</v>
      </c>
      <c r="R1131">
        <v>0</v>
      </c>
      <c r="S1131">
        <v>4172</v>
      </c>
      <c r="T1131">
        <v>1809149</v>
      </c>
    </row>
    <row r="1132" spans="1:20" x14ac:dyDescent="0.25">
      <c r="A1132" t="s">
        <v>96</v>
      </c>
      <c r="B1132" t="s">
        <v>96</v>
      </c>
      <c r="C1132">
        <v>202509</v>
      </c>
      <c r="D1132" s="47" t="str">
        <f>MID(C1132,1,4)</f>
        <v>2025</v>
      </c>
      <c r="E1132" t="str">
        <f>IF(Portfolio!$M$1=1,CONCATENATE(A1132,C1132),CONCATENATE(B1132,C1132))</f>
        <v>HOKKAIDO BAKED CHEESE202509</v>
      </c>
      <c r="F1132">
        <v>3</v>
      </c>
      <c r="G1132">
        <v>59</v>
      </c>
      <c r="H1132">
        <v>5</v>
      </c>
      <c r="I1132">
        <v>1</v>
      </c>
      <c r="J1132">
        <v>2345</v>
      </c>
      <c r="K1132">
        <v>207400</v>
      </c>
      <c r="L1132">
        <v>6186707</v>
      </c>
      <c r="M1132">
        <v>506300</v>
      </c>
      <c r="N1132">
        <v>74400</v>
      </c>
      <c r="O1132">
        <v>84834386</v>
      </c>
      <c r="P1132">
        <v>311</v>
      </c>
      <c r="Q1132">
        <v>61867</v>
      </c>
      <c r="R1132">
        <v>9977</v>
      </c>
      <c r="S1132">
        <v>521</v>
      </c>
      <c r="T1132">
        <v>531805</v>
      </c>
    </row>
    <row r="1133" spans="1:20" x14ac:dyDescent="0.25">
      <c r="A1133" t="s">
        <v>97</v>
      </c>
      <c r="B1133" t="s">
        <v>97</v>
      </c>
      <c r="C1133">
        <v>202509</v>
      </c>
      <c r="D1133" s="47" t="str">
        <f>MID(C1133,1,4)</f>
        <v>2025</v>
      </c>
      <c r="E1133" t="str">
        <f>IF(Portfolio!$M$1=1,CONCATENATE(A1133,C1133),CONCATENATE(B1133,C1133))</f>
        <v>HOP HOP202509</v>
      </c>
      <c r="F1133">
        <v>0</v>
      </c>
      <c r="G1133">
        <v>0</v>
      </c>
      <c r="H1133">
        <v>0</v>
      </c>
      <c r="I1133">
        <v>77</v>
      </c>
      <c r="J1133">
        <v>10185</v>
      </c>
      <c r="K1133">
        <v>0</v>
      </c>
      <c r="L1133">
        <v>0</v>
      </c>
      <c r="M1133">
        <v>0</v>
      </c>
      <c r="N1133">
        <v>2952000</v>
      </c>
      <c r="O1133">
        <v>275131701</v>
      </c>
      <c r="P1133">
        <v>0</v>
      </c>
      <c r="Q1133">
        <v>0</v>
      </c>
      <c r="R1133">
        <v>0</v>
      </c>
      <c r="S1133">
        <v>0</v>
      </c>
      <c r="T1133">
        <v>5532</v>
      </c>
    </row>
    <row r="1134" spans="1:20" x14ac:dyDescent="0.25">
      <c r="A1134" t="s">
        <v>97</v>
      </c>
      <c r="B1134" t="s">
        <v>113</v>
      </c>
      <c r="C1134">
        <v>202509</v>
      </c>
      <c r="D1134" s="47" t="str">
        <f>MID(C1134,1,4)</f>
        <v>2025</v>
      </c>
      <c r="E1134" t="str">
        <f>IF(Portfolio!$M$1=1,CONCATENATE(A1134,C1134),CONCATENATE(B1134,C1134))</f>
        <v>HOP HOP202509</v>
      </c>
      <c r="F1134">
        <v>0</v>
      </c>
      <c r="G1134">
        <v>0</v>
      </c>
      <c r="H1134">
        <v>0</v>
      </c>
      <c r="I1134">
        <v>20</v>
      </c>
      <c r="J1134">
        <v>2202</v>
      </c>
      <c r="K1134">
        <v>0</v>
      </c>
      <c r="L1134">
        <v>0</v>
      </c>
      <c r="M1134">
        <v>0</v>
      </c>
      <c r="N1134">
        <v>807000</v>
      </c>
      <c r="O1134">
        <v>43775576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 spans="1:20" x14ac:dyDescent="0.25">
      <c r="A1135" t="s">
        <v>99</v>
      </c>
      <c r="B1135" t="s">
        <v>99</v>
      </c>
      <c r="C1135">
        <v>202509</v>
      </c>
      <c r="D1135" s="47" t="str">
        <f>MID(C1135,1,4)</f>
        <v>2025</v>
      </c>
      <c r="E1135" t="str">
        <f>IF(Portfolio!$M$1=1,CONCATENATE(A1135,C1135),CONCATENATE(B1135,C1135))</f>
        <v>IKEA202509</v>
      </c>
      <c r="F1135">
        <v>24</v>
      </c>
      <c r="G1135">
        <v>0</v>
      </c>
      <c r="H1135">
        <v>0</v>
      </c>
      <c r="I1135">
        <v>0</v>
      </c>
      <c r="J1135">
        <v>0</v>
      </c>
      <c r="K1135">
        <v>23463910</v>
      </c>
      <c r="L1135">
        <v>0</v>
      </c>
      <c r="M1135">
        <v>0</v>
      </c>
      <c r="N1135">
        <v>0</v>
      </c>
      <c r="O1135">
        <v>0</v>
      </c>
      <c r="P1135">
        <v>35196</v>
      </c>
      <c r="Q1135">
        <v>0</v>
      </c>
      <c r="R1135">
        <v>0</v>
      </c>
      <c r="S1135">
        <v>0</v>
      </c>
      <c r="T1135">
        <v>0</v>
      </c>
    </row>
    <row r="1136" spans="1:20" x14ac:dyDescent="0.25">
      <c r="A1136" t="s">
        <v>101</v>
      </c>
      <c r="B1136" t="s">
        <v>101</v>
      </c>
      <c r="C1136">
        <v>202509</v>
      </c>
      <c r="D1136" s="47" t="str">
        <f>MID(C1136,1,4)</f>
        <v>2025</v>
      </c>
      <c r="E1136" t="str">
        <f>IF(Portfolio!$M$1=1,CONCATENATE(A1136,C1136),CONCATENATE(B1136,C1136))</f>
        <v>INDOMARET202509</v>
      </c>
      <c r="F1136">
        <v>26752</v>
      </c>
      <c r="G1136">
        <v>69568</v>
      </c>
      <c r="H1136">
        <v>26868</v>
      </c>
      <c r="I1136">
        <v>7</v>
      </c>
      <c r="J1136">
        <v>165</v>
      </c>
      <c r="K1136">
        <v>2653035534</v>
      </c>
      <c r="L1136">
        <v>6028501271</v>
      </c>
      <c r="M1136">
        <v>3712971043</v>
      </c>
      <c r="N1136">
        <v>160600</v>
      </c>
      <c r="O1136">
        <v>10835254</v>
      </c>
      <c r="P1136">
        <v>3979551</v>
      </c>
      <c r="Q1136">
        <v>60285013</v>
      </c>
      <c r="R1136">
        <v>62081794</v>
      </c>
      <c r="S1136">
        <v>1123</v>
      </c>
      <c r="T1136">
        <v>30635</v>
      </c>
    </row>
    <row r="1137" spans="1:20" x14ac:dyDescent="0.25">
      <c r="A1137" t="s">
        <v>101</v>
      </c>
      <c r="B1137" t="s">
        <v>117</v>
      </c>
      <c r="C1137">
        <v>202509</v>
      </c>
      <c r="D1137" s="47" t="str">
        <f>MID(C1137,1,4)</f>
        <v>2025</v>
      </c>
      <c r="E1137" t="str">
        <f>IF(Portfolio!$M$1=1,CONCATENATE(A1137,C1137),CONCATENATE(B1137,C1137))</f>
        <v>INDOMARET202509</v>
      </c>
      <c r="F1137">
        <v>68</v>
      </c>
      <c r="G1137">
        <v>302</v>
      </c>
      <c r="H1137">
        <v>125</v>
      </c>
      <c r="I1137">
        <v>0</v>
      </c>
      <c r="J1137">
        <v>0</v>
      </c>
      <c r="K1137">
        <v>5051200</v>
      </c>
      <c r="L1137">
        <v>24179900</v>
      </c>
      <c r="M1137">
        <v>15175500</v>
      </c>
      <c r="N1137">
        <v>0</v>
      </c>
      <c r="O1137">
        <v>0</v>
      </c>
      <c r="P1137">
        <v>7577</v>
      </c>
      <c r="Q1137">
        <v>241799</v>
      </c>
      <c r="R1137">
        <v>250720</v>
      </c>
      <c r="S1137">
        <v>0</v>
      </c>
      <c r="T1137">
        <v>0</v>
      </c>
    </row>
    <row r="1138" spans="1:20" x14ac:dyDescent="0.25">
      <c r="A1138" t="s">
        <v>102</v>
      </c>
      <c r="B1138" t="s">
        <v>121</v>
      </c>
      <c r="C1138">
        <v>202509</v>
      </c>
      <c r="D1138" s="47" t="str">
        <f>MID(C1138,1,4)</f>
        <v>2025</v>
      </c>
      <c r="E1138" t="str">
        <f>IF(Portfolio!$M$1=1,CONCATENATE(A1138,C1138),CONCATENATE(B1138,C1138))</f>
        <v>KAWAN LAMA202509</v>
      </c>
      <c r="F1138">
        <v>2</v>
      </c>
      <c r="G1138">
        <v>0</v>
      </c>
      <c r="H1138">
        <v>0</v>
      </c>
      <c r="I1138">
        <v>0</v>
      </c>
      <c r="J1138">
        <v>0</v>
      </c>
      <c r="K1138">
        <v>270600</v>
      </c>
      <c r="L1138">
        <v>0</v>
      </c>
      <c r="M1138">
        <v>0</v>
      </c>
      <c r="N1138">
        <v>0</v>
      </c>
      <c r="O1138">
        <v>0</v>
      </c>
      <c r="P1138">
        <v>406</v>
      </c>
      <c r="Q1138">
        <v>0</v>
      </c>
      <c r="R1138">
        <v>0</v>
      </c>
      <c r="S1138">
        <v>0</v>
      </c>
      <c r="T1138">
        <v>0</v>
      </c>
    </row>
    <row r="1139" spans="1:20" x14ac:dyDescent="0.25">
      <c r="A1139" t="s">
        <v>102</v>
      </c>
      <c r="B1139" t="s">
        <v>123</v>
      </c>
      <c r="C1139">
        <v>202509</v>
      </c>
      <c r="D1139" s="47" t="str">
        <f>MID(C1139,1,4)</f>
        <v>2025</v>
      </c>
      <c r="E1139" t="str">
        <f>IF(Portfolio!$M$1=1,CONCATENATE(A1139,C1139),CONCATENATE(B1139,C1139))</f>
        <v>KAWAN LAMA202509</v>
      </c>
      <c r="F1139">
        <v>1063</v>
      </c>
      <c r="G1139">
        <v>0</v>
      </c>
      <c r="H1139">
        <v>0</v>
      </c>
      <c r="I1139">
        <v>8</v>
      </c>
      <c r="J1139">
        <v>17</v>
      </c>
      <c r="K1139">
        <v>901153998</v>
      </c>
      <c r="L1139">
        <v>0</v>
      </c>
      <c r="M1139">
        <v>0</v>
      </c>
      <c r="N1139">
        <v>1745085</v>
      </c>
      <c r="O1139">
        <v>508562513</v>
      </c>
      <c r="P1139">
        <v>1351730</v>
      </c>
      <c r="Q1139">
        <v>0</v>
      </c>
      <c r="R1139">
        <v>0</v>
      </c>
      <c r="S1139">
        <v>12215</v>
      </c>
      <c r="T1139">
        <v>3559945</v>
      </c>
    </row>
    <row r="1140" spans="1:20" x14ac:dyDescent="0.25">
      <c r="A1140" t="s">
        <v>102</v>
      </c>
      <c r="B1140" t="s">
        <v>125</v>
      </c>
      <c r="C1140">
        <v>202509</v>
      </c>
      <c r="D1140" s="47" t="str">
        <f>MID(C1140,1,4)</f>
        <v>2025</v>
      </c>
      <c r="E1140" t="str">
        <f>IF(Portfolio!$M$1=1,CONCATENATE(A1140,C1140),CONCATENATE(B1140,C1140))</f>
        <v>KAWAN LAMA202509</v>
      </c>
      <c r="F1140">
        <v>271</v>
      </c>
      <c r="G1140">
        <v>0</v>
      </c>
      <c r="H1140">
        <v>0</v>
      </c>
      <c r="I1140">
        <v>0</v>
      </c>
      <c r="J1140">
        <v>79</v>
      </c>
      <c r="K1140">
        <v>20097700</v>
      </c>
      <c r="L1140">
        <v>0</v>
      </c>
      <c r="M1140">
        <v>0</v>
      </c>
      <c r="N1140">
        <v>0</v>
      </c>
      <c r="O1140">
        <v>38596319</v>
      </c>
      <c r="P1140">
        <v>30147</v>
      </c>
      <c r="Q1140">
        <v>0</v>
      </c>
      <c r="R1140">
        <v>0</v>
      </c>
      <c r="S1140">
        <v>0</v>
      </c>
      <c r="T1140">
        <v>270174</v>
      </c>
    </row>
    <row r="1141" spans="1:20" x14ac:dyDescent="0.25">
      <c r="A1141" t="s">
        <v>102</v>
      </c>
      <c r="B1141" t="s">
        <v>129</v>
      </c>
      <c r="C1141">
        <v>202509</v>
      </c>
      <c r="D1141" s="47" t="str">
        <f>MID(C1141,1,4)</f>
        <v>2025</v>
      </c>
      <c r="E1141" t="str">
        <f>IF(Portfolio!$M$1=1,CONCATENATE(A1141,C1141),CONCATENATE(B1141,C1141))</f>
        <v>KAWAN LAMA202509</v>
      </c>
      <c r="F1141">
        <v>1</v>
      </c>
      <c r="G1141">
        <v>0</v>
      </c>
      <c r="H1141">
        <v>0</v>
      </c>
      <c r="I1141">
        <v>0</v>
      </c>
      <c r="J1141">
        <v>2</v>
      </c>
      <c r="K1141">
        <v>2498007</v>
      </c>
      <c r="L1141">
        <v>0</v>
      </c>
      <c r="M1141">
        <v>0</v>
      </c>
      <c r="N1141">
        <v>0</v>
      </c>
      <c r="O1141">
        <v>2509102</v>
      </c>
      <c r="P1141">
        <v>3747</v>
      </c>
      <c r="Q1141">
        <v>0</v>
      </c>
      <c r="R1141">
        <v>0</v>
      </c>
      <c r="S1141">
        <v>0</v>
      </c>
      <c r="T1141">
        <v>16024</v>
      </c>
    </row>
    <row r="1142" spans="1:20" x14ac:dyDescent="0.25">
      <c r="A1142" t="s">
        <v>102</v>
      </c>
      <c r="B1142" t="s">
        <v>131</v>
      </c>
      <c r="C1142">
        <v>202509</v>
      </c>
      <c r="D1142" s="47" t="str">
        <f>MID(C1142,1,4)</f>
        <v>2025</v>
      </c>
      <c r="E1142" t="str">
        <f>IF(Portfolio!$M$1=1,CONCATENATE(A1142,C1142),CONCATENATE(B1142,C1142))</f>
        <v>KAWAN LAMA202509</v>
      </c>
      <c r="F1142">
        <v>4</v>
      </c>
      <c r="G1142">
        <v>0</v>
      </c>
      <c r="H1142">
        <v>0</v>
      </c>
      <c r="I1142">
        <v>0</v>
      </c>
      <c r="J1142">
        <v>0</v>
      </c>
      <c r="K1142">
        <v>284000</v>
      </c>
      <c r="L1142">
        <v>0</v>
      </c>
      <c r="M1142">
        <v>0</v>
      </c>
      <c r="N1142">
        <v>0</v>
      </c>
      <c r="O1142">
        <v>0</v>
      </c>
      <c r="P1142">
        <v>426</v>
      </c>
      <c r="Q1142">
        <v>0</v>
      </c>
      <c r="R1142">
        <v>0</v>
      </c>
      <c r="S1142">
        <v>0</v>
      </c>
      <c r="T1142">
        <v>0</v>
      </c>
    </row>
    <row r="1143" spans="1:20" x14ac:dyDescent="0.25">
      <c r="A1143" t="s">
        <v>102</v>
      </c>
      <c r="B1143" t="s">
        <v>133</v>
      </c>
      <c r="C1143">
        <v>202509</v>
      </c>
      <c r="D1143" s="47" t="str">
        <f>MID(C1143,1,4)</f>
        <v>2025</v>
      </c>
      <c r="E1143" t="str">
        <f>IF(Portfolio!$M$1=1,CONCATENATE(A1143,C1143),CONCATENATE(B1143,C1143))</f>
        <v>KAWAN LAMA202509</v>
      </c>
      <c r="F1143">
        <v>13</v>
      </c>
      <c r="G1143">
        <v>0</v>
      </c>
      <c r="H1143">
        <v>0</v>
      </c>
      <c r="I1143">
        <v>0</v>
      </c>
      <c r="J1143">
        <v>0</v>
      </c>
      <c r="K1143">
        <v>1940000</v>
      </c>
      <c r="L1143">
        <v>0</v>
      </c>
      <c r="M1143">
        <v>0</v>
      </c>
      <c r="N1143">
        <v>0</v>
      </c>
      <c r="O1143">
        <v>0</v>
      </c>
      <c r="P1143">
        <v>2910</v>
      </c>
      <c r="Q1143">
        <v>0</v>
      </c>
      <c r="R1143">
        <v>0</v>
      </c>
      <c r="S1143">
        <v>0</v>
      </c>
      <c r="T1143">
        <v>0</v>
      </c>
    </row>
    <row r="1144" spans="1:20" x14ac:dyDescent="0.25">
      <c r="A1144" t="s">
        <v>102</v>
      </c>
      <c r="B1144" t="s">
        <v>135</v>
      </c>
      <c r="C1144">
        <v>202509</v>
      </c>
      <c r="D1144" s="47" t="str">
        <f>MID(C1144,1,4)</f>
        <v>2025</v>
      </c>
      <c r="E1144" t="str">
        <f>IF(Portfolio!$M$1=1,CONCATENATE(A1144,C1144),CONCATENATE(B1144,C1144))</f>
        <v>KAWAN LAMA202509</v>
      </c>
      <c r="F1144">
        <v>428</v>
      </c>
      <c r="G1144">
        <v>0</v>
      </c>
      <c r="H1144">
        <v>0</v>
      </c>
      <c r="I1144">
        <v>0</v>
      </c>
      <c r="J1144">
        <v>8</v>
      </c>
      <c r="K1144">
        <v>1478257560</v>
      </c>
      <c r="L1144">
        <v>0</v>
      </c>
      <c r="M1144">
        <v>0</v>
      </c>
      <c r="N1144">
        <v>0</v>
      </c>
      <c r="O1144">
        <v>512771059</v>
      </c>
      <c r="P1144">
        <v>2217386</v>
      </c>
      <c r="Q1144">
        <v>0</v>
      </c>
      <c r="R1144">
        <v>0</v>
      </c>
      <c r="S1144">
        <v>0</v>
      </c>
      <c r="T1144">
        <v>3589389</v>
      </c>
    </row>
    <row r="1145" spans="1:20" x14ac:dyDescent="0.25">
      <c r="A1145" t="s">
        <v>102</v>
      </c>
      <c r="B1145" t="s">
        <v>137</v>
      </c>
      <c r="C1145">
        <v>202509</v>
      </c>
      <c r="D1145" s="47" t="str">
        <f>MID(C1145,1,4)</f>
        <v>2025</v>
      </c>
      <c r="E1145" t="str">
        <f>IF(Portfolio!$M$1=1,CONCATENATE(A1145,C1145),CONCATENATE(B1145,C1145))</f>
        <v>KAWAN LAMA202509</v>
      </c>
      <c r="F1145">
        <v>31</v>
      </c>
      <c r="G1145">
        <v>0</v>
      </c>
      <c r="H1145">
        <v>0</v>
      </c>
      <c r="I1145">
        <v>0</v>
      </c>
      <c r="J1145">
        <v>1</v>
      </c>
      <c r="K1145">
        <v>259486768</v>
      </c>
      <c r="L1145">
        <v>0</v>
      </c>
      <c r="M1145">
        <v>0</v>
      </c>
      <c r="N1145">
        <v>0</v>
      </c>
      <c r="O1145">
        <v>54650300</v>
      </c>
      <c r="P1145">
        <v>389230</v>
      </c>
      <c r="Q1145">
        <v>0</v>
      </c>
      <c r="R1145">
        <v>0</v>
      </c>
      <c r="S1145">
        <v>0</v>
      </c>
      <c r="T1145">
        <v>382551</v>
      </c>
    </row>
    <row r="1146" spans="1:20" x14ac:dyDescent="0.25">
      <c r="A1146" t="s">
        <v>102</v>
      </c>
      <c r="B1146" t="s">
        <v>139</v>
      </c>
      <c r="C1146">
        <v>202509</v>
      </c>
      <c r="D1146" s="47" t="str">
        <f>MID(C1146,1,4)</f>
        <v>2025</v>
      </c>
      <c r="E1146" t="str">
        <f>IF(Portfolio!$M$1=1,CONCATENATE(A1146,C1146),CONCATENATE(B1146,C1146))</f>
        <v>KAWAN LAMA202509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399501</v>
      </c>
      <c r="P1146">
        <v>0</v>
      </c>
      <c r="Q1146">
        <v>0</v>
      </c>
      <c r="R1146">
        <v>0</v>
      </c>
      <c r="S1146">
        <v>0</v>
      </c>
      <c r="T1146">
        <v>2796</v>
      </c>
    </row>
    <row r="1147" spans="1:20" x14ac:dyDescent="0.25">
      <c r="A1147" t="s">
        <v>102</v>
      </c>
      <c r="B1147" t="s">
        <v>142</v>
      </c>
      <c r="C1147">
        <v>202509</v>
      </c>
      <c r="D1147" s="47" t="str">
        <f>MID(C1147,1,4)</f>
        <v>2025</v>
      </c>
      <c r="E1147" t="str">
        <f>IF(Portfolio!$M$1=1,CONCATENATE(A1147,C1147),CONCATENATE(B1147,C1147))</f>
        <v>KAWAN LAMA202509</v>
      </c>
      <c r="F1147">
        <v>28</v>
      </c>
      <c r="G1147">
        <v>0</v>
      </c>
      <c r="H1147">
        <v>0</v>
      </c>
      <c r="I1147">
        <v>0</v>
      </c>
      <c r="J1147">
        <v>27</v>
      </c>
      <c r="K1147">
        <v>34807728</v>
      </c>
      <c r="L1147">
        <v>0</v>
      </c>
      <c r="M1147">
        <v>0</v>
      </c>
      <c r="N1147">
        <v>0</v>
      </c>
      <c r="O1147">
        <v>24431352</v>
      </c>
      <c r="P1147">
        <v>52212</v>
      </c>
      <c r="Q1147">
        <v>0</v>
      </c>
      <c r="R1147">
        <v>0</v>
      </c>
      <c r="S1147">
        <v>0</v>
      </c>
      <c r="T1147">
        <v>153238</v>
      </c>
    </row>
    <row r="1148" spans="1:20" x14ac:dyDescent="0.25">
      <c r="A1148" t="s">
        <v>102</v>
      </c>
      <c r="B1148" t="s">
        <v>144</v>
      </c>
      <c r="C1148">
        <v>202509</v>
      </c>
      <c r="D1148" s="47" t="str">
        <f>MID(C1148,1,4)</f>
        <v>2025</v>
      </c>
      <c r="E1148" t="str">
        <f>IF(Portfolio!$M$1=1,CONCATENATE(A1148,C1148),CONCATENATE(B1148,C1148))</f>
        <v>KAWAN LAMA202509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582400</v>
      </c>
      <c r="L1148">
        <v>0</v>
      </c>
      <c r="M1148">
        <v>0</v>
      </c>
      <c r="N1148">
        <v>0</v>
      </c>
      <c r="O1148">
        <v>744300</v>
      </c>
      <c r="P1148">
        <v>874</v>
      </c>
      <c r="Q1148">
        <v>0</v>
      </c>
      <c r="R1148">
        <v>0</v>
      </c>
      <c r="S1148">
        <v>0</v>
      </c>
      <c r="T1148">
        <v>5210</v>
      </c>
    </row>
    <row r="1149" spans="1:20" x14ac:dyDescent="0.25">
      <c r="A1149" t="s">
        <v>103</v>
      </c>
      <c r="B1149" t="s">
        <v>146</v>
      </c>
      <c r="C1149">
        <v>202509</v>
      </c>
      <c r="D1149" s="47" t="str">
        <f>MID(C1149,1,4)</f>
        <v>2025</v>
      </c>
      <c r="E1149" t="str">
        <f>IF(Portfolio!$M$1=1,CONCATENATE(A1149,C1149),CONCATENATE(B1149,C1149))</f>
        <v>KCIC202509</v>
      </c>
      <c r="F1149">
        <v>99</v>
      </c>
      <c r="G1149">
        <v>1809</v>
      </c>
      <c r="H1149">
        <v>1600</v>
      </c>
      <c r="I1149">
        <v>0</v>
      </c>
      <c r="J1149">
        <v>0</v>
      </c>
      <c r="K1149">
        <v>59915000</v>
      </c>
      <c r="L1149">
        <v>1120445000</v>
      </c>
      <c r="M1149">
        <v>1397830000</v>
      </c>
      <c r="N1149">
        <v>0</v>
      </c>
      <c r="O1149">
        <v>0</v>
      </c>
      <c r="P1149">
        <v>89872</v>
      </c>
      <c r="Q1149">
        <v>11204450</v>
      </c>
      <c r="R1149">
        <v>25174640</v>
      </c>
      <c r="S1149">
        <v>0</v>
      </c>
      <c r="T1149">
        <v>0</v>
      </c>
    </row>
    <row r="1150" spans="1:20" x14ac:dyDescent="0.25">
      <c r="A1150" t="s">
        <v>104</v>
      </c>
      <c r="B1150" t="s">
        <v>147</v>
      </c>
      <c r="C1150">
        <v>202509</v>
      </c>
      <c r="D1150" s="47" t="str">
        <f>MID(C1150,1,4)</f>
        <v>2025</v>
      </c>
      <c r="E1150" t="str">
        <f>IF(Portfolio!$M$1=1,CONCATENATE(A1150,C1150),CONCATENATE(B1150,C1150))</f>
        <v>KIMIA FARMA202509</v>
      </c>
      <c r="F1150">
        <v>0</v>
      </c>
      <c r="G1150">
        <v>0</v>
      </c>
      <c r="H1150">
        <v>0</v>
      </c>
      <c r="I1150">
        <v>0</v>
      </c>
      <c r="J1150">
        <v>4</v>
      </c>
      <c r="K1150">
        <v>0</v>
      </c>
      <c r="L1150">
        <v>0</v>
      </c>
      <c r="M1150">
        <v>0</v>
      </c>
      <c r="N1150">
        <v>0</v>
      </c>
      <c r="O1150">
        <v>961293</v>
      </c>
      <c r="P1150">
        <v>0</v>
      </c>
      <c r="Q1150">
        <v>0</v>
      </c>
      <c r="R1150">
        <v>0</v>
      </c>
      <c r="S1150">
        <v>0</v>
      </c>
      <c r="T1150">
        <v>6729</v>
      </c>
    </row>
    <row r="1151" spans="1:20" x14ac:dyDescent="0.25">
      <c r="A1151" t="s">
        <v>105</v>
      </c>
      <c r="B1151" t="s">
        <v>148</v>
      </c>
      <c r="C1151">
        <v>202509</v>
      </c>
      <c r="D1151" s="47" t="str">
        <f>MID(C1151,1,4)</f>
        <v>2025</v>
      </c>
      <c r="E1151" t="str">
        <f>IF(Portfolio!$M$1=1,CONCATENATE(A1151,C1151),CONCATENATE(B1151,C1151))</f>
        <v>LOTTE GROUP202509</v>
      </c>
      <c r="F1151">
        <v>630</v>
      </c>
      <c r="G1151">
        <v>0</v>
      </c>
      <c r="H1151">
        <v>0</v>
      </c>
      <c r="I1151">
        <v>0</v>
      </c>
      <c r="J1151">
        <v>1</v>
      </c>
      <c r="K1151">
        <v>460711925</v>
      </c>
      <c r="L1151">
        <v>0</v>
      </c>
      <c r="M1151">
        <v>0</v>
      </c>
      <c r="N1151">
        <v>0</v>
      </c>
      <c r="O1151">
        <v>804400</v>
      </c>
      <c r="P1151">
        <v>691066</v>
      </c>
      <c r="Q1151">
        <v>0</v>
      </c>
      <c r="R1151">
        <v>0</v>
      </c>
      <c r="S1151">
        <v>0</v>
      </c>
      <c r="T1151">
        <v>5631</v>
      </c>
    </row>
    <row r="1152" spans="1:20" x14ac:dyDescent="0.25">
      <c r="A1152" t="s">
        <v>105</v>
      </c>
      <c r="B1152" t="s">
        <v>149</v>
      </c>
      <c r="C1152">
        <v>202509</v>
      </c>
      <c r="D1152" s="47" t="str">
        <f>MID(C1152,1,4)</f>
        <v>2025</v>
      </c>
      <c r="E1152" t="str">
        <f>IF(Portfolio!$M$1=1,CONCATENATE(A1152,C1152),CONCATENATE(B1152,C1152))</f>
        <v>LOTTE GROUP202509</v>
      </c>
      <c r="F1152">
        <v>370</v>
      </c>
      <c r="G1152">
        <v>37</v>
      </c>
      <c r="H1152">
        <v>31</v>
      </c>
      <c r="I1152">
        <v>0</v>
      </c>
      <c r="J1152">
        <v>0</v>
      </c>
      <c r="K1152">
        <v>105574300</v>
      </c>
      <c r="L1152">
        <v>15186520</v>
      </c>
      <c r="M1152">
        <v>19711400</v>
      </c>
      <c r="N1152">
        <v>0</v>
      </c>
      <c r="O1152">
        <v>0</v>
      </c>
      <c r="P1152">
        <v>158361</v>
      </c>
      <c r="Q1152">
        <v>151865</v>
      </c>
      <c r="R1152">
        <v>256248</v>
      </c>
      <c r="S1152">
        <v>0</v>
      </c>
      <c r="T1152">
        <v>0</v>
      </c>
    </row>
    <row r="1153" spans="1:20" x14ac:dyDescent="0.25">
      <c r="A1153" t="s">
        <v>106</v>
      </c>
      <c r="B1153" t="s">
        <v>106</v>
      </c>
      <c r="C1153">
        <v>202509</v>
      </c>
      <c r="D1153" s="47" t="str">
        <f>MID(C1153,1,4)</f>
        <v>2025</v>
      </c>
      <c r="E1153" t="str">
        <f>IF(Portfolio!$M$1=1,CONCATENATE(A1153,C1153),CONCATENATE(B1153,C1153))</f>
        <v>MAMA ROZ202509</v>
      </c>
      <c r="F1153">
        <v>0</v>
      </c>
      <c r="G1153">
        <v>3</v>
      </c>
      <c r="H1153">
        <v>14</v>
      </c>
      <c r="I1153">
        <v>0</v>
      </c>
      <c r="J1153">
        <v>423</v>
      </c>
      <c r="K1153">
        <v>0</v>
      </c>
      <c r="L1153">
        <v>266400</v>
      </c>
      <c r="M1153">
        <v>1947890</v>
      </c>
      <c r="N1153">
        <v>0</v>
      </c>
      <c r="O1153">
        <v>33082774</v>
      </c>
      <c r="P1153">
        <v>0</v>
      </c>
      <c r="Q1153">
        <v>2664</v>
      </c>
      <c r="R1153">
        <v>29218</v>
      </c>
      <c r="S1153">
        <v>0</v>
      </c>
      <c r="T1153">
        <v>231576</v>
      </c>
    </row>
    <row r="1154" spans="1:20" x14ac:dyDescent="0.25">
      <c r="A1154" t="s">
        <v>107</v>
      </c>
      <c r="B1154" t="s">
        <v>150</v>
      </c>
      <c r="C1154">
        <v>202509</v>
      </c>
      <c r="D1154" s="47" t="str">
        <f>MID(C1154,1,4)</f>
        <v>2025</v>
      </c>
      <c r="E1154" t="str">
        <f>IF(Portfolio!$M$1=1,CONCATENATE(A1154,C1154),CONCATENATE(B1154,C1154))</f>
        <v>MAP GROUP202509</v>
      </c>
      <c r="F1154">
        <v>0</v>
      </c>
      <c r="G1154">
        <v>30</v>
      </c>
      <c r="H1154">
        <v>30</v>
      </c>
      <c r="I1154">
        <v>0</v>
      </c>
      <c r="J1154">
        <v>0</v>
      </c>
      <c r="K1154">
        <v>0</v>
      </c>
      <c r="L1154">
        <v>50663030</v>
      </c>
      <c r="M1154">
        <v>49079600</v>
      </c>
      <c r="N1154">
        <v>0</v>
      </c>
      <c r="O1154">
        <v>0</v>
      </c>
      <c r="P1154">
        <v>0</v>
      </c>
      <c r="Q1154">
        <v>506630</v>
      </c>
      <c r="R1154">
        <v>638035</v>
      </c>
      <c r="S1154">
        <v>0</v>
      </c>
      <c r="T1154">
        <v>0</v>
      </c>
    </row>
    <row r="1155" spans="1:20" x14ac:dyDescent="0.25">
      <c r="A1155" t="s">
        <v>107</v>
      </c>
      <c r="B1155" t="s">
        <v>151</v>
      </c>
      <c r="C1155">
        <v>202509</v>
      </c>
      <c r="D1155" s="47" t="str">
        <f>MID(C1155,1,4)</f>
        <v>2025</v>
      </c>
      <c r="E1155" t="str">
        <f>IF(Portfolio!$M$1=1,CONCATENATE(A1155,C1155),CONCATENATE(B1155,C1155))</f>
        <v>MAP GROUP202509</v>
      </c>
      <c r="F1155">
        <v>8</v>
      </c>
      <c r="G1155">
        <v>310</v>
      </c>
      <c r="H1155">
        <v>343</v>
      </c>
      <c r="I1155">
        <v>0</v>
      </c>
      <c r="J1155">
        <v>0</v>
      </c>
      <c r="K1155">
        <v>14370000</v>
      </c>
      <c r="L1155">
        <v>487374800</v>
      </c>
      <c r="M1155">
        <v>573233800</v>
      </c>
      <c r="N1155">
        <v>0</v>
      </c>
      <c r="O1155">
        <v>0</v>
      </c>
      <c r="P1155">
        <v>21555</v>
      </c>
      <c r="Q1155">
        <v>4873748</v>
      </c>
      <c r="R1155">
        <v>7452039</v>
      </c>
      <c r="S1155">
        <v>0</v>
      </c>
      <c r="T1155">
        <v>0</v>
      </c>
    </row>
    <row r="1156" spans="1:20" x14ac:dyDescent="0.25">
      <c r="A1156" t="s">
        <v>107</v>
      </c>
      <c r="B1156" t="s">
        <v>152</v>
      </c>
      <c r="C1156">
        <v>202509</v>
      </c>
      <c r="D1156" s="47" t="str">
        <f>MID(C1156,1,4)</f>
        <v>2025</v>
      </c>
      <c r="E1156" t="str">
        <f>IF(Portfolio!$M$1=1,CONCATENATE(A1156,C1156),CONCATENATE(B1156,C1156))</f>
        <v>MAP GROUP202509</v>
      </c>
      <c r="F1156">
        <v>2</v>
      </c>
      <c r="G1156">
        <v>118</v>
      </c>
      <c r="H1156">
        <v>131</v>
      </c>
      <c r="I1156">
        <v>0</v>
      </c>
      <c r="J1156">
        <v>0</v>
      </c>
      <c r="K1156">
        <v>1873400</v>
      </c>
      <c r="L1156">
        <v>156053985</v>
      </c>
      <c r="M1156">
        <v>159800132</v>
      </c>
      <c r="N1156">
        <v>0</v>
      </c>
      <c r="O1156">
        <v>0</v>
      </c>
      <c r="P1156">
        <v>2810</v>
      </c>
      <c r="Q1156">
        <v>1560540</v>
      </c>
      <c r="R1156">
        <v>2077402</v>
      </c>
      <c r="S1156">
        <v>0</v>
      </c>
      <c r="T1156">
        <v>0</v>
      </c>
    </row>
    <row r="1157" spans="1:20" x14ac:dyDescent="0.25">
      <c r="A1157" t="s">
        <v>107</v>
      </c>
      <c r="B1157" t="s">
        <v>154</v>
      </c>
      <c r="C1157">
        <v>202509</v>
      </c>
      <c r="D1157" s="47" t="str">
        <f>MID(C1157,1,4)</f>
        <v>2025</v>
      </c>
      <c r="E1157" t="str">
        <f>IF(Portfolio!$M$1=1,CONCATENATE(A1157,C1157),CONCATENATE(B1157,C1157))</f>
        <v>MAP GROUP202509</v>
      </c>
      <c r="F1157">
        <v>10</v>
      </c>
      <c r="G1157">
        <v>320</v>
      </c>
      <c r="H1157">
        <v>434</v>
      </c>
      <c r="I1157">
        <v>0</v>
      </c>
      <c r="J1157">
        <v>0</v>
      </c>
      <c r="K1157">
        <v>21424000</v>
      </c>
      <c r="L1157">
        <v>845827600</v>
      </c>
      <c r="M1157">
        <v>1033170696</v>
      </c>
      <c r="N1157">
        <v>0</v>
      </c>
      <c r="O1157">
        <v>0</v>
      </c>
      <c r="P1157">
        <v>32136</v>
      </c>
      <c r="Q1157">
        <v>8458276</v>
      </c>
      <c r="R1157">
        <v>13431219</v>
      </c>
      <c r="S1157">
        <v>0</v>
      </c>
      <c r="T1157">
        <v>0</v>
      </c>
    </row>
    <row r="1158" spans="1:20" x14ac:dyDescent="0.25">
      <c r="A1158" t="s">
        <v>107</v>
      </c>
      <c r="B1158" t="s">
        <v>155</v>
      </c>
      <c r="C1158">
        <v>202509</v>
      </c>
      <c r="D1158" s="47" t="str">
        <f>MID(C1158,1,4)</f>
        <v>2025</v>
      </c>
      <c r="E1158" t="str">
        <f>IF(Portfolio!$M$1=1,CONCATENATE(A1158,C1158),CONCATENATE(B1158,C1158))</f>
        <v>MAP GROUP202509</v>
      </c>
      <c r="F1158">
        <v>0</v>
      </c>
      <c r="G1158">
        <v>11</v>
      </c>
      <c r="H1158">
        <v>4</v>
      </c>
      <c r="I1158">
        <v>0</v>
      </c>
      <c r="J1158">
        <v>0</v>
      </c>
      <c r="K1158">
        <v>0</v>
      </c>
      <c r="L1158">
        <v>5642710</v>
      </c>
      <c r="M1158">
        <v>1973500</v>
      </c>
      <c r="N1158">
        <v>0</v>
      </c>
      <c r="O1158">
        <v>0</v>
      </c>
      <c r="P1158">
        <v>0</v>
      </c>
      <c r="Q1158">
        <v>56427</v>
      </c>
      <c r="R1158">
        <v>25656</v>
      </c>
      <c r="S1158">
        <v>0</v>
      </c>
      <c r="T1158">
        <v>0</v>
      </c>
    </row>
    <row r="1159" spans="1:20" x14ac:dyDescent="0.25">
      <c r="A1159" t="s">
        <v>107</v>
      </c>
      <c r="B1159" t="s">
        <v>156</v>
      </c>
      <c r="C1159">
        <v>202509</v>
      </c>
      <c r="D1159" s="47" t="str">
        <f>MID(C1159,1,4)</f>
        <v>2025</v>
      </c>
      <c r="E1159" t="str">
        <f>IF(Portfolio!$M$1=1,CONCATENATE(A1159,C1159),CONCATENATE(B1159,C1159))</f>
        <v>MAP GROUP202509</v>
      </c>
      <c r="F1159">
        <v>1</v>
      </c>
      <c r="G1159">
        <v>18</v>
      </c>
      <c r="H1159">
        <v>18</v>
      </c>
      <c r="I1159">
        <v>0</v>
      </c>
      <c r="J1159">
        <v>0</v>
      </c>
      <c r="K1159">
        <v>3200000</v>
      </c>
      <c r="L1159">
        <v>25991300</v>
      </c>
      <c r="M1159">
        <v>41944200</v>
      </c>
      <c r="N1159">
        <v>0</v>
      </c>
      <c r="O1159">
        <v>0</v>
      </c>
      <c r="P1159">
        <v>4800</v>
      </c>
      <c r="Q1159">
        <v>259913</v>
      </c>
      <c r="R1159">
        <v>545275</v>
      </c>
      <c r="S1159">
        <v>0</v>
      </c>
      <c r="T1159">
        <v>0</v>
      </c>
    </row>
    <row r="1160" spans="1:20" x14ac:dyDescent="0.25">
      <c r="A1160" t="s">
        <v>107</v>
      </c>
      <c r="B1160" t="s">
        <v>157</v>
      </c>
      <c r="C1160">
        <v>202509</v>
      </c>
      <c r="D1160" s="47" t="str">
        <f>MID(C1160,1,4)</f>
        <v>2025</v>
      </c>
      <c r="E1160" t="str">
        <f>IF(Portfolio!$M$1=1,CONCATENATE(A1160,C1160),CONCATENATE(B1160,C1160))</f>
        <v>MAP GROUP202509</v>
      </c>
      <c r="F1160">
        <v>2</v>
      </c>
      <c r="G1160">
        <v>23</v>
      </c>
      <c r="H1160">
        <v>25</v>
      </c>
      <c r="I1160">
        <v>0</v>
      </c>
      <c r="J1160">
        <v>0</v>
      </c>
      <c r="K1160">
        <v>4445630</v>
      </c>
      <c r="L1160">
        <v>18194020</v>
      </c>
      <c r="M1160">
        <v>20807850</v>
      </c>
      <c r="N1160">
        <v>0</v>
      </c>
      <c r="O1160">
        <v>0</v>
      </c>
      <c r="P1160">
        <v>6668</v>
      </c>
      <c r="Q1160">
        <v>181940</v>
      </c>
      <c r="R1160">
        <v>270502</v>
      </c>
      <c r="S1160">
        <v>0</v>
      </c>
      <c r="T1160">
        <v>0</v>
      </c>
    </row>
    <row r="1161" spans="1:20" x14ac:dyDescent="0.25">
      <c r="A1161" t="s">
        <v>107</v>
      </c>
      <c r="B1161" t="s">
        <v>158</v>
      </c>
      <c r="C1161">
        <v>202509</v>
      </c>
      <c r="D1161" s="47" t="str">
        <f>MID(C1161,1,4)</f>
        <v>2025</v>
      </c>
      <c r="E1161" t="str">
        <f>IF(Portfolio!$M$1=1,CONCATENATE(A1161,C1161),CONCATENATE(B1161,C1161))</f>
        <v>MAP GROUP202509</v>
      </c>
      <c r="F1161">
        <v>0</v>
      </c>
      <c r="G1161">
        <v>15</v>
      </c>
      <c r="H1161">
        <v>4</v>
      </c>
      <c r="I1161">
        <v>0</v>
      </c>
      <c r="J1161">
        <v>0</v>
      </c>
      <c r="K1161">
        <v>0</v>
      </c>
      <c r="L1161">
        <v>5618060</v>
      </c>
      <c r="M1161">
        <v>4004300</v>
      </c>
      <c r="N1161">
        <v>0</v>
      </c>
      <c r="O1161">
        <v>0</v>
      </c>
      <c r="P1161">
        <v>0</v>
      </c>
      <c r="Q1161">
        <v>56181</v>
      </c>
      <c r="R1161">
        <v>52056</v>
      </c>
      <c r="S1161">
        <v>0</v>
      </c>
      <c r="T1161">
        <v>0</v>
      </c>
    </row>
    <row r="1162" spans="1:20" x14ac:dyDescent="0.25">
      <c r="A1162" t="s">
        <v>107</v>
      </c>
      <c r="B1162" t="s">
        <v>159</v>
      </c>
      <c r="C1162">
        <v>202509</v>
      </c>
      <c r="D1162" s="47" t="str">
        <f>MID(C1162,1,4)</f>
        <v>2025</v>
      </c>
      <c r="E1162" t="str">
        <f>IF(Portfolio!$M$1=1,CONCATENATE(A1162,C1162),CONCATENATE(B1162,C1162))</f>
        <v>MAP GROUP202509</v>
      </c>
      <c r="F1162">
        <v>2</v>
      </c>
      <c r="G1162">
        <v>154</v>
      </c>
      <c r="H1162">
        <v>229</v>
      </c>
      <c r="I1162">
        <v>0</v>
      </c>
      <c r="J1162">
        <v>0</v>
      </c>
      <c r="K1162">
        <v>3342400</v>
      </c>
      <c r="L1162">
        <v>343351314</v>
      </c>
      <c r="M1162">
        <v>505274195</v>
      </c>
      <c r="N1162">
        <v>0</v>
      </c>
      <c r="O1162">
        <v>0</v>
      </c>
      <c r="P1162">
        <v>5014</v>
      </c>
      <c r="Q1162">
        <v>3433513</v>
      </c>
      <c r="R1162">
        <v>6568565</v>
      </c>
      <c r="S1162">
        <v>0</v>
      </c>
      <c r="T1162">
        <v>0</v>
      </c>
    </row>
    <row r="1163" spans="1:20" x14ac:dyDescent="0.25">
      <c r="A1163" t="s">
        <v>107</v>
      </c>
      <c r="B1163" t="s">
        <v>160</v>
      </c>
      <c r="C1163">
        <v>202509</v>
      </c>
      <c r="D1163" s="47" t="str">
        <f>MID(C1163,1,4)</f>
        <v>2025</v>
      </c>
      <c r="E1163" t="str">
        <f>IF(Portfolio!$M$1=1,CONCATENATE(A1163,C1163),CONCATENATE(B1163,C1163))</f>
        <v>MAP GROUP202509</v>
      </c>
      <c r="F1163">
        <v>0</v>
      </c>
      <c r="G1163">
        <v>9</v>
      </c>
      <c r="H1163">
        <v>19</v>
      </c>
      <c r="I1163">
        <v>0</v>
      </c>
      <c r="J1163">
        <v>0</v>
      </c>
      <c r="K1163">
        <v>0</v>
      </c>
      <c r="L1163">
        <v>16323000</v>
      </c>
      <c r="M1163">
        <v>42722300</v>
      </c>
      <c r="N1163">
        <v>0</v>
      </c>
      <c r="O1163">
        <v>0</v>
      </c>
      <c r="P1163">
        <v>0</v>
      </c>
      <c r="Q1163">
        <v>163230</v>
      </c>
      <c r="R1163">
        <v>555390</v>
      </c>
      <c r="S1163">
        <v>0</v>
      </c>
      <c r="T1163">
        <v>0</v>
      </c>
    </row>
    <row r="1164" spans="1:20" x14ac:dyDescent="0.25">
      <c r="A1164" t="s">
        <v>107</v>
      </c>
      <c r="B1164" t="s">
        <v>161</v>
      </c>
      <c r="C1164">
        <v>202509</v>
      </c>
      <c r="D1164" s="47" t="str">
        <f>MID(C1164,1,4)</f>
        <v>2025</v>
      </c>
      <c r="E1164" t="str">
        <f>IF(Portfolio!$M$1=1,CONCATENATE(A1164,C1164),CONCATENATE(B1164,C1164))</f>
        <v>MAP GROUP202509</v>
      </c>
      <c r="F1164">
        <v>1</v>
      </c>
      <c r="G1164">
        <v>47</v>
      </c>
      <c r="H1164">
        <v>94</v>
      </c>
      <c r="I1164">
        <v>0</v>
      </c>
      <c r="J1164">
        <v>0</v>
      </c>
      <c r="K1164">
        <v>2462880</v>
      </c>
      <c r="L1164">
        <v>84226384</v>
      </c>
      <c r="M1164">
        <v>165148006</v>
      </c>
      <c r="N1164">
        <v>0</v>
      </c>
      <c r="O1164">
        <v>0</v>
      </c>
      <c r="P1164">
        <v>3694</v>
      </c>
      <c r="Q1164">
        <v>842264</v>
      </c>
      <c r="R1164">
        <v>2146924</v>
      </c>
      <c r="S1164">
        <v>0</v>
      </c>
      <c r="T1164">
        <v>0</v>
      </c>
    </row>
    <row r="1165" spans="1:20" x14ac:dyDescent="0.25">
      <c r="A1165" t="s">
        <v>107</v>
      </c>
      <c r="B1165" t="s">
        <v>162</v>
      </c>
      <c r="C1165">
        <v>202509</v>
      </c>
      <c r="D1165" s="47" t="str">
        <f>MID(C1165,1,4)</f>
        <v>2025</v>
      </c>
      <c r="E1165" t="str">
        <f>IF(Portfolio!$M$1=1,CONCATENATE(A1165,C1165),CONCATENATE(B1165,C1165))</f>
        <v>MAP GROUP202509</v>
      </c>
      <c r="F1165">
        <v>16</v>
      </c>
      <c r="G1165">
        <v>514</v>
      </c>
      <c r="H1165">
        <v>219</v>
      </c>
      <c r="I1165">
        <v>0</v>
      </c>
      <c r="J1165">
        <v>0</v>
      </c>
      <c r="K1165">
        <v>14149900</v>
      </c>
      <c r="L1165">
        <v>497655680</v>
      </c>
      <c r="M1165">
        <v>201812232</v>
      </c>
      <c r="N1165">
        <v>0</v>
      </c>
      <c r="O1165">
        <v>0</v>
      </c>
      <c r="P1165">
        <v>21225</v>
      </c>
      <c r="Q1165">
        <v>4976557</v>
      </c>
      <c r="R1165">
        <v>2623559</v>
      </c>
      <c r="S1165">
        <v>0</v>
      </c>
      <c r="T1165">
        <v>0</v>
      </c>
    </row>
    <row r="1166" spans="1:20" x14ac:dyDescent="0.25">
      <c r="A1166" t="s">
        <v>107</v>
      </c>
      <c r="B1166" t="s">
        <v>163</v>
      </c>
      <c r="C1166">
        <v>202509</v>
      </c>
      <c r="D1166" s="47" t="str">
        <f>MID(C1166,1,4)</f>
        <v>2025</v>
      </c>
      <c r="E1166" t="str">
        <f>IF(Portfolio!$M$1=1,CONCATENATE(A1166,C1166),CONCATENATE(B1166,C1166))</f>
        <v>MAP GROUP202509</v>
      </c>
      <c r="F1166">
        <v>27</v>
      </c>
      <c r="G1166">
        <v>1227</v>
      </c>
      <c r="H1166">
        <v>738</v>
      </c>
      <c r="I1166">
        <v>0</v>
      </c>
      <c r="J1166">
        <v>0</v>
      </c>
      <c r="K1166">
        <v>31089800</v>
      </c>
      <c r="L1166">
        <v>1714038341</v>
      </c>
      <c r="M1166">
        <v>934893826</v>
      </c>
      <c r="N1166">
        <v>0</v>
      </c>
      <c r="O1166">
        <v>0</v>
      </c>
      <c r="P1166">
        <v>46635</v>
      </c>
      <c r="Q1166">
        <v>17140383</v>
      </c>
      <c r="R1166">
        <v>12153620</v>
      </c>
      <c r="S1166">
        <v>0</v>
      </c>
      <c r="T1166">
        <v>0</v>
      </c>
    </row>
    <row r="1167" spans="1:20" x14ac:dyDescent="0.25">
      <c r="A1167" t="s">
        <v>107</v>
      </c>
      <c r="B1167" t="s">
        <v>166</v>
      </c>
      <c r="C1167">
        <v>202509</v>
      </c>
      <c r="D1167" s="47" t="str">
        <f>MID(C1167,1,4)</f>
        <v>2025</v>
      </c>
      <c r="E1167" t="str">
        <f>IF(Portfolio!$M$1=1,CONCATENATE(A1167,C1167),CONCATENATE(B1167,C1167))</f>
        <v>MAP GROUP202509</v>
      </c>
      <c r="F1167">
        <v>0</v>
      </c>
      <c r="G1167">
        <v>44</v>
      </c>
      <c r="H1167">
        <v>50</v>
      </c>
      <c r="I1167">
        <v>0</v>
      </c>
      <c r="J1167">
        <v>0</v>
      </c>
      <c r="K1167">
        <v>0</v>
      </c>
      <c r="L1167">
        <v>142192000</v>
      </c>
      <c r="M1167">
        <v>145432265</v>
      </c>
      <c r="N1167">
        <v>0</v>
      </c>
      <c r="O1167">
        <v>0</v>
      </c>
      <c r="P1167">
        <v>0</v>
      </c>
      <c r="Q1167">
        <v>1421920</v>
      </c>
      <c r="R1167">
        <v>1890619</v>
      </c>
      <c r="S1167">
        <v>0</v>
      </c>
      <c r="T1167">
        <v>0</v>
      </c>
    </row>
    <row r="1168" spans="1:20" x14ac:dyDescent="0.25">
      <c r="A1168" t="s">
        <v>107</v>
      </c>
      <c r="B1168" t="s">
        <v>167</v>
      </c>
      <c r="C1168">
        <v>202509</v>
      </c>
      <c r="D1168" s="47" t="str">
        <f>MID(C1168,1,4)</f>
        <v>2025</v>
      </c>
      <c r="E1168" t="str">
        <f>IF(Portfolio!$M$1=1,CONCATENATE(A1168,C1168),CONCATENATE(B1168,C1168))</f>
        <v>MAP GROUP202509</v>
      </c>
      <c r="F1168">
        <v>0</v>
      </c>
      <c r="G1168">
        <v>67</v>
      </c>
      <c r="H1168">
        <v>110</v>
      </c>
      <c r="I1168">
        <v>0</v>
      </c>
      <c r="J1168">
        <v>0</v>
      </c>
      <c r="K1168">
        <v>0</v>
      </c>
      <c r="L1168">
        <v>108395795</v>
      </c>
      <c r="M1168">
        <v>152292380</v>
      </c>
      <c r="N1168">
        <v>0</v>
      </c>
      <c r="O1168">
        <v>0</v>
      </c>
      <c r="P1168">
        <v>0</v>
      </c>
      <c r="Q1168">
        <v>1083958</v>
      </c>
      <c r="R1168">
        <v>1979801</v>
      </c>
      <c r="S1168">
        <v>0</v>
      </c>
      <c r="T1168">
        <v>0</v>
      </c>
    </row>
    <row r="1169" spans="1:20" x14ac:dyDescent="0.25">
      <c r="A1169" t="s">
        <v>107</v>
      </c>
      <c r="B1169" t="s">
        <v>169</v>
      </c>
      <c r="C1169">
        <v>202509</v>
      </c>
      <c r="D1169" s="47" t="str">
        <f>MID(C1169,1,4)</f>
        <v>2025</v>
      </c>
      <c r="E1169" t="str">
        <f>IF(Portfolio!$M$1=1,CONCATENATE(A1169,C1169),CONCATENATE(B1169,C1169))</f>
        <v>MAP GROUP202509</v>
      </c>
      <c r="F1169">
        <v>0</v>
      </c>
      <c r="G1169">
        <v>17</v>
      </c>
      <c r="H1169">
        <v>4</v>
      </c>
      <c r="I1169">
        <v>0</v>
      </c>
      <c r="J1169">
        <v>0</v>
      </c>
      <c r="K1169">
        <v>0</v>
      </c>
      <c r="L1169">
        <v>569001</v>
      </c>
      <c r="M1169">
        <v>562206</v>
      </c>
      <c r="N1169">
        <v>0</v>
      </c>
      <c r="O1169">
        <v>0</v>
      </c>
      <c r="P1169">
        <v>0</v>
      </c>
      <c r="Q1169">
        <v>5690</v>
      </c>
      <c r="R1169">
        <v>7309</v>
      </c>
      <c r="S1169">
        <v>0</v>
      </c>
      <c r="T1169">
        <v>0</v>
      </c>
    </row>
    <row r="1170" spans="1:20" x14ac:dyDescent="0.25">
      <c r="A1170" t="s">
        <v>107</v>
      </c>
      <c r="B1170" t="s">
        <v>170</v>
      </c>
      <c r="C1170">
        <v>202509</v>
      </c>
      <c r="D1170" s="47" t="str">
        <f>MID(C1170,1,4)</f>
        <v>2025</v>
      </c>
      <c r="E1170" t="str">
        <f>IF(Portfolio!$M$1=1,CONCATENATE(A1170,C1170),CONCATENATE(B1170,C1170))</f>
        <v>MAP GROUP202509</v>
      </c>
      <c r="F1170">
        <v>31</v>
      </c>
      <c r="G1170">
        <v>1140</v>
      </c>
      <c r="H1170">
        <v>910</v>
      </c>
      <c r="I1170">
        <v>0</v>
      </c>
      <c r="J1170">
        <v>0</v>
      </c>
      <c r="K1170">
        <v>50547940</v>
      </c>
      <c r="L1170">
        <v>1787130069</v>
      </c>
      <c r="M1170">
        <v>1488922046</v>
      </c>
      <c r="N1170">
        <v>0</v>
      </c>
      <c r="O1170">
        <v>0</v>
      </c>
      <c r="P1170">
        <v>75822</v>
      </c>
      <c r="Q1170">
        <v>17871301</v>
      </c>
      <c r="R1170">
        <v>19355987</v>
      </c>
      <c r="S1170">
        <v>0</v>
      </c>
      <c r="T1170">
        <v>0</v>
      </c>
    </row>
    <row r="1171" spans="1:20" x14ac:dyDescent="0.25">
      <c r="A1171" t="s">
        <v>107</v>
      </c>
      <c r="B1171" t="s">
        <v>171</v>
      </c>
      <c r="C1171">
        <v>202509</v>
      </c>
      <c r="D1171" s="47" t="str">
        <f>MID(C1171,1,4)</f>
        <v>2025</v>
      </c>
      <c r="E1171" t="str">
        <f>IF(Portfolio!$M$1=1,CONCATENATE(A1171,C1171),CONCATENATE(B1171,C1171))</f>
        <v>MAP GROUP202509</v>
      </c>
      <c r="F1171">
        <v>0</v>
      </c>
      <c r="G1171">
        <v>8</v>
      </c>
      <c r="H1171">
        <v>8</v>
      </c>
      <c r="I1171">
        <v>0</v>
      </c>
      <c r="J1171">
        <v>0</v>
      </c>
      <c r="K1171">
        <v>0</v>
      </c>
      <c r="L1171">
        <v>2053000</v>
      </c>
      <c r="M1171">
        <v>2595500</v>
      </c>
      <c r="N1171">
        <v>0</v>
      </c>
      <c r="O1171">
        <v>0</v>
      </c>
      <c r="P1171">
        <v>0</v>
      </c>
      <c r="Q1171">
        <v>20530</v>
      </c>
      <c r="R1171">
        <v>33742</v>
      </c>
      <c r="S1171">
        <v>0</v>
      </c>
      <c r="T1171">
        <v>0</v>
      </c>
    </row>
    <row r="1172" spans="1:20" x14ac:dyDescent="0.25">
      <c r="A1172" t="s">
        <v>107</v>
      </c>
      <c r="B1172" t="s">
        <v>172</v>
      </c>
      <c r="C1172">
        <v>202509</v>
      </c>
      <c r="D1172" s="47" t="str">
        <f>MID(C1172,1,4)</f>
        <v>2025</v>
      </c>
      <c r="E1172" t="str">
        <f>IF(Portfolio!$M$1=1,CONCATENATE(A1172,C1172),CONCATENATE(B1172,C1172))</f>
        <v>MAP GROUP202509</v>
      </c>
      <c r="F1172">
        <v>0</v>
      </c>
      <c r="G1172">
        <v>43</v>
      </c>
      <c r="H1172">
        <v>63</v>
      </c>
      <c r="I1172">
        <v>0</v>
      </c>
      <c r="J1172">
        <v>0</v>
      </c>
      <c r="K1172">
        <v>0</v>
      </c>
      <c r="L1172">
        <v>51853960</v>
      </c>
      <c r="M1172">
        <v>154170060</v>
      </c>
      <c r="N1172">
        <v>0</v>
      </c>
      <c r="O1172">
        <v>0</v>
      </c>
      <c r="P1172">
        <v>0</v>
      </c>
      <c r="Q1172">
        <v>518540</v>
      </c>
      <c r="R1172">
        <v>2004211</v>
      </c>
      <c r="S1172">
        <v>0</v>
      </c>
      <c r="T1172">
        <v>0</v>
      </c>
    </row>
    <row r="1173" spans="1:20" x14ac:dyDescent="0.25">
      <c r="A1173" t="s">
        <v>107</v>
      </c>
      <c r="B1173" t="s">
        <v>173</v>
      </c>
      <c r="C1173">
        <v>202509</v>
      </c>
      <c r="D1173" s="47" t="str">
        <f>MID(C1173,1,4)</f>
        <v>2025</v>
      </c>
      <c r="E1173" t="str">
        <f>IF(Portfolio!$M$1=1,CONCATENATE(A1173,C1173),CONCATENATE(B1173,C1173))</f>
        <v>MAP GROUP202509</v>
      </c>
      <c r="F1173">
        <v>0</v>
      </c>
      <c r="G1173">
        <v>2</v>
      </c>
      <c r="H1173">
        <v>9</v>
      </c>
      <c r="I1173">
        <v>0</v>
      </c>
      <c r="J1173">
        <v>0</v>
      </c>
      <c r="K1173">
        <v>0</v>
      </c>
      <c r="L1173">
        <v>3291000</v>
      </c>
      <c r="M1173">
        <v>19053145</v>
      </c>
      <c r="N1173">
        <v>0</v>
      </c>
      <c r="O1173">
        <v>0</v>
      </c>
      <c r="P1173">
        <v>0</v>
      </c>
      <c r="Q1173">
        <v>32910</v>
      </c>
      <c r="R1173">
        <v>247691</v>
      </c>
      <c r="S1173">
        <v>0</v>
      </c>
      <c r="T1173">
        <v>0</v>
      </c>
    </row>
    <row r="1174" spans="1:20" x14ac:dyDescent="0.25">
      <c r="A1174" t="s">
        <v>107</v>
      </c>
      <c r="B1174" t="s">
        <v>174</v>
      </c>
      <c r="C1174">
        <v>202509</v>
      </c>
      <c r="D1174" s="47" t="str">
        <f>MID(C1174,1,4)</f>
        <v>2025</v>
      </c>
      <c r="E1174" t="str">
        <f>IF(Portfolio!$M$1=1,CONCATENATE(A1174,C1174),CONCATENATE(B1174,C1174))</f>
        <v>MAP GROUP202509</v>
      </c>
      <c r="F1174">
        <v>3</v>
      </c>
      <c r="G1174">
        <v>97</v>
      </c>
      <c r="H1174">
        <v>124</v>
      </c>
      <c r="I1174">
        <v>0</v>
      </c>
      <c r="J1174">
        <v>0</v>
      </c>
      <c r="K1174">
        <v>10408120</v>
      </c>
      <c r="L1174">
        <v>245305530</v>
      </c>
      <c r="M1174">
        <v>342200150</v>
      </c>
      <c r="N1174">
        <v>0</v>
      </c>
      <c r="O1174">
        <v>0</v>
      </c>
      <c r="P1174">
        <v>15612</v>
      </c>
      <c r="Q1174">
        <v>2453055</v>
      </c>
      <c r="R1174">
        <v>4448602</v>
      </c>
      <c r="S1174">
        <v>0</v>
      </c>
      <c r="T1174">
        <v>0</v>
      </c>
    </row>
    <row r="1175" spans="1:20" x14ac:dyDescent="0.25">
      <c r="A1175" t="s">
        <v>107</v>
      </c>
      <c r="B1175" t="s">
        <v>175</v>
      </c>
      <c r="C1175">
        <v>202509</v>
      </c>
      <c r="D1175" s="47" t="str">
        <f>MID(C1175,1,4)</f>
        <v>2025</v>
      </c>
      <c r="E1175" t="str">
        <f>IF(Portfolio!$M$1=1,CONCATENATE(A1175,C1175),CONCATENATE(B1175,C1175))</f>
        <v>MAP GROUP202509</v>
      </c>
      <c r="F1175">
        <v>0</v>
      </c>
      <c r="G1175">
        <v>3</v>
      </c>
      <c r="H1175">
        <v>5</v>
      </c>
      <c r="I1175">
        <v>0</v>
      </c>
      <c r="J1175">
        <v>0</v>
      </c>
      <c r="K1175">
        <v>0</v>
      </c>
      <c r="L1175">
        <v>4547225</v>
      </c>
      <c r="M1175">
        <v>7100240</v>
      </c>
      <c r="N1175">
        <v>0</v>
      </c>
      <c r="O1175">
        <v>0</v>
      </c>
      <c r="P1175">
        <v>0</v>
      </c>
      <c r="Q1175">
        <v>45472</v>
      </c>
      <c r="R1175">
        <v>92303</v>
      </c>
      <c r="S1175">
        <v>0</v>
      </c>
      <c r="T1175">
        <v>0</v>
      </c>
    </row>
    <row r="1176" spans="1:20" x14ac:dyDescent="0.25">
      <c r="A1176" t="s">
        <v>107</v>
      </c>
      <c r="B1176" t="s">
        <v>176</v>
      </c>
      <c r="C1176">
        <v>202509</v>
      </c>
      <c r="D1176" s="47" t="str">
        <f>MID(C1176,1,4)</f>
        <v>2025</v>
      </c>
      <c r="E1176" t="str">
        <f>IF(Portfolio!$M$1=1,CONCATENATE(A1176,C1176),CONCATENATE(B1176,C1176))</f>
        <v>MAP GROUP202509</v>
      </c>
      <c r="F1176">
        <v>30</v>
      </c>
      <c r="G1176">
        <v>1871</v>
      </c>
      <c r="H1176">
        <v>1665</v>
      </c>
      <c r="I1176">
        <v>0</v>
      </c>
      <c r="J1176">
        <v>0</v>
      </c>
      <c r="K1176">
        <v>16067240</v>
      </c>
      <c r="L1176">
        <v>991967649</v>
      </c>
      <c r="M1176">
        <v>900023680</v>
      </c>
      <c r="N1176">
        <v>0</v>
      </c>
      <c r="O1176">
        <v>0</v>
      </c>
      <c r="P1176">
        <v>24101</v>
      </c>
      <c r="Q1176">
        <v>9919676</v>
      </c>
      <c r="R1176">
        <v>11700308</v>
      </c>
      <c r="S1176">
        <v>0</v>
      </c>
      <c r="T1176">
        <v>0</v>
      </c>
    </row>
    <row r="1177" spans="1:20" x14ac:dyDescent="0.25">
      <c r="A1177" t="s">
        <v>107</v>
      </c>
      <c r="B1177" t="s">
        <v>177</v>
      </c>
      <c r="C1177">
        <v>202509</v>
      </c>
      <c r="D1177" s="47" t="str">
        <f>MID(C1177,1,4)</f>
        <v>2025</v>
      </c>
      <c r="E1177" t="str">
        <f>IF(Portfolio!$M$1=1,CONCATENATE(A1177,C1177),CONCATENATE(B1177,C1177))</f>
        <v>MAP GROUP202509</v>
      </c>
      <c r="F1177">
        <v>2</v>
      </c>
      <c r="G1177">
        <v>26</v>
      </c>
      <c r="H1177">
        <v>67</v>
      </c>
      <c r="I1177">
        <v>0</v>
      </c>
      <c r="J1177">
        <v>0</v>
      </c>
      <c r="K1177">
        <v>5902000</v>
      </c>
      <c r="L1177">
        <v>56357350</v>
      </c>
      <c r="M1177">
        <v>204393280</v>
      </c>
      <c r="N1177">
        <v>0</v>
      </c>
      <c r="O1177">
        <v>0</v>
      </c>
      <c r="P1177">
        <v>8853</v>
      </c>
      <c r="Q1177">
        <v>563574</v>
      </c>
      <c r="R1177">
        <v>2657113</v>
      </c>
      <c r="S1177">
        <v>0</v>
      </c>
      <c r="T1177">
        <v>0</v>
      </c>
    </row>
    <row r="1178" spans="1:20" x14ac:dyDescent="0.25">
      <c r="A1178" t="s">
        <v>107</v>
      </c>
      <c r="B1178" t="s">
        <v>178</v>
      </c>
      <c r="C1178">
        <v>202509</v>
      </c>
      <c r="D1178" s="47" t="str">
        <f>MID(C1178,1,4)</f>
        <v>2025</v>
      </c>
      <c r="E1178" t="str">
        <f>IF(Portfolio!$M$1=1,CONCATENATE(A1178,C1178),CONCATENATE(B1178,C1178))</f>
        <v>MAP GROUP202509</v>
      </c>
      <c r="F1178">
        <v>3</v>
      </c>
      <c r="G1178">
        <v>318</v>
      </c>
      <c r="H1178">
        <v>438</v>
      </c>
      <c r="I1178">
        <v>20</v>
      </c>
      <c r="J1178">
        <v>1539</v>
      </c>
      <c r="K1178">
        <v>1703800</v>
      </c>
      <c r="L1178">
        <v>292490374</v>
      </c>
      <c r="M1178">
        <v>658804218</v>
      </c>
      <c r="N1178">
        <v>633800</v>
      </c>
      <c r="O1178">
        <v>119118213</v>
      </c>
      <c r="P1178">
        <v>2556</v>
      </c>
      <c r="Q1178">
        <v>2924904</v>
      </c>
      <c r="R1178">
        <v>8568035</v>
      </c>
      <c r="S1178">
        <v>3401</v>
      </c>
      <c r="T1178">
        <v>780126</v>
      </c>
    </row>
    <row r="1179" spans="1:20" x14ac:dyDescent="0.25">
      <c r="A1179" t="s">
        <v>107</v>
      </c>
      <c r="B1179" t="s">
        <v>179</v>
      </c>
      <c r="C1179">
        <v>202509</v>
      </c>
      <c r="D1179" s="47" t="str">
        <f>MID(C1179,1,4)</f>
        <v>2025</v>
      </c>
      <c r="E1179" t="str">
        <f>IF(Portfolio!$M$1=1,CONCATENATE(A1179,C1179),CONCATENATE(B1179,C1179))</f>
        <v>MAP GROUP202509</v>
      </c>
      <c r="F1179">
        <v>1</v>
      </c>
      <c r="G1179">
        <v>38</v>
      </c>
      <c r="H1179">
        <v>65</v>
      </c>
      <c r="I1179">
        <v>0</v>
      </c>
      <c r="J1179">
        <v>0</v>
      </c>
      <c r="K1179">
        <v>1356880</v>
      </c>
      <c r="L1179">
        <v>36117238</v>
      </c>
      <c r="M1179">
        <v>79040449</v>
      </c>
      <c r="N1179">
        <v>0</v>
      </c>
      <c r="O1179">
        <v>0</v>
      </c>
      <c r="P1179">
        <v>2035</v>
      </c>
      <c r="Q1179">
        <v>361172</v>
      </c>
      <c r="R1179">
        <v>1027526</v>
      </c>
      <c r="S1179">
        <v>0</v>
      </c>
      <c r="T1179">
        <v>0</v>
      </c>
    </row>
    <row r="1180" spans="1:20" x14ac:dyDescent="0.25">
      <c r="A1180" t="s">
        <v>107</v>
      </c>
      <c r="B1180" t="s">
        <v>180</v>
      </c>
      <c r="C1180">
        <v>202509</v>
      </c>
      <c r="D1180" s="47" t="str">
        <f>MID(C1180,1,4)</f>
        <v>2025</v>
      </c>
      <c r="E1180" t="str">
        <f>IF(Portfolio!$M$1=1,CONCATENATE(A1180,C1180),CONCATENATE(B1180,C1180))</f>
        <v>MAP GROUP202509</v>
      </c>
      <c r="F1180">
        <v>0</v>
      </c>
      <c r="G1180">
        <v>4</v>
      </c>
      <c r="H1180">
        <v>16</v>
      </c>
      <c r="I1180">
        <v>0</v>
      </c>
      <c r="J1180">
        <v>0</v>
      </c>
      <c r="K1180">
        <v>0</v>
      </c>
      <c r="L1180">
        <v>1819000</v>
      </c>
      <c r="M1180">
        <v>8147100</v>
      </c>
      <c r="N1180">
        <v>0</v>
      </c>
      <c r="O1180">
        <v>0</v>
      </c>
      <c r="P1180">
        <v>0</v>
      </c>
      <c r="Q1180">
        <v>18190</v>
      </c>
      <c r="R1180">
        <v>105912</v>
      </c>
      <c r="S1180">
        <v>0</v>
      </c>
      <c r="T1180">
        <v>0</v>
      </c>
    </row>
    <row r="1181" spans="1:20" x14ac:dyDescent="0.25">
      <c r="A1181" t="s">
        <v>107</v>
      </c>
      <c r="B1181" t="s">
        <v>182</v>
      </c>
      <c r="C1181">
        <v>202509</v>
      </c>
      <c r="D1181" s="47" t="str">
        <f>MID(C1181,1,4)</f>
        <v>2025</v>
      </c>
      <c r="E1181" t="str">
        <f>IF(Portfolio!$M$1=1,CONCATENATE(A1181,C1181),CONCATENATE(B1181,C1181))</f>
        <v>MAP GROUP202509</v>
      </c>
      <c r="F1181">
        <v>22</v>
      </c>
      <c r="G1181">
        <v>620</v>
      </c>
      <c r="H1181">
        <v>398</v>
      </c>
      <c r="I1181">
        <v>0</v>
      </c>
      <c r="J1181">
        <v>0</v>
      </c>
      <c r="K1181">
        <v>33817600</v>
      </c>
      <c r="L1181">
        <v>1016156110</v>
      </c>
      <c r="M1181">
        <v>579921135</v>
      </c>
      <c r="N1181">
        <v>0</v>
      </c>
      <c r="O1181">
        <v>0</v>
      </c>
      <c r="P1181">
        <v>50726</v>
      </c>
      <c r="Q1181">
        <v>10161561</v>
      </c>
      <c r="R1181">
        <v>7538975</v>
      </c>
      <c r="S1181">
        <v>0</v>
      </c>
      <c r="T1181">
        <v>0</v>
      </c>
    </row>
    <row r="1182" spans="1:20" x14ac:dyDescent="0.25">
      <c r="A1182" t="s">
        <v>107</v>
      </c>
      <c r="B1182" t="s">
        <v>183</v>
      </c>
      <c r="C1182">
        <v>202509</v>
      </c>
      <c r="D1182" s="47" t="str">
        <f>MID(C1182,1,4)</f>
        <v>2025</v>
      </c>
      <c r="E1182" t="str">
        <f>IF(Portfolio!$M$1=1,CONCATENATE(A1182,C1182),CONCATENATE(B1182,C1182))</f>
        <v>MAP GROUP202509</v>
      </c>
      <c r="F1182">
        <v>12</v>
      </c>
      <c r="G1182">
        <v>419</v>
      </c>
      <c r="H1182">
        <v>291</v>
      </c>
      <c r="I1182">
        <v>0</v>
      </c>
      <c r="J1182">
        <v>0</v>
      </c>
      <c r="K1182">
        <v>10459100</v>
      </c>
      <c r="L1182">
        <v>422531756</v>
      </c>
      <c r="M1182">
        <v>283264513</v>
      </c>
      <c r="N1182">
        <v>0</v>
      </c>
      <c r="O1182">
        <v>0</v>
      </c>
      <c r="P1182">
        <v>15689</v>
      </c>
      <c r="Q1182">
        <v>4225318</v>
      </c>
      <c r="R1182">
        <v>3682439</v>
      </c>
      <c r="S1182">
        <v>0</v>
      </c>
      <c r="T1182">
        <v>0</v>
      </c>
    </row>
    <row r="1183" spans="1:20" x14ac:dyDescent="0.25">
      <c r="A1183" t="s">
        <v>107</v>
      </c>
      <c r="B1183" t="s">
        <v>184</v>
      </c>
      <c r="C1183">
        <v>202509</v>
      </c>
      <c r="D1183" s="47" t="str">
        <f>MID(C1183,1,4)</f>
        <v>2025</v>
      </c>
      <c r="E1183" t="str">
        <f>IF(Portfolio!$M$1=1,CONCATENATE(A1183,C1183),CONCATENATE(B1183,C1183))</f>
        <v>MAP GROUP202509</v>
      </c>
      <c r="F1183">
        <v>0</v>
      </c>
      <c r="G1183">
        <v>1</v>
      </c>
      <c r="H1183">
        <v>3</v>
      </c>
      <c r="I1183">
        <v>0</v>
      </c>
      <c r="J1183">
        <v>0</v>
      </c>
      <c r="K1183">
        <v>0</v>
      </c>
      <c r="L1183">
        <v>510280</v>
      </c>
      <c r="M1183">
        <v>2260180</v>
      </c>
      <c r="N1183">
        <v>0</v>
      </c>
      <c r="O1183">
        <v>0</v>
      </c>
      <c r="P1183">
        <v>0</v>
      </c>
      <c r="Q1183">
        <v>5103</v>
      </c>
      <c r="R1183">
        <v>29382</v>
      </c>
      <c r="S1183">
        <v>0</v>
      </c>
      <c r="T1183">
        <v>0</v>
      </c>
    </row>
    <row r="1184" spans="1:20" x14ac:dyDescent="0.25">
      <c r="A1184" t="s">
        <v>107</v>
      </c>
      <c r="B1184" t="s">
        <v>185</v>
      </c>
      <c r="C1184">
        <v>202509</v>
      </c>
      <c r="D1184" s="47" t="str">
        <f>MID(C1184,1,4)</f>
        <v>2025</v>
      </c>
      <c r="E1184" t="str">
        <f>IF(Portfolio!$M$1=1,CONCATENATE(A1184,C1184),CONCATENATE(B1184,C1184))</f>
        <v>MAP GROUP202509</v>
      </c>
      <c r="F1184">
        <v>8</v>
      </c>
      <c r="G1184">
        <v>119</v>
      </c>
      <c r="H1184">
        <v>95</v>
      </c>
      <c r="I1184">
        <v>0</v>
      </c>
      <c r="J1184">
        <v>0</v>
      </c>
      <c r="K1184">
        <v>21735000</v>
      </c>
      <c r="L1184">
        <v>358486000</v>
      </c>
      <c r="M1184">
        <v>253191000</v>
      </c>
      <c r="N1184">
        <v>0</v>
      </c>
      <c r="O1184">
        <v>0</v>
      </c>
      <c r="P1184">
        <v>32602</v>
      </c>
      <c r="Q1184">
        <v>3584860</v>
      </c>
      <c r="R1184">
        <v>3291483</v>
      </c>
      <c r="S1184">
        <v>0</v>
      </c>
      <c r="T1184">
        <v>0</v>
      </c>
    </row>
    <row r="1185" spans="1:20" x14ac:dyDescent="0.25">
      <c r="A1185" t="s">
        <v>107</v>
      </c>
      <c r="B1185" t="s">
        <v>186</v>
      </c>
      <c r="C1185">
        <v>202509</v>
      </c>
      <c r="D1185" s="47" t="str">
        <f>MID(C1185,1,4)</f>
        <v>2025</v>
      </c>
      <c r="E1185" t="str">
        <f>IF(Portfolio!$M$1=1,CONCATENATE(A1185,C1185),CONCATENATE(B1185,C1185))</f>
        <v>MAP GROUP202509</v>
      </c>
      <c r="F1185">
        <v>60</v>
      </c>
      <c r="G1185">
        <v>1514</v>
      </c>
      <c r="H1185">
        <v>624</v>
      </c>
      <c r="I1185">
        <v>0</v>
      </c>
      <c r="J1185">
        <v>0</v>
      </c>
      <c r="K1185">
        <v>21263600</v>
      </c>
      <c r="L1185">
        <v>558627900</v>
      </c>
      <c r="M1185">
        <v>243422090</v>
      </c>
      <c r="N1185">
        <v>0</v>
      </c>
      <c r="O1185">
        <v>0</v>
      </c>
      <c r="P1185">
        <v>31895</v>
      </c>
      <c r="Q1185">
        <v>5586279</v>
      </c>
      <c r="R1185">
        <v>3164487</v>
      </c>
      <c r="S1185">
        <v>0</v>
      </c>
      <c r="T1185">
        <v>0</v>
      </c>
    </row>
    <row r="1186" spans="1:20" x14ac:dyDescent="0.25">
      <c r="A1186" t="s">
        <v>107</v>
      </c>
      <c r="B1186" t="s">
        <v>187</v>
      </c>
      <c r="C1186">
        <v>202509</v>
      </c>
      <c r="D1186" s="47" t="str">
        <f>MID(C1186,1,4)</f>
        <v>2025</v>
      </c>
      <c r="E1186" t="str">
        <f>IF(Portfolio!$M$1=1,CONCATENATE(A1186,C1186),CONCATENATE(B1186,C1186))</f>
        <v>MAP GROUP202509</v>
      </c>
      <c r="F1186">
        <v>0</v>
      </c>
      <c r="G1186">
        <v>19</v>
      </c>
      <c r="H1186">
        <v>21</v>
      </c>
      <c r="I1186">
        <v>0</v>
      </c>
      <c r="J1186">
        <v>0</v>
      </c>
      <c r="K1186">
        <v>0</v>
      </c>
      <c r="L1186">
        <v>46329407</v>
      </c>
      <c r="M1186">
        <v>32683620</v>
      </c>
      <c r="N1186">
        <v>0</v>
      </c>
      <c r="O1186">
        <v>0</v>
      </c>
      <c r="P1186">
        <v>0</v>
      </c>
      <c r="Q1186">
        <v>463294</v>
      </c>
      <c r="R1186">
        <v>424887</v>
      </c>
      <c r="S1186">
        <v>0</v>
      </c>
      <c r="T1186">
        <v>0</v>
      </c>
    </row>
    <row r="1187" spans="1:20" x14ac:dyDescent="0.25">
      <c r="A1187" t="s">
        <v>107</v>
      </c>
      <c r="B1187" t="s">
        <v>188</v>
      </c>
      <c r="C1187">
        <v>202509</v>
      </c>
      <c r="D1187" s="47" t="str">
        <f>MID(C1187,1,4)</f>
        <v>2025</v>
      </c>
      <c r="E1187" t="str">
        <f>IF(Portfolio!$M$1=1,CONCATENATE(A1187,C1187),CONCATENATE(B1187,C1187))</f>
        <v>MAP GROUP202509</v>
      </c>
      <c r="F1187">
        <v>0</v>
      </c>
      <c r="G1187">
        <v>50</v>
      </c>
      <c r="H1187">
        <v>49</v>
      </c>
      <c r="I1187">
        <v>0</v>
      </c>
      <c r="J1187">
        <v>0</v>
      </c>
      <c r="K1187">
        <v>0</v>
      </c>
      <c r="L1187">
        <v>28990180</v>
      </c>
      <c r="M1187">
        <v>27009618</v>
      </c>
      <c r="N1187">
        <v>0</v>
      </c>
      <c r="O1187">
        <v>0</v>
      </c>
      <c r="P1187">
        <v>0</v>
      </c>
      <c r="Q1187">
        <v>289902</v>
      </c>
      <c r="R1187">
        <v>351125</v>
      </c>
      <c r="S1187">
        <v>0</v>
      </c>
      <c r="T1187">
        <v>0</v>
      </c>
    </row>
    <row r="1188" spans="1:20" x14ac:dyDescent="0.25">
      <c r="A1188" t="s">
        <v>107</v>
      </c>
      <c r="B1188" t="s">
        <v>189</v>
      </c>
      <c r="C1188">
        <v>202509</v>
      </c>
      <c r="D1188" s="47" t="str">
        <f>MID(C1188,1,4)</f>
        <v>2025</v>
      </c>
      <c r="E1188" t="str">
        <f>IF(Portfolio!$M$1=1,CONCATENATE(A1188,C1188),CONCATENATE(B1188,C1188))</f>
        <v>MAP GROUP202509</v>
      </c>
      <c r="F1188">
        <v>31</v>
      </c>
      <c r="G1188">
        <v>1299</v>
      </c>
      <c r="H1188">
        <v>1655</v>
      </c>
      <c r="I1188">
        <v>0</v>
      </c>
      <c r="J1188">
        <v>0</v>
      </c>
      <c r="K1188">
        <v>34840300</v>
      </c>
      <c r="L1188">
        <v>1841088996</v>
      </c>
      <c r="M1188">
        <v>2091283521</v>
      </c>
      <c r="N1188">
        <v>0</v>
      </c>
      <c r="O1188">
        <v>0</v>
      </c>
      <c r="P1188">
        <v>52260</v>
      </c>
      <c r="Q1188">
        <v>18410890</v>
      </c>
      <c r="R1188">
        <v>27186686</v>
      </c>
      <c r="S1188">
        <v>0</v>
      </c>
      <c r="T1188">
        <v>0</v>
      </c>
    </row>
    <row r="1189" spans="1:20" x14ac:dyDescent="0.25">
      <c r="A1189" t="s">
        <v>107</v>
      </c>
      <c r="B1189" t="s">
        <v>190</v>
      </c>
      <c r="C1189">
        <v>202509</v>
      </c>
      <c r="D1189" s="47" t="str">
        <f>MID(C1189,1,4)</f>
        <v>2025</v>
      </c>
      <c r="E1189" t="str">
        <f>IF(Portfolio!$M$1=1,CONCATENATE(A1189,C1189),CONCATENATE(B1189,C1189))</f>
        <v>MAP GROUP202509</v>
      </c>
      <c r="F1189">
        <v>1</v>
      </c>
      <c r="G1189">
        <v>89</v>
      </c>
      <c r="H1189">
        <v>125</v>
      </c>
      <c r="I1189">
        <v>0</v>
      </c>
      <c r="J1189">
        <v>0</v>
      </c>
      <c r="K1189">
        <v>702000</v>
      </c>
      <c r="L1189">
        <v>117314470</v>
      </c>
      <c r="M1189">
        <v>211304780</v>
      </c>
      <c r="N1189">
        <v>0</v>
      </c>
      <c r="O1189">
        <v>0</v>
      </c>
      <c r="P1189">
        <v>1053</v>
      </c>
      <c r="Q1189">
        <v>1173145</v>
      </c>
      <c r="R1189">
        <v>2746962</v>
      </c>
      <c r="S1189">
        <v>0</v>
      </c>
      <c r="T1189">
        <v>0</v>
      </c>
    </row>
    <row r="1190" spans="1:20" x14ac:dyDescent="0.25">
      <c r="A1190" t="s">
        <v>107</v>
      </c>
      <c r="B1190" t="s">
        <v>191</v>
      </c>
      <c r="C1190">
        <v>202509</v>
      </c>
      <c r="D1190" s="47" t="str">
        <f>MID(C1190,1,4)</f>
        <v>2025</v>
      </c>
      <c r="E1190" t="str">
        <f>IF(Portfolio!$M$1=1,CONCATENATE(A1190,C1190),CONCATENATE(B1190,C1190))</f>
        <v>MAP GROUP202509</v>
      </c>
      <c r="F1190">
        <v>8</v>
      </c>
      <c r="G1190">
        <v>281</v>
      </c>
      <c r="H1190">
        <v>204</v>
      </c>
      <c r="I1190">
        <v>0</v>
      </c>
      <c r="J1190">
        <v>0</v>
      </c>
      <c r="K1190">
        <v>10138037</v>
      </c>
      <c r="L1190">
        <v>416809860</v>
      </c>
      <c r="M1190">
        <v>285500833</v>
      </c>
      <c r="N1190">
        <v>0</v>
      </c>
      <c r="O1190">
        <v>0</v>
      </c>
      <c r="P1190">
        <v>15207</v>
      </c>
      <c r="Q1190">
        <v>4168099</v>
      </c>
      <c r="R1190">
        <v>3711511</v>
      </c>
      <c r="S1190">
        <v>0</v>
      </c>
      <c r="T1190">
        <v>0</v>
      </c>
    </row>
    <row r="1191" spans="1:20" x14ac:dyDescent="0.25">
      <c r="A1191" t="s">
        <v>107</v>
      </c>
      <c r="B1191" t="s">
        <v>192</v>
      </c>
      <c r="C1191">
        <v>202509</v>
      </c>
      <c r="D1191" s="47" t="str">
        <f>MID(C1191,1,4)</f>
        <v>2025</v>
      </c>
      <c r="E1191" t="str">
        <f>IF(Portfolio!$M$1=1,CONCATENATE(A1191,C1191),CONCATENATE(B1191,C1191))</f>
        <v>MAP GROUP202509</v>
      </c>
      <c r="F1191">
        <v>2</v>
      </c>
      <c r="G1191">
        <v>91</v>
      </c>
      <c r="H1191">
        <v>82</v>
      </c>
      <c r="I1191">
        <v>0</v>
      </c>
      <c r="J1191">
        <v>0</v>
      </c>
      <c r="K1191">
        <v>1118600</v>
      </c>
      <c r="L1191">
        <v>54665820</v>
      </c>
      <c r="M1191">
        <v>51117419</v>
      </c>
      <c r="N1191">
        <v>0</v>
      </c>
      <c r="O1191">
        <v>0</v>
      </c>
      <c r="P1191">
        <v>1678</v>
      </c>
      <c r="Q1191">
        <v>546658</v>
      </c>
      <c r="R1191">
        <v>664526</v>
      </c>
      <c r="S1191">
        <v>0</v>
      </c>
      <c r="T1191">
        <v>0</v>
      </c>
    </row>
    <row r="1192" spans="1:20" x14ac:dyDescent="0.25">
      <c r="A1192" t="s">
        <v>107</v>
      </c>
      <c r="B1192" t="s">
        <v>193</v>
      </c>
      <c r="C1192">
        <v>202509</v>
      </c>
      <c r="D1192" s="47" t="str">
        <f>MID(C1192,1,4)</f>
        <v>2025</v>
      </c>
      <c r="E1192" t="str">
        <f>IF(Portfolio!$M$1=1,CONCATENATE(A1192,C1192),CONCATENATE(B1192,C1192))</f>
        <v>MAP GROUP202509</v>
      </c>
      <c r="F1192">
        <v>0</v>
      </c>
      <c r="G1192">
        <v>4</v>
      </c>
      <c r="H1192">
        <v>1</v>
      </c>
      <c r="I1192">
        <v>0</v>
      </c>
      <c r="J1192">
        <v>0</v>
      </c>
      <c r="K1192">
        <v>0</v>
      </c>
      <c r="L1192">
        <v>4354700</v>
      </c>
      <c r="M1192">
        <v>299000</v>
      </c>
      <c r="N1192">
        <v>0</v>
      </c>
      <c r="O1192">
        <v>0</v>
      </c>
      <c r="P1192">
        <v>0</v>
      </c>
      <c r="Q1192">
        <v>43547</v>
      </c>
      <c r="R1192">
        <v>3887</v>
      </c>
      <c r="S1192">
        <v>0</v>
      </c>
      <c r="T1192">
        <v>0</v>
      </c>
    </row>
    <row r="1193" spans="1:20" x14ac:dyDescent="0.25">
      <c r="A1193" t="s">
        <v>107</v>
      </c>
      <c r="B1193" t="s">
        <v>194</v>
      </c>
      <c r="C1193">
        <v>202509</v>
      </c>
      <c r="D1193" s="47" t="str">
        <f>MID(C1193,1,4)</f>
        <v>2025</v>
      </c>
      <c r="E1193" t="str">
        <f>IF(Portfolio!$M$1=1,CONCATENATE(A1193,C1193),CONCATENATE(B1193,C1193))</f>
        <v>MAP GROUP202509</v>
      </c>
      <c r="F1193">
        <v>0</v>
      </c>
      <c r="G1193">
        <v>10</v>
      </c>
      <c r="H1193">
        <v>27</v>
      </c>
      <c r="I1193">
        <v>0</v>
      </c>
      <c r="J1193">
        <v>0</v>
      </c>
      <c r="K1193">
        <v>0</v>
      </c>
      <c r="L1193">
        <v>11340080</v>
      </c>
      <c r="M1193">
        <v>30348855</v>
      </c>
      <c r="N1193">
        <v>0</v>
      </c>
      <c r="O1193">
        <v>0</v>
      </c>
      <c r="P1193">
        <v>0</v>
      </c>
      <c r="Q1193">
        <v>113401</v>
      </c>
      <c r="R1193">
        <v>394535</v>
      </c>
      <c r="S1193">
        <v>0</v>
      </c>
      <c r="T1193">
        <v>0</v>
      </c>
    </row>
    <row r="1194" spans="1:20" x14ac:dyDescent="0.25">
      <c r="A1194" t="s">
        <v>107</v>
      </c>
      <c r="B1194" t="s">
        <v>195</v>
      </c>
      <c r="C1194">
        <v>202509</v>
      </c>
      <c r="D1194" s="47" t="str">
        <f>MID(C1194,1,4)</f>
        <v>2025</v>
      </c>
      <c r="E1194" t="str">
        <f>IF(Portfolio!$M$1=1,CONCATENATE(A1194,C1194),CONCATENATE(B1194,C1194))</f>
        <v>MAP GROUP202509</v>
      </c>
      <c r="F1194">
        <v>0</v>
      </c>
      <c r="G1194">
        <v>31</v>
      </c>
      <c r="H1194">
        <v>49</v>
      </c>
      <c r="I1194">
        <v>0</v>
      </c>
      <c r="J1194">
        <v>0</v>
      </c>
      <c r="K1194">
        <v>0</v>
      </c>
      <c r="L1194">
        <v>23978260</v>
      </c>
      <c r="M1194">
        <v>29579930</v>
      </c>
      <c r="N1194">
        <v>0</v>
      </c>
      <c r="O1194">
        <v>0</v>
      </c>
      <c r="P1194">
        <v>0</v>
      </c>
      <c r="Q1194">
        <v>239783</v>
      </c>
      <c r="R1194">
        <v>384539</v>
      </c>
      <c r="S1194">
        <v>0</v>
      </c>
      <c r="T1194">
        <v>0</v>
      </c>
    </row>
    <row r="1195" spans="1:20" x14ac:dyDescent="0.25">
      <c r="A1195" t="s">
        <v>107</v>
      </c>
      <c r="B1195" t="s">
        <v>196</v>
      </c>
      <c r="C1195">
        <v>202509</v>
      </c>
      <c r="D1195" s="47" t="str">
        <f>MID(C1195,1,4)</f>
        <v>2025</v>
      </c>
      <c r="E1195" t="str">
        <f>IF(Portfolio!$M$1=1,CONCATENATE(A1195,C1195),CONCATENATE(B1195,C1195))</f>
        <v>MAP GROUP202509</v>
      </c>
      <c r="F1195">
        <v>0</v>
      </c>
      <c r="G1195">
        <v>11</v>
      </c>
      <c r="H1195">
        <v>3</v>
      </c>
      <c r="I1195">
        <v>0</v>
      </c>
      <c r="J1195">
        <v>0</v>
      </c>
      <c r="K1195">
        <v>0</v>
      </c>
      <c r="L1195">
        <v>4934900</v>
      </c>
      <c r="M1195">
        <v>1220694</v>
      </c>
      <c r="N1195">
        <v>0</v>
      </c>
      <c r="O1195">
        <v>0</v>
      </c>
      <c r="P1195">
        <v>0</v>
      </c>
      <c r="Q1195">
        <v>49349</v>
      </c>
      <c r="R1195">
        <v>15869</v>
      </c>
      <c r="S1195">
        <v>0</v>
      </c>
      <c r="T1195">
        <v>0</v>
      </c>
    </row>
    <row r="1196" spans="1:20" x14ac:dyDescent="0.25">
      <c r="A1196" t="s">
        <v>107</v>
      </c>
      <c r="B1196" t="s">
        <v>197</v>
      </c>
      <c r="C1196">
        <v>202509</v>
      </c>
      <c r="D1196" s="47" t="str">
        <f>MID(C1196,1,4)</f>
        <v>2025</v>
      </c>
      <c r="E1196" t="str">
        <f>IF(Portfolio!$M$1=1,CONCATENATE(A1196,C1196),CONCATENATE(B1196,C1196))</f>
        <v>MAP GROUP202509</v>
      </c>
      <c r="F1196">
        <v>0</v>
      </c>
      <c r="G1196">
        <v>13</v>
      </c>
      <c r="H1196">
        <v>5</v>
      </c>
      <c r="I1196">
        <v>0</v>
      </c>
      <c r="J1196">
        <v>0</v>
      </c>
      <c r="K1196">
        <v>0</v>
      </c>
      <c r="L1196">
        <v>47223000</v>
      </c>
      <c r="M1196">
        <v>23509000</v>
      </c>
      <c r="N1196">
        <v>0</v>
      </c>
      <c r="O1196">
        <v>0</v>
      </c>
      <c r="P1196">
        <v>0</v>
      </c>
      <c r="Q1196">
        <v>472230</v>
      </c>
      <c r="R1196">
        <v>305617</v>
      </c>
      <c r="S1196">
        <v>0</v>
      </c>
      <c r="T1196">
        <v>0</v>
      </c>
    </row>
    <row r="1197" spans="1:20" x14ac:dyDescent="0.25">
      <c r="A1197" t="s">
        <v>107</v>
      </c>
      <c r="B1197" t="s">
        <v>199</v>
      </c>
      <c r="C1197">
        <v>202509</v>
      </c>
      <c r="D1197" s="47" t="str">
        <f>MID(C1197,1,4)</f>
        <v>2025</v>
      </c>
      <c r="E1197" t="str">
        <f>IF(Portfolio!$M$1=1,CONCATENATE(A1197,C1197),CONCATENATE(B1197,C1197))</f>
        <v>MAP GROUP202509</v>
      </c>
      <c r="F1197">
        <v>82</v>
      </c>
      <c r="G1197">
        <v>3120</v>
      </c>
      <c r="H1197">
        <v>2312</v>
      </c>
      <c r="I1197">
        <v>0</v>
      </c>
      <c r="J1197">
        <v>0</v>
      </c>
      <c r="K1197">
        <v>89778799</v>
      </c>
      <c r="L1197">
        <v>3760540445</v>
      </c>
      <c r="M1197">
        <v>2880259402</v>
      </c>
      <c r="N1197">
        <v>0</v>
      </c>
      <c r="O1197">
        <v>0</v>
      </c>
      <c r="P1197">
        <v>134668</v>
      </c>
      <c r="Q1197">
        <v>37605404</v>
      </c>
      <c r="R1197">
        <v>37443372</v>
      </c>
      <c r="S1197">
        <v>0</v>
      </c>
      <c r="T1197">
        <v>0</v>
      </c>
    </row>
    <row r="1198" spans="1:20" x14ac:dyDescent="0.25">
      <c r="A1198" t="s">
        <v>107</v>
      </c>
      <c r="B1198" t="s">
        <v>200</v>
      </c>
      <c r="C1198">
        <v>202509</v>
      </c>
      <c r="D1198" s="47" t="str">
        <f>MID(C1198,1,4)</f>
        <v>2025</v>
      </c>
      <c r="E1198" t="str">
        <f>IF(Portfolio!$M$1=1,CONCATENATE(A1198,C1198),CONCATENATE(B1198,C1198))</f>
        <v>MAP GROUP202509</v>
      </c>
      <c r="F1198">
        <v>2</v>
      </c>
      <c r="G1198">
        <v>148</v>
      </c>
      <c r="H1198">
        <v>151</v>
      </c>
      <c r="I1198">
        <v>0</v>
      </c>
      <c r="J1198">
        <v>0</v>
      </c>
      <c r="K1198">
        <v>3189400</v>
      </c>
      <c r="L1198">
        <v>153174608</v>
      </c>
      <c r="M1198">
        <v>153373346</v>
      </c>
      <c r="N1198">
        <v>0</v>
      </c>
      <c r="O1198">
        <v>0</v>
      </c>
      <c r="P1198">
        <v>4784</v>
      </c>
      <c r="Q1198">
        <v>1531746</v>
      </c>
      <c r="R1198">
        <v>1993853</v>
      </c>
      <c r="S1198">
        <v>0</v>
      </c>
      <c r="T1198">
        <v>0</v>
      </c>
    </row>
    <row r="1199" spans="1:20" x14ac:dyDescent="0.25">
      <c r="A1199" t="s">
        <v>107</v>
      </c>
      <c r="B1199" t="s">
        <v>201</v>
      </c>
      <c r="C1199">
        <v>202509</v>
      </c>
      <c r="D1199" s="47" t="str">
        <f>MID(C1199,1,4)</f>
        <v>2025</v>
      </c>
      <c r="E1199" t="str">
        <f>IF(Portfolio!$M$1=1,CONCATENATE(A1199,C1199),CONCATENATE(B1199,C1199))</f>
        <v>MAP GROUP202509</v>
      </c>
      <c r="F1199">
        <v>4</v>
      </c>
      <c r="G1199">
        <v>461</v>
      </c>
      <c r="H1199">
        <v>643</v>
      </c>
      <c r="I1199">
        <v>0</v>
      </c>
      <c r="J1199">
        <v>0</v>
      </c>
      <c r="K1199">
        <v>1342100</v>
      </c>
      <c r="L1199">
        <v>300555741</v>
      </c>
      <c r="M1199">
        <v>428415495</v>
      </c>
      <c r="N1199">
        <v>0</v>
      </c>
      <c r="O1199">
        <v>0</v>
      </c>
      <c r="P1199">
        <v>2013</v>
      </c>
      <c r="Q1199">
        <v>3005557</v>
      </c>
      <c r="R1199">
        <v>5569401</v>
      </c>
      <c r="S1199">
        <v>0</v>
      </c>
      <c r="T1199">
        <v>0</v>
      </c>
    </row>
    <row r="1200" spans="1:20" x14ac:dyDescent="0.25">
      <c r="A1200" t="s">
        <v>107</v>
      </c>
      <c r="B1200" t="s">
        <v>202</v>
      </c>
      <c r="C1200">
        <v>202509</v>
      </c>
      <c r="D1200" s="47" t="str">
        <f>MID(C1200,1,4)</f>
        <v>2025</v>
      </c>
      <c r="E1200" t="str">
        <f>IF(Portfolio!$M$1=1,CONCATENATE(A1200,C1200),CONCATENATE(B1200,C1200))</f>
        <v>MAP GROUP202509</v>
      </c>
      <c r="F1200">
        <v>1</v>
      </c>
      <c r="G1200">
        <v>15</v>
      </c>
      <c r="H1200">
        <v>10</v>
      </c>
      <c r="I1200">
        <v>0</v>
      </c>
      <c r="J1200">
        <v>0</v>
      </c>
      <c r="K1200">
        <v>399000</v>
      </c>
      <c r="L1200">
        <v>12203500</v>
      </c>
      <c r="M1200">
        <v>13067800</v>
      </c>
      <c r="N1200">
        <v>0</v>
      </c>
      <c r="O1200">
        <v>0</v>
      </c>
      <c r="P1200">
        <v>598</v>
      </c>
      <c r="Q1200">
        <v>122035</v>
      </c>
      <c r="R1200">
        <v>169881</v>
      </c>
      <c r="S1200">
        <v>0</v>
      </c>
      <c r="T1200">
        <v>0</v>
      </c>
    </row>
    <row r="1201" spans="1:20" x14ac:dyDescent="0.25">
      <c r="A1201" t="s">
        <v>107</v>
      </c>
      <c r="B1201" t="s">
        <v>203</v>
      </c>
      <c r="C1201">
        <v>202509</v>
      </c>
      <c r="D1201" s="47" t="str">
        <f>MID(C1201,1,4)</f>
        <v>2025</v>
      </c>
      <c r="E1201" t="str">
        <f>IF(Portfolio!$M$1=1,CONCATENATE(A1201,C1201),CONCATENATE(B1201,C1201))</f>
        <v>MAP GROUP202509</v>
      </c>
      <c r="F1201">
        <v>346</v>
      </c>
      <c r="G1201">
        <v>12110</v>
      </c>
      <c r="H1201">
        <v>6145</v>
      </c>
      <c r="I1201">
        <v>0</v>
      </c>
      <c r="J1201">
        <v>0</v>
      </c>
      <c r="K1201">
        <v>210140560</v>
      </c>
      <c r="L1201">
        <v>7774536127</v>
      </c>
      <c r="M1201">
        <v>4023998596</v>
      </c>
      <c r="N1201">
        <v>0</v>
      </c>
      <c r="O1201">
        <v>0</v>
      </c>
      <c r="P1201">
        <v>315211</v>
      </c>
      <c r="Q1201">
        <v>77745361</v>
      </c>
      <c r="R1201">
        <v>52311982</v>
      </c>
      <c r="S1201">
        <v>0</v>
      </c>
      <c r="T1201">
        <v>0</v>
      </c>
    </row>
    <row r="1202" spans="1:20" x14ac:dyDescent="0.25">
      <c r="A1202" t="s">
        <v>107</v>
      </c>
      <c r="B1202" t="s">
        <v>204</v>
      </c>
      <c r="C1202">
        <v>202509</v>
      </c>
      <c r="D1202" s="47" t="str">
        <f>MID(C1202,1,4)</f>
        <v>2025</v>
      </c>
      <c r="E1202" t="str">
        <f>IF(Portfolio!$M$1=1,CONCATENATE(A1202,C1202),CONCATENATE(B1202,C1202))</f>
        <v>MAP GROUP202509</v>
      </c>
      <c r="F1202">
        <v>3</v>
      </c>
      <c r="G1202">
        <v>192</v>
      </c>
      <c r="H1202">
        <v>234</v>
      </c>
      <c r="I1202">
        <v>0</v>
      </c>
      <c r="J1202">
        <v>0</v>
      </c>
      <c r="K1202">
        <v>7363500</v>
      </c>
      <c r="L1202">
        <v>367797888</v>
      </c>
      <c r="M1202">
        <v>490890365</v>
      </c>
      <c r="N1202">
        <v>0</v>
      </c>
      <c r="O1202">
        <v>0</v>
      </c>
      <c r="P1202">
        <v>11045</v>
      </c>
      <c r="Q1202">
        <v>3677979</v>
      </c>
      <c r="R1202">
        <v>6381575</v>
      </c>
      <c r="S1202">
        <v>0</v>
      </c>
      <c r="T1202">
        <v>0</v>
      </c>
    </row>
    <row r="1203" spans="1:20" x14ac:dyDescent="0.25">
      <c r="A1203" t="s">
        <v>107</v>
      </c>
      <c r="B1203" t="s">
        <v>205</v>
      </c>
      <c r="C1203">
        <v>202509</v>
      </c>
      <c r="D1203" s="47" t="str">
        <f>MID(C1203,1,4)</f>
        <v>2025</v>
      </c>
      <c r="E1203" t="str">
        <f>IF(Portfolio!$M$1=1,CONCATENATE(A1203,C1203),CONCATENATE(B1203,C1203))</f>
        <v>MAP GROUP202509</v>
      </c>
      <c r="F1203">
        <v>0</v>
      </c>
      <c r="G1203">
        <v>50</v>
      </c>
      <c r="H1203">
        <v>33</v>
      </c>
      <c r="I1203">
        <v>0</v>
      </c>
      <c r="J1203">
        <v>0</v>
      </c>
      <c r="K1203">
        <v>0</v>
      </c>
      <c r="L1203">
        <v>6599500</v>
      </c>
      <c r="M1203">
        <v>2923000</v>
      </c>
      <c r="N1203">
        <v>0</v>
      </c>
      <c r="O1203">
        <v>0</v>
      </c>
      <c r="P1203">
        <v>0</v>
      </c>
      <c r="Q1203">
        <v>65995</v>
      </c>
      <c r="R1203">
        <v>37999</v>
      </c>
      <c r="S1203">
        <v>0</v>
      </c>
      <c r="T1203">
        <v>0</v>
      </c>
    </row>
    <row r="1204" spans="1:20" x14ac:dyDescent="0.25">
      <c r="A1204" t="s">
        <v>107</v>
      </c>
      <c r="B1204" t="s">
        <v>206</v>
      </c>
      <c r="C1204">
        <v>202509</v>
      </c>
      <c r="D1204" s="47" t="str">
        <f>MID(C1204,1,4)</f>
        <v>2025</v>
      </c>
      <c r="E1204" t="str">
        <f>IF(Portfolio!$M$1=1,CONCATENATE(A1204,C1204),CONCATENATE(B1204,C1204))</f>
        <v>MAP GROUP202509</v>
      </c>
      <c r="F1204">
        <v>3</v>
      </c>
      <c r="G1204">
        <v>123</v>
      </c>
      <c r="H1204">
        <v>109</v>
      </c>
      <c r="I1204">
        <v>0</v>
      </c>
      <c r="J1204">
        <v>0</v>
      </c>
      <c r="K1204">
        <v>4328400</v>
      </c>
      <c r="L1204">
        <v>193677798</v>
      </c>
      <c r="M1204">
        <v>169940066</v>
      </c>
      <c r="N1204">
        <v>0</v>
      </c>
      <c r="O1204">
        <v>0</v>
      </c>
      <c r="P1204">
        <v>6493</v>
      </c>
      <c r="Q1204">
        <v>1936778</v>
      </c>
      <c r="R1204">
        <v>2209221</v>
      </c>
      <c r="S1204">
        <v>0</v>
      </c>
      <c r="T1204">
        <v>0</v>
      </c>
    </row>
    <row r="1205" spans="1:20" x14ac:dyDescent="0.25">
      <c r="A1205" t="s">
        <v>107</v>
      </c>
      <c r="B1205" t="s">
        <v>207</v>
      </c>
      <c r="C1205">
        <v>202509</v>
      </c>
      <c r="D1205" s="47" t="str">
        <f>MID(C1205,1,4)</f>
        <v>2025</v>
      </c>
      <c r="E1205" t="str">
        <f>IF(Portfolio!$M$1=1,CONCATENATE(A1205,C1205),CONCATENATE(B1205,C1205))</f>
        <v>MAP GROUP202509</v>
      </c>
      <c r="F1205">
        <v>0</v>
      </c>
      <c r="G1205">
        <v>0</v>
      </c>
      <c r="H1205">
        <v>0</v>
      </c>
      <c r="I1205">
        <v>2</v>
      </c>
      <c r="J1205">
        <v>1</v>
      </c>
      <c r="K1205">
        <v>0</v>
      </c>
      <c r="L1205">
        <v>0</v>
      </c>
      <c r="M1205">
        <v>0</v>
      </c>
      <c r="N1205">
        <v>194000</v>
      </c>
      <c r="O1205">
        <v>86000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 x14ac:dyDescent="0.25">
      <c r="A1206" t="s">
        <v>107</v>
      </c>
      <c r="B1206" t="s">
        <v>209</v>
      </c>
      <c r="C1206">
        <v>202509</v>
      </c>
      <c r="D1206" s="47" t="str">
        <f>MID(C1206,1,4)</f>
        <v>2025</v>
      </c>
      <c r="E1206" t="str">
        <f>IF(Portfolio!$M$1=1,CONCATENATE(A1206,C1206),CONCATENATE(B1206,C1206))</f>
        <v>MAP GROUP202509</v>
      </c>
      <c r="F1206">
        <v>0</v>
      </c>
      <c r="G1206">
        <v>10</v>
      </c>
      <c r="H1206">
        <v>15</v>
      </c>
      <c r="I1206">
        <v>0</v>
      </c>
      <c r="J1206">
        <v>0</v>
      </c>
      <c r="K1206">
        <v>0</v>
      </c>
      <c r="L1206">
        <v>13429610</v>
      </c>
      <c r="M1206">
        <v>24937150</v>
      </c>
      <c r="N1206">
        <v>0</v>
      </c>
      <c r="O1206">
        <v>0</v>
      </c>
      <c r="P1206">
        <v>0</v>
      </c>
      <c r="Q1206">
        <v>134296</v>
      </c>
      <c r="R1206">
        <v>324183</v>
      </c>
      <c r="S1206">
        <v>0</v>
      </c>
      <c r="T1206">
        <v>0</v>
      </c>
    </row>
    <row r="1207" spans="1:20" x14ac:dyDescent="0.25">
      <c r="A1207" t="s">
        <v>109</v>
      </c>
      <c r="B1207" t="s">
        <v>109</v>
      </c>
      <c r="C1207">
        <v>202509</v>
      </c>
      <c r="D1207" s="47" t="str">
        <f>MID(C1207,1,4)</f>
        <v>2025</v>
      </c>
      <c r="E1207" t="str">
        <f>IF(Portfolio!$M$1=1,CONCATENATE(A1207,C1207),CONCATENATE(B1207,C1207))</f>
        <v>MITRA10202509</v>
      </c>
      <c r="F1207">
        <v>540</v>
      </c>
      <c r="G1207">
        <v>1</v>
      </c>
      <c r="H1207">
        <v>1</v>
      </c>
      <c r="I1207">
        <v>0</v>
      </c>
      <c r="J1207">
        <v>0</v>
      </c>
      <c r="K1207">
        <v>1195427566</v>
      </c>
      <c r="L1207">
        <v>2185810</v>
      </c>
      <c r="M1207">
        <v>118871</v>
      </c>
      <c r="N1207">
        <v>0</v>
      </c>
      <c r="O1207">
        <v>0</v>
      </c>
      <c r="P1207">
        <v>1793140</v>
      </c>
      <c r="Q1207">
        <v>21858</v>
      </c>
      <c r="R1207">
        <v>2377</v>
      </c>
      <c r="S1207">
        <v>0</v>
      </c>
      <c r="T1207">
        <v>0</v>
      </c>
    </row>
    <row r="1208" spans="1:20" x14ac:dyDescent="0.25">
      <c r="A1208" t="s">
        <v>110</v>
      </c>
      <c r="B1208" t="s">
        <v>110</v>
      </c>
      <c r="C1208">
        <v>202509</v>
      </c>
      <c r="D1208" s="47" t="str">
        <f>MID(C1208,1,4)</f>
        <v>2025</v>
      </c>
      <c r="E1208" t="str">
        <f>IF(Portfolio!$M$1=1,CONCATENATE(A1208,C1208),CONCATENATE(B1208,C1208))</f>
        <v>OPTIK MELAWAI202509</v>
      </c>
      <c r="F1208">
        <v>74</v>
      </c>
      <c r="G1208">
        <v>0</v>
      </c>
      <c r="H1208">
        <v>0</v>
      </c>
      <c r="I1208">
        <v>0</v>
      </c>
      <c r="J1208">
        <v>0</v>
      </c>
      <c r="K1208">
        <v>123567500</v>
      </c>
      <c r="L1208">
        <v>0</v>
      </c>
      <c r="M1208">
        <v>0</v>
      </c>
      <c r="N1208">
        <v>0</v>
      </c>
      <c r="O1208">
        <v>0</v>
      </c>
      <c r="P1208">
        <v>185351</v>
      </c>
      <c r="Q1208">
        <v>0</v>
      </c>
      <c r="R1208">
        <v>0</v>
      </c>
      <c r="S1208">
        <v>0</v>
      </c>
      <c r="T1208">
        <v>0</v>
      </c>
    </row>
    <row r="1209" spans="1:20" x14ac:dyDescent="0.25">
      <c r="A1209" t="s">
        <v>112</v>
      </c>
      <c r="B1209" t="s">
        <v>216</v>
      </c>
      <c r="C1209">
        <v>202509</v>
      </c>
      <c r="D1209" s="47" t="str">
        <f>MID(C1209,1,4)</f>
        <v>2025</v>
      </c>
      <c r="E1209" t="str">
        <f>IF(Portfolio!$M$1=1,CONCATENATE(A1209,C1209),CONCATENATE(B1209,C1209))</f>
        <v>PERTAMINA RETAIL202509</v>
      </c>
      <c r="F1209">
        <v>45</v>
      </c>
      <c r="G1209">
        <v>2454</v>
      </c>
      <c r="H1209">
        <v>326</v>
      </c>
      <c r="I1209">
        <v>39</v>
      </c>
      <c r="J1209">
        <v>6380</v>
      </c>
      <c r="K1209">
        <v>10014310</v>
      </c>
      <c r="L1209">
        <v>466954273</v>
      </c>
      <c r="M1209">
        <v>109838566</v>
      </c>
      <c r="N1209">
        <v>4782089</v>
      </c>
      <c r="O1209">
        <v>739974019</v>
      </c>
      <c r="P1209">
        <v>15021</v>
      </c>
      <c r="Q1209">
        <v>3850178</v>
      </c>
      <c r="R1209">
        <v>1977094</v>
      </c>
      <c r="S1209">
        <v>15261</v>
      </c>
      <c r="T1209">
        <v>2231157</v>
      </c>
    </row>
    <row r="1210" spans="1:20" x14ac:dyDescent="0.25">
      <c r="A1210" t="s">
        <v>114</v>
      </c>
      <c r="B1210" t="s">
        <v>217</v>
      </c>
      <c r="C1210">
        <v>202509</v>
      </c>
      <c r="D1210" s="47" t="str">
        <f>MID(C1210,1,4)</f>
        <v>2025</v>
      </c>
      <c r="E1210" t="str">
        <f>IF(Portfolio!$M$1=1,CONCATENATE(A1210,C1210),CONCATENATE(B1210,C1210))</f>
        <v>PIZZA HUT202509</v>
      </c>
      <c r="F1210">
        <v>18</v>
      </c>
      <c r="G1210">
        <v>0</v>
      </c>
      <c r="H1210">
        <v>0</v>
      </c>
      <c r="I1210">
        <v>2</v>
      </c>
      <c r="J1210">
        <v>21</v>
      </c>
      <c r="K1210">
        <v>2497494</v>
      </c>
      <c r="L1210">
        <v>0</v>
      </c>
      <c r="M1210">
        <v>0</v>
      </c>
      <c r="N1210">
        <v>50000</v>
      </c>
      <c r="O1210">
        <v>575000</v>
      </c>
      <c r="P1210">
        <v>3746</v>
      </c>
      <c r="Q1210">
        <v>0</v>
      </c>
      <c r="R1210">
        <v>0</v>
      </c>
      <c r="S1210">
        <v>0</v>
      </c>
      <c r="T1210">
        <v>0</v>
      </c>
    </row>
    <row r="1211" spans="1:20" x14ac:dyDescent="0.25">
      <c r="A1211" t="s">
        <v>114</v>
      </c>
      <c r="B1211" t="s">
        <v>218</v>
      </c>
      <c r="C1211">
        <v>202509</v>
      </c>
      <c r="D1211" s="47" t="str">
        <f>MID(C1211,1,4)</f>
        <v>2025</v>
      </c>
      <c r="E1211" t="str">
        <f>IF(Portfolio!$M$1=1,CONCATENATE(A1211,C1211),CONCATENATE(B1211,C1211))</f>
        <v>PIZZA HUT202509</v>
      </c>
      <c r="F1211">
        <v>157</v>
      </c>
      <c r="G1211">
        <v>0</v>
      </c>
      <c r="H1211">
        <v>0</v>
      </c>
      <c r="I1211">
        <v>0</v>
      </c>
      <c r="J1211">
        <v>0</v>
      </c>
      <c r="K1211">
        <v>44271008</v>
      </c>
      <c r="L1211">
        <v>0</v>
      </c>
      <c r="M1211">
        <v>0</v>
      </c>
      <c r="N1211">
        <v>0</v>
      </c>
      <c r="O1211">
        <v>0</v>
      </c>
      <c r="P1211">
        <v>66406</v>
      </c>
      <c r="Q1211">
        <v>0</v>
      </c>
      <c r="R1211">
        <v>0</v>
      </c>
      <c r="S1211">
        <v>0</v>
      </c>
      <c r="T1211">
        <v>0</v>
      </c>
    </row>
    <row r="1212" spans="1:20" x14ac:dyDescent="0.25">
      <c r="A1212" t="s">
        <v>115</v>
      </c>
      <c r="B1212" t="s">
        <v>115</v>
      </c>
      <c r="C1212">
        <v>202509</v>
      </c>
      <c r="D1212" s="47" t="str">
        <f>MID(C1212,1,4)</f>
        <v>2025</v>
      </c>
      <c r="E1212" t="str">
        <f>IF(Portfolio!$M$1=1,CONCATENATE(A1212,C1212),CONCATENATE(B1212,C1212))</f>
        <v>PLATINUM CINEPLEX202509</v>
      </c>
      <c r="F1212">
        <v>3</v>
      </c>
      <c r="G1212">
        <v>87</v>
      </c>
      <c r="H1212">
        <v>30</v>
      </c>
      <c r="I1212">
        <v>2</v>
      </c>
      <c r="J1212">
        <v>366</v>
      </c>
      <c r="K1212">
        <v>313000</v>
      </c>
      <c r="L1212">
        <v>10387000</v>
      </c>
      <c r="M1212">
        <v>4276000</v>
      </c>
      <c r="N1212">
        <v>270000</v>
      </c>
      <c r="O1212">
        <v>45597000</v>
      </c>
      <c r="P1212">
        <v>470</v>
      </c>
      <c r="Q1212">
        <v>103870</v>
      </c>
      <c r="R1212">
        <v>76968</v>
      </c>
      <c r="S1212">
        <v>1890</v>
      </c>
      <c r="T1212">
        <v>319179</v>
      </c>
    </row>
    <row r="1213" spans="1:20" x14ac:dyDescent="0.25">
      <c r="A1213" t="s">
        <v>116</v>
      </c>
      <c r="B1213" t="s">
        <v>116</v>
      </c>
      <c r="C1213">
        <v>202509</v>
      </c>
      <c r="D1213" s="47" t="str">
        <f>MID(C1213,1,4)</f>
        <v>2025</v>
      </c>
      <c r="E1213" t="str">
        <f>IF(Portfolio!$M$1=1,CONCATENATE(A1213,C1213),CONCATENATE(B1213,C1213))</f>
        <v>POPEYES202509</v>
      </c>
      <c r="F1213">
        <v>0</v>
      </c>
      <c r="G1213">
        <v>0</v>
      </c>
      <c r="H1213">
        <v>0</v>
      </c>
      <c r="I1213">
        <v>0</v>
      </c>
      <c r="J1213">
        <v>3</v>
      </c>
      <c r="K1213">
        <v>0</v>
      </c>
      <c r="L1213">
        <v>0</v>
      </c>
      <c r="M1213">
        <v>0</v>
      </c>
      <c r="N1213">
        <v>0</v>
      </c>
      <c r="O1213">
        <v>111547</v>
      </c>
      <c r="P1213">
        <v>0</v>
      </c>
      <c r="Q1213">
        <v>0</v>
      </c>
      <c r="R1213">
        <v>0</v>
      </c>
      <c r="S1213">
        <v>0</v>
      </c>
      <c r="T1213">
        <v>781</v>
      </c>
    </row>
    <row r="1214" spans="1:20" x14ac:dyDescent="0.25">
      <c r="A1214" t="s">
        <v>118</v>
      </c>
      <c r="B1214" t="s">
        <v>118</v>
      </c>
      <c r="C1214">
        <v>202509</v>
      </c>
      <c r="D1214" s="47" t="str">
        <f>MID(C1214,1,4)</f>
        <v>2025</v>
      </c>
      <c r="E1214" t="str">
        <f>IF(Portfolio!$M$1=1,CONCATENATE(A1214,C1214),CONCATENATE(B1214,C1214))</f>
        <v>SARINAH202509</v>
      </c>
      <c r="F1214">
        <v>7</v>
      </c>
      <c r="G1214">
        <v>188</v>
      </c>
      <c r="H1214">
        <v>325</v>
      </c>
      <c r="I1214">
        <v>13</v>
      </c>
      <c r="J1214">
        <v>956</v>
      </c>
      <c r="K1214">
        <v>8708507</v>
      </c>
      <c r="L1214">
        <v>126668940</v>
      </c>
      <c r="M1214">
        <v>253954437</v>
      </c>
      <c r="N1214">
        <v>4442920</v>
      </c>
      <c r="O1214">
        <v>143454625</v>
      </c>
      <c r="P1214">
        <v>13063</v>
      </c>
      <c r="Q1214">
        <v>1266689</v>
      </c>
      <c r="R1214">
        <v>4571180</v>
      </c>
      <c r="S1214">
        <v>9717</v>
      </c>
      <c r="T1214">
        <v>277068</v>
      </c>
    </row>
    <row r="1215" spans="1:20" x14ac:dyDescent="0.25">
      <c r="A1215" t="s">
        <v>120</v>
      </c>
      <c r="B1215" t="s">
        <v>120</v>
      </c>
      <c r="C1215">
        <v>202509</v>
      </c>
      <c r="D1215" s="47" t="str">
        <f>MID(C1215,1,4)</f>
        <v>2025</v>
      </c>
      <c r="E1215" t="str">
        <f>IF(Portfolio!$M$1=1,CONCATENATE(A1215,C1215),CONCATENATE(B1215,C1215))</f>
        <v>SHIHLIN202509</v>
      </c>
      <c r="F1215">
        <v>29</v>
      </c>
      <c r="G1215">
        <v>5</v>
      </c>
      <c r="H1215">
        <v>4</v>
      </c>
      <c r="I1215">
        <v>65</v>
      </c>
      <c r="J1215">
        <v>2200</v>
      </c>
      <c r="K1215">
        <v>1916000</v>
      </c>
      <c r="L1215">
        <v>272000</v>
      </c>
      <c r="M1215">
        <v>327000</v>
      </c>
      <c r="N1215">
        <v>9125000</v>
      </c>
      <c r="O1215">
        <v>125634263</v>
      </c>
      <c r="P1215">
        <v>2874</v>
      </c>
      <c r="Q1215">
        <v>2720</v>
      </c>
      <c r="R1215">
        <v>6540</v>
      </c>
      <c r="S1215">
        <v>0</v>
      </c>
      <c r="T1215">
        <v>48196</v>
      </c>
    </row>
    <row r="1216" spans="1:20" x14ac:dyDescent="0.25">
      <c r="A1216" t="s">
        <v>122</v>
      </c>
      <c r="B1216" t="s">
        <v>122</v>
      </c>
      <c r="C1216">
        <v>202509</v>
      </c>
      <c r="D1216" s="47" t="str">
        <f>MID(C1216,1,4)</f>
        <v>2025</v>
      </c>
      <c r="E1216" t="str">
        <f>IF(Portfolio!$M$1=1,CONCATENATE(A1216,C1216),CONCATENATE(B1216,C1216))</f>
        <v>SOLARIA202509</v>
      </c>
      <c r="F1216">
        <v>1068</v>
      </c>
      <c r="G1216">
        <v>3</v>
      </c>
      <c r="H1216">
        <v>0</v>
      </c>
      <c r="I1216">
        <v>13</v>
      </c>
      <c r="J1216">
        <v>1076</v>
      </c>
      <c r="K1216">
        <v>173702000</v>
      </c>
      <c r="L1216">
        <v>410000</v>
      </c>
      <c r="M1216">
        <v>0</v>
      </c>
      <c r="N1216">
        <v>1321000</v>
      </c>
      <c r="O1216">
        <v>154745900</v>
      </c>
      <c r="P1216">
        <v>260553</v>
      </c>
      <c r="Q1216">
        <v>4100</v>
      </c>
      <c r="R1216">
        <v>0</v>
      </c>
      <c r="S1216">
        <v>9247</v>
      </c>
      <c r="T1216">
        <v>1083221</v>
      </c>
    </row>
    <row r="1217" spans="1:20" x14ac:dyDescent="0.25">
      <c r="A1217" t="s">
        <v>124</v>
      </c>
      <c r="B1217" t="s">
        <v>124</v>
      </c>
      <c r="C1217">
        <v>202509</v>
      </c>
      <c r="D1217" s="47" t="str">
        <f>MID(C1217,1,4)</f>
        <v>2025</v>
      </c>
      <c r="E1217" t="str">
        <f>IF(Portfolio!$M$1=1,CONCATENATE(A1217,C1217),CONCATENATE(B1217,C1217))</f>
        <v>SOUR SALLY202509</v>
      </c>
      <c r="F1217">
        <v>0</v>
      </c>
      <c r="G1217">
        <v>5</v>
      </c>
      <c r="H1217">
        <v>0</v>
      </c>
      <c r="I1217">
        <v>30</v>
      </c>
      <c r="J1217">
        <v>330</v>
      </c>
      <c r="K1217">
        <v>0</v>
      </c>
      <c r="L1217">
        <v>397490</v>
      </c>
      <c r="M1217">
        <v>0</v>
      </c>
      <c r="N1217">
        <v>2307000</v>
      </c>
      <c r="O1217">
        <v>24829400</v>
      </c>
      <c r="P1217">
        <v>0</v>
      </c>
      <c r="Q1217">
        <v>3975</v>
      </c>
      <c r="R1217">
        <v>0</v>
      </c>
      <c r="S1217">
        <v>16149</v>
      </c>
      <c r="T1217">
        <v>173806</v>
      </c>
    </row>
    <row r="1218" spans="1:20" x14ac:dyDescent="0.25">
      <c r="A1218" t="s">
        <v>126</v>
      </c>
      <c r="B1218" t="s">
        <v>220</v>
      </c>
      <c r="C1218">
        <v>202509</v>
      </c>
      <c r="D1218" s="47" t="str">
        <f>MID(C1218,1,4)</f>
        <v>2025</v>
      </c>
      <c r="E1218" t="str">
        <f>IF(Portfolio!$M$1=1,CONCATENATE(A1218,C1218),CONCATENATE(B1218,C1218))</f>
        <v>STEVEN GROUP202509</v>
      </c>
      <c r="F1218">
        <v>12</v>
      </c>
      <c r="G1218">
        <v>18</v>
      </c>
      <c r="H1218">
        <v>8</v>
      </c>
      <c r="I1218">
        <v>0</v>
      </c>
      <c r="J1218">
        <v>158</v>
      </c>
      <c r="K1218">
        <v>1531867</v>
      </c>
      <c r="L1218">
        <v>1742263</v>
      </c>
      <c r="M1218">
        <v>777880</v>
      </c>
      <c r="N1218">
        <v>0</v>
      </c>
      <c r="O1218">
        <v>16729420</v>
      </c>
      <c r="P1218">
        <v>2298</v>
      </c>
      <c r="Q1218">
        <v>17423</v>
      </c>
      <c r="R1218">
        <v>15558</v>
      </c>
      <c r="S1218">
        <v>0</v>
      </c>
      <c r="T1218">
        <v>117107</v>
      </c>
    </row>
    <row r="1219" spans="1:20" x14ac:dyDescent="0.25">
      <c r="A1219" t="s">
        <v>126</v>
      </c>
      <c r="B1219" t="s">
        <v>221</v>
      </c>
      <c r="C1219">
        <v>202509</v>
      </c>
      <c r="D1219" s="47" t="str">
        <f>MID(C1219,1,4)</f>
        <v>2025</v>
      </c>
      <c r="E1219" t="str">
        <f>IF(Portfolio!$M$1=1,CONCATENATE(A1219,C1219),CONCATENATE(B1219,C1219))</f>
        <v>STEVEN GROUP202509</v>
      </c>
      <c r="F1219">
        <v>0</v>
      </c>
      <c r="G1219">
        <v>0</v>
      </c>
      <c r="H1219">
        <v>0</v>
      </c>
      <c r="I1219">
        <v>7</v>
      </c>
      <c r="J1219">
        <v>514</v>
      </c>
      <c r="K1219">
        <v>0</v>
      </c>
      <c r="L1219">
        <v>0</v>
      </c>
      <c r="M1219">
        <v>0</v>
      </c>
      <c r="N1219">
        <v>206000</v>
      </c>
      <c r="O1219">
        <v>16897001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 spans="1:20" x14ac:dyDescent="0.25">
      <c r="A1220" t="s">
        <v>126</v>
      </c>
      <c r="B1220" t="s">
        <v>222</v>
      </c>
      <c r="C1220">
        <v>202509</v>
      </c>
      <c r="D1220" s="47" t="str">
        <f>MID(C1220,1,4)</f>
        <v>2025</v>
      </c>
      <c r="E1220" t="str">
        <f>IF(Portfolio!$M$1=1,CONCATENATE(A1220,C1220),CONCATENATE(B1220,C1220))</f>
        <v>STEVEN GROUP202509</v>
      </c>
      <c r="F1220">
        <v>1</v>
      </c>
      <c r="G1220">
        <v>0</v>
      </c>
      <c r="H1220">
        <v>0</v>
      </c>
      <c r="I1220">
        <v>0</v>
      </c>
      <c r="J1220">
        <v>1</v>
      </c>
      <c r="K1220">
        <v>214387</v>
      </c>
      <c r="L1220">
        <v>0</v>
      </c>
      <c r="M1220">
        <v>0</v>
      </c>
      <c r="N1220">
        <v>0</v>
      </c>
      <c r="O1220">
        <v>1</v>
      </c>
      <c r="P1220">
        <v>322</v>
      </c>
      <c r="Q1220">
        <v>0</v>
      </c>
      <c r="R1220">
        <v>0</v>
      </c>
      <c r="S1220">
        <v>0</v>
      </c>
      <c r="T1220">
        <v>0</v>
      </c>
    </row>
    <row r="1221" spans="1:20" x14ac:dyDescent="0.25">
      <c r="A1221" t="s">
        <v>126</v>
      </c>
      <c r="B1221" t="s">
        <v>224</v>
      </c>
      <c r="C1221">
        <v>202509</v>
      </c>
      <c r="D1221" s="47" t="str">
        <f>MID(C1221,1,4)</f>
        <v>2025</v>
      </c>
      <c r="E1221" t="str">
        <f>IF(Portfolio!$M$1=1,CONCATENATE(A1221,C1221),CONCATENATE(B1221,C1221))</f>
        <v>STEVEN GROUP202509</v>
      </c>
      <c r="F1221">
        <v>1</v>
      </c>
      <c r="G1221">
        <v>0</v>
      </c>
      <c r="H1221">
        <v>1</v>
      </c>
      <c r="I1221">
        <v>0</v>
      </c>
      <c r="J1221">
        <v>2</v>
      </c>
      <c r="K1221">
        <v>27789060</v>
      </c>
      <c r="L1221">
        <v>0</v>
      </c>
      <c r="M1221">
        <v>5915000</v>
      </c>
      <c r="N1221">
        <v>0</v>
      </c>
      <c r="O1221">
        <v>1950001</v>
      </c>
      <c r="P1221">
        <v>41684</v>
      </c>
      <c r="Q1221">
        <v>0</v>
      </c>
      <c r="R1221">
        <v>118300</v>
      </c>
      <c r="S1221">
        <v>0</v>
      </c>
      <c r="T1221">
        <v>13650</v>
      </c>
    </row>
    <row r="1222" spans="1:20" x14ac:dyDescent="0.25">
      <c r="A1222" t="s">
        <v>126</v>
      </c>
      <c r="B1222" t="s">
        <v>228</v>
      </c>
      <c r="C1222">
        <v>202509</v>
      </c>
      <c r="D1222" s="47" t="str">
        <f>MID(C1222,1,4)</f>
        <v>2025</v>
      </c>
      <c r="E1222" t="str">
        <f>IF(Portfolio!$M$1=1,CONCATENATE(A1222,C1222),CONCATENATE(B1222,C1222))</f>
        <v>STEVEN GROUP202509</v>
      </c>
      <c r="F1222">
        <v>0</v>
      </c>
      <c r="G1222">
        <v>0</v>
      </c>
      <c r="H1222">
        <v>0</v>
      </c>
      <c r="I1222">
        <v>1</v>
      </c>
      <c r="J1222">
        <v>3793</v>
      </c>
      <c r="K1222">
        <v>0</v>
      </c>
      <c r="L1222">
        <v>0</v>
      </c>
      <c r="M1222">
        <v>0</v>
      </c>
      <c r="N1222">
        <v>152900</v>
      </c>
      <c r="O1222">
        <v>248828439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 spans="1:20" x14ac:dyDescent="0.25">
      <c r="A1223" t="s">
        <v>126</v>
      </c>
      <c r="B1223" t="s">
        <v>225</v>
      </c>
      <c r="C1223">
        <v>202509</v>
      </c>
      <c r="D1223" s="47" t="str">
        <f>MID(C1223,1,4)</f>
        <v>2025</v>
      </c>
      <c r="E1223" t="str">
        <f>IF(Portfolio!$M$1=1,CONCATENATE(A1223,C1223),CONCATENATE(B1223,C1223))</f>
        <v>STEVEN GROUP202509</v>
      </c>
      <c r="F1223">
        <v>2</v>
      </c>
      <c r="G1223">
        <v>0</v>
      </c>
      <c r="H1223">
        <v>0</v>
      </c>
      <c r="I1223">
        <v>0</v>
      </c>
      <c r="J1223">
        <v>1</v>
      </c>
      <c r="K1223">
        <v>1718568</v>
      </c>
      <c r="L1223">
        <v>0</v>
      </c>
      <c r="M1223">
        <v>0</v>
      </c>
      <c r="N1223">
        <v>0</v>
      </c>
      <c r="O1223">
        <v>1</v>
      </c>
      <c r="P1223">
        <v>2578</v>
      </c>
      <c r="Q1223">
        <v>0</v>
      </c>
      <c r="R1223">
        <v>0</v>
      </c>
      <c r="S1223">
        <v>0</v>
      </c>
      <c r="T1223">
        <v>0</v>
      </c>
    </row>
    <row r="1224" spans="1:20" x14ac:dyDescent="0.25">
      <c r="A1224" t="s">
        <v>126</v>
      </c>
      <c r="B1224" t="s">
        <v>132</v>
      </c>
      <c r="C1224">
        <v>202509</v>
      </c>
      <c r="D1224" s="47" t="str">
        <f>MID(C1224,1,4)</f>
        <v>2025</v>
      </c>
      <c r="E1224" t="str">
        <f>IF(Portfolio!$M$1=1,CONCATENATE(A1224,C1224),CONCATENATE(B1224,C1224))</f>
        <v>STEVEN GROUP202509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 spans="1:20" x14ac:dyDescent="0.25">
      <c r="A1225" t="s">
        <v>128</v>
      </c>
      <c r="B1225" t="s">
        <v>226</v>
      </c>
      <c r="C1225">
        <v>202509</v>
      </c>
      <c r="D1225" s="47" t="str">
        <f>MID(C1225,1,4)</f>
        <v>2025</v>
      </c>
      <c r="E1225" t="str">
        <f>IF(Portfolio!$M$1=1,CONCATENATE(A1225,C1225),CONCATENATE(B1225,C1225))</f>
        <v>SUPRA BOGA LESTARI202509</v>
      </c>
      <c r="F1225">
        <v>3</v>
      </c>
      <c r="G1225">
        <v>0</v>
      </c>
      <c r="H1225">
        <v>0</v>
      </c>
      <c r="I1225">
        <v>0</v>
      </c>
      <c r="J1225">
        <v>0</v>
      </c>
      <c r="K1225">
        <v>2554040</v>
      </c>
      <c r="L1225">
        <v>0</v>
      </c>
      <c r="M1225">
        <v>0</v>
      </c>
      <c r="N1225">
        <v>0</v>
      </c>
      <c r="O1225">
        <v>0</v>
      </c>
      <c r="P1225">
        <v>3831</v>
      </c>
      <c r="Q1225">
        <v>0</v>
      </c>
      <c r="R1225">
        <v>0</v>
      </c>
      <c r="S1225">
        <v>0</v>
      </c>
      <c r="T1225">
        <v>0</v>
      </c>
    </row>
    <row r="1226" spans="1:20" x14ac:dyDescent="0.25">
      <c r="A1226" t="s">
        <v>138</v>
      </c>
      <c r="B1226" t="s">
        <v>138</v>
      </c>
      <c r="C1226">
        <v>202509</v>
      </c>
      <c r="D1226" s="47" t="str">
        <f>MID(C1226,1,4)</f>
        <v>2025</v>
      </c>
      <c r="E1226" t="str">
        <f>IF(Portfolio!$M$1=1,CONCATENATE(A1226,C1226),CONCATENATE(B1226,C1226))</f>
        <v>YOSHINOYA202509</v>
      </c>
      <c r="F1226">
        <v>286</v>
      </c>
      <c r="G1226">
        <v>8352</v>
      </c>
      <c r="H1226">
        <v>181</v>
      </c>
      <c r="I1226">
        <v>0</v>
      </c>
      <c r="J1226">
        <v>149163</v>
      </c>
      <c r="K1226">
        <v>40729300</v>
      </c>
      <c r="L1226">
        <v>1211588500</v>
      </c>
      <c r="M1226">
        <v>23590500</v>
      </c>
      <c r="N1226">
        <v>0</v>
      </c>
      <c r="O1226">
        <v>17818707024</v>
      </c>
      <c r="P1226">
        <v>61094</v>
      </c>
      <c r="Q1226">
        <v>12115885</v>
      </c>
      <c r="R1226">
        <v>266120</v>
      </c>
      <c r="S1226">
        <v>0</v>
      </c>
      <c r="T1226">
        <v>124730083</v>
      </c>
    </row>
    <row r="1227" spans="1:20" x14ac:dyDescent="0.25">
      <c r="A1227" t="s">
        <v>140</v>
      </c>
      <c r="B1227" t="s">
        <v>140</v>
      </c>
      <c r="C1227">
        <v>202509</v>
      </c>
      <c r="D1227" s="47" t="str">
        <f>MID(C1227,1,4)</f>
        <v>2025</v>
      </c>
      <c r="E1227" t="str">
        <f>IF(Portfolio!$M$1=1,CONCATENATE(A1227,C1227),CONCATENATE(B1227,C1227))</f>
        <v>ZENBU202509</v>
      </c>
      <c r="F1227">
        <v>0</v>
      </c>
      <c r="G1227">
        <v>0</v>
      </c>
      <c r="H1227">
        <v>0</v>
      </c>
      <c r="I1227">
        <v>13</v>
      </c>
      <c r="J1227">
        <v>5409</v>
      </c>
      <c r="K1227">
        <v>0</v>
      </c>
      <c r="L1227">
        <v>0</v>
      </c>
      <c r="M1227">
        <v>0</v>
      </c>
      <c r="N1227">
        <v>4868306</v>
      </c>
      <c r="O1227">
        <v>1465642540</v>
      </c>
      <c r="P1227">
        <v>0</v>
      </c>
      <c r="Q1227">
        <v>0</v>
      </c>
      <c r="R1227">
        <v>0</v>
      </c>
      <c r="S1227">
        <v>34078</v>
      </c>
      <c r="T1227">
        <v>10259472</v>
      </c>
    </row>
    <row r="1228" spans="1:20" x14ac:dyDescent="0.25">
      <c r="A1228" t="s">
        <v>67</v>
      </c>
      <c r="B1228" t="s">
        <v>68</v>
      </c>
      <c r="C1228">
        <v>202510</v>
      </c>
      <c r="D1228" s="47" t="str">
        <f>MID(C1228,1,4)</f>
        <v>2025</v>
      </c>
      <c r="E1228" t="str">
        <f>IF(Portfolio!$M$1=1,CONCATENATE(A1228,C1228),CONCATENATE(B1228,C1228))</f>
        <v>ALFA GROUP202510</v>
      </c>
      <c r="F1228">
        <v>21673</v>
      </c>
      <c r="G1228">
        <v>78117</v>
      </c>
      <c r="H1228">
        <v>23131</v>
      </c>
      <c r="I1228">
        <v>44</v>
      </c>
      <c r="J1228">
        <v>630</v>
      </c>
      <c r="K1228">
        <v>2114943806</v>
      </c>
      <c r="L1228">
        <v>7896863824</v>
      </c>
      <c r="M1228">
        <v>3229656222</v>
      </c>
      <c r="N1228">
        <v>2894359</v>
      </c>
      <c r="O1228">
        <v>36845700</v>
      </c>
      <c r="P1228">
        <v>3172413</v>
      </c>
      <c r="Q1228">
        <v>78968638</v>
      </c>
      <c r="R1228">
        <v>57706256</v>
      </c>
      <c r="S1228">
        <v>13382</v>
      </c>
      <c r="T1228">
        <v>11625</v>
      </c>
    </row>
    <row r="1229" spans="1:20" x14ac:dyDescent="0.25">
      <c r="A1229" t="s">
        <v>67</v>
      </c>
      <c r="B1229" t="s">
        <v>69</v>
      </c>
      <c r="C1229">
        <v>202510</v>
      </c>
      <c r="D1229" s="47" t="str">
        <f>MID(C1229,1,4)</f>
        <v>2025</v>
      </c>
      <c r="E1229" t="str">
        <f>IF(Portfolio!$M$1=1,CONCATENATE(A1229,C1229),CONCATENATE(B1229,C1229))</f>
        <v>ALFA GROUP202510</v>
      </c>
      <c r="F1229">
        <v>14</v>
      </c>
      <c r="G1229">
        <v>83</v>
      </c>
      <c r="H1229">
        <v>33</v>
      </c>
      <c r="I1229">
        <v>5</v>
      </c>
      <c r="J1229">
        <v>92</v>
      </c>
      <c r="K1229">
        <v>1830347</v>
      </c>
      <c r="L1229">
        <v>10000460</v>
      </c>
      <c r="M1229">
        <v>6335513</v>
      </c>
      <c r="N1229">
        <v>72500</v>
      </c>
      <c r="O1229">
        <v>3950200</v>
      </c>
      <c r="P1229">
        <v>2746</v>
      </c>
      <c r="Q1229">
        <v>100005</v>
      </c>
      <c r="R1229">
        <v>114039</v>
      </c>
      <c r="S1229">
        <v>508</v>
      </c>
      <c r="T1229">
        <v>27652</v>
      </c>
    </row>
    <row r="1230" spans="1:20" x14ac:dyDescent="0.25">
      <c r="A1230" t="s">
        <v>67</v>
      </c>
      <c r="B1230" t="s">
        <v>72</v>
      </c>
      <c r="C1230">
        <v>202510</v>
      </c>
      <c r="D1230" s="47" t="str">
        <f>MID(C1230,1,4)</f>
        <v>2025</v>
      </c>
      <c r="E1230" t="str">
        <f>IF(Portfolio!$M$1=1,CONCATENATE(A1230,C1230),CONCATENATE(B1230,C1230))</f>
        <v>ALFA GROUP202510</v>
      </c>
      <c r="F1230">
        <v>343</v>
      </c>
      <c r="G1230">
        <v>1546</v>
      </c>
      <c r="H1230">
        <v>214</v>
      </c>
      <c r="I1230">
        <v>0</v>
      </c>
      <c r="J1230">
        <v>0</v>
      </c>
      <c r="K1230">
        <v>56867859</v>
      </c>
      <c r="L1230">
        <v>237387318</v>
      </c>
      <c r="M1230">
        <v>39798100</v>
      </c>
      <c r="N1230">
        <v>0</v>
      </c>
      <c r="O1230">
        <v>0</v>
      </c>
      <c r="P1230">
        <v>85302</v>
      </c>
      <c r="Q1230">
        <v>2373873</v>
      </c>
      <c r="R1230">
        <v>716086</v>
      </c>
      <c r="S1230">
        <v>0</v>
      </c>
      <c r="T1230">
        <v>0</v>
      </c>
    </row>
    <row r="1231" spans="1:20" x14ac:dyDescent="0.25">
      <c r="A1231" t="s">
        <v>70</v>
      </c>
      <c r="B1231" t="s">
        <v>70</v>
      </c>
      <c r="C1231">
        <v>202510</v>
      </c>
      <c r="D1231" s="47" t="str">
        <f>MID(C1231,1,4)</f>
        <v>2025</v>
      </c>
      <c r="E1231" t="str">
        <f>IF(Portfolio!$M$1=1,CONCATENATE(A1231,C1231),CONCATENATE(B1231,C1231))</f>
        <v>ANCOL202510</v>
      </c>
      <c r="F1231">
        <v>1</v>
      </c>
      <c r="G1231">
        <v>2</v>
      </c>
      <c r="H1231">
        <v>4</v>
      </c>
      <c r="I1231">
        <v>4</v>
      </c>
      <c r="J1231">
        <v>789</v>
      </c>
      <c r="K1231">
        <v>299145</v>
      </c>
      <c r="L1231">
        <v>233500</v>
      </c>
      <c r="M1231">
        <v>326300</v>
      </c>
      <c r="N1231">
        <v>371250</v>
      </c>
      <c r="O1231">
        <v>48646578</v>
      </c>
      <c r="P1231">
        <v>449</v>
      </c>
      <c r="Q1231">
        <v>2335</v>
      </c>
      <c r="R1231">
        <v>5384</v>
      </c>
      <c r="S1231">
        <v>0</v>
      </c>
      <c r="T1231">
        <v>5643</v>
      </c>
    </row>
    <row r="1232" spans="1:20" x14ac:dyDescent="0.25">
      <c r="A1232" t="s">
        <v>73</v>
      </c>
      <c r="B1232" t="s">
        <v>73</v>
      </c>
      <c r="C1232">
        <v>202510</v>
      </c>
      <c r="D1232" s="47" t="str">
        <f>MID(C1232,1,4)</f>
        <v>2025</v>
      </c>
      <c r="E1232" t="str">
        <f>IF(Portfolio!$M$1=1,CONCATENATE(A1232,C1232),CONCATENATE(B1232,C1232))</f>
        <v>BANBAN TEA202510</v>
      </c>
      <c r="F1232">
        <v>3</v>
      </c>
      <c r="G1232">
        <v>0</v>
      </c>
      <c r="H1232">
        <v>2</v>
      </c>
      <c r="I1232">
        <v>93</v>
      </c>
      <c r="J1232">
        <v>10</v>
      </c>
      <c r="K1232">
        <v>257400</v>
      </c>
      <c r="L1232">
        <v>0</v>
      </c>
      <c r="M1232">
        <v>20000</v>
      </c>
      <c r="N1232">
        <v>6259995</v>
      </c>
      <c r="O1232">
        <v>590501</v>
      </c>
      <c r="P1232">
        <v>386</v>
      </c>
      <c r="Q1232">
        <v>0</v>
      </c>
      <c r="R1232">
        <v>400</v>
      </c>
      <c r="S1232">
        <v>43817</v>
      </c>
      <c r="T1232">
        <v>4134</v>
      </c>
    </row>
    <row r="1233" spans="1:20" x14ac:dyDescent="0.25">
      <c r="A1233" t="s">
        <v>74</v>
      </c>
      <c r="B1233" t="s">
        <v>74</v>
      </c>
      <c r="C1233">
        <v>202510</v>
      </c>
      <c r="D1233" s="47" t="str">
        <f>MID(C1233,1,4)</f>
        <v>2025</v>
      </c>
      <c r="E1233" t="str">
        <f>IF(Portfolio!$M$1=1,CONCATENATE(A1233,C1233),CONCATENATE(B1233,C1233))</f>
        <v>BEARD PAPA202510</v>
      </c>
      <c r="F1233">
        <v>15</v>
      </c>
      <c r="G1233">
        <v>0</v>
      </c>
      <c r="H1233">
        <v>0</v>
      </c>
      <c r="I1233">
        <v>0</v>
      </c>
      <c r="J1233">
        <v>8</v>
      </c>
      <c r="K1233">
        <v>936000</v>
      </c>
      <c r="L1233">
        <v>0</v>
      </c>
      <c r="M1233">
        <v>0</v>
      </c>
      <c r="N1233">
        <v>0</v>
      </c>
      <c r="O1233">
        <v>6872005</v>
      </c>
      <c r="P1233">
        <v>1404</v>
      </c>
      <c r="Q1233">
        <v>0</v>
      </c>
      <c r="R1233">
        <v>0</v>
      </c>
      <c r="S1233">
        <v>0</v>
      </c>
      <c r="T1233">
        <v>48104</v>
      </c>
    </row>
    <row r="1234" spans="1:20" x14ac:dyDescent="0.25">
      <c r="A1234" t="s">
        <v>75</v>
      </c>
      <c r="B1234" t="s">
        <v>81</v>
      </c>
      <c r="C1234">
        <v>202510</v>
      </c>
      <c r="D1234" s="47" t="str">
        <f>MID(C1234,1,4)</f>
        <v>2025</v>
      </c>
      <c r="E1234" t="str">
        <f>IF(Portfolio!$M$1=1,CONCATENATE(A1234,C1234),CONCATENATE(B1234,C1234))</f>
        <v>CHAMP RESTO202510</v>
      </c>
      <c r="F1234">
        <v>1</v>
      </c>
      <c r="G1234">
        <v>0</v>
      </c>
      <c r="H1234">
        <v>0</v>
      </c>
      <c r="I1234">
        <v>0</v>
      </c>
      <c r="J1234">
        <v>17</v>
      </c>
      <c r="K1234">
        <v>362000</v>
      </c>
      <c r="L1234">
        <v>0</v>
      </c>
      <c r="M1234">
        <v>0</v>
      </c>
      <c r="N1234">
        <v>0</v>
      </c>
      <c r="O1234">
        <v>2568500</v>
      </c>
      <c r="P1234">
        <v>543</v>
      </c>
      <c r="Q1234">
        <v>0</v>
      </c>
      <c r="R1234">
        <v>0</v>
      </c>
      <c r="S1234">
        <v>0</v>
      </c>
      <c r="T1234">
        <v>17981</v>
      </c>
    </row>
    <row r="1235" spans="1:20" x14ac:dyDescent="0.25">
      <c r="A1235" t="s">
        <v>75</v>
      </c>
      <c r="B1235" t="s">
        <v>83</v>
      </c>
      <c r="C1235">
        <v>202510</v>
      </c>
      <c r="D1235" s="47" t="str">
        <f>MID(C1235,1,4)</f>
        <v>2025</v>
      </c>
      <c r="E1235" t="str">
        <f>IF(Portfolio!$M$1=1,CONCATENATE(A1235,C1235),CONCATENATE(B1235,C1235))</f>
        <v>CHAMP RESTO202510</v>
      </c>
      <c r="F1235">
        <v>0</v>
      </c>
      <c r="G1235">
        <v>0</v>
      </c>
      <c r="H1235">
        <v>0</v>
      </c>
      <c r="I1235">
        <v>1</v>
      </c>
      <c r="J1235">
        <v>280</v>
      </c>
      <c r="K1235">
        <v>0</v>
      </c>
      <c r="L1235">
        <v>0</v>
      </c>
      <c r="M1235">
        <v>0</v>
      </c>
      <c r="N1235">
        <v>34500</v>
      </c>
      <c r="O1235">
        <v>10770901</v>
      </c>
      <c r="P1235">
        <v>0</v>
      </c>
      <c r="Q1235">
        <v>0</v>
      </c>
      <c r="R1235">
        <v>0</v>
      </c>
      <c r="S1235">
        <v>0</v>
      </c>
      <c r="T1235">
        <v>2085</v>
      </c>
    </row>
    <row r="1236" spans="1:20" x14ac:dyDescent="0.25">
      <c r="A1236" t="s">
        <v>75</v>
      </c>
      <c r="B1236" t="s">
        <v>85</v>
      </c>
      <c r="C1236">
        <v>202510</v>
      </c>
      <c r="D1236" s="47" t="str">
        <f>MID(C1236,1,4)</f>
        <v>2025</v>
      </c>
      <c r="E1236" t="str">
        <f>IF(Portfolio!$M$1=1,CONCATENATE(A1236,C1236),CONCATENATE(B1236,C1236))</f>
        <v>CHAMP RESTO202510</v>
      </c>
      <c r="F1236">
        <v>4</v>
      </c>
      <c r="G1236">
        <v>4</v>
      </c>
      <c r="H1236">
        <v>0</v>
      </c>
      <c r="I1236">
        <v>0</v>
      </c>
      <c r="J1236">
        <v>40</v>
      </c>
      <c r="K1236">
        <v>846000</v>
      </c>
      <c r="L1236">
        <v>1148487</v>
      </c>
      <c r="M1236">
        <v>0</v>
      </c>
      <c r="N1236">
        <v>0</v>
      </c>
      <c r="O1236">
        <v>8239455</v>
      </c>
      <c r="P1236">
        <v>1269</v>
      </c>
      <c r="Q1236">
        <v>11485</v>
      </c>
      <c r="R1236">
        <v>0</v>
      </c>
      <c r="S1236">
        <v>0</v>
      </c>
      <c r="T1236">
        <v>57675</v>
      </c>
    </row>
    <row r="1237" spans="1:20" x14ac:dyDescent="0.25">
      <c r="A1237" t="s">
        <v>75</v>
      </c>
      <c r="B1237" t="s">
        <v>91</v>
      </c>
      <c r="C1237">
        <v>202510</v>
      </c>
      <c r="D1237" s="47" t="str">
        <f>MID(C1237,1,4)</f>
        <v>2025</v>
      </c>
      <c r="E1237" t="str">
        <f>IF(Portfolio!$M$1=1,CONCATENATE(A1237,C1237),CONCATENATE(B1237,C1237))</f>
        <v>CHAMP RESTO202510</v>
      </c>
      <c r="F1237">
        <v>3</v>
      </c>
      <c r="G1237">
        <v>7</v>
      </c>
      <c r="H1237">
        <v>0</v>
      </c>
      <c r="I1237">
        <v>0</v>
      </c>
      <c r="J1237">
        <v>30</v>
      </c>
      <c r="K1237">
        <v>862279</v>
      </c>
      <c r="L1237">
        <v>3378400</v>
      </c>
      <c r="M1237">
        <v>0</v>
      </c>
      <c r="N1237">
        <v>0</v>
      </c>
      <c r="O1237">
        <v>7035795</v>
      </c>
      <c r="P1237">
        <v>1293</v>
      </c>
      <c r="Q1237">
        <v>33784</v>
      </c>
      <c r="R1237">
        <v>0</v>
      </c>
      <c r="S1237">
        <v>0</v>
      </c>
      <c r="T1237">
        <v>49250</v>
      </c>
    </row>
    <row r="1238" spans="1:20" x14ac:dyDescent="0.25">
      <c r="A1238" t="s">
        <v>75</v>
      </c>
      <c r="B1238" t="s">
        <v>93</v>
      </c>
      <c r="C1238">
        <v>202510</v>
      </c>
      <c r="D1238" s="47" t="str">
        <f>MID(C1238,1,4)</f>
        <v>2025</v>
      </c>
      <c r="E1238" t="str">
        <f>IF(Portfolio!$M$1=1,CONCATENATE(A1238,C1238),CONCATENATE(B1238,C1238))</f>
        <v>CHAMP RESTO202510</v>
      </c>
      <c r="F1238">
        <v>0</v>
      </c>
      <c r="G1238">
        <v>0</v>
      </c>
      <c r="H1238">
        <v>0</v>
      </c>
      <c r="I1238">
        <v>2</v>
      </c>
      <c r="J1238">
        <v>85</v>
      </c>
      <c r="K1238">
        <v>0</v>
      </c>
      <c r="L1238">
        <v>0</v>
      </c>
      <c r="M1238">
        <v>0</v>
      </c>
      <c r="N1238">
        <v>270000</v>
      </c>
      <c r="O1238">
        <v>16177001</v>
      </c>
      <c r="P1238">
        <v>0</v>
      </c>
      <c r="Q1238">
        <v>0</v>
      </c>
      <c r="R1238">
        <v>0</v>
      </c>
      <c r="S1238">
        <v>0</v>
      </c>
      <c r="T1238">
        <v>9570</v>
      </c>
    </row>
    <row r="1239" spans="1:20" x14ac:dyDescent="0.25">
      <c r="A1239" t="s">
        <v>75</v>
      </c>
      <c r="B1239" t="s">
        <v>95</v>
      </c>
      <c r="C1239">
        <v>202510</v>
      </c>
      <c r="D1239" s="47" t="str">
        <f>MID(C1239,1,4)</f>
        <v>2025</v>
      </c>
      <c r="E1239" t="str">
        <f>IF(Portfolio!$M$1=1,CONCATENATE(A1239,C1239),CONCATENATE(B1239,C1239))</f>
        <v>CHAMP RESTO202510</v>
      </c>
      <c r="F1239">
        <v>5</v>
      </c>
      <c r="G1239">
        <v>0</v>
      </c>
      <c r="H1239">
        <v>0</v>
      </c>
      <c r="I1239">
        <v>0</v>
      </c>
      <c r="J1239">
        <v>4</v>
      </c>
      <c r="K1239">
        <v>1403298</v>
      </c>
      <c r="L1239">
        <v>0</v>
      </c>
      <c r="M1239">
        <v>0</v>
      </c>
      <c r="N1239">
        <v>0</v>
      </c>
      <c r="O1239">
        <v>812849</v>
      </c>
      <c r="P1239">
        <v>2105</v>
      </c>
      <c r="Q1239">
        <v>0</v>
      </c>
      <c r="R1239">
        <v>0</v>
      </c>
      <c r="S1239">
        <v>0</v>
      </c>
      <c r="T1239">
        <v>5690</v>
      </c>
    </row>
    <row r="1240" spans="1:20" x14ac:dyDescent="0.25">
      <c r="A1240" t="s">
        <v>76</v>
      </c>
      <c r="B1240" t="s">
        <v>76</v>
      </c>
      <c r="C1240">
        <v>202510</v>
      </c>
      <c r="D1240" s="47" t="str">
        <f>MID(C1240,1,4)</f>
        <v>2025</v>
      </c>
      <c r="E1240" t="str">
        <f>IF(Portfolio!$M$1=1,CONCATENATE(A1240,C1240),CONCATENATE(B1240,C1240))</f>
        <v>DAMRI202510</v>
      </c>
      <c r="F1240">
        <v>3</v>
      </c>
      <c r="G1240">
        <v>6</v>
      </c>
      <c r="H1240">
        <v>0</v>
      </c>
      <c r="I1240">
        <v>0</v>
      </c>
      <c r="J1240">
        <v>44</v>
      </c>
      <c r="K1240">
        <v>240000</v>
      </c>
      <c r="L1240">
        <v>1485000</v>
      </c>
      <c r="M1240">
        <v>0</v>
      </c>
      <c r="N1240">
        <v>0</v>
      </c>
      <c r="O1240">
        <v>12065000</v>
      </c>
      <c r="P1240">
        <v>360</v>
      </c>
      <c r="Q1240">
        <v>14850</v>
      </c>
      <c r="R1240">
        <v>0</v>
      </c>
      <c r="S1240">
        <v>0</v>
      </c>
      <c r="T1240">
        <v>84455</v>
      </c>
    </row>
    <row r="1241" spans="1:20" x14ac:dyDescent="0.25">
      <c r="A1241" t="s">
        <v>78</v>
      </c>
      <c r="B1241" t="s">
        <v>98</v>
      </c>
      <c r="C1241">
        <v>202510</v>
      </c>
      <c r="D1241" s="47" t="str">
        <f>MID(C1241,1,4)</f>
        <v>2025</v>
      </c>
      <c r="E1241" t="str">
        <f>IF(Portfolio!$M$1=1,CONCATENATE(A1241,C1241),CONCATENATE(B1241,C1241))</f>
        <v>DELTA WIBAWA BERSAMA202510</v>
      </c>
      <c r="F1241">
        <v>0</v>
      </c>
      <c r="G1241">
        <v>30</v>
      </c>
      <c r="H1241">
        <v>40</v>
      </c>
      <c r="I1241">
        <v>1</v>
      </c>
      <c r="J1241">
        <v>550</v>
      </c>
      <c r="K1241">
        <v>0</v>
      </c>
      <c r="L1241">
        <v>13586148</v>
      </c>
      <c r="M1241">
        <v>15852960</v>
      </c>
      <c r="N1241">
        <v>127628</v>
      </c>
      <c r="O1241">
        <v>117874370</v>
      </c>
      <c r="P1241">
        <v>0</v>
      </c>
      <c r="Q1241">
        <v>135861</v>
      </c>
      <c r="R1241">
        <v>317059</v>
      </c>
      <c r="S1241">
        <v>893</v>
      </c>
      <c r="T1241">
        <v>825120</v>
      </c>
    </row>
    <row r="1242" spans="1:20" x14ac:dyDescent="0.25">
      <c r="A1242" t="s">
        <v>80</v>
      </c>
      <c r="B1242" t="s">
        <v>80</v>
      </c>
      <c r="C1242">
        <v>202510</v>
      </c>
      <c r="D1242" s="47" t="str">
        <f>MID(C1242,1,4)</f>
        <v>2025</v>
      </c>
      <c r="E1242" t="str">
        <f>IF(Portfolio!$M$1=1,CONCATENATE(A1242,C1242),CONCATENATE(B1242,C1242))</f>
        <v>DWIDAYA202510</v>
      </c>
      <c r="F1242">
        <v>11</v>
      </c>
      <c r="G1242">
        <v>9</v>
      </c>
      <c r="H1242">
        <v>30</v>
      </c>
      <c r="I1242">
        <v>0</v>
      </c>
      <c r="J1242">
        <v>85</v>
      </c>
      <c r="K1242">
        <v>211577000</v>
      </c>
      <c r="L1242">
        <v>161033102</v>
      </c>
      <c r="M1242">
        <v>183979787</v>
      </c>
      <c r="N1242">
        <v>0</v>
      </c>
      <c r="O1242">
        <v>245133551</v>
      </c>
      <c r="P1242">
        <v>317366</v>
      </c>
      <c r="Q1242">
        <v>1610331</v>
      </c>
      <c r="R1242">
        <v>3679596</v>
      </c>
      <c r="S1242">
        <v>0</v>
      </c>
      <c r="T1242">
        <v>1715936</v>
      </c>
    </row>
    <row r="1243" spans="1:20" x14ac:dyDescent="0.25">
      <c r="A1243" t="s">
        <v>82</v>
      </c>
      <c r="B1243" t="s">
        <v>82</v>
      </c>
      <c r="C1243">
        <v>202510</v>
      </c>
      <c r="D1243" s="47" t="str">
        <f>MID(C1243,1,4)</f>
        <v>2025</v>
      </c>
      <c r="E1243" t="str">
        <f>IF(Portfolio!$M$1=1,CONCATENATE(A1243,C1243),CONCATENATE(B1243,C1243))</f>
        <v>EKA HOSPITAL202510</v>
      </c>
      <c r="F1243">
        <v>0</v>
      </c>
      <c r="G1243">
        <v>1</v>
      </c>
      <c r="H1243">
        <v>3</v>
      </c>
      <c r="I1243">
        <v>0</v>
      </c>
      <c r="J1243">
        <v>5</v>
      </c>
      <c r="K1243">
        <v>0</v>
      </c>
      <c r="L1243">
        <v>801600</v>
      </c>
      <c r="M1243">
        <v>2362390</v>
      </c>
      <c r="N1243">
        <v>0</v>
      </c>
      <c r="O1243">
        <v>5</v>
      </c>
      <c r="P1243">
        <v>0</v>
      </c>
      <c r="Q1243">
        <v>8016</v>
      </c>
      <c r="R1243">
        <v>30711</v>
      </c>
      <c r="S1243">
        <v>0</v>
      </c>
      <c r="T1243">
        <v>0</v>
      </c>
    </row>
    <row r="1244" spans="1:20" x14ac:dyDescent="0.25">
      <c r="A1244" t="s">
        <v>86</v>
      </c>
      <c r="B1244" t="s">
        <v>86</v>
      </c>
      <c r="C1244">
        <v>202510</v>
      </c>
      <c r="D1244" s="47" t="str">
        <f>MID(C1244,1,4)</f>
        <v>2025</v>
      </c>
      <c r="E1244" t="str">
        <f>IF(Portfolio!$M$1=1,CONCATENATE(A1244,C1244),CONCATENATE(B1244,C1244))</f>
        <v>GRAMEDIA202510</v>
      </c>
      <c r="F1244">
        <v>6</v>
      </c>
      <c r="G1244">
        <v>0</v>
      </c>
      <c r="H1244">
        <v>0</v>
      </c>
      <c r="I1244">
        <v>3</v>
      </c>
      <c r="J1244">
        <v>141</v>
      </c>
      <c r="K1244">
        <v>1502200</v>
      </c>
      <c r="L1244">
        <v>0</v>
      </c>
      <c r="M1244">
        <v>0</v>
      </c>
      <c r="N1244">
        <v>80000</v>
      </c>
      <c r="O1244">
        <v>5178000</v>
      </c>
      <c r="P1244">
        <v>2253</v>
      </c>
      <c r="Q1244">
        <v>0</v>
      </c>
      <c r="R1244">
        <v>0</v>
      </c>
      <c r="S1244">
        <v>0</v>
      </c>
      <c r="T1244">
        <v>0</v>
      </c>
    </row>
    <row r="1245" spans="1:20" x14ac:dyDescent="0.25">
      <c r="A1245" t="s">
        <v>88</v>
      </c>
      <c r="B1245" t="s">
        <v>88</v>
      </c>
      <c r="C1245">
        <v>202510</v>
      </c>
      <c r="D1245" s="47" t="str">
        <f>MID(C1245,1,4)</f>
        <v>2025</v>
      </c>
      <c r="E1245" t="str">
        <f>IF(Portfolio!$M$1=1,CONCATENATE(A1245,C1245),CONCATENATE(B1245,C1245))</f>
        <v>HAUS202510</v>
      </c>
      <c r="F1245">
        <v>0</v>
      </c>
      <c r="G1245">
        <v>6</v>
      </c>
      <c r="H1245">
        <v>0</v>
      </c>
      <c r="I1245">
        <v>100</v>
      </c>
      <c r="J1245">
        <v>17804</v>
      </c>
      <c r="K1245">
        <v>0</v>
      </c>
      <c r="L1245">
        <v>179000</v>
      </c>
      <c r="M1245">
        <v>0</v>
      </c>
      <c r="N1245">
        <v>7243500</v>
      </c>
      <c r="O1245">
        <v>706321381</v>
      </c>
      <c r="P1245">
        <v>0</v>
      </c>
      <c r="Q1245">
        <v>1790</v>
      </c>
      <c r="R1245">
        <v>0</v>
      </c>
      <c r="S1245">
        <v>22826</v>
      </c>
      <c r="T1245">
        <v>4640475</v>
      </c>
    </row>
    <row r="1246" spans="1:20" x14ac:dyDescent="0.25">
      <c r="A1246" t="s">
        <v>92</v>
      </c>
      <c r="B1246" t="s">
        <v>108</v>
      </c>
      <c r="C1246">
        <v>202510</v>
      </c>
      <c r="D1246" s="47" t="str">
        <f>MID(C1246,1,4)</f>
        <v>2025</v>
      </c>
      <c r="E1246" t="str">
        <f>IF(Portfolio!$M$1=1,CONCATENATE(A1246,C1246),CONCATENATE(B1246,C1246))</f>
        <v>HERO GROUP202510</v>
      </c>
      <c r="F1246">
        <v>34</v>
      </c>
      <c r="G1246">
        <v>0</v>
      </c>
      <c r="H1246">
        <v>1</v>
      </c>
      <c r="I1246">
        <v>106</v>
      </c>
      <c r="J1246">
        <v>883</v>
      </c>
      <c r="K1246">
        <v>17087490</v>
      </c>
      <c r="L1246">
        <v>0</v>
      </c>
      <c r="M1246">
        <v>275808</v>
      </c>
      <c r="N1246">
        <v>22686911</v>
      </c>
      <c r="O1246">
        <v>74868857</v>
      </c>
      <c r="P1246">
        <v>25631</v>
      </c>
      <c r="Q1246">
        <v>0</v>
      </c>
      <c r="R1246">
        <v>5516</v>
      </c>
      <c r="S1246">
        <v>158809</v>
      </c>
      <c r="T1246">
        <v>93122</v>
      </c>
    </row>
    <row r="1247" spans="1:20" x14ac:dyDescent="0.25">
      <c r="A1247" t="s">
        <v>94</v>
      </c>
      <c r="B1247" t="s">
        <v>94</v>
      </c>
      <c r="C1247">
        <v>202510</v>
      </c>
      <c r="D1247" s="47" t="str">
        <f>MID(C1247,1,4)</f>
        <v>2025</v>
      </c>
      <c r="E1247" t="str">
        <f>IF(Portfolio!$M$1=1,CONCATENATE(A1247,C1247),CONCATENATE(B1247,C1247))</f>
        <v>HOKBEN202510</v>
      </c>
      <c r="F1247">
        <v>0</v>
      </c>
      <c r="G1247">
        <v>0</v>
      </c>
      <c r="H1247">
        <v>0</v>
      </c>
      <c r="I1247">
        <v>2</v>
      </c>
      <c r="J1247">
        <v>2772</v>
      </c>
      <c r="K1247">
        <v>0</v>
      </c>
      <c r="L1247">
        <v>0</v>
      </c>
      <c r="M1247">
        <v>0</v>
      </c>
      <c r="N1247">
        <v>212500</v>
      </c>
      <c r="O1247">
        <v>264551023</v>
      </c>
      <c r="P1247">
        <v>0</v>
      </c>
      <c r="Q1247">
        <v>0</v>
      </c>
      <c r="R1247">
        <v>0</v>
      </c>
      <c r="S1247">
        <v>1488</v>
      </c>
      <c r="T1247">
        <v>1848786</v>
      </c>
    </row>
    <row r="1248" spans="1:20" x14ac:dyDescent="0.25">
      <c r="A1248" t="s">
        <v>96</v>
      </c>
      <c r="B1248" t="s">
        <v>96</v>
      </c>
      <c r="C1248">
        <v>202510</v>
      </c>
      <c r="D1248" s="47" t="str">
        <f>MID(C1248,1,4)</f>
        <v>2025</v>
      </c>
      <c r="E1248" t="str">
        <f>IF(Portfolio!$M$1=1,CONCATENATE(A1248,C1248),CONCATENATE(B1248,C1248))</f>
        <v>HOKKAIDO BAKED CHEESE202510</v>
      </c>
      <c r="F1248">
        <v>7</v>
      </c>
      <c r="G1248">
        <v>42</v>
      </c>
      <c r="H1248">
        <v>1</v>
      </c>
      <c r="I1248">
        <v>0</v>
      </c>
      <c r="J1248">
        <v>713</v>
      </c>
      <c r="K1248">
        <v>681800</v>
      </c>
      <c r="L1248">
        <v>4254506</v>
      </c>
      <c r="M1248">
        <v>75400</v>
      </c>
      <c r="N1248">
        <v>0</v>
      </c>
      <c r="O1248">
        <v>61742788</v>
      </c>
      <c r="P1248">
        <v>1023</v>
      </c>
      <c r="Q1248">
        <v>42545</v>
      </c>
      <c r="R1248">
        <v>1508</v>
      </c>
      <c r="S1248">
        <v>0</v>
      </c>
      <c r="T1248">
        <v>381300</v>
      </c>
    </row>
    <row r="1249" spans="1:20" x14ac:dyDescent="0.25">
      <c r="A1249" t="s">
        <v>97</v>
      </c>
      <c r="B1249" t="s">
        <v>97</v>
      </c>
      <c r="C1249">
        <v>202510</v>
      </c>
      <c r="D1249" s="47" t="str">
        <f>MID(C1249,1,4)</f>
        <v>2025</v>
      </c>
      <c r="E1249" t="str">
        <f>IF(Portfolio!$M$1=1,CONCATENATE(A1249,C1249),CONCATENATE(B1249,C1249))</f>
        <v>HOP HOP202510</v>
      </c>
      <c r="F1249">
        <v>0</v>
      </c>
      <c r="G1249">
        <v>0</v>
      </c>
      <c r="H1249">
        <v>0</v>
      </c>
      <c r="I1249">
        <v>84</v>
      </c>
      <c r="J1249">
        <v>7384</v>
      </c>
      <c r="K1249">
        <v>0</v>
      </c>
      <c r="L1249">
        <v>0</v>
      </c>
      <c r="M1249">
        <v>0</v>
      </c>
      <c r="N1249">
        <v>3289000</v>
      </c>
      <c r="O1249">
        <v>249757002</v>
      </c>
      <c r="P1249">
        <v>0</v>
      </c>
      <c r="Q1249">
        <v>0</v>
      </c>
      <c r="R1249">
        <v>0</v>
      </c>
      <c r="S1249">
        <v>0</v>
      </c>
      <c r="T1249">
        <v>5817</v>
      </c>
    </row>
    <row r="1250" spans="1:20" x14ac:dyDescent="0.25">
      <c r="A1250" t="s">
        <v>97</v>
      </c>
      <c r="B1250" t="s">
        <v>113</v>
      </c>
      <c r="C1250">
        <v>202510</v>
      </c>
      <c r="D1250" s="47" t="str">
        <f>MID(C1250,1,4)</f>
        <v>2025</v>
      </c>
      <c r="E1250" t="str">
        <f>IF(Portfolio!$M$1=1,CONCATENATE(A1250,C1250),CONCATENATE(B1250,C1250))</f>
        <v>HOP HOP202510</v>
      </c>
      <c r="F1250">
        <v>0</v>
      </c>
      <c r="G1250">
        <v>0</v>
      </c>
      <c r="H1250">
        <v>0</v>
      </c>
      <c r="I1250">
        <v>10</v>
      </c>
      <c r="J1250">
        <v>791</v>
      </c>
      <c r="K1250">
        <v>0</v>
      </c>
      <c r="L1250">
        <v>0</v>
      </c>
      <c r="M1250">
        <v>0</v>
      </c>
      <c r="N1250">
        <v>502000</v>
      </c>
      <c r="O1250">
        <v>29514000</v>
      </c>
      <c r="P1250">
        <v>0</v>
      </c>
      <c r="Q1250">
        <v>0</v>
      </c>
      <c r="R1250">
        <v>0</v>
      </c>
      <c r="S1250">
        <v>0</v>
      </c>
      <c r="T1250">
        <v>5058</v>
      </c>
    </row>
    <row r="1251" spans="1:20" x14ac:dyDescent="0.25">
      <c r="A1251" t="s">
        <v>99</v>
      </c>
      <c r="B1251" t="s">
        <v>99</v>
      </c>
      <c r="C1251">
        <v>202510</v>
      </c>
      <c r="D1251" s="47" t="str">
        <f>MID(C1251,1,4)</f>
        <v>2025</v>
      </c>
      <c r="E1251" t="str">
        <f>IF(Portfolio!$M$1=1,CONCATENATE(A1251,C1251),CONCATENATE(B1251,C1251))</f>
        <v>IKEA202510</v>
      </c>
      <c r="F1251">
        <v>15</v>
      </c>
      <c r="G1251">
        <v>0</v>
      </c>
      <c r="H1251">
        <v>0</v>
      </c>
      <c r="I1251">
        <v>0</v>
      </c>
      <c r="J1251">
        <v>0</v>
      </c>
      <c r="K1251">
        <v>7927030</v>
      </c>
      <c r="L1251">
        <v>0</v>
      </c>
      <c r="M1251">
        <v>0</v>
      </c>
      <c r="N1251">
        <v>0</v>
      </c>
      <c r="O1251">
        <v>0</v>
      </c>
      <c r="P1251">
        <v>11891</v>
      </c>
      <c r="Q1251">
        <v>0</v>
      </c>
      <c r="R1251">
        <v>0</v>
      </c>
      <c r="S1251">
        <v>0</v>
      </c>
      <c r="T1251">
        <v>0</v>
      </c>
    </row>
    <row r="1252" spans="1:20" x14ac:dyDescent="0.25">
      <c r="A1252" t="s">
        <v>101</v>
      </c>
      <c r="B1252" t="s">
        <v>101</v>
      </c>
      <c r="C1252">
        <v>202510</v>
      </c>
      <c r="D1252" s="47" t="str">
        <f>MID(C1252,1,4)</f>
        <v>2025</v>
      </c>
      <c r="E1252" t="str">
        <f>IF(Portfolio!$M$1=1,CONCATENATE(A1252,C1252),CONCATENATE(B1252,C1252))</f>
        <v>INDOMARET202510</v>
      </c>
      <c r="F1252">
        <v>26615</v>
      </c>
      <c r="G1252">
        <v>68406</v>
      </c>
      <c r="H1252">
        <v>25439</v>
      </c>
      <c r="I1252">
        <v>9</v>
      </c>
      <c r="J1252">
        <v>199</v>
      </c>
      <c r="K1252">
        <v>2649924782</v>
      </c>
      <c r="L1252">
        <v>5943908514</v>
      </c>
      <c r="M1252">
        <v>3617129530</v>
      </c>
      <c r="N1252">
        <v>282100</v>
      </c>
      <c r="O1252">
        <v>12374200</v>
      </c>
      <c r="P1252">
        <v>3974885</v>
      </c>
      <c r="Q1252">
        <v>59439085</v>
      </c>
      <c r="R1252">
        <v>60438572</v>
      </c>
      <c r="S1252">
        <v>1464</v>
      </c>
      <c r="T1252">
        <v>17242</v>
      </c>
    </row>
    <row r="1253" spans="1:20" x14ac:dyDescent="0.25">
      <c r="A1253" t="s">
        <v>101</v>
      </c>
      <c r="B1253" t="s">
        <v>117</v>
      </c>
      <c r="C1253">
        <v>202510</v>
      </c>
      <c r="D1253" s="47" t="str">
        <f>MID(C1253,1,4)</f>
        <v>2025</v>
      </c>
      <c r="E1253" t="str">
        <f>IF(Portfolio!$M$1=1,CONCATENATE(A1253,C1253),CONCATENATE(B1253,C1253))</f>
        <v>INDOMARET202510</v>
      </c>
      <c r="F1253">
        <v>72</v>
      </c>
      <c r="G1253">
        <v>269</v>
      </c>
      <c r="H1253">
        <v>111</v>
      </c>
      <c r="I1253">
        <v>0</v>
      </c>
      <c r="J1253">
        <v>0</v>
      </c>
      <c r="K1253">
        <v>6213200</v>
      </c>
      <c r="L1253">
        <v>18576800</v>
      </c>
      <c r="M1253">
        <v>15710500</v>
      </c>
      <c r="N1253">
        <v>0</v>
      </c>
      <c r="O1253">
        <v>0</v>
      </c>
      <c r="P1253">
        <v>9320</v>
      </c>
      <c r="Q1253">
        <v>185768</v>
      </c>
      <c r="R1253">
        <v>259223</v>
      </c>
      <c r="S1253">
        <v>0</v>
      </c>
      <c r="T1253">
        <v>0</v>
      </c>
    </row>
    <row r="1254" spans="1:20" x14ac:dyDescent="0.25">
      <c r="A1254" t="s">
        <v>102</v>
      </c>
      <c r="B1254" t="s">
        <v>119</v>
      </c>
      <c r="C1254">
        <v>202510</v>
      </c>
      <c r="D1254" s="47" t="str">
        <f>MID(C1254,1,4)</f>
        <v>2025</v>
      </c>
      <c r="E1254" t="str">
        <f>IF(Portfolio!$M$1=1,CONCATENATE(A1254,C1254),CONCATENATE(B1254,C1254))</f>
        <v>KAWAN LAMA202510</v>
      </c>
      <c r="F1254">
        <v>0</v>
      </c>
      <c r="G1254">
        <v>0</v>
      </c>
      <c r="H1254">
        <v>4</v>
      </c>
      <c r="I1254">
        <v>0</v>
      </c>
      <c r="J1254">
        <v>0</v>
      </c>
      <c r="K1254">
        <v>0</v>
      </c>
      <c r="L1254">
        <v>0</v>
      </c>
      <c r="M1254">
        <v>880062</v>
      </c>
      <c r="N1254">
        <v>0</v>
      </c>
      <c r="O1254">
        <v>0</v>
      </c>
      <c r="P1254">
        <v>0</v>
      </c>
      <c r="Q1254">
        <v>0</v>
      </c>
      <c r="R1254">
        <v>17601</v>
      </c>
      <c r="S1254">
        <v>0</v>
      </c>
      <c r="T1254">
        <v>0</v>
      </c>
    </row>
    <row r="1255" spans="1:20" x14ac:dyDescent="0.25">
      <c r="A1255" t="s">
        <v>102</v>
      </c>
      <c r="B1255" t="s">
        <v>121</v>
      </c>
      <c r="C1255">
        <v>202510</v>
      </c>
      <c r="D1255" s="47" t="str">
        <f>MID(C1255,1,4)</f>
        <v>2025</v>
      </c>
      <c r="E1255" t="str">
        <f>IF(Portfolio!$M$1=1,CONCATENATE(A1255,C1255),CONCATENATE(B1255,C1255))</f>
        <v>KAWAN LAMA202510</v>
      </c>
      <c r="F1255">
        <v>5</v>
      </c>
      <c r="G1255">
        <v>0</v>
      </c>
      <c r="H1255">
        <v>0</v>
      </c>
      <c r="I1255">
        <v>0</v>
      </c>
      <c r="J1255">
        <v>0</v>
      </c>
      <c r="K1255">
        <v>829500</v>
      </c>
      <c r="L1255">
        <v>0</v>
      </c>
      <c r="M1255">
        <v>0</v>
      </c>
      <c r="N1255">
        <v>0</v>
      </c>
      <c r="O1255">
        <v>0</v>
      </c>
      <c r="P1255">
        <v>1244</v>
      </c>
      <c r="Q1255">
        <v>0</v>
      </c>
      <c r="R1255">
        <v>0</v>
      </c>
      <c r="S1255">
        <v>0</v>
      </c>
      <c r="T1255">
        <v>0</v>
      </c>
    </row>
    <row r="1256" spans="1:20" x14ac:dyDescent="0.25">
      <c r="A1256" t="s">
        <v>102</v>
      </c>
      <c r="B1256" t="s">
        <v>123</v>
      </c>
      <c r="C1256">
        <v>202510</v>
      </c>
      <c r="D1256" s="47" t="str">
        <f>MID(C1256,1,4)</f>
        <v>2025</v>
      </c>
      <c r="E1256" t="str">
        <f>IF(Portfolio!$M$1=1,CONCATENATE(A1256,C1256),CONCATENATE(B1256,C1256))</f>
        <v>KAWAN LAMA202510</v>
      </c>
      <c r="F1256">
        <v>1021</v>
      </c>
      <c r="G1256">
        <v>0</v>
      </c>
      <c r="H1256">
        <v>0</v>
      </c>
      <c r="I1256">
        <v>32</v>
      </c>
      <c r="J1256">
        <v>26</v>
      </c>
      <c r="K1256">
        <v>765306334</v>
      </c>
      <c r="L1256">
        <v>0</v>
      </c>
      <c r="M1256">
        <v>0</v>
      </c>
      <c r="N1256">
        <v>19244000</v>
      </c>
      <c r="O1256">
        <v>341917079</v>
      </c>
      <c r="P1256">
        <v>1147958</v>
      </c>
      <c r="Q1256">
        <v>0</v>
      </c>
      <c r="R1256">
        <v>0</v>
      </c>
      <c r="S1256">
        <v>134708</v>
      </c>
      <c r="T1256">
        <v>2393409</v>
      </c>
    </row>
    <row r="1257" spans="1:20" x14ac:dyDescent="0.25">
      <c r="A1257" t="s">
        <v>102</v>
      </c>
      <c r="B1257" t="s">
        <v>125</v>
      </c>
      <c r="C1257">
        <v>202510</v>
      </c>
      <c r="D1257" s="47" t="str">
        <f>MID(C1257,1,4)</f>
        <v>2025</v>
      </c>
      <c r="E1257" t="str">
        <f>IF(Portfolio!$M$1=1,CONCATENATE(A1257,C1257),CONCATENATE(B1257,C1257))</f>
        <v>KAWAN LAMA202510</v>
      </c>
      <c r="F1257">
        <v>247</v>
      </c>
      <c r="G1257">
        <v>0</v>
      </c>
      <c r="H1257">
        <v>1</v>
      </c>
      <c r="I1257">
        <v>0</v>
      </c>
      <c r="J1257">
        <v>8</v>
      </c>
      <c r="K1257">
        <v>15503000</v>
      </c>
      <c r="L1257">
        <v>0</v>
      </c>
      <c r="M1257">
        <v>68000</v>
      </c>
      <c r="N1257">
        <v>0</v>
      </c>
      <c r="O1257">
        <v>3983303</v>
      </c>
      <c r="P1257">
        <v>23254</v>
      </c>
      <c r="Q1257">
        <v>0</v>
      </c>
      <c r="R1257">
        <v>1224</v>
      </c>
      <c r="S1257">
        <v>0</v>
      </c>
      <c r="T1257">
        <v>27883</v>
      </c>
    </row>
    <row r="1258" spans="1:20" x14ac:dyDescent="0.25">
      <c r="A1258" t="s">
        <v>102</v>
      </c>
      <c r="B1258" t="s">
        <v>129</v>
      </c>
      <c r="C1258">
        <v>202510</v>
      </c>
      <c r="D1258" s="47" t="str">
        <f>MID(C1258,1,4)</f>
        <v>2025</v>
      </c>
      <c r="E1258" t="str">
        <f>IF(Portfolio!$M$1=1,CONCATENATE(A1258,C1258),CONCATENATE(B1258,C1258))</f>
        <v>KAWAN LAMA202510</v>
      </c>
      <c r="F1258">
        <v>1</v>
      </c>
      <c r="G1258">
        <v>0</v>
      </c>
      <c r="H1258">
        <v>0</v>
      </c>
      <c r="I1258">
        <v>0</v>
      </c>
      <c r="J1258">
        <v>1</v>
      </c>
      <c r="K1258">
        <v>1758001</v>
      </c>
      <c r="L1258">
        <v>0</v>
      </c>
      <c r="M1258">
        <v>0</v>
      </c>
      <c r="N1258">
        <v>0</v>
      </c>
      <c r="O1258">
        <v>4042403</v>
      </c>
      <c r="P1258">
        <v>2637</v>
      </c>
      <c r="Q1258">
        <v>0</v>
      </c>
      <c r="R1258">
        <v>0</v>
      </c>
      <c r="S1258">
        <v>0</v>
      </c>
      <c r="T1258">
        <v>28297</v>
      </c>
    </row>
    <row r="1259" spans="1:20" x14ac:dyDescent="0.25">
      <c r="A1259" t="s">
        <v>102</v>
      </c>
      <c r="B1259" t="s">
        <v>131</v>
      </c>
      <c r="C1259">
        <v>202510</v>
      </c>
      <c r="D1259" s="47" t="str">
        <f>MID(C1259,1,4)</f>
        <v>2025</v>
      </c>
      <c r="E1259" t="str">
        <f>IF(Portfolio!$M$1=1,CONCATENATE(A1259,C1259),CONCATENATE(B1259,C1259))</f>
        <v>KAWAN LAMA202510</v>
      </c>
      <c r="F1259">
        <v>6</v>
      </c>
      <c r="G1259">
        <v>0</v>
      </c>
      <c r="H1259">
        <v>0</v>
      </c>
      <c r="I1259">
        <v>0</v>
      </c>
      <c r="J1259">
        <v>0</v>
      </c>
      <c r="K1259">
        <v>510000</v>
      </c>
      <c r="L1259">
        <v>0</v>
      </c>
      <c r="M1259">
        <v>0</v>
      </c>
      <c r="N1259">
        <v>0</v>
      </c>
      <c r="O1259">
        <v>0</v>
      </c>
      <c r="P1259">
        <v>765</v>
      </c>
      <c r="Q1259">
        <v>0</v>
      </c>
      <c r="R1259">
        <v>0</v>
      </c>
      <c r="S1259">
        <v>0</v>
      </c>
      <c r="T1259">
        <v>0</v>
      </c>
    </row>
    <row r="1260" spans="1:20" x14ac:dyDescent="0.25">
      <c r="A1260" t="s">
        <v>102</v>
      </c>
      <c r="B1260" t="s">
        <v>133</v>
      </c>
      <c r="C1260">
        <v>202510</v>
      </c>
      <c r="D1260" s="47" t="str">
        <f>MID(C1260,1,4)</f>
        <v>2025</v>
      </c>
      <c r="E1260" t="str">
        <f>IF(Portfolio!$M$1=1,CONCATENATE(A1260,C1260),CONCATENATE(B1260,C1260))</f>
        <v>KAWAN LAMA202510</v>
      </c>
      <c r="F1260">
        <v>14</v>
      </c>
      <c r="G1260">
        <v>0</v>
      </c>
      <c r="H1260">
        <v>0</v>
      </c>
      <c r="I1260">
        <v>0</v>
      </c>
      <c r="J1260">
        <v>0</v>
      </c>
      <c r="K1260">
        <v>2095000</v>
      </c>
      <c r="L1260">
        <v>0</v>
      </c>
      <c r="M1260">
        <v>0</v>
      </c>
      <c r="N1260">
        <v>0</v>
      </c>
      <c r="O1260">
        <v>0</v>
      </c>
      <c r="P1260">
        <v>3142</v>
      </c>
      <c r="Q1260">
        <v>0</v>
      </c>
      <c r="R1260">
        <v>0</v>
      </c>
      <c r="S1260">
        <v>0</v>
      </c>
      <c r="T1260">
        <v>0</v>
      </c>
    </row>
    <row r="1261" spans="1:20" x14ac:dyDescent="0.25">
      <c r="A1261" t="s">
        <v>102</v>
      </c>
      <c r="B1261" t="s">
        <v>135</v>
      </c>
      <c r="C1261">
        <v>202510</v>
      </c>
      <c r="D1261" s="47" t="str">
        <f>MID(C1261,1,4)</f>
        <v>2025</v>
      </c>
      <c r="E1261" t="str">
        <f>IF(Portfolio!$M$1=1,CONCATENATE(A1261,C1261),CONCATENATE(B1261,C1261))</f>
        <v>KAWAN LAMA202510</v>
      </c>
      <c r="F1261">
        <v>376</v>
      </c>
      <c r="G1261">
        <v>0</v>
      </c>
      <c r="H1261">
        <v>0</v>
      </c>
      <c r="I1261">
        <v>0</v>
      </c>
      <c r="J1261">
        <v>10</v>
      </c>
      <c r="K1261">
        <v>1125550777</v>
      </c>
      <c r="L1261">
        <v>0</v>
      </c>
      <c r="M1261">
        <v>0</v>
      </c>
      <c r="N1261">
        <v>0</v>
      </c>
      <c r="O1261">
        <v>301185435</v>
      </c>
      <c r="P1261">
        <v>1688326</v>
      </c>
      <c r="Q1261">
        <v>0</v>
      </c>
      <c r="R1261">
        <v>0</v>
      </c>
      <c r="S1261">
        <v>0</v>
      </c>
      <c r="T1261">
        <v>2108295</v>
      </c>
    </row>
    <row r="1262" spans="1:20" x14ac:dyDescent="0.25">
      <c r="A1262" t="s">
        <v>102</v>
      </c>
      <c r="B1262" t="s">
        <v>137</v>
      </c>
      <c r="C1262">
        <v>202510</v>
      </c>
      <c r="D1262" s="47" t="str">
        <f>MID(C1262,1,4)</f>
        <v>2025</v>
      </c>
      <c r="E1262" t="str">
        <f>IF(Portfolio!$M$1=1,CONCATENATE(A1262,C1262),CONCATENATE(B1262,C1262))</f>
        <v>KAWAN LAMA202510</v>
      </c>
      <c r="F1262">
        <v>15</v>
      </c>
      <c r="G1262">
        <v>0</v>
      </c>
      <c r="H1262">
        <v>0</v>
      </c>
      <c r="I1262">
        <v>0</v>
      </c>
      <c r="J1262">
        <v>0</v>
      </c>
      <c r="K1262">
        <v>67450450</v>
      </c>
      <c r="L1262">
        <v>0</v>
      </c>
      <c r="M1262">
        <v>0</v>
      </c>
      <c r="N1262">
        <v>0</v>
      </c>
      <c r="O1262">
        <v>80586900</v>
      </c>
      <c r="P1262">
        <v>101176</v>
      </c>
      <c r="Q1262">
        <v>0</v>
      </c>
      <c r="R1262">
        <v>0</v>
      </c>
      <c r="S1262">
        <v>0</v>
      </c>
      <c r="T1262">
        <v>564107</v>
      </c>
    </row>
    <row r="1263" spans="1:20" x14ac:dyDescent="0.25">
      <c r="A1263" t="s">
        <v>102</v>
      </c>
      <c r="B1263" t="s">
        <v>142</v>
      </c>
      <c r="C1263">
        <v>202510</v>
      </c>
      <c r="D1263" s="47" t="str">
        <f>MID(C1263,1,4)</f>
        <v>2025</v>
      </c>
      <c r="E1263" t="str">
        <f>IF(Portfolio!$M$1=1,CONCATENATE(A1263,C1263),CONCATENATE(B1263,C1263))</f>
        <v>KAWAN LAMA202510</v>
      </c>
      <c r="F1263">
        <v>26</v>
      </c>
      <c r="G1263">
        <v>0</v>
      </c>
      <c r="H1263">
        <v>0</v>
      </c>
      <c r="I1263">
        <v>1</v>
      </c>
      <c r="J1263">
        <v>23</v>
      </c>
      <c r="K1263">
        <v>15561878</v>
      </c>
      <c r="L1263">
        <v>0</v>
      </c>
      <c r="M1263">
        <v>0</v>
      </c>
      <c r="N1263">
        <v>100000</v>
      </c>
      <c r="O1263">
        <v>34952302</v>
      </c>
      <c r="P1263">
        <v>23343</v>
      </c>
      <c r="Q1263">
        <v>0</v>
      </c>
      <c r="R1263">
        <v>0</v>
      </c>
      <c r="S1263">
        <v>0</v>
      </c>
      <c r="T1263">
        <v>228453</v>
      </c>
    </row>
    <row r="1264" spans="1:20" x14ac:dyDescent="0.25">
      <c r="A1264" t="s">
        <v>102</v>
      </c>
      <c r="B1264" t="s">
        <v>144</v>
      </c>
      <c r="C1264">
        <v>202510</v>
      </c>
      <c r="D1264" s="47" t="str">
        <f>MID(C1264,1,4)</f>
        <v>2025</v>
      </c>
      <c r="E1264" t="str">
        <f>IF(Portfolio!$M$1=1,CONCATENATE(A1264,C1264),CONCATENATE(B1264,C1264))</f>
        <v>KAWAN LAMA202510</v>
      </c>
      <c r="F1264">
        <v>2</v>
      </c>
      <c r="G1264">
        <v>0</v>
      </c>
      <c r="H1264">
        <v>0</v>
      </c>
      <c r="I1264">
        <v>0</v>
      </c>
      <c r="J1264">
        <v>0</v>
      </c>
      <c r="K1264">
        <v>621600</v>
      </c>
      <c r="L1264">
        <v>0</v>
      </c>
      <c r="M1264">
        <v>0</v>
      </c>
      <c r="N1264">
        <v>0</v>
      </c>
      <c r="O1264">
        <v>204000</v>
      </c>
      <c r="P1264">
        <v>932</v>
      </c>
      <c r="Q1264">
        <v>0</v>
      </c>
      <c r="R1264">
        <v>0</v>
      </c>
      <c r="S1264">
        <v>0</v>
      </c>
      <c r="T1264">
        <v>1428</v>
      </c>
    </row>
    <row r="1265" spans="1:20" x14ac:dyDescent="0.25">
      <c r="A1265" t="s">
        <v>102</v>
      </c>
      <c r="B1265" t="s">
        <v>145</v>
      </c>
      <c r="C1265">
        <v>202510</v>
      </c>
      <c r="D1265" s="47" t="str">
        <f>MID(C1265,1,4)</f>
        <v>2025</v>
      </c>
      <c r="E1265" t="str">
        <f>IF(Portfolio!$M$1=1,CONCATENATE(A1265,C1265),CONCATENATE(B1265,C1265))</f>
        <v>KAWAN LAMA202510</v>
      </c>
      <c r="F1265">
        <v>1</v>
      </c>
      <c r="G1265">
        <v>0</v>
      </c>
      <c r="H1265">
        <v>1</v>
      </c>
      <c r="I1265">
        <v>0</v>
      </c>
      <c r="J1265">
        <v>2</v>
      </c>
      <c r="K1265">
        <v>39800</v>
      </c>
      <c r="L1265">
        <v>0</v>
      </c>
      <c r="M1265">
        <v>10000</v>
      </c>
      <c r="N1265">
        <v>0</v>
      </c>
      <c r="O1265">
        <v>2</v>
      </c>
      <c r="P1265">
        <v>60</v>
      </c>
      <c r="Q1265">
        <v>0</v>
      </c>
      <c r="R1265">
        <v>200</v>
      </c>
      <c r="S1265">
        <v>0</v>
      </c>
      <c r="T1265">
        <v>0</v>
      </c>
    </row>
    <row r="1266" spans="1:20" x14ac:dyDescent="0.25">
      <c r="A1266" t="s">
        <v>103</v>
      </c>
      <c r="B1266" t="s">
        <v>146</v>
      </c>
      <c r="C1266">
        <v>202510</v>
      </c>
      <c r="D1266" s="47" t="str">
        <f>MID(C1266,1,4)</f>
        <v>2025</v>
      </c>
      <c r="E1266" t="str">
        <f>IF(Portfolio!$M$1=1,CONCATENATE(A1266,C1266),CONCATENATE(B1266,C1266))</f>
        <v>KCIC202510</v>
      </c>
      <c r="F1266">
        <v>38</v>
      </c>
      <c r="G1266">
        <v>1045</v>
      </c>
      <c r="H1266">
        <v>1007</v>
      </c>
      <c r="I1266">
        <v>14</v>
      </c>
      <c r="J1266">
        <v>4171</v>
      </c>
      <c r="K1266">
        <v>20440000</v>
      </c>
      <c r="L1266">
        <v>722545000</v>
      </c>
      <c r="M1266">
        <v>814600000</v>
      </c>
      <c r="N1266">
        <v>9940000</v>
      </c>
      <c r="O1266">
        <v>2739536000</v>
      </c>
      <c r="P1266">
        <v>30660</v>
      </c>
      <c r="Q1266">
        <v>7225450</v>
      </c>
      <c r="R1266">
        <v>14670400</v>
      </c>
      <c r="S1266">
        <v>69580</v>
      </c>
      <c r="T1266">
        <v>19176752</v>
      </c>
    </row>
    <row r="1267" spans="1:20" x14ac:dyDescent="0.25">
      <c r="A1267" t="s">
        <v>104</v>
      </c>
      <c r="B1267" t="s">
        <v>147</v>
      </c>
      <c r="C1267">
        <v>202510</v>
      </c>
      <c r="D1267" s="47" t="str">
        <f>MID(C1267,1,4)</f>
        <v>2025</v>
      </c>
      <c r="E1267" t="str">
        <f>IF(Portfolio!$M$1=1,CONCATENATE(A1267,C1267),CONCATENATE(B1267,C1267))</f>
        <v>KIMIA FARMA202510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137083</v>
      </c>
      <c r="P1267">
        <v>0</v>
      </c>
      <c r="Q1267">
        <v>0</v>
      </c>
      <c r="R1267">
        <v>0</v>
      </c>
      <c r="S1267">
        <v>0</v>
      </c>
      <c r="T1267">
        <v>960</v>
      </c>
    </row>
    <row r="1268" spans="1:20" x14ac:dyDescent="0.25">
      <c r="A1268" t="s">
        <v>105</v>
      </c>
      <c r="B1268" t="s">
        <v>148</v>
      </c>
      <c r="C1268">
        <v>202510</v>
      </c>
      <c r="D1268" s="47" t="str">
        <f>MID(C1268,1,4)</f>
        <v>2025</v>
      </c>
      <c r="E1268" t="str">
        <f>IF(Portfolio!$M$1=1,CONCATENATE(A1268,C1268),CONCATENATE(B1268,C1268))</f>
        <v>LOTTE GROUP202510</v>
      </c>
      <c r="F1268">
        <v>630</v>
      </c>
      <c r="G1268">
        <v>0</v>
      </c>
      <c r="H1268">
        <v>0</v>
      </c>
      <c r="I1268">
        <v>0</v>
      </c>
      <c r="J1268">
        <v>0</v>
      </c>
      <c r="K1268">
        <v>533931228</v>
      </c>
      <c r="L1268">
        <v>0</v>
      </c>
      <c r="M1268">
        <v>0</v>
      </c>
      <c r="N1268">
        <v>0</v>
      </c>
      <c r="O1268">
        <v>0</v>
      </c>
      <c r="P1268">
        <v>800895</v>
      </c>
      <c r="Q1268">
        <v>0</v>
      </c>
      <c r="R1268">
        <v>0</v>
      </c>
      <c r="S1268">
        <v>0</v>
      </c>
      <c r="T1268">
        <v>0</v>
      </c>
    </row>
    <row r="1269" spans="1:20" x14ac:dyDescent="0.25">
      <c r="A1269" t="s">
        <v>105</v>
      </c>
      <c r="B1269" t="s">
        <v>149</v>
      </c>
      <c r="C1269">
        <v>202510</v>
      </c>
      <c r="D1269" s="47" t="str">
        <f>MID(C1269,1,4)</f>
        <v>2025</v>
      </c>
      <c r="E1269" t="str">
        <f>IF(Portfolio!$M$1=1,CONCATENATE(A1269,C1269),CONCATENATE(B1269,C1269))</f>
        <v>LOTTE GROUP202510</v>
      </c>
      <c r="F1269">
        <v>455</v>
      </c>
      <c r="G1269">
        <v>19</v>
      </c>
      <c r="H1269">
        <v>30</v>
      </c>
      <c r="I1269">
        <v>0</v>
      </c>
      <c r="J1269">
        <v>0</v>
      </c>
      <c r="K1269">
        <v>106666110</v>
      </c>
      <c r="L1269">
        <v>6037580</v>
      </c>
      <c r="M1269">
        <v>12943900</v>
      </c>
      <c r="N1269">
        <v>0</v>
      </c>
      <c r="O1269">
        <v>0</v>
      </c>
      <c r="P1269">
        <v>159999</v>
      </c>
      <c r="Q1269">
        <v>60376</v>
      </c>
      <c r="R1269">
        <v>168271</v>
      </c>
      <c r="S1269">
        <v>0</v>
      </c>
      <c r="T1269">
        <v>0</v>
      </c>
    </row>
    <row r="1270" spans="1:20" x14ac:dyDescent="0.25">
      <c r="A1270" t="s">
        <v>106</v>
      </c>
      <c r="B1270" t="s">
        <v>106</v>
      </c>
      <c r="C1270">
        <v>202510</v>
      </c>
      <c r="D1270" s="47" t="str">
        <f>MID(C1270,1,4)</f>
        <v>2025</v>
      </c>
      <c r="E1270" t="str">
        <f>IF(Portfolio!$M$1=1,CONCATENATE(A1270,C1270),CONCATENATE(B1270,C1270))</f>
        <v>MAMA ROZ202510</v>
      </c>
      <c r="F1270">
        <v>0</v>
      </c>
      <c r="G1270">
        <v>9</v>
      </c>
      <c r="H1270">
        <v>10</v>
      </c>
      <c r="I1270">
        <v>0</v>
      </c>
      <c r="J1270">
        <v>380</v>
      </c>
      <c r="K1270">
        <v>0</v>
      </c>
      <c r="L1270">
        <v>745920</v>
      </c>
      <c r="M1270">
        <v>1629600</v>
      </c>
      <c r="N1270">
        <v>0</v>
      </c>
      <c r="O1270">
        <v>29134780</v>
      </c>
      <c r="P1270">
        <v>0</v>
      </c>
      <c r="Q1270">
        <v>7459</v>
      </c>
      <c r="R1270">
        <v>24444</v>
      </c>
      <c r="S1270">
        <v>0</v>
      </c>
      <c r="T1270">
        <v>203944</v>
      </c>
    </row>
    <row r="1271" spans="1:20" x14ac:dyDescent="0.25">
      <c r="A1271" t="s">
        <v>107</v>
      </c>
      <c r="B1271" t="s">
        <v>150</v>
      </c>
      <c r="C1271">
        <v>202510</v>
      </c>
      <c r="D1271" s="47" t="str">
        <f>MID(C1271,1,4)</f>
        <v>2025</v>
      </c>
      <c r="E1271" t="str">
        <f>IF(Portfolio!$M$1=1,CONCATENATE(A1271,C1271),CONCATENATE(B1271,C1271))</f>
        <v>MAP GROUP202510</v>
      </c>
      <c r="F1271">
        <v>0</v>
      </c>
      <c r="G1271">
        <v>21</v>
      </c>
      <c r="H1271">
        <v>44</v>
      </c>
      <c r="I1271">
        <v>0</v>
      </c>
      <c r="J1271">
        <v>0</v>
      </c>
      <c r="K1271">
        <v>0</v>
      </c>
      <c r="L1271">
        <v>37324700</v>
      </c>
      <c r="M1271">
        <v>58679950</v>
      </c>
      <c r="N1271">
        <v>0</v>
      </c>
      <c r="O1271">
        <v>0</v>
      </c>
      <c r="P1271">
        <v>0</v>
      </c>
      <c r="Q1271">
        <v>373247</v>
      </c>
      <c r="R1271">
        <v>762839</v>
      </c>
      <c r="S1271">
        <v>0</v>
      </c>
      <c r="T1271">
        <v>0</v>
      </c>
    </row>
    <row r="1272" spans="1:20" x14ac:dyDescent="0.25">
      <c r="A1272" t="s">
        <v>107</v>
      </c>
      <c r="B1272" t="s">
        <v>151</v>
      </c>
      <c r="C1272">
        <v>202510</v>
      </c>
      <c r="D1272" s="47" t="str">
        <f>MID(C1272,1,4)</f>
        <v>2025</v>
      </c>
      <c r="E1272" t="str">
        <f>IF(Portfolio!$M$1=1,CONCATENATE(A1272,C1272),CONCATENATE(B1272,C1272))</f>
        <v>MAP GROUP202510</v>
      </c>
      <c r="F1272">
        <v>14</v>
      </c>
      <c r="G1272">
        <v>339</v>
      </c>
      <c r="H1272">
        <v>627</v>
      </c>
      <c r="I1272">
        <v>0</v>
      </c>
      <c r="J1272">
        <v>0</v>
      </c>
      <c r="K1272">
        <v>28781000</v>
      </c>
      <c r="L1272">
        <v>644961000</v>
      </c>
      <c r="M1272">
        <v>995552000</v>
      </c>
      <c r="N1272">
        <v>0</v>
      </c>
      <c r="O1272">
        <v>0</v>
      </c>
      <c r="P1272">
        <v>43172</v>
      </c>
      <c r="Q1272">
        <v>6449610</v>
      </c>
      <c r="R1272">
        <v>12942176</v>
      </c>
      <c r="S1272">
        <v>0</v>
      </c>
      <c r="T1272">
        <v>0</v>
      </c>
    </row>
    <row r="1273" spans="1:20" x14ac:dyDescent="0.25">
      <c r="A1273" t="s">
        <v>107</v>
      </c>
      <c r="B1273" t="s">
        <v>152</v>
      </c>
      <c r="C1273">
        <v>202510</v>
      </c>
      <c r="D1273" s="47" t="str">
        <f>MID(C1273,1,4)</f>
        <v>2025</v>
      </c>
      <c r="E1273" t="str">
        <f>IF(Portfolio!$M$1=1,CONCATENATE(A1273,C1273),CONCATENATE(B1273,C1273))</f>
        <v>MAP GROUP202510</v>
      </c>
      <c r="F1273">
        <v>10</v>
      </c>
      <c r="G1273">
        <v>108</v>
      </c>
      <c r="H1273">
        <v>306</v>
      </c>
      <c r="I1273">
        <v>0</v>
      </c>
      <c r="J1273">
        <v>0</v>
      </c>
      <c r="K1273">
        <v>14713170</v>
      </c>
      <c r="L1273">
        <v>151860495</v>
      </c>
      <c r="M1273">
        <v>404591277</v>
      </c>
      <c r="N1273">
        <v>0</v>
      </c>
      <c r="O1273">
        <v>0</v>
      </c>
      <c r="P1273">
        <v>22070</v>
      </c>
      <c r="Q1273">
        <v>1518605</v>
      </c>
      <c r="R1273">
        <v>5259687</v>
      </c>
      <c r="S1273">
        <v>0</v>
      </c>
      <c r="T1273">
        <v>0</v>
      </c>
    </row>
    <row r="1274" spans="1:20" x14ac:dyDescent="0.25">
      <c r="A1274" t="s">
        <v>107</v>
      </c>
      <c r="B1274" t="s">
        <v>153</v>
      </c>
      <c r="C1274">
        <v>202510</v>
      </c>
      <c r="D1274" s="47" t="str">
        <f>MID(C1274,1,4)</f>
        <v>2025</v>
      </c>
      <c r="E1274" t="str">
        <f>IF(Portfolio!$M$1=1,CONCATENATE(A1274,C1274),CONCATENATE(B1274,C1274))</f>
        <v>MAP GROUP202510</v>
      </c>
      <c r="F1274">
        <v>1</v>
      </c>
      <c r="G1274">
        <v>2</v>
      </c>
      <c r="H1274">
        <v>5</v>
      </c>
      <c r="I1274">
        <v>0</v>
      </c>
      <c r="J1274">
        <v>0</v>
      </c>
      <c r="K1274">
        <v>2299000</v>
      </c>
      <c r="L1274">
        <v>2603600</v>
      </c>
      <c r="M1274">
        <v>6723900</v>
      </c>
      <c r="N1274">
        <v>0</v>
      </c>
      <c r="O1274">
        <v>0</v>
      </c>
      <c r="P1274">
        <v>3448</v>
      </c>
      <c r="Q1274">
        <v>26036</v>
      </c>
      <c r="R1274">
        <v>87411</v>
      </c>
      <c r="S1274">
        <v>0</v>
      </c>
      <c r="T1274">
        <v>0</v>
      </c>
    </row>
    <row r="1275" spans="1:20" x14ac:dyDescent="0.25">
      <c r="A1275" t="s">
        <v>107</v>
      </c>
      <c r="B1275" t="s">
        <v>154</v>
      </c>
      <c r="C1275">
        <v>202510</v>
      </c>
      <c r="D1275" s="47" t="str">
        <f>MID(C1275,1,4)</f>
        <v>2025</v>
      </c>
      <c r="E1275" t="str">
        <f>IF(Portfolio!$M$1=1,CONCATENATE(A1275,C1275),CONCATENATE(B1275,C1275))</f>
        <v>MAP GROUP202510</v>
      </c>
      <c r="F1275">
        <v>17</v>
      </c>
      <c r="G1275">
        <v>220</v>
      </c>
      <c r="H1275">
        <v>703</v>
      </c>
      <c r="I1275">
        <v>0</v>
      </c>
      <c r="J1275">
        <v>0</v>
      </c>
      <c r="K1275">
        <v>52074800</v>
      </c>
      <c r="L1275">
        <v>540593800</v>
      </c>
      <c r="M1275">
        <v>1630923250</v>
      </c>
      <c r="N1275">
        <v>0</v>
      </c>
      <c r="O1275">
        <v>0</v>
      </c>
      <c r="P1275">
        <v>78112</v>
      </c>
      <c r="Q1275">
        <v>5405938</v>
      </c>
      <c r="R1275">
        <v>21202002</v>
      </c>
      <c r="S1275">
        <v>0</v>
      </c>
      <c r="T1275">
        <v>0</v>
      </c>
    </row>
    <row r="1276" spans="1:20" x14ac:dyDescent="0.25">
      <c r="A1276" t="s">
        <v>107</v>
      </c>
      <c r="B1276" t="s">
        <v>155</v>
      </c>
      <c r="C1276">
        <v>202510</v>
      </c>
      <c r="D1276" s="47" t="str">
        <f>MID(C1276,1,4)</f>
        <v>2025</v>
      </c>
      <c r="E1276" t="str">
        <f>IF(Portfolio!$M$1=1,CONCATENATE(A1276,C1276),CONCATENATE(B1276,C1276))</f>
        <v>MAP GROUP202510</v>
      </c>
      <c r="F1276">
        <v>0</v>
      </c>
      <c r="G1276">
        <v>7</v>
      </c>
      <c r="H1276">
        <v>15</v>
      </c>
      <c r="I1276">
        <v>0</v>
      </c>
      <c r="J1276">
        <v>0</v>
      </c>
      <c r="K1276">
        <v>0</v>
      </c>
      <c r="L1276">
        <v>4366700</v>
      </c>
      <c r="M1276">
        <v>8265900</v>
      </c>
      <c r="N1276">
        <v>0</v>
      </c>
      <c r="O1276">
        <v>0</v>
      </c>
      <c r="P1276">
        <v>0</v>
      </c>
      <c r="Q1276">
        <v>43667</v>
      </c>
      <c r="R1276">
        <v>107457</v>
      </c>
      <c r="S1276">
        <v>0</v>
      </c>
      <c r="T1276">
        <v>0</v>
      </c>
    </row>
    <row r="1277" spans="1:20" x14ac:dyDescent="0.25">
      <c r="A1277" t="s">
        <v>107</v>
      </c>
      <c r="B1277" t="s">
        <v>156</v>
      </c>
      <c r="C1277">
        <v>202510</v>
      </c>
      <c r="D1277" s="47" t="str">
        <f>MID(C1277,1,4)</f>
        <v>2025</v>
      </c>
      <c r="E1277" t="str">
        <f>IF(Portfolio!$M$1=1,CONCATENATE(A1277,C1277),CONCATENATE(B1277,C1277))</f>
        <v>MAP GROUP202510</v>
      </c>
      <c r="F1277">
        <v>1</v>
      </c>
      <c r="G1277">
        <v>10</v>
      </c>
      <c r="H1277">
        <v>33</v>
      </c>
      <c r="I1277">
        <v>0</v>
      </c>
      <c r="J1277">
        <v>0</v>
      </c>
      <c r="K1277">
        <v>404000</v>
      </c>
      <c r="L1277">
        <v>19542000</v>
      </c>
      <c r="M1277">
        <v>68884400</v>
      </c>
      <c r="N1277">
        <v>0</v>
      </c>
      <c r="O1277">
        <v>0</v>
      </c>
      <c r="P1277">
        <v>606</v>
      </c>
      <c r="Q1277">
        <v>195420</v>
      </c>
      <c r="R1277">
        <v>895497</v>
      </c>
      <c r="S1277">
        <v>0</v>
      </c>
      <c r="T1277">
        <v>0</v>
      </c>
    </row>
    <row r="1278" spans="1:20" x14ac:dyDescent="0.25">
      <c r="A1278" t="s">
        <v>107</v>
      </c>
      <c r="B1278" t="s">
        <v>157</v>
      </c>
      <c r="C1278">
        <v>202510</v>
      </c>
      <c r="D1278" s="47" t="str">
        <f>MID(C1278,1,4)</f>
        <v>2025</v>
      </c>
      <c r="E1278" t="str">
        <f>IF(Portfolio!$M$1=1,CONCATENATE(A1278,C1278),CONCATENATE(B1278,C1278))</f>
        <v>MAP GROUP202510</v>
      </c>
      <c r="F1278">
        <v>1</v>
      </c>
      <c r="G1278">
        <v>27</v>
      </c>
      <c r="H1278">
        <v>76</v>
      </c>
      <c r="I1278">
        <v>0</v>
      </c>
      <c r="J1278">
        <v>0</v>
      </c>
      <c r="K1278">
        <v>374200</v>
      </c>
      <c r="L1278">
        <v>17860690</v>
      </c>
      <c r="M1278">
        <v>56227932</v>
      </c>
      <c r="N1278">
        <v>0</v>
      </c>
      <c r="O1278">
        <v>0</v>
      </c>
      <c r="P1278">
        <v>561</v>
      </c>
      <c r="Q1278">
        <v>178607</v>
      </c>
      <c r="R1278">
        <v>730963</v>
      </c>
      <c r="S1278">
        <v>0</v>
      </c>
      <c r="T1278">
        <v>0</v>
      </c>
    </row>
    <row r="1279" spans="1:20" x14ac:dyDescent="0.25">
      <c r="A1279" t="s">
        <v>107</v>
      </c>
      <c r="B1279" t="s">
        <v>158</v>
      </c>
      <c r="C1279">
        <v>202510</v>
      </c>
      <c r="D1279" s="47" t="str">
        <f>MID(C1279,1,4)</f>
        <v>2025</v>
      </c>
      <c r="E1279" t="str">
        <f>IF(Portfolio!$M$1=1,CONCATENATE(A1279,C1279),CONCATENATE(B1279,C1279))</f>
        <v>MAP GROUP202510</v>
      </c>
      <c r="F1279">
        <v>0</v>
      </c>
      <c r="G1279">
        <v>9</v>
      </c>
      <c r="H1279">
        <v>6</v>
      </c>
      <c r="I1279">
        <v>0</v>
      </c>
      <c r="J1279">
        <v>0</v>
      </c>
      <c r="K1279">
        <v>0</v>
      </c>
      <c r="L1279">
        <v>3585760</v>
      </c>
      <c r="M1279">
        <v>2766860</v>
      </c>
      <c r="N1279">
        <v>0</v>
      </c>
      <c r="O1279">
        <v>0</v>
      </c>
      <c r="P1279">
        <v>0</v>
      </c>
      <c r="Q1279">
        <v>35858</v>
      </c>
      <c r="R1279">
        <v>35969</v>
      </c>
      <c r="S1279">
        <v>0</v>
      </c>
      <c r="T1279">
        <v>0</v>
      </c>
    </row>
    <row r="1280" spans="1:20" x14ac:dyDescent="0.25">
      <c r="A1280" t="s">
        <v>107</v>
      </c>
      <c r="B1280" t="s">
        <v>159</v>
      </c>
      <c r="C1280">
        <v>202510</v>
      </c>
      <c r="D1280" s="47" t="str">
        <f>MID(C1280,1,4)</f>
        <v>2025</v>
      </c>
      <c r="E1280" t="str">
        <f>IF(Portfolio!$M$1=1,CONCATENATE(A1280,C1280),CONCATENATE(B1280,C1280))</f>
        <v>MAP GROUP202510</v>
      </c>
      <c r="F1280">
        <v>7</v>
      </c>
      <c r="G1280">
        <v>114</v>
      </c>
      <c r="H1280">
        <v>389</v>
      </c>
      <c r="I1280">
        <v>0</v>
      </c>
      <c r="J1280">
        <v>0</v>
      </c>
      <c r="K1280">
        <v>12823500</v>
      </c>
      <c r="L1280">
        <v>249781400</v>
      </c>
      <c r="M1280">
        <v>789398556</v>
      </c>
      <c r="N1280">
        <v>0</v>
      </c>
      <c r="O1280">
        <v>0</v>
      </c>
      <c r="P1280">
        <v>19235</v>
      </c>
      <c r="Q1280">
        <v>2497814</v>
      </c>
      <c r="R1280">
        <v>10262181</v>
      </c>
      <c r="S1280">
        <v>0</v>
      </c>
      <c r="T1280">
        <v>0</v>
      </c>
    </row>
    <row r="1281" spans="1:20" x14ac:dyDescent="0.25">
      <c r="A1281" t="s">
        <v>107</v>
      </c>
      <c r="B1281" t="s">
        <v>160</v>
      </c>
      <c r="C1281">
        <v>202510</v>
      </c>
      <c r="D1281" s="47" t="str">
        <f>MID(C1281,1,4)</f>
        <v>2025</v>
      </c>
      <c r="E1281" t="str">
        <f>IF(Portfolio!$M$1=1,CONCATENATE(A1281,C1281),CONCATENATE(B1281,C1281))</f>
        <v>MAP GROUP202510</v>
      </c>
      <c r="F1281">
        <v>0</v>
      </c>
      <c r="G1281">
        <v>10</v>
      </c>
      <c r="H1281">
        <v>34</v>
      </c>
      <c r="I1281">
        <v>0</v>
      </c>
      <c r="J1281">
        <v>0</v>
      </c>
      <c r="K1281">
        <v>0</v>
      </c>
      <c r="L1281">
        <v>21491100</v>
      </c>
      <c r="M1281">
        <v>82460700</v>
      </c>
      <c r="N1281">
        <v>0</v>
      </c>
      <c r="O1281">
        <v>0</v>
      </c>
      <c r="P1281">
        <v>0</v>
      </c>
      <c r="Q1281">
        <v>214911</v>
      </c>
      <c r="R1281">
        <v>1071989</v>
      </c>
      <c r="S1281">
        <v>0</v>
      </c>
      <c r="T1281">
        <v>0</v>
      </c>
    </row>
    <row r="1282" spans="1:20" x14ac:dyDescent="0.25">
      <c r="A1282" t="s">
        <v>107</v>
      </c>
      <c r="B1282" t="s">
        <v>161</v>
      </c>
      <c r="C1282">
        <v>202510</v>
      </c>
      <c r="D1282" s="47" t="str">
        <f>MID(C1282,1,4)</f>
        <v>2025</v>
      </c>
      <c r="E1282" t="str">
        <f>IF(Portfolio!$M$1=1,CONCATENATE(A1282,C1282),CONCATENATE(B1282,C1282))</f>
        <v>MAP GROUP202510</v>
      </c>
      <c r="F1282">
        <v>5</v>
      </c>
      <c r="G1282">
        <v>43</v>
      </c>
      <c r="H1282">
        <v>140</v>
      </c>
      <c r="I1282">
        <v>0</v>
      </c>
      <c r="J1282">
        <v>0</v>
      </c>
      <c r="K1282">
        <v>10317200</v>
      </c>
      <c r="L1282">
        <v>73955927</v>
      </c>
      <c r="M1282">
        <v>207603428</v>
      </c>
      <c r="N1282">
        <v>0</v>
      </c>
      <c r="O1282">
        <v>0</v>
      </c>
      <c r="P1282">
        <v>15476</v>
      </c>
      <c r="Q1282">
        <v>739559</v>
      </c>
      <c r="R1282">
        <v>2698845</v>
      </c>
      <c r="S1282">
        <v>0</v>
      </c>
      <c r="T1282">
        <v>0</v>
      </c>
    </row>
    <row r="1283" spans="1:20" x14ac:dyDescent="0.25">
      <c r="A1283" t="s">
        <v>107</v>
      </c>
      <c r="B1283" t="s">
        <v>162</v>
      </c>
      <c r="C1283">
        <v>202510</v>
      </c>
      <c r="D1283" s="47" t="str">
        <f>MID(C1283,1,4)</f>
        <v>2025</v>
      </c>
      <c r="E1283" t="str">
        <f>IF(Portfolio!$M$1=1,CONCATENATE(A1283,C1283),CONCATENATE(B1283,C1283))</f>
        <v>MAP GROUP202510</v>
      </c>
      <c r="F1283">
        <v>29</v>
      </c>
      <c r="G1283">
        <v>311</v>
      </c>
      <c r="H1283">
        <v>426</v>
      </c>
      <c r="I1283">
        <v>0</v>
      </c>
      <c r="J1283">
        <v>0</v>
      </c>
      <c r="K1283">
        <v>26165600</v>
      </c>
      <c r="L1283">
        <v>308679480</v>
      </c>
      <c r="M1283">
        <v>425027596</v>
      </c>
      <c r="N1283">
        <v>0</v>
      </c>
      <c r="O1283">
        <v>0</v>
      </c>
      <c r="P1283">
        <v>39248</v>
      </c>
      <c r="Q1283">
        <v>3086795</v>
      </c>
      <c r="R1283">
        <v>5525359</v>
      </c>
      <c r="S1283">
        <v>0</v>
      </c>
      <c r="T1283">
        <v>0</v>
      </c>
    </row>
    <row r="1284" spans="1:20" x14ac:dyDescent="0.25">
      <c r="A1284" t="s">
        <v>107</v>
      </c>
      <c r="B1284" t="s">
        <v>163</v>
      </c>
      <c r="C1284">
        <v>202510</v>
      </c>
      <c r="D1284" s="47" t="str">
        <f>MID(C1284,1,4)</f>
        <v>2025</v>
      </c>
      <c r="E1284" t="str">
        <f>IF(Portfolio!$M$1=1,CONCATENATE(A1284,C1284),CONCATENATE(B1284,C1284))</f>
        <v>MAP GROUP202510</v>
      </c>
      <c r="F1284">
        <v>54</v>
      </c>
      <c r="G1284">
        <v>887</v>
      </c>
      <c r="H1284">
        <v>1269</v>
      </c>
      <c r="I1284">
        <v>0</v>
      </c>
      <c r="J1284">
        <v>0</v>
      </c>
      <c r="K1284">
        <v>80310000</v>
      </c>
      <c r="L1284">
        <v>1253148944</v>
      </c>
      <c r="M1284">
        <v>1686652063</v>
      </c>
      <c r="N1284">
        <v>0</v>
      </c>
      <c r="O1284">
        <v>0</v>
      </c>
      <c r="P1284">
        <v>120465</v>
      </c>
      <c r="Q1284">
        <v>12531489</v>
      </c>
      <c r="R1284">
        <v>21926477</v>
      </c>
      <c r="S1284">
        <v>0</v>
      </c>
      <c r="T1284">
        <v>0</v>
      </c>
    </row>
    <row r="1285" spans="1:20" x14ac:dyDescent="0.25">
      <c r="A1285" t="s">
        <v>107</v>
      </c>
      <c r="B1285" t="s">
        <v>164</v>
      </c>
      <c r="C1285">
        <v>202510</v>
      </c>
      <c r="D1285" s="47" t="str">
        <f>MID(C1285,1,4)</f>
        <v>2025</v>
      </c>
      <c r="E1285" t="str">
        <f>IF(Portfolio!$M$1=1,CONCATENATE(A1285,C1285),CONCATENATE(B1285,C1285))</f>
        <v>MAP GROUP202510</v>
      </c>
      <c r="F1285">
        <v>0</v>
      </c>
      <c r="G1285">
        <v>3</v>
      </c>
      <c r="H1285">
        <v>3</v>
      </c>
      <c r="I1285">
        <v>0</v>
      </c>
      <c r="J1285">
        <v>0</v>
      </c>
      <c r="K1285">
        <v>0</v>
      </c>
      <c r="L1285">
        <v>23648000</v>
      </c>
      <c r="M1285">
        <v>48300000</v>
      </c>
      <c r="N1285">
        <v>0</v>
      </c>
      <c r="O1285">
        <v>0</v>
      </c>
      <c r="P1285">
        <v>0</v>
      </c>
      <c r="Q1285">
        <v>236480</v>
      </c>
      <c r="R1285">
        <v>627900</v>
      </c>
      <c r="S1285">
        <v>0</v>
      </c>
      <c r="T1285">
        <v>0</v>
      </c>
    </row>
    <row r="1286" spans="1:20" x14ac:dyDescent="0.25">
      <c r="A1286" t="s">
        <v>107</v>
      </c>
      <c r="B1286" t="s">
        <v>165</v>
      </c>
      <c r="C1286">
        <v>202510</v>
      </c>
      <c r="D1286" s="47" t="str">
        <f>MID(C1286,1,4)</f>
        <v>2025</v>
      </c>
      <c r="E1286" t="str">
        <f>IF(Portfolio!$M$1=1,CONCATENATE(A1286,C1286),CONCATENATE(B1286,C1286))</f>
        <v>MAP GROUP202510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17249000</v>
      </c>
      <c r="M1286">
        <v>0</v>
      </c>
      <c r="N1286">
        <v>0</v>
      </c>
      <c r="O1286">
        <v>0</v>
      </c>
      <c r="P1286">
        <v>0</v>
      </c>
      <c r="Q1286">
        <v>172490</v>
      </c>
      <c r="R1286">
        <v>0</v>
      </c>
      <c r="S1286">
        <v>0</v>
      </c>
      <c r="T1286">
        <v>0</v>
      </c>
    </row>
    <row r="1287" spans="1:20" x14ac:dyDescent="0.25">
      <c r="A1287" t="s">
        <v>107</v>
      </c>
      <c r="B1287" t="s">
        <v>166</v>
      </c>
      <c r="C1287">
        <v>202510</v>
      </c>
      <c r="D1287" s="47" t="str">
        <f>MID(C1287,1,4)</f>
        <v>2025</v>
      </c>
      <c r="E1287" t="str">
        <f>IF(Portfolio!$M$1=1,CONCATENATE(A1287,C1287),CONCATENATE(B1287,C1287))</f>
        <v>MAP GROUP202510</v>
      </c>
      <c r="F1287">
        <v>4</v>
      </c>
      <c r="G1287">
        <v>50</v>
      </c>
      <c r="H1287">
        <v>66</v>
      </c>
      <c r="I1287">
        <v>0</v>
      </c>
      <c r="J1287">
        <v>0</v>
      </c>
      <c r="K1287">
        <v>11701500</v>
      </c>
      <c r="L1287">
        <v>153736600</v>
      </c>
      <c r="M1287">
        <v>193929163</v>
      </c>
      <c r="N1287">
        <v>0</v>
      </c>
      <c r="O1287">
        <v>0</v>
      </c>
      <c r="P1287">
        <v>17552</v>
      </c>
      <c r="Q1287">
        <v>1537366</v>
      </c>
      <c r="R1287">
        <v>2521079</v>
      </c>
      <c r="S1287">
        <v>0</v>
      </c>
      <c r="T1287">
        <v>0</v>
      </c>
    </row>
    <row r="1288" spans="1:20" x14ac:dyDescent="0.25">
      <c r="A1288" t="s">
        <v>107</v>
      </c>
      <c r="B1288" t="s">
        <v>167</v>
      </c>
      <c r="C1288">
        <v>202510</v>
      </c>
      <c r="D1288" s="47" t="str">
        <f>MID(C1288,1,4)</f>
        <v>2025</v>
      </c>
      <c r="E1288" t="str">
        <f>IF(Portfolio!$M$1=1,CONCATENATE(A1288,C1288),CONCATENATE(B1288,C1288))</f>
        <v>MAP GROUP202510</v>
      </c>
      <c r="F1288">
        <v>2</v>
      </c>
      <c r="G1288">
        <v>46</v>
      </c>
      <c r="H1288">
        <v>147</v>
      </c>
      <c r="I1288">
        <v>0</v>
      </c>
      <c r="J1288">
        <v>0</v>
      </c>
      <c r="K1288">
        <v>4472700</v>
      </c>
      <c r="L1288">
        <v>75528063</v>
      </c>
      <c r="M1288">
        <v>210750354</v>
      </c>
      <c r="N1288">
        <v>0</v>
      </c>
      <c r="O1288">
        <v>0</v>
      </c>
      <c r="P1288">
        <v>6709</v>
      </c>
      <c r="Q1288">
        <v>755281</v>
      </c>
      <c r="R1288">
        <v>2739755</v>
      </c>
      <c r="S1288">
        <v>0</v>
      </c>
      <c r="T1288">
        <v>0</v>
      </c>
    </row>
    <row r="1289" spans="1:20" x14ac:dyDescent="0.25">
      <c r="A1289" t="s">
        <v>107</v>
      </c>
      <c r="B1289" t="s">
        <v>168</v>
      </c>
      <c r="C1289">
        <v>202510</v>
      </c>
      <c r="D1289" s="47" t="str">
        <f>MID(C1289,1,4)</f>
        <v>2025</v>
      </c>
      <c r="E1289" t="str">
        <f>IF(Portfolio!$M$1=1,CONCATENATE(A1289,C1289),CONCATENATE(B1289,C1289))</f>
        <v>MAP GROUP202510</v>
      </c>
      <c r="F1289">
        <v>0</v>
      </c>
      <c r="G1289">
        <v>1</v>
      </c>
      <c r="H1289">
        <v>10</v>
      </c>
      <c r="I1289">
        <v>0</v>
      </c>
      <c r="J1289">
        <v>0</v>
      </c>
      <c r="K1289">
        <v>0</v>
      </c>
      <c r="L1289">
        <v>90000</v>
      </c>
      <c r="M1289">
        <v>1894000</v>
      </c>
      <c r="N1289">
        <v>0</v>
      </c>
      <c r="O1289">
        <v>0</v>
      </c>
      <c r="P1289">
        <v>0</v>
      </c>
      <c r="Q1289">
        <v>900</v>
      </c>
      <c r="R1289">
        <v>24622</v>
      </c>
      <c r="S1289">
        <v>0</v>
      </c>
      <c r="T1289">
        <v>0</v>
      </c>
    </row>
    <row r="1290" spans="1:20" x14ac:dyDescent="0.25">
      <c r="A1290" t="s">
        <v>107</v>
      </c>
      <c r="B1290" t="s">
        <v>169</v>
      </c>
      <c r="C1290">
        <v>202510</v>
      </c>
      <c r="D1290" s="47" t="str">
        <f>MID(C1290,1,4)</f>
        <v>2025</v>
      </c>
      <c r="E1290" t="str">
        <f>IF(Portfolio!$M$1=1,CONCATENATE(A1290,C1290),CONCATENATE(B1290,C1290))</f>
        <v>MAP GROUP202510</v>
      </c>
      <c r="F1290">
        <v>0</v>
      </c>
      <c r="G1290">
        <v>16</v>
      </c>
      <c r="H1290">
        <v>2</v>
      </c>
      <c r="I1290">
        <v>0</v>
      </c>
      <c r="J1290">
        <v>0</v>
      </c>
      <c r="K1290">
        <v>0</v>
      </c>
      <c r="L1290">
        <v>697755</v>
      </c>
      <c r="M1290">
        <v>99198</v>
      </c>
      <c r="N1290">
        <v>0</v>
      </c>
      <c r="O1290">
        <v>0</v>
      </c>
      <c r="P1290">
        <v>0</v>
      </c>
      <c r="Q1290">
        <v>6978</v>
      </c>
      <c r="R1290">
        <v>1290</v>
      </c>
      <c r="S1290">
        <v>0</v>
      </c>
      <c r="T1290">
        <v>0</v>
      </c>
    </row>
    <row r="1291" spans="1:20" x14ac:dyDescent="0.25">
      <c r="A1291" t="s">
        <v>107</v>
      </c>
      <c r="B1291" t="s">
        <v>170</v>
      </c>
      <c r="C1291">
        <v>202510</v>
      </c>
      <c r="D1291" s="47" t="str">
        <f>MID(C1291,1,4)</f>
        <v>2025</v>
      </c>
      <c r="E1291" t="str">
        <f>IF(Portfolio!$M$1=1,CONCATENATE(A1291,C1291),CONCATENATE(B1291,C1291))</f>
        <v>MAP GROUP202510</v>
      </c>
      <c r="F1291">
        <v>76</v>
      </c>
      <c r="G1291">
        <v>1062</v>
      </c>
      <c r="H1291">
        <v>1707</v>
      </c>
      <c r="I1291">
        <v>0</v>
      </c>
      <c r="J1291">
        <v>0</v>
      </c>
      <c r="K1291">
        <v>134122620</v>
      </c>
      <c r="L1291">
        <v>1668713929</v>
      </c>
      <c r="M1291">
        <v>2750923307</v>
      </c>
      <c r="N1291">
        <v>0</v>
      </c>
      <c r="O1291">
        <v>0</v>
      </c>
      <c r="P1291">
        <v>201184</v>
      </c>
      <c r="Q1291">
        <v>16687139</v>
      </c>
      <c r="R1291">
        <v>35762003</v>
      </c>
      <c r="S1291">
        <v>0</v>
      </c>
      <c r="T1291">
        <v>0</v>
      </c>
    </row>
    <row r="1292" spans="1:20" x14ac:dyDescent="0.25">
      <c r="A1292" t="s">
        <v>107</v>
      </c>
      <c r="B1292" t="s">
        <v>171</v>
      </c>
      <c r="C1292">
        <v>202510</v>
      </c>
      <c r="D1292" s="47" t="str">
        <f>MID(C1292,1,4)</f>
        <v>2025</v>
      </c>
      <c r="E1292" t="str">
        <f>IF(Portfolio!$M$1=1,CONCATENATE(A1292,C1292),CONCATENATE(B1292,C1292))</f>
        <v>MAP GROUP202510</v>
      </c>
      <c r="F1292">
        <v>0</v>
      </c>
      <c r="G1292">
        <v>3</v>
      </c>
      <c r="H1292">
        <v>10</v>
      </c>
      <c r="I1292">
        <v>0</v>
      </c>
      <c r="J1292">
        <v>0</v>
      </c>
      <c r="K1292">
        <v>0</v>
      </c>
      <c r="L1292">
        <v>798000</v>
      </c>
      <c r="M1292">
        <v>3777000</v>
      </c>
      <c r="N1292">
        <v>0</v>
      </c>
      <c r="O1292">
        <v>0</v>
      </c>
      <c r="P1292">
        <v>0</v>
      </c>
      <c r="Q1292">
        <v>7980</v>
      </c>
      <c r="R1292">
        <v>49101</v>
      </c>
      <c r="S1292">
        <v>0</v>
      </c>
      <c r="T1292">
        <v>0</v>
      </c>
    </row>
    <row r="1293" spans="1:20" x14ac:dyDescent="0.25">
      <c r="A1293" t="s">
        <v>107</v>
      </c>
      <c r="B1293" t="s">
        <v>172</v>
      </c>
      <c r="C1293">
        <v>202510</v>
      </c>
      <c r="D1293" s="47" t="str">
        <f>MID(C1293,1,4)</f>
        <v>2025</v>
      </c>
      <c r="E1293" t="str">
        <f>IF(Portfolio!$M$1=1,CONCATENATE(A1293,C1293),CONCATENATE(B1293,C1293))</f>
        <v>MAP GROUP202510</v>
      </c>
      <c r="F1293">
        <v>1</v>
      </c>
      <c r="G1293">
        <v>66</v>
      </c>
      <c r="H1293">
        <v>177</v>
      </c>
      <c r="I1293">
        <v>0</v>
      </c>
      <c r="J1293">
        <v>0</v>
      </c>
      <c r="K1293">
        <v>1347600</v>
      </c>
      <c r="L1293">
        <v>175074410</v>
      </c>
      <c r="M1293">
        <v>291770295</v>
      </c>
      <c r="N1293">
        <v>0</v>
      </c>
      <c r="O1293">
        <v>0</v>
      </c>
      <c r="P1293">
        <v>2021</v>
      </c>
      <c r="Q1293">
        <v>1750744</v>
      </c>
      <c r="R1293">
        <v>3793014</v>
      </c>
      <c r="S1293">
        <v>0</v>
      </c>
      <c r="T1293">
        <v>0</v>
      </c>
    </row>
    <row r="1294" spans="1:20" x14ac:dyDescent="0.25">
      <c r="A1294" t="s">
        <v>107</v>
      </c>
      <c r="B1294" t="s">
        <v>173</v>
      </c>
      <c r="C1294">
        <v>202510</v>
      </c>
      <c r="D1294" s="47" t="str">
        <f>MID(C1294,1,4)</f>
        <v>2025</v>
      </c>
      <c r="E1294" t="str">
        <f>IF(Portfolio!$M$1=1,CONCATENATE(A1294,C1294),CONCATENATE(B1294,C1294))</f>
        <v>MAP GROUP202510</v>
      </c>
      <c r="F1294">
        <v>0</v>
      </c>
      <c r="G1294">
        <v>2</v>
      </c>
      <c r="H1294">
        <v>5</v>
      </c>
      <c r="I1294">
        <v>0</v>
      </c>
      <c r="J1294">
        <v>0</v>
      </c>
      <c r="K1294">
        <v>0</v>
      </c>
      <c r="L1294">
        <v>3902500</v>
      </c>
      <c r="M1294">
        <v>8009200</v>
      </c>
      <c r="N1294">
        <v>0</v>
      </c>
      <c r="O1294">
        <v>0</v>
      </c>
      <c r="P1294">
        <v>0</v>
      </c>
      <c r="Q1294">
        <v>39025</v>
      </c>
      <c r="R1294">
        <v>104120</v>
      </c>
      <c r="S1294">
        <v>0</v>
      </c>
      <c r="T1294">
        <v>0</v>
      </c>
    </row>
    <row r="1295" spans="1:20" x14ac:dyDescent="0.25">
      <c r="A1295" t="s">
        <v>107</v>
      </c>
      <c r="B1295" t="s">
        <v>174</v>
      </c>
      <c r="C1295">
        <v>202510</v>
      </c>
      <c r="D1295" s="47" t="str">
        <f>MID(C1295,1,4)</f>
        <v>2025</v>
      </c>
      <c r="E1295" t="str">
        <f>IF(Portfolio!$M$1=1,CONCATENATE(A1295,C1295),CONCATENATE(B1295,C1295))</f>
        <v>MAP GROUP202510</v>
      </c>
      <c r="F1295">
        <v>5</v>
      </c>
      <c r="G1295">
        <v>81</v>
      </c>
      <c r="H1295">
        <v>302</v>
      </c>
      <c r="I1295">
        <v>0</v>
      </c>
      <c r="J1295">
        <v>0</v>
      </c>
      <c r="K1295">
        <v>11768740</v>
      </c>
      <c r="L1295">
        <v>216874400</v>
      </c>
      <c r="M1295">
        <v>799117152</v>
      </c>
      <c r="N1295">
        <v>0</v>
      </c>
      <c r="O1295">
        <v>0</v>
      </c>
      <c r="P1295">
        <v>17653</v>
      </c>
      <c r="Q1295">
        <v>2168744</v>
      </c>
      <c r="R1295">
        <v>10388523</v>
      </c>
      <c r="S1295">
        <v>0</v>
      </c>
      <c r="T1295">
        <v>0</v>
      </c>
    </row>
    <row r="1296" spans="1:20" x14ac:dyDescent="0.25">
      <c r="A1296" t="s">
        <v>107</v>
      </c>
      <c r="B1296" t="s">
        <v>175</v>
      </c>
      <c r="C1296">
        <v>202510</v>
      </c>
      <c r="D1296" s="47" t="str">
        <f>MID(C1296,1,4)</f>
        <v>2025</v>
      </c>
      <c r="E1296" t="str">
        <f>IF(Portfolio!$M$1=1,CONCATENATE(A1296,C1296),CONCATENATE(B1296,C1296))</f>
        <v>MAP GROUP202510</v>
      </c>
      <c r="F1296">
        <v>0</v>
      </c>
      <c r="G1296">
        <v>1</v>
      </c>
      <c r="H1296">
        <v>6</v>
      </c>
      <c r="I1296">
        <v>0</v>
      </c>
      <c r="J1296">
        <v>0</v>
      </c>
      <c r="K1296">
        <v>0</v>
      </c>
      <c r="L1296">
        <v>1349100</v>
      </c>
      <c r="M1296">
        <v>7100700</v>
      </c>
      <c r="N1296">
        <v>0</v>
      </c>
      <c r="O1296">
        <v>0</v>
      </c>
      <c r="P1296">
        <v>0</v>
      </c>
      <c r="Q1296">
        <v>13491</v>
      </c>
      <c r="R1296">
        <v>92309</v>
      </c>
      <c r="S1296">
        <v>0</v>
      </c>
      <c r="T1296">
        <v>0</v>
      </c>
    </row>
    <row r="1297" spans="1:20" x14ac:dyDescent="0.25">
      <c r="A1297" t="s">
        <v>107</v>
      </c>
      <c r="B1297" t="s">
        <v>176</v>
      </c>
      <c r="C1297">
        <v>202510</v>
      </c>
      <c r="D1297" s="47" t="str">
        <f>MID(C1297,1,4)</f>
        <v>2025</v>
      </c>
      <c r="E1297" t="str">
        <f>IF(Portfolio!$M$1=1,CONCATENATE(A1297,C1297),CONCATENATE(B1297,C1297))</f>
        <v>MAP GROUP202510</v>
      </c>
      <c r="F1297">
        <v>85</v>
      </c>
      <c r="G1297">
        <v>1422</v>
      </c>
      <c r="H1297">
        <v>3582</v>
      </c>
      <c r="I1297">
        <v>0</v>
      </c>
      <c r="J1297">
        <v>0</v>
      </c>
      <c r="K1297">
        <v>39576630</v>
      </c>
      <c r="L1297">
        <v>874811592</v>
      </c>
      <c r="M1297">
        <v>2060337769</v>
      </c>
      <c r="N1297">
        <v>0</v>
      </c>
      <c r="O1297">
        <v>0</v>
      </c>
      <c r="P1297">
        <v>59365</v>
      </c>
      <c r="Q1297">
        <v>8748116</v>
      </c>
      <c r="R1297">
        <v>26784390</v>
      </c>
      <c r="S1297">
        <v>0</v>
      </c>
      <c r="T1297">
        <v>0</v>
      </c>
    </row>
    <row r="1298" spans="1:20" x14ac:dyDescent="0.25">
      <c r="A1298" t="s">
        <v>107</v>
      </c>
      <c r="B1298" t="s">
        <v>177</v>
      </c>
      <c r="C1298">
        <v>202510</v>
      </c>
      <c r="D1298" s="47" t="str">
        <f>MID(C1298,1,4)</f>
        <v>2025</v>
      </c>
      <c r="E1298" t="str">
        <f>IF(Portfolio!$M$1=1,CONCATENATE(A1298,C1298),CONCATENATE(B1298,C1298))</f>
        <v>MAP GROUP202510</v>
      </c>
      <c r="F1298">
        <v>2</v>
      </c>
      <c r="G1298">
        <v>23</v>
      </c>
      <c r="H1298">
        <v>84</v>
      </c>
      <c r="I1298">
        <v>0</v>
      </c>
      <c r="J1298">
        <v>0</v>
      </c>
      <c r="K1298">
        <v>3453300</v>
      </c>
      <c r="L1298">
        <v>64144580</v>
      </c>
      <c r="M1298">
        <v>257874640</v>
      </c>
      <c r="N1298">
        <v>0</v>
      </c>
      <c r="O1298">
        <v>0</v>
      </c>
      <c r="P1298">
        <v>5180</v>
      </c>
      <c r="Q1298">
        <v>641446</v>
      </c>
      <c r="R1298">
        <v>3352370</v>
      </c>
      <c r="S1298">
        <v>0</v>
      </c>
      <c r="T1298">
        <v>0</v>
      </c>
    </row>
    <row r="1299" spans="1:20" x14ac:dyDescent="0.25">
      <c r="A1299" t="s">
        <v>107</v>
      </c>
      <c r="B1299" t="s">
        <v>178</v>
      </c>
      <c r="C1299">
        <v>202510</v>
      </c>
      <c r="D1299" s="47" t="str">
        <f>MID(C1299,1,4)</f>
        <v>2025</v>
      </c>
      <c r="E1299" t="str">
        <f>IF(Portfolio!$M$1=1,CONCATENATE(A1299,C1299),CONCATENATE(B1299,C1299))</f>
        <v>MAP GROUP202510</v>
      </c>
      <c r="F1299">
        <v>8</v>
      </c>
      <c r="G1299">
        <v>286</v>
      </c>
      <c r="H1299">
        <v>882</v>
      </c>
      <c r="I1299">
        <v>38</v>
      </c>
      <c r="J1299">
        <v>2131</v>
      </c>
      <c r="K1299">
        <v>3468200</v>
      </c>
      <c r="L1299">
        <v>251695220</v>
      </c>
      <c r="M1299">
        <v>1193417421</v>
      </c>
      <c r="N1299">
        <v>459000</v>
      </c>
      <c r="O1299">
        <v>144363464</v>
      </c>
      <c r="P1299">
        <v>5202</v>
      </c>
      <c r="Q1299">
        <v>2516952</v>
      </c>
      <c r="R1299">
        <v>15515514</v>
      </c>
      <c r="S1299">
        <v>0</v>
      </c>
      <c r="T1299">
        <v>919965</v>
      </c>
    </row>
    <row r="1300" spans="1:20" x14ac:dyDescent="0.25">
      <c r="A1300" t="s">
        <v>107</v>
      </c>
      <c r="B1300" t="s">
        <v>179</v>
      </c>
      <c r="C1300">
        <v>202510</v>
      </c>
      <c r="D1300" s="47" t="str">
        <f>MID(C1300,1,4)</f>
        <v>2025</v>
      </c>
      <c r="E1300" t="str">
        <f>IF(Portfolio!$M$1=1,CONCATENATE(A1300,C1300),CONCATENATE(B1300,C1300))</f>
        <v>MAP GROUP202510</v>
      </c>
      <c r="F1300">
        <v>1</v>
      </c>
      <c r="G1300">
        <v>11</v>
      </c>
      <c r="H1300">
        <v>80</v>
      </c>
      <c r="I1300">
        <v>0</v>
      </c>
      <c r="J1300">
        <v>0</v>
      </c>
      <c r="K1300">
        <v>1006000</v>
      </c>
      <c r="L1300">
        <v>9532360</v>
      </c>
      <c r="M1300">
        <v>82308042</v>
      </c>
      <c r="N1300">
        <v>0</v>
      </c>
      <c r="O1300">
        <v>0</v>
      </c>
      <c r="P1300">
        <v>1509</v>
      </c>
      <c r="Q1300">
        <v>95324</v>
      </c>
      <c r="R1300">
        <v>1070005</v>
      </c>
      <c r="S1300">
        <v>0</v>
      </c>
      <c r="T1300">
        <v>0</v>
      </c>
    </row>
    <row r="1301" spans="1:20" x14ac:dyDescent="0.25">
      <c r="A1301" t="s">
        <v>107</v>
      </c>
      <c r="B1301" t="s">
        <v>180</v>
      </c>
      <c r="C1301">
        <v>202510</v>
      </c>
      <c r="D1301" s="47" t="str">
        <f>MID(C1301,1,4)</f>
        <v>2025</v>
      </c>
      <c r="E1301" t="str">
        <f>IF(Portfolio!$M$1=1,CONCATENATE(A1301,C1301),CONCATENATE(B1301,C1301))</f>
        <v>MAP GROUP202510</v>
      </c>
      <c r="F1301">
        <v>0</v>
      </c>
      <c r="G1301">
        <v>8</v>
      </c>
      <c r="H1301">
        <v>21</v>
      </c>
      <c r="I1301">
        <v>0</v>
      </c>
      <c r="J1301">
        <v>0</v>
      </c>
      <c r="K1301">
        <v>0</v>
      </c>
      <c r="L1301">
        <v>2894700</v>
      </c>
      <c r="M1301">
        <v>31820500</v>
      </c>
      <c r="N1301">
        <v>0</v>
      </c>
      <c r="O1301">
        <v>0</v>
      </c>
      <c r="P1301">
        <v>0</v>
      </c>
      <c r="Q1301">
        <v>28947</v>
      </c>
      <c r="R1301">
        <v>413666</v>
      </c>
      <c r="S1301">
        <v>0</v>
      </c>
      <c r="T1301">
        <v>0</v>
      </c>
    </row>
    <row r="1302" spans="1:20" x14ac:dyDescent="0.25">
      <c r="A1302" t="s">
        <v>107</v>
      </c>
      <c r="B1302" t="s">
        <v>182</v>
      </c>
      <c r="C1302">
        <v>202510</v>
      </c>
      <c r="D1302" s="47" t="str">
        <f>MID(C1302,1,4)</f>
        <v>2025</v>
      </c>
      <c r="E1302" t="str">
        <f>IF(Portfolio!$M$1=1,CONCATENATE(A1302,C1302),CONCATENATE(B1302,C1302))</f>
        <v>MAP GROUP202510</v>
      </c>
      <c r="F1302">
        <v>41</v>
      </c>
      <c r="G1302">
        <v>457</v>
      </c>
      <c r="H1302">
        <v>833</v>
      </c>
      <c r="I1302">
        <v>0</v>
      </c>
      <c r="J1302">
        <v>0</v>
      </c>
      <c r="K1302">
        <v>67929720</v>
      </c>
      <c r="L1302">
        <v>703165472</v>
      </c>
      <c r="M1302">
        <v>1244784629</v>
      </c>
      <c r="N1302">
        <v>0</v>
      </c>
      <c r="O1302">
        <v>0</v>
      </c>
      <c r="P1302">
        <v>101895</v>
      </c>
      <c r="Q1302">
        <v>7031655</v>
      </c>
      <c r="R1302">
        <v>16182200</v>
      </c>
      <c r="S1302">
        <v>0</v>
      </c>
      <c r="T1302">
        <v>0</v>
      </c>
    </row>
    <row r="1303" spans="1:20" x14ac:dyDescent="0.25">
      <c r="A1303" t="s">
        <v>107</v>
      </c>
      <c r="B1303" t="s">
        <v>183</v>
      </c>
      <c r="C1303">
        <v>202510</v>
      </c>
      <c r="D1303" s="47" t="str">
        <f>MID(C1303,1,4)</f>
        <v>2025</v>
      </c>
      <c r="E1303" t="str">
        <f>IF(Portfolio!$M$1=1,CONCATENATE(A1303,C1303),CONCATENATE(B1303,C1303))</f>
        <v>MAP GROUP202510</v>
      </c>
      <c r="F1303">
        <v>14</v>
      </c>
      <c r="G1303">
        <v>307</v>
      </c>
      <c r="H1303">
        <v>565</v>
      </c>
      <c r="I1303">
        <v>0</v>
      </c>
      <c r="J1303">
        <v>0</v>
      </c>
      <c r="K1303">
        <v>18166100</v>
      </c>
      <c r="L1303">
        <v>340793070</v>
      </c>
      <c r="M1303">
        <v>546981928</v>
      </c>
      <c r="N1303">
        <v>0</v>
      </c>
      <c r="O1303">
        <v>0</v>
      </c>
      <c r="P1303">
        <v>27249</v>
      </c>
      <c r="Q1303">
        <v>3407931</v>
      </c>
      <c r="R1303">
        <v>7110765</v>
      </c>
      <c r="S1303">
        <v>0</v>
      </c>
      <c r="T1303">
        <v>0</v>
      </c>
    </row>
    <row r="1304" spans="1:20" x14ac:dyDescent="0.25">
      <c r="A1304" t="s">
        <v>107</v>
      </c>
      <c r="B1304" t="s">
        <v>184</v>
      </c>
      <c r="C1304">
        <v>202510</v>
      </c>
      <c r="D1304" s="47" t="str">
        <f>MID(C1304,1,4)</f>
        <v>2025</v>
      </c>
      <c r="E1304" t="str">
        <f>IF(Portfolio!$M$1=1,CONCATENATE(A1304,C1304),CONCATENATE(B1304,C1304))</f>
        <v>MAP GROUP202510</v>
      </c>
      <c r="F1304">
        <v>0</v>
      </c>
      <c r="G1304">
        <v>0</v>
      </c>
      <c r="H1304">
        <v>2</v>
      </c>
      <c r="I1304">
        <v>0</v>
      </c>
      <c r="J1304">
        <v>0</v>
      </c>
      <c r="K1304">
        <v>0</v>
      </c>
      <c r="L1304">
        <v>0</v>
      </c>
      <c r="M1304">
        <v>1958300</v>
      </c>
      <c r="N1304">
        <v>0</v>
      </c>
      <c r="O1304">
        <v>0</v>
      </c>
      <c r="P1304">
        <v>0</v>
      </c>
      <c r="Q1304">
        <v>0</v>
      </c>
      <c r="R1304">
        <v>25458</v>
      </c>
      <c r="S1304">
        <v>0</v>
      </c>
      <c r="T1304">
        <v>0</v>
      </c>
    </row>
    <row r="1305" spans="1:20" x14ac:dyDescent="0.25">
      <c r="A1305" t="s">
        <v>107</v>
      </c>
      <c r="B1305" t="s">
        <v>185</v>
      </c>
      <c r="C1305">
        <v>202510</v>
      </c>
      <c r="D1305" s="47" t="str">
        <f>MID(C1305,1,4)</f>
        <v>2025</v>
      </c>
      <c r="E1305" t="str">
        <f>IF(Portfolio!$M$1=1,CONCATENATE(A1305,C1305),CONCATENATE(B1305,C1305))</f>
        <v>MAP GROUP202510</v>
      </c>
      <c r="F1305">
        <v>5</v>
      </c>
      <c r="G1305">
        <v>103</v>
      </c>
      <c r="H1305">
        <v>210</v>
      </c>
      <c r="I1305">
        <v>0</v>
      </c>
      <c r="J1305">
        <v>0</v>
      </c>
      <c r="K1305">
        <v>11217000</v>
      </c>
      <c r="L1305">
        <v>307577500</v>
      </c>
      <c r="M1305">
        <v>552892500</v>
      </c>
      <c r="N1305">
        <v>0</v>
      </c>
      <c r="O1305">
        <v>0</v>
      </c>
      <c r="P1305">
        <v>16826</v>
      </c>
      <c r="Q1305">
        <v>3075775</v>
      </c>
      <c r="R1305">
        <v>7187602</v>
      </c>
      <c r="S1305">
        <v>0</v>
      </c>
      <c r="T1305">
        <v>0</v>
      </c>
    </row>
    <row r="1306" spans="1:20" x14ac:dyDescent="0.25">
      <c r="A1306" t="s">
        <v>107</v>
      </c>
      <c r="B1306" t="s">
        <v>186</v>
      </c>
      <c r="C1306">
        <v>202510</v>
      </c>
      <c r="D1306" s="47" t="str">
        <f>MID(C1306,1,4)</f>
        <v>2025</v>
      </c>
      <c r="E1306" t="str">
        <f>IF(Portfolio!$M$1=1,CONCATENATE(A1306,C1306),CONCATENATE(B1306,C1306))</f>
        <v>MAP GROUP202510</v>
      </c>
      <c r="F1306">
        <v>121</v>
      </c>
      <c r="G1306">
        <v>1166</v>
      </c>
      <c r="H1306">
        <v>1116</v>
      </c>
      <c r="I1306">
        <v>0</v>
      </c>
      <c r="J1306">
        <v>0</v>
      </c>
      <c r="K1306">
        <v>47989484</v>
      </c>
      <c r="L1306">
        <v>438312082</v>
      </c>
      <c r="M1306">
        <v>445414121</v>
      </c>
      <c r="N1306">
        <v>0</v>
      </c>
      <c r="O1306">
        <v>0</v>
      </c>
      <c r="P1306">
        <v>71984</v>
      </c>
      <c r="Q1306">
        <v>4383121</v>
      </c>
      <c r="R1306">
        <v>5790384</v>
      </c>
      <c r="S1306">
        <v>0</v>
      </c>
      <c r="T1306">
        <v>0</v>
      </c>
    </row>
    <row r="1307" spans="1:20" x14ac:dyDescent="0.25">
      <c r="A1307" t="s">
        <v>107</v>
      </c>
      <c r="B1307" t="s">
        <v>187</v>
      </c>
      <c r="C1307">
        <v>202510</v>
      </c>
      <c r="D1307" s="47" t="str">
        <f>MID(C1307,1,4)</f>
        <v>2025</v>
      </c>
      <c r="E1307" t="str">
        <f>IF(Portfolio!$M$1=1,CONCATENATE(A1307,C1307),CONCATENATE(B1307,C1307))</f>
        <v>MAP GROUP202510</v>
      </c>
      <c r="F1307">
        <v>0</v>
      </c>
      <c r="G1307">
        <v>5</v>
      </c>
      <c r="H1307">
        <v>22</v>
      </c>
      <c r="I1307">
        <v>0</v>
      </c>
      <c r="J1307">
        <v>0</v>
      </c>
      <c r="K1307">
        <v>0</v>
      </c>
      <c r="L1307">
        <v>6424400</v>
      </c>
      <c r="M1307">
        <v>39622480</v>
      </c>
      <c r="N1307">
        <v>0</v>
      </c>
      <c r="O1307">
        <v>0</v>
      </c>
      <c r="P1307">
        <v>0</v>
      </c>
      <c r="Q1307">
        <v>64244</v>
      </c>
      <c r="R1307">
        <v>515092</v>
      </c>
      <c r="S1307">
        <v>0</v>
      </c>
      <c r="T1307">
        <v>0</v>
      </c>
    </row>
    <row r="1308" spans="1:20" x14ac:dyDescent="0.25">
      <c r="A1308" t="s">
        <v>107</v>
      </c>
      <c r="B1308" t="s">
        <v>188</v>
      </c>
      <c r="C1308">
        <v>202510</v>
      </c>
      <c r="D1308" s="47" t="str">
        <f>MID(C1308,1,4)</f>
        <v>2025</v>
      </c>
      <c r="E1308" t="str">
        <f>IF(Portfolio!$M$1=1,CONCATENATE(A1308,C1308),CONCATENATE(B1308,C1308))</f>
        <v>MAP GROUP202510</v>
      </c>
      <c r="F1308">
        <v>3</v>
      </c>
      <c r="G1308">
        <v>46</v>
      </c>
      <c r="H1308">
        <v>71</v>
      </c>
      <c r="I1308">
        <v>0</v>
      </c>
      <c r="J1308">
        <v>0</v>
      </c>
      <c r="K1308">
        <v>1547800</v>
      </c>
      <c r="L1308">
        <v>22141344</v>
      </c>
      <c r="M1308">
        <v>39720208</v>
      </c>
      <c r="N1308">
        <v>0</v>
      </c>
      <c r="O1308">
        <v>0</v>
      </c>
      <c r="P1308">
        <v>2322</v>
      </c>
      <c r="Q1308">
        <v>221413</v>
      </c>
      <c r="R1308">
        <v>516363</v>
      </c>
      <c r="S1308">
        <v>0</v>
      </c>
      <c r="T1308">
        <v>0</v>
      </c>
    </row>
    <row r="1309" spans="1:20" x14ac:dyDescent="0.25">
      <c r="A1309" t="s">
        <v>107</v>
      </c>
      <c r="B1309" t="s">
        <v>189</v>
      </c>
      <c r="C1309">
        <v>202510</v>
      </c>
      <c r="D1309" s="47" t="str">
        <f>MID(C1309,1,4)</f>
        <v>2025</v>
      </c>
      <c r="E1309" t="str">
        <f>IF(Portfolio!$M$1=1,CONCATENATE(A1309,C1309),CONCATENATE(B1309,C1309))</f>
        <v>MAP GROUP202510</v>
      </c>
      <c r="F1309">
        <v>44</v>
      </c>
      <c r="G1309">
        <v>899</v>
      </c>
      <c r="H1309">
        <v>2455</v>
      </c>
      <c r="I1309">
        <v>0</v>
      </c>
      <c r="J1309">
        <v>0</v>
      </c>
      <c r="K1309">
        <v>54266900</v>
      </c>
      <c r="L1309">
        <v>1182458901</v>
      </c>
      <c r="M1309">
        <v>3270339492</v>
      </c>
      <c r="N1309">
        <v>0</v>
      </c>
      <c r="O1309">
        <v>0</v>
      </c>
      <c r="P1309">
        <v>81400</v>
      </c>
      <c r="Q1309">
        <v>11824589</v>
      </c>
      <c r="R1309">
        <v>42514413</v>
      </c>
      <c r="S1309">
        <v>0</v>
      </c>
      <c r="T1309">
        <v>0</v>
      </c>
    </row>
    <row r="1310" spans="1:20" x14ac:dyDescent="0.25">
      <c r="A1310" t="s">
        <v>107</v>
      </c>
      <c r="B1310" t="s">
        <v>190</v>
      </c>
      <c r="C1310">
        <v>202510</v>
      </c>
      <c r="D1310" s="47" t="str">
        <f>MID(C1310,1,4)</f>
        <v>2025</v>
      </c>
      <c r="E1310" t="str">
        <f>IF(Portfolio!$M$1=1,CONCATENATE(A1310,C1310),CONCATENATE(B1310,C1310))</f>
        <v>MAP GROUP202510</v>
      </c>
      <c r="F1310">
        <v>6</v>
      </c>
      <c r="G1310">
        <v>57</v>
      </c>
      <c r="H1310">
        <v>205</v>
      </c>
      <c r="I1310">
        <v>0</v>
      </c>
      <c r="J1310">
        <v>0</v>
      </c>
      <c r="K1310">
        <v>4404500</v>
      </c>
      <c r="L1310">
        <v>74882700</v>
      </c>
      <c r="M1310">
        <v>265443406</v>
      </c>
      <c r="N1310">
        <v>0</v>
      </c>
      <c r="O1310">
        <v>0</v>
      </c>
      <c r="P1310">
        <v>6607</v>
      </c>
      <c r="Q1310">
        <v>748827</v>
      </c>
      <c r="R1310">
        <v>3450764</v>
      </c>
      <c r="S1310">
        <v>0</v>
      </c>
      <c r="T1310">
        <v>0</v>
      </c>
    </row>
    <row r="1311" spans="1:20" x14ac:dyDescent="0.25">
      <c r="A1311" t="s">
        <v>107</v>
      </c>
      <c r="B1311" t="s">
        <v>191</v>
      </c>
      <c r="C1311">
        <v>202510</v>
      </c>
      <c r="D1311" s="47" t="str">
        <f>MID(C1311,1,4)</f>
        <v>2025</v>
      </c>
      <c r="E1311" t="str">
        <f>IF(Portfolio!$M$1=1,CONCATENATE(A1311,C1311),CONCATENATE(B1311,C1311))</f>
        <v>MAP GROUP202510</v>
      </c>
      <c r="F1311">
        <v>12</v>
      </c>
      <c r="G1311">
        <v>175</v>
      </c>
      <c r="H1311">
        <v>347</v>
      </c>
      <c r="I1311">
        <v>0</v>
      </c>
      <c r="J1311">
        <v>0</v>
      </c>
      <c r="K1311">
        <v>26901000</v>
      </c>
      <c r="L1311">
        <v>264931700</v>
      </c>
      <c r="M1311">
        <v>502037236</v>
      </c>
      <c r="N1311">
        <v>0</v>
      </c>
      <c r="O1311">
        <v>0</v>
      </c>
      <c r="P1311">
        <v>40352</v>
      </c>
      <c r="Q1311">
        <v>2649317</v>
      </c>
      <c r="R1311">
        <v>6526484</v>
      </c>
      <c r="S1311">
        <v>0</v>
      </c>
      <c r="T1311">
        <v>0</v>
      </c>
    </row>
    <row r="1312" spans="1:20" x14ac:dyDescent="0.25">
      <c r="A1312" t="s">
        <v>107</v>
      </c>
      <c r="B1312" t="s">
        <v>192</v>
      </c>
      <c r="C1312">
        <v>202510</v>
      </c>
      <c r="D1312" s="47" t="str">
        <f>MID(C1312,1,4)</f>
        <v>2025</v>
      </c>
      <c r="E1312" t="str">
        <f>IF(Portfolio!$M$1=1,CONCATENATE(A1312,C1312),CONCATENATE(B1312,C1312))</f>
        <v>MAP GROUP202510</v>
      </c>
      <c r="F1312">
        <v>4</v>
      </c>
      <c r="G1312">
        <v>71</v>
      </c>
      <c r="H1312">
        <v>123</v>
      </c>
      <c r="I1312">
        <v>3</v>
      </c>
      <c r="J1312">
        <v>109</v>
      </c>
      <c r="K1312">
        <v>1039400</v>
      </c>
      <c r="L1312">
        <v>51633128</v>
      </c>
      <c r="M1312">
        <v>78575945</v>
      </c>
      <c r="N1312">
        <v>257001</v>
      </c>
      <c r="O1312">
        <v>5818501</v>
      </c>
      <c r="P1312">
        <v>1559</v>
      </c>
      <c r="Q1312">
        <v>516331</v>
      </c>
      <c r="R1312">
        <v>1021487</v>
      </c>
      <c r="S1312">
        <v>0</v>
      </c>
      <c r="T1312">
        <v>1800</v>
      </c>
    </row>
    <row r="1313" spans="1:20" x14ac:dyDescent="0.25">
      <c r="A1313" t="s">
        <v>107</v>
      </c>
      <c r="B1313" t="s">
        <v>193</v>
      </c>
      <c r="C1313">
        <v>202510</v>
      </c>
      <c r="D1313" s="47" t="str">
        <f>MID(C1313,1,4)</f>
        <v>2025</v>
      </c>
      <c r="E1313" t="str">
        <f>IF(Portfolio!$M$1=1,CONCATENATE(A1313,C1313),CONCATENATE(B1313,C1313))</f>
        <v>MAP GROUP202510</v>
      </c>
      <c r="F1313">
        <v>0</v>
      </c>
      <c r="G1313">
        <v>6</v>
      </c>
      <c r="H1313">
        <v>15</v>
      </c>
      <c r="I1313">
        <v>0</v>
      </c>
      <c r="J1313">
        <v>0</v>
      </c>
      <c r="K1313">
        <v>0</v>
      </c>
      <c r="L1313">
        <v>4051000</v>
      </c>
      <c r="M1313">
        <v>11636300</v>
      </c>
      <c r="N1313">
        <v>0</v>
      </c>
      <c r="O1313">
        <v>0</v>
      </c>
      <c r="P1313">
        <v>0</v>
      </c>
      <c r="Q1313">
        <v>40510</v>
      </c>
      <c r="R1313">
        <v>151272</v>
      </c>
      <c r="S1313">
        <v>0</v>
      </c>
      <c r="T1313">
        <v>0</v>
      </c>
    </row>
    <row r="1314" spans="1:20" x14ac:dyDescent="0.25">
      <c r="A1314" t="s">
        <v>107</v>
      </c>
      <c r="B1314" t="s">
        <v>194</v>
      </c>
      <c r="C1314">
        <v>202510</v>
      </c>
      <c r="D1314" s="47" t="str">
        <f>MID(C1314,1,4)</f>
        <v>2025</v>
      </c>
      <c r="E1314" t="str">
        <f>IF(Portfolio!$M$1=1,CONCATENATE(A1314,C1314),CONCATENATE(B1314,C1314))</f>
        <v>MAP GROUP202510</v>
      </c>
      <c r="F1314">
        <v>2</v>
      </c>
      <c r="G1314">
        <v>9</v>
      </c>
      <c r="H1314">
        <v>28</v>
      </c>
      <c r="I1314">
        <v>0</v>
      </c>
      <c r="J1314">
        <v>0</v>
      </c>
      <c r="K1314">
        <v>3211500</v>
      </c>
      <c r="L1314">
        <v>10397770</v>
      </c>
      <c r="M1314">
        <v>38239840</v>
      </c>
      <c r="N1314">
        <v>0</v>
      </c>
      <c r="O1314">
        <v>0</v>
      </c>
      <c r="P1314">
        <v>4817</v>
      </c>
      <c r="Q1314">
        <v>103978</v>
      </c>
      <c r="R1314">
        <v>497118</v>
      </c>
      <c r="S1314">
        <v>0</v>
      </c>
      <c r="T1314">
        <v>0</v>
      </c>
    </row>
    <row r="1315" spans="1:20" x14ac:dyDescent="0.25">
      <c r="A1315" t="s">
        <v>107</v>
      </c>
      <c r="B1315" t="s">
        <v>195</v>
      </c>
      <c r="C1315">
        <v>202510</v>
      </c>
      <c r="D1315" s="47" t="str">
        <f>MID(C1315,1,4)</f>
        <v>2025</v>
      </c>
      <c r="E1315" t="str">
        <f>IF(Portfolio!$M$1=1,CONCATENATE(A1315,C1315),CONCATENATE(B1315,C1315))</f>
        <v>MAP GROUP202510</v>
      </c>
      <c r="F1315">
        <v>0</v>
      </c>
      <c r="G1315">
        <v>26</v>
      </c>
      <c r="H1315">
        <v>82</v>
      </c>
      <c r="I1315">
        <v>0</v>
      </c>
      <c r="J1315">
        <v>0</v>
      </c>
      <c r="K1315">
        <v>0</v>
      </c>
      <c r="L1315">
        <v>15614990</v>
      </c>
      <c r="M1315">
        <v>59556670</v>
      </c>
      <c r="N1315">
        <v>0</v>
      </c>
      <c r="O1315">
        <v>0</v>
      </c>
      <c r="P1315">
        <v>0</v>
      </c>
      <c r="Q1315">
        <v>156150</v>
      </c>
      <c r="R1315">
        <v>774237</v>
      </c>
      <c r="S1315">
        <v>0</v>
      </c>
      <c r="T1315">
        <v>0</v>
      </c>
    </row>
    <row r="1316" spans="1:20" x14ac:dyDescent="0.25">
      <c r="A1316" t="s">
        <v>107</v>
      </c>
      <c r="B1316" t="s">
        <v>196</v>
      </c>
      <c r="C1316">
        <v>202510</v>
      </c>
      <c r="D1316" s="47" t="str">
        <f>MID(C1316,1,4)</f>
        <v>2025</v>
      </c>
      <c r="E1316" t="str">
        <f>IF(Portfolio!$M$1=1,CONCATENATE(A1316,C1316),CONCATENATE(B1316,C1316))</f>
        <v>MAP GROUP202510</v>
      </c>
      <c r="F1316">
        <v>2</v>
      </c>
      <c r="G1316">
        <v>4</v>
      </c>
      <c r="H1316">
        <v>3</v>
      </c>
      <c r="I1316">
        <v>0</v>
      </c>
      <c r="J1316">
        <v>0</v>
      </c>
      <c r="K1316">
        <v>949400</v>
      </c>
      <c r="L1316">
        <v>1475900</v>
      </c>
      <c r="M1316">
        <v>882900</v>
      </c>
      <c r="N1316">
        <v>0</v>
      </c>
      <c r="O1316">
        <v>0</v>
      </c>
      <c r="P1316">
        <v>1424</v>
      </c>
      <c r="Q1316">
        <v>14759</v>
      </c>
      <c r="R1316">
        <v>11478</v>
      </c>
      <c r="S1316">
        <v>0</v>
      </c>
      <c r="T1316">
        <v>0</v>
      </c>
    </row>
    <row r="1317" spans="1:20" x14ac:dyDescent="0.25">
      <c r="A1317" t="s">
        <v>107</v>
      </c>
      <c r="B1317" t="s">
        <v>197</v>
      </c>
      <c r="C1317">
        <v>202510</v>
      </c>
      <c r="D1317" s="47" t="str">
        <f>MID(C1317,1,4)</f>
        <v>2025</v>
      </c>
      <c r="E1317" t="str">
        <f>IF(Portfolio!$M$1=1,CONCATENATE(A1317,C1317),CONCATENATE(B1317,C1317))</f>
        <v>MAP GROUP202510</v>
      </c>
      <c r="F1317">
        <v>0</v>
      </c>
      <c r="G1317">
        <v>4</v>
      </c>
      <c r="H1317">
        <v>2</v>
      </c>
      <c r="I1317">
        <v>0</v>
      </c>
      <c r="J1317">
        <v>0</v>
      </c>
      <c r="K1317">
        <v>0</v>
      </c>
      <c r="L1317">
        <v>10617000</v>
      </c>
      <c r="M1317">
        <v>6740000</v>
      </c>
      <c r="N1317">
        <v>0</v>
      </c>
      <c r="O1317">
        <v>0</v>
      </c>
      <c r="P1317">
        <v>0</v>
      </c>
      <c r="Q1317">
        <v>106170</v>
      </c>
      <c r="R1317">
        <v>87620</v>
      </c>
      <c r="S1317">
        <v>0</v>
      </c>
      <c r="T1317">
        <v>0</v>
      </c>
    </row>
    <row r="1318" spans="1:20" x14ac:dyDescent="0.25">
      <c r="A1318" t="s">
        <v>107</v>
      </c>
      <c r="B1318" t="s">
        <v>198</v>
      </c>
      <c r="C1318">
        <v>202510</v>
      </c>
      <c r="D1318" s="47" t="str">
        <f>MID(C1318,1,4)</f>
        <v>2025</v>
      </c>
      <c r="E1318" t="str">
        <f>IF(Portfolio!$M$1=1,CONCATENATE(A1318,C1318),CONCATENATE(B1318,C1318))</f>
        <v>MAP GROUP202510</v>
      </c>
      <c r="F1318">
        <v>10</v>
      </c>
      <c r="G1318">
        <v>0</v>
      </c>
      <c r="H1318">
        <v>0</v>
      </c>
      <c r="I1318">
        <v>0</v>
      </c>
      <c r="J1318">
        <v>0</v>
      </c>
      <c r="K1318">
        <v>9131800</v>
      </c>
      <c r="L1318">
        <v>0</v>
      </c>
      <c r="M1318">
        <v>0</v>
      </c>
      <c r="N1318">
        <v>0</v>
      </c>
      <c r="O1318">
        <v>0</v>
      </c>
      <c r="P1318">
        <v>13698</v>
      </c>
      <c r="Q1318">
        <v>0</v>
      </c>
      <c r="R1318">
        <v>0</v>
      </c>
      <c r="S1318">
        <v>0</v>
      </c>
      <c r="T1318">
        <v>0</v>
      </c>
    </row>
    <row r="1319" spans="1:20" x14ac:dyDescent="0.25">
      <c r="A1319" t="s">
        <v>107</v>
      </c>
      <c r="B1319" t="s">
        <v>199</v>
      </c>
      <c r="C1319">
        <v>202510</v>
      </c>
      <c r="D1319" s="47" t="str">
        <f>MID(C1319,1,4)</f>
        <v>2025</v>
      </c>
      <c r="E1319" t="str">
        <f>IF(Portfolio!$M$1=1,CONCATENATE(A1319,C1319),CONCATENATE(B1319,C1319))</f>
        <v>MAP GROUP202510</v>
      </c>
      <c r="F1319">
        <v>173</v>
      </c>
      <c r="G1319">
        <v>2308</v>
      </c>
      <c r="H1319">
        <v>3687</v>
      </c>
      <c r="I1319">
        <v>0</v>
      </c>
      <c r="J1319">
        <v>0</v>
      </c>
      <c r="K1319">
        <v>191361820</v>
      </c>
      <c r="L1319">
        <v>2879652942</v>
      </c>
      <c r="M1319">
        <v>4571981716</v>
      </c>
      <c r="N1319">
        <v>0</v>
      </c>
      <c r="O1319">
        <v>0</v>
      </c>
      <c r="P1319">
        <v>287043</v>
      </c>
      <c r="Q1319">
        <v>28796529</v>
      </c>
      <c r="R1319">
        <v>59435762</v>
      </c>
      <c r="S1319">
        <v>0</v>
      </c>
      <c r="T1319">
        <v>0</v>
      </c>
    </row>
    <row r="1320" spans="1:20" x14ac:dyDescent="0.25">
      <c r="A1320" t="s">
        <v>107</v>
      </c>
      <c r="B1320" t="s">
        <v>200</v>
      </c>
      <c r="C1320">
        <v>202510</v>
      </c>
      <c r="D1320" s="47" t="str">
        <f>MID(C1320,1,4)</f>
        <v>2025</v>
      </c>
      <c r="E1320" t="str">
        <f>IF(Portfolio!$M$1=1,CONCATENATE(A1320,C1320),CONCATENATE(B1320,C1320))</f>
        <v>MAP GROUP202510</v>
      </c>
      <c r="F1320">
        <v>1</v>
      </c>
      <c r="G1320">
        <v>119</v>
      </c>
      <c r="H1320">
        <v>260</v>
      </c>
      <c r="I1320">
        <v>0</v>
      </c>
      <c r="J1320">
        <v>0</v>
      </c>
      <c r="K1320">
        <v>546500</v>
      </c>
      <c r="L1320">
        <v>125726345</v>
      </c>
      <c r="M1320">
        <v>241593193</v>
      </c>
      <c r="N1320">
        <v>0</v>
      </c>
      <c r="O1320">
        <v>0</v>
      </c>
      <c r="P1320">
        <v>820</v>
      </c>
      <c r="Q1320">
        <v>1257263</v>
      </c>
      <c r="R1320">
        <v>3140711</v>
      </c>
      <c r="S1320">
        <v>0</v>
      </c>
      <c r="T1320">
        <v>0</v>
      </c>
    </row>
    <row r="1321" spans="1:20" x14ac:dyDescent="0.25">
      <c r="A1321" t="s">
        <v>107</v>
      </c>
      <c r="B1321" t="s">
        <v>201</v>
      </c>
      <c r="C1321">
        <v>202510</v>
      </c>
      <c r="D1321" s="47" t="str">
        <f>MID(C1321,1,4)</f>
        <v>2025</v>
      </c>
      <c r="E1321" t="str">
        <f>IF(Portfolio!$M$1=1,CONCATENATE(A1321,C1321),CONCATENATE(B1321,C1321))</f>
        <v>MAP GROUP202510</v>
      </c>
      <c r="F1321">
        <v>22</v>
      </c>
      <c r="G1321">
        <v>351</v>
      </c>
      <c r="H1321">
        <v>1065</v>
      </c>
      <c r="I1321">
        <v>0</v>
      </c>
      <c r="J1321">
        <v>0</v>
      </c>
      <c r="K1321">
        <v>7372480</v>
      </c>
      <c r="L1321">
        <v>212268443</v>
      </c>
      <c r="M1321">
        <v>591909212</v>
      </c>
      <c r="N1321">
        <v>0</v>
      </c>
      <c r="O1321">
        <v>0</v>
      </c>
      <c r="P1321">
        <v>11059</v>
      </c>
      <c r="Q1321">
        <v>2122684</v>
      </c>
      <c r="R1321">
        <v>7694820</v>
      </c>
      <c r="S1321">
        <v>0</v>
      </c>
      <c r="T1321">
        <v>0</v>
      </c>
    </row>
    <row r="1322" spans="1:20" x14ac:dyDescent="0.25">
      <c r="A1322" t="s">
        <v>107</v>
      </c>
      <c r="B1322" t="s">
        <v>202</v>
      </c>
      <c r="C1322">
        <v>202510</v>
      </c>
      <c r="D1322" s="47" t="str">
        <f>MID(C1322,1,4)</f>
        <v>2025</v>
      </c>
      <c r="E1322" t="str">
        <f>IF(Portfolio!$M$1=1,CONCATENATE(A1322,C1322),CONCATENATE(B1322,C1322))</f>
        <v>MAP GROUP202510</v>
      </c>
      <c r="F1322">
        <v>2</v>
      </c>
      <c r="G1322">
        <v>16</v>
      </c>
      <c r="H1322">
        <v>21</v>
      </c>
      <c r="I1322">
        <v>0</v>
      </c>
      <c r="J1322">
        <v>0</v>
      </c>
      <c r="K1322">
        <v>1814000</v>
      </c>
      <c r="L1322">
        <v>14369740</v>
      </c>
      <c r="M1322">
        <v>13648900</v>
      </c>
      <c r="N1322">
        <v>0</v>
      </c>
      <c r="O1322">
        <v>0</v>
      </c>
      <c r="P1322">
        <v>2721</v>
      </c>
      <c r="Q1322">
        <v>143697</v>
      </c>
      <c r="R1322">
        <v>177436</v>
      </c>
      <c r="S1322">
        <v>0</v>
      </c>
      <c r="T1322">
        <v>0</v>
      </c>
    </row>
    <row r="1323" spans="1:20" x14ac:dyDescent="0.25">
      <c r="A1323" t="s">
        <v>107</v>
      </c>
      <c r="B1323" t="s">
        <v>203</v>
      </c>
      <c r="C1323">
        <v>202510</v>
      </c>
      <c r="D1323" s="47" t="str">
        <f>MID(C1323,1,4)</f>
        <v>2025</v>
      </c>
      <c r="E1323" t="str">
        <f>IF(Portfolio!$M$1=1,CONCATENATE(A1323,C1323),CONCATENATE(B1323,C1323))</f>
        <v>MAP GROUP202510</v>
      </c>
      <c r="F1323">
        <v>756</v>
      </c>
      <c r="G1323">
        <v>9035</v>
      </c>
      <c r="H1323">
        <v>10635</v>
      </c>
      <c r="I1323">
        <v>0</v>
      </c>
      <c r="J1323">
        <v>0</v>
      </c>
      <c r="K1323">
        <v>451531656</v>
      </c>
      <c r="L1323">
        <v>5833519175</v>
      </c>
      <c r="M1323">
        <v>6871304300</v>
      </c>
      <c r="N1323">
        <v>0</v>
      </c>
      <c r="O1323">
        <v>0</v>
      </c>
      <c r="P1323">
        <v>677297</v>
      </c>
      <c r="Q1323">
        <v>58335192</v>
      </c>
      <c r="R1323">
        <v>89326956</v>
      </c>
      <c r="S1323">
        <v>0</v>
      </c>
      <c r="T1323">
        <v>0</v>
      </c>
    </row>
    <row r="1324" spans="1:20" x14ac:dyDescent="0.25">
      <c r="A1324" t="s">
        <v>107</v>
      </c>
      <c r="B1324" t="s">
        <v>204</v>
      </c>
      <c r="C1324">
        <v>202510</v>
      </c>
      <c r="D1324" s="47" t="str">
        <f>MID(C1324,1,4)</f>
        <v>2025</v>
      </c>
      <c r="E1324" t="str">
        <f>IF(Portfolio!$M$1=1,CONCATENATE(A1324,C1324),CONCATENATE(B1324,C1324))</f>
        <v>MAP GROUP202510</v>
      </c>
      <c r="F1324">
        <v>19</v>
      </c>
      <c r="G1324">
        <v>145</v>
      </c>
      <c r="H1324">
        <v>433</v>
      </c>
      <c r="I1324">
        <v>0</v>
      </c>
      <c r="J1324">
        <v>0</v>
      </c>
      <c r="K1324">
        <v>36827430</v>
      </c>
      <c r="L1324">
        <v>297611630</v>
      </c>
      <c r="M1324">
        <v>825019649</v>
      </c>
      <c r="N1324">
        <v>0</v>
      </c>
      <c r="O1324">
        <v>0</v>
      </c>
      <c r="P1324">
        <v>55241</v>
      </c>
      <c r="Q1324">
        <v>2976116</v>
      </c>
      <c r="R1324">
        <v>10725255</v>
      </c>
      <c r="S1324">
        <v>0</v>
      </c>
      <c r="T1324">
        <v>0</v>
      </c>
    </row>
    <row r="1325" spans="1:20" x14ac:dyDescent="0.25">
      <c r="A1325" t="s">
        <v>107</v>
      </c>
      <c r="B1325" t="s">
        <v>205</v>
      </c>
      <c r="C1325">
        <v>202510</v>
      </c>
      <c r="D1325" s="47" t="str">
        <f>MID(C1325,1,4)</f>
        <v>2025</v>
      </c>
      <c r="E1325" t="str">
        <f>IF(Portfolio!$M$1=1,CONCATENATE(A1325,C1325),CONCATENATE(B1325,C1325))</f>
        <v>MAP GROUP202510</v>
      </c>
      <c r="F1325">
        <v>1</v>
      </c>
      <c r="G1325">
        <v>25</v>
      </c>
      <c r="H1325">
        <v>35</v>
      </c>
      <c r="I1325">
        <v>0</v>
      </c>
      <c r="J1325">
        <v>0</v>
      </c>
      <c r="K1325">
        <v>100000</v>
      </c>
      <c r="L1325">
        <v>3922250</v>
      </c>
      <c r="M1325">
        <v>4207800</v>
      </c>
      <c r="N1325">
        <v>0</v>
      </c>
      <c r="O1325">
        <v>0</v>
      </c>
      <c r="P1325">
        <v>150</v>
      </c>
      <c r="Q1325">
        <v>39222</v>
      </c>
      <c r="R1325">
        <v>54701</v>
      </c>
      <c r="S1325">
        <v>0</v>
      </c>
      <c r="T1325">
        <v>0</v>
      </c>
    </row>
    <row r="1326" spans="1:20" x14ac:dyDescent="0.25">
      <c r="A1326" t="s">
        <v>107</v>
      </c>
      <c r="B1326" t="s">
        <v>206</v>
      </c>
      <c r="C1326">
        <v>202510</v>
      </c>
      <c r="D1326" s="47" t="str">
        <f>MID(C1326,1,4)</f>
        <v>2025</v>
      </c>
      <c r="E1326" t="str">
        <f>IF(Portfolio!$M$1=1,CONCATENATE(A1326,C1326),CONCATENATE(B1326,C1326))</f>
        <v>MAP GROUP202510</v>
      </c>
      <c r="F1326">
        <v>4</v>
      </c>
      <c r="G1326">
        <v>131</v>
      </c>
      <c r="H1326">
        <v>304</v>
      </c>
      <c r="I1326">
        <v>0</v>
      </c>
      <c r="J1326">
        <v>0</v>
      </c>
      <c r="K1326">
        <v>5878430</v>
      </c>
      <c r="L1326">
        <v>224049189</v>
      </c>
      <c r="M1326">
        <v>468118980</v>
      </c>
      <c r="N1326">
        <v>0</v>
      </c>
      <c r="O1326">
        <v>0</v>
      </c>
      <c r="P1326">
        <v>8818</v>
      </c>
      <c r="Q1326">
        <v>2240492</v>
      </c>
      <c r="R1326">
        <v>6085547</v>
      </c>
      <c r="S1326">
        <v>0</v>
      </c>
      <c r="T1326">
        <v>0</v>
      </c>
    </row>
    <row r="1327" spans="1:20" x14ac:dyDescent="0.25">
      <c r="A1327" t="s">
        <v>107</v>
      </c>
      <c r="B1327" t="s">
        <v>207</v>
      </c>
      <c r="C1327">
        <v>202510</v>
      </c>
      <c r="D1327" s="47" t="str">
        <f>MID(C1327,1,4)</f>
        <v>2025</v>
      </c>
      <c r="E1327" t="str">
        <f>IF(Portfolio!$M$1=1,CONCATENATE(A1327,C1327),CONCATENATE(B1327,C1327))</f>
        <v>MAP GROUP202510</v>
      </c>
      <c r="F1327">
        <v>0</v>
      </c>
      <c r="G1327">
        <v>0</v>
      </c>
      <c r="H1327">
        <v>0</v>
      </c>
      <c r="I1327">
        <v>2</v>
      </c>
      <c r="J1327">
        <v>0</v>
      </c>
      <c r="K1327">
        <v>0</v>
      </c>
      <c r="L1327">
        <v>0</v>
      </c>
      <c r="M1327">
        <v>0</v>
      </c>
      <c r="N1327">
        <v>398000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 spans="1:20" x14ac:dyDescent="0.25">
      <c r="A1328" t="s">
        <v>107</v>
      </c>
      <c r="B1328" t="s">
        <v>209</v>
      </c>
      <c r="C1328">
        <v>202510</v>
      </c>
      <c r="D1328" s="47" t="str">
        <f>MID(C1328,1,4)</f>
        <v>2025</v>
      </c>
      <c r="E1328" t="str">
        <f>IF(Portfolio!$M$1=1,CONCATENATE(A1328,C1328),CONCATENATE(B1328,C1328))</f>
        <v>MAP GROUP202510</v>
      </c>
      <c r="F1328">
        <v>0</v>
      </c>
      <c r="G1328">
        <v>3</v>
      </c>
      <c r="H1328">
        <v>40</v>
      </c>
      <c r="I1328">
        <v>0</v>
      </c>
      <c r="J1328">
        <v>0</v>
      </c>
      <c r="K1328">
        <v>0</v>
      </c>
      <c r="L1328">
        <v>4046600</v>
      </c>
      <c r="M1328">
        <v>50284350</v>
      </c>
      <c r="N1328">
        <v>0</v>
      </c>
      <c r="O1328">
        <v>0</v>
      </c>
      <c r="P1328">
        <v>0</v>
      </c>
      <c r="Q1328">
        <v>40466</v>
      </c>
      <c r="R1328">
        <v>653697</v>
      </c>
      <c r="S1328">
        <v>0</v>
      </c>
      <c r="T1328">
        <v>0</v>
      </c>
    </row>
    <row r="1329" spans="1:20" x14ac:dyDescent="0.25">
      <c r="A1329" t="s">
        <v>109</v>
      </c>
      <c r="B1329" t="s">
        <v>109</v>
      </c>
      <c r="C1329">
        <v>202510</v>
      </c>
      <c r="D1329" s="47" t="str">
        <f>MID(C1329,1,4)</f>
        <v>2025</v>
      </c>
      <c r="E1329" t="str">
        <f>IF(Portfolio!$M$1=1,CONCATENATE(A1329,C1329),CONCATENATE(B1329,C1329))</f>
        <v>MITRA10202510</v>
      </c>
      <c r="F1329">
        <v>486</v>
      </c>
      <c r="G1329">
        <v>3</v>
      </c>
      <c r="H1329">
        <v>0</v>
      </c>
      <c r="I1329">
        <v>0</v>
      </c>
      <c r="J1329">
        <v>0</v>
      </c>
      <c r="K1329">
        <v>1110262165</v>
      </c>
      <c r="L1329">
        <v>1100502</v>
      </c>
      <c r="M1329">
        <v>0</v>
      </c>
      <c r="N1329">
        <v>0</v>
      </c>
      <c r="O1329">
        <v>0</v>
      </c>
      <c r="P1329">
        <v>1665392</v>
      </c>
      <c r="Q1329">
        <v>11005</v>
      </c>
      <c r="R1329">
        <v>0</v>
      </c>
      <c r="S1329">
        <v>0</v>
      </c>
      <c r="T1329">
        <v>0</v>
      </c>
    </row>
    <row r="1330" spans="1:20" x14ac:dyDescent="0.25">
      <c r="A1330" t="s">
        <v>110</v>
      </c>
      <c r="B1330" t="s">
        <v>110</v>
      </c>
      <c r="C1330">
        <v>202510</v>
      </c>
      <c r="D1330" s="47" t="str">
        <f>MID(C1330,1,4)</f>
        <v>2025</v>
      </c>
      <c r="E1330" t="str">
        <f>IF(Portfolio!$M$1=1,CONCATENATE(A1330,C1330),CONCATENATE(B1330,C1330))</f>
        <v>OPTIK MELAWAI202510</v>
      </c>
      <c r="F1330">
        <v>96</v>
      </c>
      <c r="G1330">
        <v>0</v>
      </c>
      <c r="H1330">
        <v>0</v>
      </c>
      <c r="I1330">
        <v>0</v>
      </c>
      <c r="J1330">
        <v>0</v>
      </c>
      <c r="K1330">
        <v>193193800</v>
      </c>
      <c r="L1330">
        <v>0</v>
      </c>
      <c r="M1330">
        <v>0</v>
      </c>
      <c r="N1330">
        <v>0</v>
      </c>
      <c r="O1330">
        <v>0</v>
      </c>
      <c r="P1330">
        <v>289791</v>
      </c>
      <c r="Q1330">
        <v>0</v>
      </c>
      <c r="R1330">
        <v>0</v>
      </c>
      <c r="S1330">
        <v>0</v>
      </c>
      <c r="T1330">
        <v>0</v>
      </c>
    </row>
    <row r="1331" spans="1:20" x14ac:dyDescent="0.25">
      <c r="A1331" t="s">
        <v>111</v>
      </c>
      <c r="B1331" t="s">
        <v>210</v>
      </c>
      <c r="C1331">
        <v>202510</v>
      </c>
      <c r="D1331" s="47" t="str">
        <f>MID(C1331,1,4)</f>
        <v>2025</v>
      </c>
      <c r="E1331" t="str">
        <f>IF(Portfolio!$M$1=1,CONCATENATE(A1331,C1331),CONCATENATE(B1331,C1331))</f>
        <v>PATRA JASA202510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 spans="1:20" x14ac:dyDescent="0.25">
      <c r="A1332" t="s">
        <v>111</v>
      </c>
      <c r="B1332" t="s">
        <v>212</v>
      </c>
      <c r="C1332">
        <v>202510</v>
      </c>
      <c r="D1332" s="47" t="str">
        <f>MID(C1332,1,4)</f>
        <v>2025</v>
      </c>
      <c r="E1332" t="str">
        <f>IF(Portfolio!$M$1=1,CONCATENATE(A1332,C1332),CONCATENATE(B1332,C1332))</f>
        <v>PATRA JASA202510</v>
      </c>
      <c r="F1332">
        <v>0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2400000</v>
      </c>
      <c r="N1332">
        <v>0</v>
      </c>
      <c r="O1332">
        <v>0</v>
      </c>
      <c r="P1332">
        <v>0</v>
      </c>
      <c r="Q1332">
        <v>0</v>
      </c>
      <c r="R1332">
        <v>43200</v>
      </c>
      <c r="S1332">
        <v>0</v>
      </c>
      <c r="T1332">
        <v>0</v>
      </c>
    </row>
    <row r="1333" spans="1:20" x14ac:dyDescent="0.25">
      <c r="A1333" t="s">
        <v>112</v>
      </c>
      <c r="B1333" t="s">
        <v>216</v>
      </c>
      <c r="C1333">
        <v>202510</v>
      </c>
      <c r="D1333" s="47" t="str">
        <f>MID(C1333,1,4)</f>
        <v>2025</v>
      </c>
      <c r="E1333" t="str">
        <f>IF(Portfolio!$M$1=1,CONCATENATE(A1333,C1333),CONCATENATE(B1333,C1333))</f>
        <v>PERTAMINA RETAIL202510</v>
      </c>
      <c r="F1333">
        <v>51</v>
      </c>
      <c r="G1333">
        <v>1885</v>
      </c>
      <c r="H1333">
        <v>283</v>
      </c>
      <c r="I1333">
        <v>86</v>
      </c>
      <c r="J1333">
        <v>10532</v>
      </c>
      <c r="K1333">
        <v>9928660</v>
      </c>
      <c r="L1333">
        <v>305910145</v>
      </c>
      <c r="M1333">
        <v>73793230</v>
      </c>
      <c r="N1333">
        <v>12211544</v>
      </c>
      <c r="O1333">
        <v>908228531</v>
      </c>
      <c r="P1333">
        <v>14893</v>
      </c>
      <c r="Q1333">
        <v>2793444</v>
      </c>
      <c r="R1333">
        <v>1328278</v>
      </c>
      <c r="S1333">
        <v>32711</v>
      </c>
      <c r="T1333">
        <v>2303070</v>
      </c>
    </row>
    <row r="1334" spans="1:20" x14ac:dyDescent="0.25">
      <c r="A1334" t="s">
        <v>114</v>
      </c>
      <c r="B1334" t="s">
        <v>217</v>
      </c>
      <c r="C1334">
        <v>202510</v>
      </c>
      <c r="D1334" s="47" t="str">
        <f>MID(C1334,1,4)</f>
        <v>2025</v>
      </c>
      <c r="E1334" t="str">
        <f>IF(Portfolio!$M$1=1,CONCATENATE(A1334,C1334),CONCATENATE(B1334,C1334))</f>
        <v>PIZZA HUT202510</v>
      </c>
      <c r="F1334">
        <v>25</v>
      </c>
      <c r="G1334">
        <v>0</v>
      </c>
      <c r="H1334">
        <v>0</v>
      </c>
      <c r="I1334">
        <v>0</v>
      </c>
      <c r="J1334">
        <v>31</v>
      </c>
      <c r="K1334">
        <v>3583994</v>
      </c>
      <c r="L1334">
        <v>0</v>
      </c>
      <c r="M1334">
        <v>0</v>
      </c>
      <c r="N1334">
        <v>0</v>
      </c>
      <c r="O1334">
        <v>680000</v>
      </c>
      <c r="P1334">
        <v>5376</v>
      </c>
      <c r="Q1334">
        <v>0</v>
      </c>
      <c r="R1334">
        <v>0</v>
      </c>
      <c r="S1334">
        <v>0</v>
      </c>
      <c r="T1334">
        <v>0</v>
      </c>
    </row>
    <row r="1335" spans="1:20" x14ac:dyDescent="0.25">
      <c r="A1335" t="s">
        <v>114</v>
      </c>
      <c r="B1335" t="s">
        <v>218</v>
      </c>
      <c r="C1335">
        <v>202510</v>
      </c>
      <c r="D1335" s="47" t="str">
        <f>MID(C1335,1,4)</f>
        <v>2025</v>
      </c>
      <c r="E1335" t="str">
        <f>IF(Portfolio!$M$1=1,CONCATENATE(A1335,C1335),CONCATENATE(B1335,C1335))</f>
        <v>PIZZA HUT202510</v>
      </c>
      <c r="F1335">
        <v>131</v>
      </c>
      <c r="G1335">
        <v>0</v>
      </c>
      <c r="H1335">
        <v>0</v>
      </c>
      <c r="I1335">
        <v>0</v>
      </c>
      <c r="J1335">
        <v>0</v>
      </c>
      <c r="K1335">
        <v>37917018</v>
      </c>
      <c r="L1335">
        <v>0</v>
      </c>
      <c r="M1335">
        <v>0</v>
      </c>
      <c r="N1335">
        <v>0</v>
      </c>
      <c r="O1335">
        <v>0</v>
      </c>
      <c r="P1335">
        <v>56875</v>
      </c>
      <c r="Q1335">
        <v>0</v>
      </c>
      <c r="R1335">
        <v>0</v>
      </c>
      <c r="S1335">
        <v>0</v>
      </c>
      <c r="T1335">
        <v>0</v>
      </c>
    </row>
    <row r="1336" spans="1:20" x14ac:dyDescent="0.25">
      <c r="A1336" t="s">
        <v>115</v>
      </c>
      <c r="B1336" t="s">
        <v>115</v>
      </c>
      <c r="C1336">
        <v>202510</v>
      </c>
      <c r="D1336" s="47" t="str">
        <f>MID(C1336,1,4)</f>
        <v>2025</v>
      </c>
      <c r="E1336" t="str">
        <f>IF(Portfolio!$M$1=1,CONCATENATE(A1336,C1336),CONCATENATE(B1336,C1336))</f>
        <v>PLATINUM CINEPLEX202510</v>
      </c>
      <c r="F1336">
        <v>1</v>
      </c>
      <c r="G1336">
        <v>33</v>
      </c>
      <c r="H1336">
        <v>19</v>
      </c>
      <c r="I1336">
        <v>2</v>
      </c>
      <c r="J1336">
        <v>355</v>
      </c>
      <c r="K1336">
        <v>143000</v>
      </c>
      <c r="L1336">
        <v>3919000</v>
      </c>
      <c r="M1336">
        <v>3775000</v>
      </c>
      <c r="N1336">
        <v>240000</v>
      </c>
      <c r="O1336">
        <v>41005001</v>
      </c>
      <c r="P1336">
        <v>214</v>
      </c>
      <c r="Q1336">
        <v>39190</v>
      </c>
      <c r="R1336">
        <v>68540</v>
      </c>
      <c r="S1336">
        <v>1680</v>
      </c>
      <c r="T1336">
        <v>287035</v>
      </c>
    </row>
    <row r="1337" spans="1:20" x14ac:dyDescent="0.25">
      <c r="A1337" t="s">
        <v>116</v>
      </c>
      <c r="B1337" t="s">
        <v>116</v>
      </c>
      <c r="C1337">
        <v>202510</v>
      </c>
      <c r="D1337" s="47" t="str">
        <f>MID(C1337,1,4)</f>
        <v>2025</v>
      </c>
      <c r="E1337" t="str">
        <f>IF(Portfolio!$M$1=1,CONCATENATE(A1337,C1337),CONCATENATE(B1337,C1337))</f>
        <v>POPEYES202510</v>
      </c>
      <c r="F1337">
        <v>0</v>
      </c>
      <c r="G1337">
        <v>0</v>
      </c>
      <c r="H1337">
        <v>0</v>
      </c>
      <c r="I1337">
        <v>0</v>
      </c>
      <c r="J1337">
        <v>2</v>
      </c>
      <c r="K1337">
        <v>0</v>
      </c>
      <c r="L1337">
        <v>0</v>
      </c>
      <c r="M1337">
        <v>0</v>
      </c>
      <c r="N1337">
        <v>0</v>
      </c>
      <c r="O1337">
        <v>452991</v>
      </c>
      <c r="P1337">
        <v>0</v>
      </c>
      <c r="Q1337">
        <v>0</v>
      </c>
      <c r="R1337">
        <v>0</v>
      </c>
      <c r="S1337">
        <v>0</v>
      </c>
      <c r="T1337">
        <v>3170</v>
      </c>
    </row>
    <row r="1338" spans="1:20" x14ac:dyDescent="0.25">
      <c r="A1338" t="s">
        <v>118</v>
      </c>
      <c r="B1338" t="s">
        <v>118</v>
      </c>
      <c r="C1338">
        <v>202510</v>
      </c>
      <c r="D1338" s="47" t="str">
        <f>MID(C1338,1,4)</f>
        <v>2025</v>
      </c>
      <c r="E1338" t="str">
        <f>IF(Portfolio!$M$1=1,CONCATENATE(A1338,C1338),CONCATENATE(B1338,C1338))</f>
        <v>SARINAH202510</v>
      </c>
      <c r="F1338">
        <v>6</v>
      </c>
      <c r="G1338">
        <v>272</v>
      </c>
      <c r="H1338">
        <v>356</v>
      </c>
      <c r="I1338">
        <v>9</v>
      </c>
      <c r="J1338">
        <v>693</v>
      </c>
      <c r="K1338">
        <v>2748901</v>
      </c>
      <c r="L1338">
        <v>159715085</v>
      </c>
      <c r="M1338">
        <v>256767516</v>
      </c>
      <c r="N1338">
        <v>3671801</v>
      </c>
      <c r="O1338">
        <v>190445037</v>
      </c>
      <c r="P1338">
        <v>4123</v>
      </c>
      <c r="Q1338">
        <v>1597151</v>
      </c>
      <c r="R1338">
        <v>4690747</v>
      </c>
      <c r="S1338">
        <v>5200</v>
      </c>
      <c r="T1338">
        <v>146967</v>
      </c>
    </row>
    <row r="1339" spans="1:20" x14ac:dyDescent="0.25">
      <c r="A1339" t="s">
        <v>120</v>
      </c>
      <c r="B1339" t="s">
        <v>120</v>
      </c>
      <c r="C1339">
        <v>202510</v>
      </c>
      <c r="D1339" s="47" t="str">
        <f>MID(C1339,1,4)</f>
        <v>2025</v>
      </c>
      <c r="E1339" t="str">
        <f>IF(Portfolio!$M$1=1,CONCATENATE(A1339,C1339),CONCATENATE(B1339,C1339))</f>
        <v>SHIHLIN202510</v>
      </c>
      <c r="F1339">
        <v>31</v>
      </c>
      <c r="G1339">
        <v>6</v>
      </c>
      <c r="H1339">
        <v>1</v>
      </c>
      <c r="I1339">
        <v>48</v>
      </c>
      <c r="J1339">
        <v>2360</v>
      </c>
      <c r="K1339">
        <v>2349000</v>
      </c>
      <c r="L1339">
        <v>459000</v>
      </c>
      <c r="M1339">
        <v>92000</v>
      </c>
      <c r="N1339">
        <v>3723000</v>
      </c>
      <c r="O1339">
        <v>157008085</v>
      </c>
      <c r="P1339">
        <v>3524</v>
      </c>
      <c r="Q1339">
        <v>4590</v>
      </c>
      <c r="R1339">
        <v>1656</v>
      </c>
      <c r="S1339">
        <v>0</v>
      </c>
      <c r="T1339">
        <v>215859</v>
      </c>
    </row>
    <row r="1340" spans="1:20" x14ac:dyDescent="0.25">
      <c r="A1340" t="s">
        <v>122</v>
      </c>
      <c r="B1340" t="s">
        <v>122</v>
      </c>
      <c r="C1340">
        <v>202510</v>
      </c>
      <c r="D1340" s="47" t="str">
        <f>MID(C1340,1,4)</f>
        <v>2025</v>
      </c>
      <c r="E1340" t="str">
        <f>IF(Portfolio!$M$1=1,CONCATENATE(A1340,C1340),CONCATENATE(B1340,C1340))</f>
        <v>SOLARIA202510</v>
      </c>
      <c r="F1340">
        <v>1283</v>
      </c>
      <c r="G1340">
        <v>3</v>
      </c>
      <c r="H1340">
        <v>0</v>
      </c>
      <c r="I1340">
        <v>18</v>
      </c>
      <c r="J1340">
        <v>1194</v>
      </c>
      <c r="K1340">
        <v>209067600</v>
      </c>
      <c r="L1340">
        <v>341000</v>
      </c>
      <c r="M1340">
        <v>0</v>
      </c>
      <c r="N1340">
        <v>3070000</v>
      </c>
      <c r="O1340">
        <v>165087300</v>
      </c>
      <c r="P1340">
        <v>313601</v>
      </c>
      <c r="Q1340">
        <v>3410</v>
      </c>
      <c r="R1340">
        <v>0</v>
      </c>
      <c r="S1340">
        <v>21490</v>
      </c>
      <c r="T1340">
        <v>1155611</v>
      </c>
    </row>
    <row r="1341" spans="1:20" x14ac:dyDescent="0.25">
      <c r="A1341" t="s">
        <v>124</v>
      </c>
      <c r="B1341" t="s">
        <v>124</v>
      </c>
      <c r="C1341">
        <v>202510</v>
      </c>
      <c r="D1341" s="47" t="str">
        <f>MID(C1341,1,4)</f>
        <v>2025</v>
      </c>
      <c r="E1341" t="str">
        <f>IF(Portfolio!$M$1=1,CONCATENATE(A1341,C1341),CONCATENATE(B1341,C1341))</f>
        <v>SOUR SALLY202510</v>
      </c>
      <c r="F1341">
        <v>0</v>
      </c>
      <c r="G1341">
        <v>1</v>
      </c>
      <c r="H1341">
        <v>0</v>
      </c>
      <c r="I1341">
        <v>26</v>
      </c>
      <c r="J1341">
        <v>397</v>
      </c>
      <c r="K1341">
        <v>0</v>
      </c>
      <c r="L1341">
        <v>106000</v>
      </c>
      <c r="M1341">
        <v>0</v>
      </c>
      <c r="N1341">
        <v>2318000</v>
      </c>
      <c r="O1341">
        <v>29990802</v>
      </c>
      <c r="P1341">
        <v>0</v>
      </c>
      <c r="Q1341">
        <v>1060</v>
      </c>
      <c r="R1341">
        <v>0</v>
      </c>
      <c r="S1341">
        <v>16226</v>
      </c>
      <c r="T1341">
        <v>209935</v>
      </c>
    </row>
    <row r="1342" spans="1:20" x14ac:dyDescent="0.25">
      <c r="A1342" t="s">
        <v>126</v>
      </c>
      <c r="B1342" t="s">
        <v>220</v>
      </c>
      <c r="C1342">
        <v>202510</v>
      </c>
      <c r="D1342" s="47" t="str">
        <f>MID(C1342,1,4)</f>
        <v>2025</v>
      </c>
      <c r="E1342" t="str">
        <f>IF(Portfolio!$M$1=1,CONCATENATE(A1342,C1342),CONCATENATE(B1342,C1342))</f>
        <v>STEVEN GROUP202510</v>
      </c>
      <c r="F1342">
        <v>9</v>
      </c>
      <c r="G1342">
        <v>13</v>
      </c>
      <c r="H1342">
        <v>2</v>
      </c>
      <c r="I1342">
        <v>1</v>
      </c>
      <c r="J1342">
        <v>85</v>
      </c>
      <c r="K1342">
        <v>785134</v>
      </c>
      <c r="L1342">
        <v>4710834</v>
      </c>
      <c r="M1342">
        <v>362146</v>
      </c>
      <c r="N1342">
        <v>1</v>
      </c>
      <c r="O1342">
        <v>15232279</v>
      </c>
      <c r="P1342">
        <v>1178</v>
      </c>
      <c r="Q1342">
        <v>47108</v>
      </c>
      <c r="R1342">
        <v>7243</v>
      </c>
      <c r="S1342">
        <v>0</v>
      </c>
      <c r="T1342">
        <v>106627</v>
      </c>
    </row>
    <row r="1343" spans="1:20" x14ac:dyDescent="0.25">
      <c r="A1343" t="s">
        <v>126</v>
      </c>
      <c r="B1343" t="s">
        <v>221</v>
      </c>
      <c r="C1343">
        <v>202510</v>
      </c>
      <c r="D1343" s="47" t="str">
        <f>MID(C1343,1,4)</f>
        <v>2025</v>
      </c>
      <c r="E1343" t="str">
        <f>IF(Portfolio!$M$1=1,CONCATENATE(A1343,C1343),CONCATENATE(B1343,C1343))</f>
        <v>STEVEN GROUP202510</v>
      </c>
      <c r="F1343">
        <v>0</v>
      </c>
      <c r="G1343">
        <v>0</v>
      </c>
      <c r="H1343">
        <v>0</v>
      </c>
      <c r="I1343">
        <v>12</v>
      </c>
      <c r="J1343">
        <v>417</v>
      </c>
      <c r="K1343">
        <v>0</v>
      </c>
      <c r="L1343">
        <v>0</v>
      </c>
      <c r="M1343">
        <v>0</v>
      </c>
      <c r="N1343">
        <v>362000</v>
      </c>
      <c r="O1343">
        <v>13073000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 spans="1:20" x14ac:dyDescent="0.25">
      <c r="A1344" t="s">
        <v>126</v>
      </c>
      <c r="B1344" t="s">
        <v>222</v>
      </c>
      <c r="C1344">
        <v>202510</v>
      </c>
      <c r="D1344" s="47" t="str">
        <f>MID(C1344,1,4)</f>
        <v>2025</v>
      </c>
      <c r="E1344" t="str">
        <f>IF(Portfolio!$M$1=1,CONCATENATE(A1344,C1344),CONCATENATE(B1344,C1344))</f>
        <v>STEVEN GROUP202510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 spans="1:20" x14ac:dyDescent="0.25">
      <c r="A1345" t="s">
        <v>126</v>
      </c>
      <c r="B1345" t="s">
        <v>224</v>
      </c>
      <c r="C1345">
        <v>202510</v>
      </c>
      <c r="D1345" s="47" t="str">
        <f>MID(C1345,1,4)</f>
        <v>2025</v>
      </c>
      <c r="E1345" t="str">
        <f>IF(Portfolio!$M$1=1,CONCATENATE(A1345,C1345),CONCATENATE(B1345,C1345))</f>
        <v>STEVEN GROUP202510</v>
      </c>
      <c r="F1345">
        <v>0</v>
      </c>
      <c r="G1345">
        <v>0</v>
      </c>
      <c r="H1345">
        <v>1</v>
      </c>
      <c r="I1345">
        <v>0</v>
      </c>
      <c r="J1345">
        <v>1</v>
      </c>
      <c r="K1345">
        <v>0</v>
      </c>
      <c r="L1345">
        <v>0</v>
      </c>
      <c r="M1345">
        <v>11530000</v>
      </c>
      <c r="N1345">
        <v>0</v>
      </c>
      <c r="O1345">
        <v>1</v>
      </c>
      <c r="P1345">
        <v>0</v>
      </c>
      <c r="Q1345">
        <v>0</v>
      </c>
      <c r="R1345">
        <v>230600</v>
      </c>
      <c r="S1345">
        <v>0</v>
      </c>
      <c r="T1345">
        <v>0</v>
      </c>
    </row>
    <row r="1346" spans="1:20" x14ac:dyDescent="0.25">
      <c r="A1346" t="s">
        <v>126</v>
      </c>
      <c r="B1346" t="s">
        <v>228</v>
      </c>
      <c r="C1346">
        <v>202510</v>
      </c>
      <c r="D1346" s="47" t="str">
        <f>MID(C1346,1,4)</f>
        <v>2025</v>
      </c>
      <c r="E1346" t="str">
        <f>IF(Portfolio!$M$1=1,CONCATENATE(A1346,C1346),CONCATENATE(B1346,C1346))</f>
        <v>STEVEN GROUP202510</v>
      </c>
      <c r="F1346">
        <v>0</v>
      </c>
      <c r="G1346">
        <v>0</v>
      </c>
      <c r="H1346">
        <v>0</v>
      </c>
      <c r="I1346">
        <v>0</v>
      </c>
      <c r="J1346">
        <v>1495</v>
      </c>
      <c r="K1346">
        <v>0</v>
      </c>
      <c r="L1346">
        <v>0</v>
      </c>
      <c r="M1346">
        <v>0</v>
      </c>
      <c r="N1346">
        <v>0</v>
      </c>
      <c r="O1346">
        <v>92106417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 spans="1:20" x14ac:dyDescent="0.25">
      <c r="A1347" t="s">
        <v>126</v>
      </c>
      <c r="B1347" t="s">
        <v>132</v>
      </c>
      <c r="C1347">
        <v>202510</v>
      </c>
      <c r="D1347" s="47" t="str">
        <f>MID(C1347,1,4)</f>
        <v>2025</v>
      </c>
      <c r="E1347" t="str">
        <f>IF(Portfolio!$M$1=1,CONCATENATE(A1347,C1347),CONCATENATE(B1347,C1347))</f>
        <v>STEVEN GROUP202510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 spans="1:20" x14ac:dyDescent="0.25">
      <c r="A1348" t="s">
        <v>128</v>
      </c>
      <c r="B1348" t="s">
        <v>226</v>
      </c>
      <c r="C1348">
        <v>202510</v>
      </c>
      <c r="D1348" s="47" t="str">
        <f>MID(C1348,1,4)</f>
        <v>2025</v>
      </c>
      <c r="E1348" t="str">
        <f>IF(Portfolio!$M$1=1,CONCATENATE(A1348,C1348),CONCATENATE(B1348,C1348))</f>
        <v>SUPRA BOGA LESTARI202510</v>
      </c>
      <c r="F1348">
        <v>1</v>
      </c>
      <c r="G1348">
        <v>0</v>
      </c>
      <c r="H1348">
        <v>0</v>
      </c>
      <c r="I1348">
        <v>0</v>
      </c>
      <c r="J1348">
        <v>0</v>
      </c>
      <c r="K1348">
        <v>472274</v>
      </c>
      <c r="L1348">
        <v>0</v>
      </c>
      <c r="M1348">
        <v>0</v>
      </c>
      <c r="N1348">
        <v>0</v>
      </c>
      <c r="O1348">
        <v>0</v>
      </c>
      <c r="P1348">
        <v>708</v>
      </c>
      <c r="Q1348">
        <v>0</v>
      </c>
      <c r="R1348">
        <v>0</v>
      </c>
      <c r="S1348">
        <v>0</v>
      </c>
      <c r="T1348">
        <v>0</v>
      </c>
    </row>
    <row r="1349" spans="1:20" x14ac:dyDescent="0.25">
      <c r="A1349" t="s">
        <v>138</v>
      </c>
      <c r="B1349" t="s">
        <v>138</v>
      </c>
      <c r="C1349">
        <v>202510</v>
      </c>
      <c r="D1349" s="47" t="str">
        <f>MID(C1349,1,4)</f>
        <v>2025</v>
      </c>
      <c r="E1349" t="str">
        <f>IF(Portfolio!$M$1=1,CONCATENATE(A1349,C1349),CONCATENATE(B1349,C1349))</f>
        <v>YOSHINOYA202510</v>
      </c>
      <c r="F1349">
        <v>269</v>
      </c>
      <c r="G1349">
        <v>9284</v>
      </c>
      <c r="H1349">
        <v>124</v>
      </c>
      <c r="I1349">
        <v>0</v>
      </c>
      <c r="J1349">
        <v>30308</v>
      </c>
      <c r="K1349">
        <v>40536100</v>
      </c>
      <c r="L1349">
        <v>1323331700</v>
      </c>
      <c r="M1349">
        <v>19164500</v>
      </c>
      <c r="N1349">
        <v>0</v>
      </c>
      <c r="O1349">
        <v>3754410604</v>
      </c>
      <c r="P1349">
        <v>60804</v>
      </c>
      <c r="Q1349">
        <v>13233317</v>
      </c>
      <c r="R1349">
        <v>213176</v>
      </c>
      <c r="S1349">
        <v>0</v>
      </c>
      <c r="T1349">
        <v>26280672</v>
      </c>
    </row>
    <row r="1350" spans="1:20" x14ac:dyDescent="0.25">
      <c r="A1350" t="s">
        <v>140</v>
      </c>
      <c r="B1350" t="s">
        <v>140</v>
      </c>
      <c r="C1350">
        <v>202510</v>
      </c>
      <c r="D1350" s="47" t="str">
        <f>MID(C1350,1,4)</f>
        <v>2025</v>
      </c>
      <c r="E1350" t="str">
        <f>IF(Portfolio!$M$1=1,CONCATENATE(A1350,C1350),CONCATENATE(B1350,C1350))</f>
        <v>ZENBU202510</v>
      </c>
      <c r="F1350">
        <v>0</v>
      </c>
      <c r="G1350">
        <v>0</v>
      </c>
      <c r="H1350">
        <v>0</v>
      </c>
      <c r="I1350">
        <v>10</v>
      </c>
      <c r="J1350">
        <v>4168</v>
      </c>
      <c r="K1350">
        <v>0</v>
      </c>
      <c r="L1350">
        <v>0</v>
      </c>
      <c r="M1350">
        <v>0</v>
      </c>
      <c r="N1350">
        <v>3209052</v>
      </c>
      <c r="O1350">
        <v>1076080423</v>
      </c>
      <c r="P1350">
        <v>0</v>
      </c>
      <c r="Q1350">
        <v>0</v>
      </c>
      <c r="R1350">
        <v>0</v>
      </c>
      <c r="S1350">
        <v>22463</v>
      </c>
      <c r="T1350">
        <v>7532544</v>
      </c>
    </row>
    <row r="1351" spans="1:20" x14ac:dyDescent="0.25">
      <c r="A1351" t="s">
        <v>67</v>
      </c>
      <c r="B1351" t="s">
        <v>68</v>
      </c>
      <c r="C1351">
        <v>202511</v>
      </c>
      <c r="D1351" s="47" t="str">
        <f>MID(C1351,1,4)</f>
        <v>2025</v>
      </c>
      <c r="E1351" t="str">
        <f>IF(Portfolio!$M$1=1,CONCATENATE(A1351,C1351),CONCATENATE(B1351,C1351))</f>
        <v>ALFA GROUP202511</v>
      </c>
      <c r="F1351">
        <v>19056</v>
      </c>
      <c r="G1351">
        <v>75355</v>
      </c>
      <c r="H1351">
        <v>22096</v>
      </c>
      <c r="I1351">
        <v>32</v>
      </c>
      <c r="J1351">
        <v>527</v>
      </c>
      <c r="K1351">
        <v>1936951810</v>
      </c>
      <c r="L1351">
        <v>7847899621</v>
      </c>
      <c r="M1351">
        <v>3239167177</v>
      </c>
      <c r="N1351">
        <v>1962395</v>
      </c>
      <c r="O1351">
        <v>35083000</v>
      </c>
      <c r="P1351">
        <v>2905425</v>
      </c>
      <c r="Q1351">
        <v>78478996</v>
      </c>
      <c r="R1351">
        <v>57840778</v>
      </c>
      <c r="S1351">
        <v>4368</v>
      </c>
      <c r="T1351">
        <v>0</v>
      </c>
    </row>
    <row r="1352" spans="1:20" x14ac:dyDescent="0.25">
      <c r="A1352" t="s">
        <v>67</v>
      </c>
      <c r="B1352" t="s">
        <v>69</v>
      </c>
      <c r="C1352">
        <v>202511</v>
      </c>
      <c r="D1352" s="47" t="str">
        <f>MID(C1352,1,4)</f>
        <v>2025</v>
      </c>
      <c r="E1352" t="str">
        <f>IF(Portfolio!$M$1=1,CONCATENATE(A1352,C1352),CONCATENATE(B1352,C1352))</f>
        <v>ALFA GROUP202511</v>
      </c>
      <c r="F1352">
        <v>7</v>
      </c>
      <c r="G1352">
        <v>77</v>
      </c>
      <c r="H1352">
        <v>26</v>
      </c>
      <c r="I1352">
        <v>0</v>
      </c>
      <c r="J1352">
        <v>88</v>
      </c>
      <c r="K1352">
        <v>752537</v>
      </c>
      <c r="L1352">
        <v>10661213</v>
      </c>
      <c r="M1352">
        <v>5312467</v>
      </c>
      <c r="N1352">
        <v>0</v>
      </c>
      <c r="O1352">
        <v>3357500</v>
      </c>
      <c r="P1352">
        <v>1129</v>
      </c>
      <c r="Q1352">
        <v>106612</v>
      </c>
      <c r="R1352">
        <v>95624</v>
      </c>
      <c r="S1352">
        <v>0</v>
      </c>
      <c r="T1352">
        <v>23500</v>
      </c>
    </row>
    <row r="1353" spans="1:20" x14ac:dyDescent="0.25">
      <c r="A1353" t="s">
        <v>67</v>
      </c>
      <c r="B1353" t="s">
        <v>72</v>
      </c>
      <c r="C1353">
        <v>202511</v>
      </c>
      <c r="D1353" s="47" t="str">
        <f>MID(C1353,1,4)</f>
        <v>2025</v>
      </c>
      <c r="E1353" t="str">
        <f>IF(Portfolio!$M$1=1,CONCATENATE(A1353,C1353),CONCATENATE(B1353,C1353))</f>
        <v>ALFA GROUP202511</v>
      </c>
      <c r="F1353">
        <v>306</v>
      </c>
      <c r="G1353">
        <v>1423</v>
      </c>
      <c r="H1353">
        <v>199</v>
      </c>
      <c r="I1353">
        <v>0</v>
      </c>
      <c r="J1353">
        <v>0</v>
      </c>
      <c r="K1353">
        <v>48408708</v>
      </c>
      <c r="L1353">
        <v>225505752</v>
      </c>
      <c r="M1353">
        <v>40457268</v>
      </c>
      <c r="N1353">
        <v>0</v>
      </c>
      <c r="O1353">
        <v>0</v>
      </c>
      <c r="P1353">
        <v>72613</v>
      </c>
      <c r="Q1353">
        <v>2255058</v>
      </c>
      <c r="R1353">
        <v>730145</v>
      </c>
      <c r="S1353">
        <v>0</v>
      </c>
      <c r="T1353">
        <v>0</v>
      </c>
    </row>
    <row r="1354" spans="1:20" x14ac:dyDescent="0.25">
      <c r="A1354" t="s">
        <v>70</v>
      </c>
      <c r="B1354" t="s">
        <v>70</v>
      </c>
      <c r="C1354">
        <v>202511</v>
      </c>
      <c r="D1354" s="47" t="str">
        <f>MID(C1354,1,4)</f>
        <v>2025</v>
      </c>
      <c r="E1354" t="str">
        <f>IF(Portfolio!$M$1=1,CONCATENATE(A1354,C1354),CONCATENATE(B1354,C1354))</f>
        <v>ANCOL202511</v>
      </c>
      <c r="F1354">
        <v>47</v>
      </c>
      <c r="G1354">
        <v>734</v>
      </c>
      <c r="H1354">
        <v>211</v>
      </c>
      <c r="I1354">
        <v>20</v>
      </c>
      <c r="J1354">
        <v>6498</v>
      </c>
      <c r="K1354">
        <v>13534800</v>
      </c>
      <c r="L1354">
        <v>545574662</v>
      </c>
      <c r="M1354">
        <v>155571900</v>
      </c>
      <c r="N1354">
        <v>647126</v>
      </c>
      <c r="O1354">
        <v>1542034435</v>
      </c>
      <c r="P1354">
        <v>20302</v>
      </c>
      <c r="Q1354">
        <v>5455747</v>
      </c>
      <c r="R1354">
        <v>2800200</v>
      </c>
      <c r="S1354">
        <v>0</v>
      </c>
      <c r="T1354">
        <v>10276101</v>
      </c>
    </row>
    <row r="1355" spans="1:20" x14ac:dyDescent="0.25">
      <c r="A1355" t="s">
        <v>73</v>
      </c>
      <c r="B1355" t="s">
        <v>73</v>
      </c>
      <c r="C1355">
        <v>202511</v>
      </c>
      <c r="D1355" s="47" t="str">
        <f>MID(C1355,1,4)</f>
        <v>2025</v>
      </c>
      <c r="E1355" t="str">
        <f>IF(Portfolio!$M$1=1,CONCATENATE(A1355,C1355),CONCATENATE(B1355,C1355))</f>
        <v>BANBAN TEA202511</v>
      </c>
      <c r="F1355">
        <v>1</v>
      </c>
      <c r="G1355">
        <v>1</v>
      </c>
      <c r="H1355">
        <v>0</v>
      </c>
      <c r="I1355">
        <v>68</v>
      </c>
      <c r="J1355">
        <v>14</v>
      </c>
      <c r="K1355">
        <v>51700</v>
      </c>
      <c r="L1355">
        <v>35200</v>
      </c>
      <c r="M1355">
        <v>0</v>
      </c>
      <c r="N1355">
        <v>4638898</v>
      </c>
      <c r="O1355">
        <v>749997</v>
      </c>
      <c r="P1355">
        <v>78</v>
      </c>
      <c r="Q1355">
        <v>352</v>
      </c>
      <c r="R1355">
        <v>0</v>
      </c>
      <c r="S1355">
        <v>32470</v>
      </c>
      <c r="T1355">
        <v>5250</v>
      </c>
    </row>
    <row r="1356" spans="1:20" x14ac:dyDescent="0.25">
      <c r="A1356" t="s">
        <v>74</v>
      </c>
      <c r="B1356" t="s">
        <v>74</v>
      </c>
      <c r="C1356">
        <v>202511</v>
      </c>
      <c r="D1356" s="47" t="str">
        <f>MID(C1356,1,4)</f>
        <v>2025</v>
      </c>
      <c r="E1356" t="str">
        <f>IF(Portfolio!$M$1=1,CONCATENATE(A1356,C1356),CONCATENATE(B1356,C1356))</f>
        <v>BEARD PAPA202511</v>
      </c>
      <c r="F1356">
        <v>16</v>
      </c>
      <c r="G1356">
        <v>0</v>
      </c>
      <c r="H1356">
        <v>0</v>
      </c>
      <c r="I1356">
        <v>0</v>
      </c>
      <c r="J1356">
        <v>19</v>
      </c>
      <c r="K1356">
        <v>1902000</v>
      </c>
      <c r="L1356">
        <v>0</v>
      </c>
      <c r="M1356">
        <v>0</v>
      </c>
      <c r="N1356">
        <v>0</v>
      </c>
      <c r="O1356">
        <v>8056005</v>
      </c>
      <c r="P1356">
        <v>2853</v>
      </c>
      <c r="Q1356">
        <v>0</v>
      </c>
      <c r="R1356">
        <v>0</v>
      </c>
      <c r="S1356">
        <v>0</v>
      </c>
      <c r="T1356">
        <v>56392</v>
      </c>
    </row>
    <row r="1357" spans="1:20" x14ac:dyDescent="0.25">
      <c r="A1357" t="s">
        <v>75</v>
      </c>
      <c r="B1357" t="s">
        <v>77</v>
      </c>
      <c r="C1357">
        <v>202511</v>
      </c>
      <c r="D1357" s="47" t="str">
        <f>MID(C1357,1,4)</f>
        <v>2025</v>
      </c>
      <c r="E1357" t="str">
        <f>IF(Portfolio!$M$1=1,CONCATENATE(A1357,C1357),CONCATENATE(B1357,C1357))</f>
        <v>CHAMP RESTO202511</v>
      </c>
      <c r="F1357">
        <v>0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 spans="1:20" x14ac:dyDescent="0.25">
      <c r="A1358" t="s">
        <v>75</v>
      </c>
      <c r="B1358" t="s">
        <v>79</v>
      </c>
      <c r="C1358">
        <v>202511</v>
      </c>
      <c r="D1358" s="47" t="str">
        <f>MID(C1358,1,4)</f>
        <v>2025</v>
      </c>
      <c r="E1358" t="str">
        <f>IF(Portfolio!$M$1=1,CONCATENATE(A1358,C1358),CONCATENATE(B1358,C1358))</f>
        <v>CHAMP RESTO202511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300710</v>
      </c>
      <c r="P1358">
        <v>0</v>
      </c>
      <c r="Q1358">
        <v>0</v>
      </c>
      <c r="R1358">
        <v>0</v>
      </c>
      <c r="S1358">
        <v>0</v>
      </c>
      <c r="T1358">
        <v>2105</v>
      </c>
    </row>
    <row r="1359" spans="1:20" x14ac:dyDescent="0.25">
      <c r="A1359" t="s">
        <v>75</v>
      </c>
      <c r="B1359" t="s">
        <v>81</v>
      </c>
      <c r="C1359">
        <v>202511</v>
      </c>
      <c r="D1359" s="47" t="str">
        <f>MID(C1359,1,4)</f>
        <v>2025</v>
      </c>
      <c r="E1359" t="str">
        <f>IF(Portfolio!$M$1=1,CONCATENATE(A1359,C1359),CONCATENATE(B1359,C1359))</f>
        <v>CHAMP RESTO202511</v>
      </c>
      <c r="F1359">
        <v>1</v>
      </c>
      <c r="G1359">
        <v>0</v>
      </c>
      <c r="H1359">
        <v>0</v>
      </c>
      <c r="I1359">
        <v>0</v>
      </c>
      <c r="J1359">
        <v>11</v>
      </c>
      <c r="K1359">
        <v>117810</v>
      </c>
      <c r="L1359">
        <v>0</v>
      </c>
      <c r="M1359">
        <v>0</v>
      </c>
      <c r="N1359">
        <v>0</v>
      </c>
      <c r="O1359">
        <v>2444200</v>
      </c>
      <c r="P1359">
        <v>177</v>
      </c>
      <c r="Q1359">
        <v>0</v>
      </c>
      <c r="R1359">
        <v>0</v>
      </c>
      <c r="S1359">
        <v>0</v>
      </c>
      <c r="T1359">
        <v>17109</v>
      </c>
    </row>
    <row r="1360" spans="1:20" x14ac:dyDescent="0.25">
      <c r="A1360" t="s">
        <v>75</v>
      </c>
      <c r="B1360" t="s">
        <v>83</v>
      </c>
      <c r="C1360">
        <v>202511</v>
      </c>
      <c r="D1360" s="47" t="str">
        <f>MID(C1360,1,4)</f>
        <v>2025</v>
      </c>
      <c r="E1360" t="str">
        <f>IF(Portfolio!$M$1=1,CONCATENATE(A1360,C1360),CONCATENATE(B1360,C1360))</f>
        <v>CHAMP RESTO202511</v>
      </c>
      <c r="F1360">
        <v>0</v>
      </c>
      <c r="G1360">
        <v>0</v>
      </c>
      <c r="H1360">
        <v>0</v>
      </c>
      <c r="I1360">
        <v>3</v>
      </c>
      <c r="J1360">
        <v>268</v>
      </c>
      <c r="K1360">
        <v>0</v>
      </c>
      <c r="L1360">
        <v>0</v>
      </c>
      <c r="M1360">
        <v>0</v>
      </c>
      <c r="N1360">
        <v>202000</v>
      </c>
      <c r="O1360">
        <v>11837700</v>
      </c>
      <c r="P1360">
        <v>0</v>
      </c>
      <c r="Q1360">
        <v>0</v>
      </c>
      <c r="R1360">
        <v>0</v>
      </c>
      <c r="S1360">
        <v>0</v>
      </c>
      <c r="T1360">
        <v>1972</v>
      </c>
    </row>
    <row r="1361" spans="1:20" x14ac:dyDescent="0.25">
      <c r="A1361" t="s">
        <v>75</v>
      </c>
      <c r="B1361" t="s">
        <v>85</v>
      </c>
      <c r="C1361">
        <v>202511</v>
      </c>
      <c r="D1361" s="47" t="str">
        <f>MID(C1361,1,4)</f>
        <v>2025</v>
      </c>
      <c r="E1361" t="str">
        <f>IF(Portfolio!$M$1=1,CONCATENATE(A1361,C1361),CONCATENATE(B1361,C1361))</f>
        <v>CHAMP RESTO202511</v>
      </c>
      <c r="F1361">
        <v>6</v>
      </c>
      <c r="G1361">
        <v>5</v>
      </c>
      <c r="H1361">
        <v>0</v>
      </c>
      <c r="I1361">
        <v>0</v>
      </c>
      <c r="J1361">
        <v>53</v>
      </c>
      <c r="K1361">
        <v>841444</v>
      </c>
      <c r="L1361">
        <v>1153000</v>
      </c>
      <c r="M1361">
        <v>0</v>
      </c>
      <c r="N1361">
        <v>0</v>
      </c>
      <c r="O1361">
        <v>11206882</v>
      </c>
      <c r="P1361">
        <v>1262</v>
      </c>
      <c r="Q1361">
        <v>11530</v>
      </c>
      <c r="R1361">
        <v>0</v>
      </c>
      <c r="S1361">
        <v>0</v>
      </c>
      <c r="T1361">
        <v>78446</v>
      </c>
    </row>
    <row r="1362" spans="1:20" x14ac:dyDescent="0.25">
      <c r="A1362" t="s">
        <v>75</v>
      </c>
      <c r="B1362" t="s">
        <v>91</v>
      </c>
      <c r="C1362">
        <v>202511</v>
      </c>
      <c r="D1362" s="47" t="str">
        <f>MID(C1362,1,4)</f>
        <v>2025</v>
      </c>
      <c r="E1362" t="str">
        <f>IF(Portfolio!$M$1=1,CONCATENATE(A1362,C1362),CONCATENATE(B1362,C1362))</f>
        <v>CHAMP RESTO202511</v>
      </c>
      <c r="F1362">
        <v>5</v>
      </c>
      <c r="G1362">
        <v>8</v>
      </c>
      <c r="H1362">
        <v>0</v>
      </c>
      <c r="I1362">
        <v>0</v>
      </c>
      <c r="J1362">
        <v>39</v>
      </c>
      <c r="K1362">
        <v>1692453</v>
      </c>
      <c r="L1362">
        <v>1859521</v>
      </c>
      <c r="M1362">
        <v>0</v>
      </c>
      <c r="N1362">
        <v>0</v>
      </c>
      <c r="O1362">
        <v>13584082</v>
      </c>
      <c r="P1362">
        <v>2539</v>
      </c>
      <c r="Q1362">
        <v>18595</v>
      </c>
      <c r="R1362">
        <v>0</v>
      </c>
      <c r="S1362">
        <v>0</v>
      </c>
      <c r="T1362">
        <v>95087</v>
      </c>
    </row>
    <row r="1363" spans="1:20" x14ac:dyDescent="0.25">
      <c r="A1363" t="s">
        <v>75</v>
      </c>
      <c r="B1363" t="s">
        <v>93</v>
      </c>
      <c r="C1363">
        <v>202511</v>
      </c>
      <c r="D1363" s="47" t="str">
        <f>MID(C1363,1,4)</f>
        <v>2025</v>
      </c>
      <c r="E1363" t="str">
        <f>IF(Portfolio!$M$1=1,CONCATENATE(A1363,C1363),CONCATENATE(B1363,C1363))</f>
        <v>CHAMP RESTO202511</v>
      </c>
      <c r="F1363">
        <v>0</v>
      </c>
      <c r="G1363">
        <v>0</v>
      </c>
      <c r="H1363">
        <v>0</v>
      </c>
      <c r="I1363">
        <v>0</v>
      </c>
      <c r="J1363">
        <v>62</v>
      </c>
      <c r="K1363">
        <v>0</v>
      </c>
      <c r="L1363">
        <v>0</v>
      </c>
      <c r="M1363">
        <v>0</v>
      </c>
      <c r="N1363">
        <v>0</v>
      </c>
      <c r="O1363">
        <v>10256000</v>
      </c>
      <c r="P1363">
        <v>0</v>
      </c>
      <c r="Q1363">
        <v>0</v>
      </c>
      <c r="R1363">
        <v>0</v>
      </c>
      <c r="S1363">
        <v>0</v>
      </c>
      <c r="T1363">
        <v>2250</v>
      </c>
    </row>
    <row r="1364" spans="1:20" x14ac:dyDescent="0.25">
      <c r="A1364" t="s">
        <v>75</v>
      </c>
      <c r="B1364" t="s">
        <v>95</v>
      </c>
      <c r="C1364">
        <v>202511</v>
      </c>
      <c r="D1364" s="47" t="str">
        <f>MID(C1364,1,4)</f>
        <v>2025</v>
      </c>
      <c r="E1364" t="str">
        <f>IF(Portfolio!$M$1=1,CONCATENATE(A1364,C1364),CONCATENATE(B1364,C1364))</f>
        <v>CHAMP RESTO202511</v>
      </c>
      <c r="F1364">
        <v>3</v>
      </c>
      <c r="G1364">
        <v>0</v>
      </c>
      <c r="H1364">
        <v>0</v>
      </c>
      <c r="I1364">
        <v>0</v>
      </c>
      <c r="J1364">
        <v>5</v>
      </c>
      <c r="K1364">
        <v>1478495</v>
      </c>
      <c r="L1364">
        <v>0</v>
      </c>
      <c r="M1364">
        <v>0</v>
      </c>
      <c r="N1364">
        <v>0</v>
      </c>
      <c r="O1364">
        <v>6431877</v>
      </c>
      <c r="P1364">
        <v>2218</v>
      </c>
      <c r="Q1364">
        <v>0</v>
      </c>
      <c r="R1364">
        <v>0</v>
      </c>
      <c r="S1364">
        <v>0</v>
      </c>
      <c r="T1364">
        <v>45020</v>
      </c>
    </row>
    <row r="1365" spans="1:20" x14ac:dyDescent="0.25">
      <c r="A1365" t="s">
        <v>76</v>
      </c>
      <c r="B1365" t="s">
        <v>76</v>
      </c>
      <c r="C1365">
        <v>202511</v>
      </c>
      <c r="D1365" s="47" t="str">
        <f>MID(C1365,1,4)</f>
        <v>2025</v>
      </c>
      <c r="E1365" t="str">
        <f>IF(Portfolio!$M$1=1,CONCATENATE(A1365,C1365),CONCATENATE(B1365,C1365))</f>
        <v>DAMRI202511</v>
      </c>
      <c r="F1365">
        <v>0</v>
      </c>
      <c r="G1365">
        <v>6</v>
      </c>
      <c r="H1365">
        <v>1</v>
      </c>
      <c r="I1365">
        <v>0</v>
      </c>
      <c r="J1365">
        <v>20</v>
      </c>
      <c r="K1365">
        <v>0</v>
      </c>
      <c r="L1365">
        <v>1065000</v>
      </c>
      <c r="M1365">
        <v>340000</v>
      </c>
      <c r="N1365">
        <v>0</v>
      </c>
      <c r="O1365">
        <v>4390000</v>
      </c>
      <c r="P1365">
        <v>0</v>
      </c>
      <c r="Q1365">
        <v>10650</v>
      </c>
      <c r="R1365">
        <v>6800</v>
      </c>
      <c r="S1365">
        <v>0</v>
      </c>
      <c r="T1365">
        <v>30730</v>
      </c>
    </row>
    <row r="1366" spans="1:20" x14ac:dyDescent="0.25">
      <c r="A1366" t="s">
        <v>78</v>
      </c>
      <c r="B1366" t="s">
        <v>98</v>
      </c>
      <c r="C1366">
        <v>202511</v>
      </c>
      <c r="D1366" s="47" t="str">
        <f>MID(C1366,1,4)</f>
        <v>2025</v>
      </c>
      <c r="E1366" t="str">
        <f>IF(Portfolio!$M$1=1,CONCATENATE(A1366,C1366),CONCATENATE(B1366,C1366))</f>
        <v>DELTA WIBAWA BERSAMA202511</v>
      </c>
      <c r="F1366">
        <v>1</v>
      </c>
      <c r="G1366">
        <v>64</v>
      </c>
      <c r="H1366">
        <v>63</v>
      </c>
      <c r="I1366">
        <v>8</v>
      </c>
      <c r="J1366">
        <v>896</v>
      </c>
      <c r="K1366">
        <v>440055</v>
      </c>
      <c r="L1366">
        <v>28495015</v>
      </c>
      <c r="M1366">
        <v>23009360</v>
      </c>
      <c r="N1366">
        <v>3040539</v>
      </c>
      <c r="O1366">
        <v>203570203</v>
      </c>
      <c r="P1366">
        <v>660</v>
      </c>
      <c r="Q1366">
        <v>284950</v>
      </c>
      <c r="R1366">
        <v>460187</v>
      </c>
      <c r="S1366">
        <v>21283</v>
      </c>
      <c r="T1366">
        <v>1424990</v>
      </c>
    </row>
    <row r="1367" spans="1:20" x14ac:dyDescent="0.25">
      <c r="A1367" t="s">
        <v>78</v>
      </c>
      <c r="B1367" t="s">
        <v>100</v>
      </c>
      <c r="C1367">
        <v>202511</v>
      </c>
      <c r="D1367" s="47" t="str">
        <f>MID(C1367,1,4)</f>
        <v>2025</v>
      </c>
      <c r="E1367" t="str">
        <f>IF(Portfolio!$M$1=1,CONCATENATE(A1367,C1367),CONCATENATE(B1367,C1367))</f>
        <v>DELTA WIBAWA BERSAMA202511</v>
      </c>
      <c r="F1367">
        <v>0</v>
      </c>
      <c r="G1367">
        <v>2</v>
      </c>
      <c r="H1367">
        <v>5</v>
      </c>
      <c r="I1367">
        <v>2</v>
      </c>
      <c r="J1367">
        <v>3</v>
      </c>
      <c r="K1367">
        <v>0</v>
      </c>
      <c r="L1367">
        <v>314160</v>
      </c>
      <c r="M1367">
        <v>1082235</v>
      </c>
      <c r="N1367">
        <v>405405</v>
      </c>
      <c r="O1367">
        <v>404250</v>
      </c>
      <c r="P1367">
        <v>0</v>
      </c>
      <c r="Q1367">
        <v>3142</v>
      </c>
      <c r="R1367">
        <v>21645</v>
      </c>
      <c r="S1367">
        <v>2837</v>
      </c>
      <c r="T1367">
        <v>2829</v>
      </c>
    </row>
    <row r="1368" spans="1:20" x14ac:dyDescent="0.25">
      <c r="A1368" t="s">
        <v>80</v>
      </c>
      <c r="B1368" t="s">
        <v>80</v>
      </c>
      <c r="C1368">
        <v>202511</v>
      </c>
      <c r="D1368" s="47" t="str">
        <f>MID(C1368,1,4)</f>
        <v>2025</v>
      </c>
      <c r="E1368" t="str">
        <f>IF(Portfolio!$M$1=1,CONCATENATE(A1368,C1368),CONCATENATE(B1368,C1368))</f>
        <v>DWIDAYA202511</v>
      </c>
      <c r="F1368">
        <v>10</v>
      </c>
      <c r="G1368">
        <v>6</v>
      </c>
      <c r="H1368">
        <v>18</v>
      </c>
      <c r="I1368">
        <v>0</v>
      </c>
      <c r="J1368">
        <v>68</v>
      </c>
      <c r="K1368">
        <v>225788350</v>
      </c>
      <c r="L1368">
        <v>83072552</v>
      </c>
      <c r="M1368">
        <v>219689096</v>
      </c>
      <c r="N1368">
        <v>0</v>
      </c>
      <c r="O1368">
        <v>213829563</v>
      </c>
      <c r="P1368">
        <v>338683</v>
      </c>
      <c r="Q1368">
        <v>830726</v>
      </c>
      <c r="R1368">
        <v>4393782</v>
      </c>
      <c r="S1368">
        <v>0</v>
      </c>
      <c r="T1368">
        <v>1496807</v>
      </c>
    </row>
    <row r="1369" spans="1:20" x14ac:dyDescent="0.25">
      <c r="A1369" t="s">
        <v>82</v>
      </c>
      <c r="B1369" t="s">
        <v>82</v>
      </c>
      <c r="C1369">
        <v>202511</v>
      </c>
      <c r="D1369" s="47" t="str">
        <f>MID(C1369,1,4)</f>
        <v>2025</v>
      </c>
      <c r="E1369" t="str">
        <f>IF(Portfolio!$M$1=1,CONCATENATE(A1369,C1369),CONCATENATE(B1369,C1369))</f>
        <v>EKA HOSPITAL202511</v>
      </c>
      <c r="F1369">
        <v>1</v>
      </c>
      <c r="G1369">
        <v>1</v>
      </c>
      <c r="H1369">
        <v>3</v>
      </c>
      <c r="I1369">
        <v>0</v>
      </c>
      <c r="J1369">
        <v>6</v>
      </c>
      <c r="K1369">
        <v>3750000</v>
      </c>
      <c r="L1369">
        <v>140000</v>
      </c>
      <c r="M1369">
        <v>4256390</v>
      </c>
      <c r="N1369">
        <v>0</v>
      </c>
      <c r="O1369">
        <v>540005</v>
      </c>
      <c r="P1369">
        <v>5625</v>
      </c>
      <c r="Q1369">
        <v>1400</v>
      </c>
      <c r="R1369">
        <v>55333</v>
      </c>
      <c r="S1369">
        <v>0</v>
      </c>
      <c r="T1369">
        <v>3780</v>
      </c>
    </row>
    <row r="1370" spans="1:20" x14ac:dyDescent="0.25">
      <c r="A1370" t="s">
        <v>86</v>
      </c>
      <c r="B1370" t="s">
        <v>86</v>
      </c>
      <c r="C1370">
        <v>202511</v>
      </c>
      <c r="D1370" s="47" t="str">
        <f>MID(C1370,1,4)</f>
        <v>2025</v>
      </c>
      <c r="E1370" t="str">
        <f>IF(Portfolio!$M$1=1,CONCATENATE(A1370,C1370),CONCATENATE(B1370,C1370))</f>
        <v>GRAMEDIA202511</v>
      </c>
      <c r="F1370">
        <v>6</v>
      </c>
      <c r="G1370">
        <v>0</v>
      </c>
      <c r="H1370">
        <v>0</v>
      </c>
      <c r="I1370">
        <v>3</v>
      </c>
      <c r="J1370">
        <v>149</v>
      </c>
      <c r="K1370">
        <v>2264000</v>
      </c>
      <c r="L1370">
        <v>0</v>
      </c>
      <c r="M1370">
        <v>0</v>
      </c>
      <c r="N1370">
        <v>80000</v>
      </c>
      <c r="O1370">
        <v>4692700</v>
      </c>
      <c r="P1370">
        <v>3396</v>
      </c>
      <c r="Q1370">
        <v>0</v>
      </c>
      <c r="R1370">
        <v>0</v>
      </c>
      <c r="S1370">
        <v>0</v>
      </c>
      <c r="T1370">
        <v>0</v>
      </c>
    </row>
    <row r="1371" spans="1:20" x14ac:dyDescent="0.25">
      <c r="A1371" t="s">
        <v>88</v>
      </c>
      <c r="B1371" t="s">
        <v>88</v>
      </c>
      <c r="C1371">
        <v>202511</v>
      </c>
      <c r="D1371" s="47" t="str">
        <f>MID(C1371,1,4)</f>
        <v>2025</v>
      </c>
      <c r="E1371" t="str">
        <f>IF(Portfolio!$M$1=1,CONCATENATE(A1371,C1371),CONCATENATE(B1371,C1371))</f>
        <v>HAUS202511</v>
      </c>
      <c r="F1371">
        <v>0</v>
      </c>
      <c r="G1371">
        <v>2</v>
      </c>
      <c r="H1371">
        <v>0</v>
      </c>
      <c r="I1371">
        <v>44</v>
      </c>
      <c r="J1371">
        <v>5025</v>
      </c>
      <c r="K1371">
        <v>0</v>
      </c>
      <c r="L1371">
        <v>86000</v>
      </c>
      <c r="M1371">
        <v>0</v>
      </c>
      <c r="N1371">
        <v>3080400</v>
      </c>
      <c r="O1371">
        <v>203881223</v>
      </c>
      <c r="P1371">
        <v>0</v>
      </c>
      <c r="Q1371">
        <v>860</v>
      </c>
      <c r="R1371">
        <v>0</v>
      </c>
      <c r="S1371">
        <v>3234</v>
      </c>
      <c r="T1371">
        <v>1278559</v>
      </c>
    </row>
    <row r="1372" spans="1:20" x14ac:dyDescent="0.25">
      <c r="A1372" t="s">
        <v>92</v>
      </c>
      <c r="B1372" t="s">
        <v>108</v>
      </c>
      <c r="C1372">
        <v>202511</v>
      </c>
      <c r="D1372" s="47" t="str">
        <f>MID(C1372,1,4)</f>
        <v>2025</v>
      </c>
      <c r="E1372" t="str">
        <f>IF(Portfolio!$M$1=1,CONCATENATE(A1372,C1372),CONCATENATE(B1372,C1372))</f>
        <v>HERO GROUP202511</v>
      </c>
      <c r="F1372">
        <v>34</v>
      </c>
      <c r="G1372">
        <v>1</v>
      </c>
      <c r="H1372">
        <v>2</v>
      </c>
      <c r="I1372">
        <v>116</v>
      </c>
      <c r="J1372">
        <v>201</v>
      </c>
      <c r="K1372">
        <v>17500947</v>
      </c>
      <c r="L1372">
        <v>127664</v>
      </c>
      <c r="M1372">
        <v>567242</v>
      </c>
      <c r="N1372">
        <v>30670726</v>
      </c>
      <c r="O1372">
        <v>13246341</v>
      </c>
      <c r="P1372">
        <v>26251</v>
      </c>
      <c r="Q1372">
        <v>1277</v>
      </c>
      <c r="R1372">
        <v>11345</v>
      </c>
      <c r="S1372">
        <v>193118</v>
      </c>
      <c r="T1372">
        <v>44126</v>
      </c>
    </row>
    <row r="1373" spans="1:20" x14ac:dyDescent="0.25">
      <c r="A1373" t="s">
        <v>94</v>
      </c>
      <c r="B1373" t="s">
        <v>94</v>
      </c>
      <c r="C1373">
        <v>202511</v>
      </c>
      <c r="D1373" s="47" t="str">
        <f>MID(C1373,1,4)</f>
        <v>2025</v>
      </c>
      <c r="E1373" t="str">
        <f>IF(Portfolio!$M$1=1,CONCATENATE(A1373,C1373),CONCATENATE(B1373,C1373))</f>
        <v>HOKBEN202511</v>
      </c>
      <c r="F1373">
        <v>0</v>
      </c>
      <c r="G1373">
        <v>0</v>
      </c>
      <c r="H1373">
        <v>0</v>
      </c>
      <c r="I1373">
        <v>8</v>
      </c>
      <c r="J1373">
        <v>2734</v>
      </c>
      <c r="K1373">
        <v>0</v>
      </c>
      <c r="L1373">
        <v>0</v>
      </c>
      <c r="M1373">
        <v>0</v>
      </c>
      <c r="N1373">
        <v>1025000</v>
      </c>
      <c r="O1373">
        <v>272531500</v>
      </c>
      <c r="P1373">
        <v>0</v>
      </c>
      <c r="Q1373">
        <v>0</v>
      </c>
      <c r="R1373">
        <v>0</v>
      </c>
      <c r="S1373">
        <v>7174</v>
      </c>
      <c r="T1373">
        <v>1898989</v>
      </c>
    </row>
    <row r="1374" spans="1:20" x14ac:dyDescent="0.25">
      <c r="A1374" t="s">
        <v>96</v>
      </c>
      <c r="B1374" t="s">
        <v>96</v>
      </c>
      <c r="C1374">
        <v>202511</v>
      </c>
      <c r="D1374" s="47" t="str">
        <f>MID(C1374,1,4)</f>
        <v>2025</v>
      </c>
      <c r="E1374" t="str">
        <f>IF(Portfolio!$M$1=1,CONCATENATE(A1374,C1374),CONCATENATE(B1374,C1374))</f>
        <v>HOKKAIDO BAKED CHEESE202511</v>
      </c>
      <c r="F1374">
        <v>3</v>
      </c>
      <c r="G1374">
        <v>45</v>
      </c>
      <c r="H1374">
        <v>10</v>
      </c>
      <c r="I1374">
        <v>5</v>
      </c>
      <c r="J1374">
        <v>933</v>
      </c>
      <c r="K1374">
        <v>356400</v>
      </c>
      <c r="L1374">
        <v>4519946</v>
      </c>
      <c r="M1374">
        <v>946600</v>
      </c>
      <c r="N1374">
        <v>126000</v>
      </c>
      <c r="O1374">
        <v>76180481</v>
      </c>
      <c r="P1374">
        <v>535</v>
      </c>
      <c r="Q1374">
        <v>45199</v>
      </c>
      <c r="R1374">
        <v>18932</v>
      </c>
      <c r="S1374">
        <v>882</v>
      </c>
      <c r="T1374">
        <v>500194</v>
      </c>
    </row>
    <row r="1375" spans="1:20" x14ac:dyDescent="0.25">
      <c r="A1375" t="s">
        <v>97</v>
      </c>
      <c r="B1375" t="s">
        <v>97</v>
      </c>
      <c r="C1375">
        <v>202511</v>
      </c>
      <c r="D1375" s="47" t="str">
        <f>MID(C1375,1,4)</f>
        <v>2025</v>
      </c>
      <c r="E1375" t="str">
        <f>IF(Portfolio!$M$1=1,CONCATENATE(A1375,C1375),CONCATENATE(B1375,C1375))</f>
        <v>HOP HOP202511</v>
      </c>
      <c r="F1375">
        <v>0</v>
      </c>
      <c r="G1375">
        <v>0</v>
      </c>
      <c r="H1375">
        <v>0</v>
      </c>
      <c r="I1375">
        <v>124</v>
      </c>
      <c r="J1375">
        <v>9291</v>
      </c>
      <c r="K1375">
        <v>0</v>
      </c>
      <c r="L1375">
        <v>0</v>
      </c>
      <c r="M1375">
        <v>0</v>
      </c>
      <c r="N1375">
        <v>4827000</v>
      </c>
      <c r="O1375">
        <v>238561813</v>
      </c>
      <c r="P1375">
        <v>0</v>
      </c>
      <c r="Q1375">
        <v>0</v>
      </c>
      <c r="R1375">
        <v>0</v>
      </c>
      <c r="S1375">
        <v>0</v>
      </c>
      <c r="T1375">
        <v>2385</v>
      </c>
    </row>
    <row r="1376" spans="1:20" x14ac:dyDescent="0.25">
      <c r="A1376" t="s">
        <v>97</v>
      </c>
      <c r="B1376" t="s">
        <v>113</v>
      </c>
      <c r="C1376">
        <v>202511</v>
      </c>
      <c r="D1376" s="47" t="str">
        <f>MID(C1376,1,4)</f>
        <v>2025</v>
      </c>
      <c r="E1376" t="str">
        <f>IF(Portfolio!$M$1=1,CONCATENATE(A1376,C1376),CONCATENATE(B1376,C1376))</f>
        <v>HOP HOP202511</v>
      </c>
      <c r="F1376">
        <v>0</v>
      </c>
      <c r="G1376">
        <v>0</v>
      </c>
      <c r="H1376">
        <v>0</v>
      </c>
      <c r="I1376">
        <v>9</v>
      </c>
      <c r="J1376">
        <v>1443</v>
      </c>
      <c r="K1376">
        <v>0</v>
      </c>
      <c r="L1376">
        <v>0</v>
      </c>
      <c r="M1376">
        <v>0</v>
      </c>
      <c r="N1376">
        <v>464000</v>
      </c>
      <c r="O1376">
        <v>27219900</v>
      </c>
      <c r="P1376">
        <v>0</v>
      </c>
      <c r="Q1376">
        <v>0</v>
      </c>
      <c r="R1376">
        <v>0</v>
      </c>
      <c r="S1376">
        <v>0</v>
      </c>
      <c r="T1376">
        <v>11439</v>
      </c>
    </row>
    <row r="1377" spans="1:20" x14ac:dyDescent="0.25">
      <c r="A1377" t="s">
        <v>99</v>
      </c>
      <c r="B1377" t="s">
        <v>99</v>
      </c>
      <c r="C1377">
        <v>202511</v>
      </c>
      <c r="D1377" s="47" t="str">
        <f>MID(C1377,1,4)</f>
        <v>2025</v>
      </c>
      <c r="E1377" t="str">
        <f>IF(Portfolio!$M$1=1,CONCATENATE(A1377,C1377),CONCATENATE(B1377,C1377))</f>
        <v>IKEA202511</v>
      </c>
      <c r="F1377">
        <v>21</v>
      </c>
      <c r="G1377">
        <v>0</v>
      </c>
      <c r="H1377">
        <v>0</v>
      </c>
      <c r="I1377">
        <v>0</v>
      </c>
      <c r="J1377">
        <v>0</v>
      </c>
      <c r="K1377">
        <v>15264100</v>
      </c>
      <c r="L1377">
        <v>0</v>
      </c>
      <c r="M1377">
        <v>0</v>
      </c>
      <c r="N1377">
        <v>0</v>
      </c>
      <c r="O1377">
        <v>0</v>
      </c>
      <c r="P1377">
        <v>22896</v>
      </c>
      <c r="Q1377">
        <v>0</v>
      </c>
      <c r="R1377">
        <v>0</v>
      </c>
      <c r="S1377">
        <v>0</v>
      </c>
      <c r="T1377">
        <v>0</v>
      </c>
    </row>
    <row r="1378" spans="1:20" x14ac:dyDescent="0.25">
      <c r="A1378" t="s">
        <v>101</v>
      </c>
      <c r="B1378" t="s">
        <v>101</v>
      </c>
      <c r="C1378">
        <v>202511</v>
      </c>
      <c r="D1378" s="47" t="str">
        <f>MID(C1378,1,4)</f>
        <v>2025</v>
      </c>
      <c r="E1378" t="str">
        <f>IF(Portfolio!$M$1=1,CONCATENATE(A1378,C1378),CONCATENATE(B1378,C1378))</f>
        <v>INDOMARET202511</v>
      </c>
      <c r="F1378">
        <v>23822</v>
      </c>
      <c r="G1378">
        <v>65491</v>
      </c>
      <c r="H1378">
        <v>24991</v>
      </c>
      <c r="I1378">
        <v>4</v>
      </c>
      <c r="J1378">
        <v>171</v>
      </c>
      <c r="K1378">
        <v>2442656467</v>
      </c>
      <c r="L1378">
        <v>5965607757</v>
      </c>
      <c r="M1378">
        <v>3601069957</v>
      </c>
      <c r="N1378">
        <v>49800</v>
      </c>
      <c r="O1378">
        <v>14472850</v>
      </c>
      <c r="P1378">
        <v>3663983</v>
      </c>
      <c r="Q1378">
        <v>59656078</v>
      </c>
      <c r="R1378">
        <v>60120825</v>
      </c>
      <c r="S1378">
        <v>348</v>
      </c>
      <c r="T1378">
        <v>14342</v>
      </c>
    </row>
    <row r="1379" spans="1:20" x14ac:dyDescent="0.25">
      <c r="A1379" t="s">
        <v>101</v>
      </c>
      <c r="B1379" t="s">
        <v>117</v>
      </c>
      <c r="C1379">
        <v>202511</v>
      </c>
      <c r="D1379" s="47" t="str">
        <f>MID(C1379,1,4)</f>
        <v>2025</v>
      </c>
      <c r="E1379" t="str">
        <f>IF(Portfolio!$M$1=1,CONCATENATE(A1379,C1379),CONCATENATE(B1379,C1379))</f>
        <v>INDOMARET202511</v>
      </c>
      <c r="F1379">
        <v>96</v>
      </c>
      <c r="G1379">
        <v>272</v>
      </c>
      <c r="H1379">
        <v>127</v>
      </c>
      <c r="I1379">
        <v>0</v>
      </c>
      <c r="J1379">
        <v>0</v>
      </c>
      <c r="K1379">
        <v>9824721</v>
      </c>
      <c r="L1379">
        <v>21849150</v>
      </c>
      <c r="M1379">
        <v>20090900</v>
      </c>
      <c r="N1379">
        <v>0</v>
      </c>
      <c r="O1379">
        <v>0</v>
      </c>
      <c r="P1379">
        <v>14737</v>
      </c>
      <c r="Q1379">
        <v>218492</v>
      </c>
      <c r="R1379">
        <v>331500</v>
      </c>
      <c r="S1379">
        <v>0</v>
      </c>
      <c r="T1379">
        <v>0</v>
      </c>
    </row>
    <row r="1380" spans="1:20" x14ac:dyDescent="0.25">
      <c r="A1380" t="s">
        <v>102</v>
      </c>
      <c r="B1380" t="s">
        <v>119</v>
      </c>
      <c r="C1380">
        <v>202511</v>
      </c>
      <c r="D1380" s="47" t="str">
        <f>MID(C1380,1,4)</f>
        <v>2025</v>
      </c>
      <c r="E1380" t="str">
        <f>IF(Portfolio!$M$1=1,CONCATENATE(A1380,C1380),CONCATENATE(B1380,C1380))</f>
        <v>KAWAN LAMA202511</v>
      </c>
      <c r="F1380">
        <v>0</v>
      </c>
      <c r="G1380">
        <v>0</v>
      </c>
      <c r="H1380">
        <v>5</v>
      </c>
      <c r="I1380">
        <v>0</v>
      </c>
      <c r="J1380">
        <v>0</v>
      </c>
      <c r="K1380">
        <v>0</v>
      </c>
      <c r="L1380">
        <v>0</v>
      </c>
      <c r="M1380">
        <v>2049301</v>
      </c>
      <c r="N1380">
        <v>0</v>
      </c>
      <c r="O1380">
        <v>0</v>
      </c>
      <c r="P1380">
        <v>0</v>
      </c>
      <c r="Q1380">
        <v>0</v>
      </c>
      <c r="R1380">
        <v>40986</v>
      </c>
      <c r="S1380">
        <v>0</v>
      </c>
      <c r="T1380">
        <v>0</v>
      </c>
    </row>
    <row r="1381" spans="1:20" x14ac:dyDescent="0.25">
      <c r="A1381" t="s">
        <v>102</v>
      </c>
      <c r="B1381" t="s">
        <v>121</v>
      </c>
      <c r="C1381">
        <v>202511</v>
      </c>
      <c r="D1381" s="47" t="str">
        <f>MID(C1381,1,4)</f>
        <v>2025</v>
      </c>
      <c r="E1381" t="str">
        <f>IF(Portfolio!$M$1=1,CONCATENATE(A1381,C1381),CONCATENATE(B1381,C1381))</f>
        <v>KAWAN LAMA202511</v>
      </c>
      <c r="F1381">
        <v>4</v>
      </c>
      <c r="G1381">
        <v>0</v>
      </c>
      <c r="H1381">
        <v>0</v>
      </c>
      <c r="I1381">
        <v>0</v>
      </c>
      <c r="J1381">
        <v>0</v>
      </c>
      <c r="K1381">
        <v>322400</v>
      </c>
      <c r="L1381">
        <v>0</v>
      </c>
      <c r="M1381">
        <v>0</v>
      </c>
      <c r="N1381">
        <v>0</v>
      </c>
      <c r="O1381">
        <v>0</v>
      </c>
      <c r="P1381">
        <v>484</v>
      </c>
      <c r="Q1381">
        <v>0</v>
      </c>
      <c r="R1381">
        <v>0</v>
      </c>
      <c r="S1381">
        <v>0</v>
      </c>
      <c r="T1381">
        <v>0</v>
      </c>
    </row>
    <row r="1382" spans="1:20" x14ac:dyDescent="0.25">
      <c r="A1382" t="s">
        <v>102</v>
      </c>
      <c r="B1382" t="s">
        <v>123</v>
      </c>
      <c r="C1382">
        <v>202511</v>
      </c>
      <c r="D1382" s="47" t="str">
        <f>MID(C1382,1,4)</f>
        <v>2025</v>
      </c>
      <c r="E1382" t="str">
        <f>IF(Portfolio!$M$1=1,CONCATENATE(A1382,C1382),CONCATENATE(B1382,C1382))</f>
        <v>KAWAN LAMA202511</v>
      </c>
      <c r="F1382">
        <v>955</v>
      </c>
      <c r="G1382">
        <v>0</v>
      </c>
      <c r="H1382">
        <v>0</v>
      </c>
      <c r="I1382">
        <v>0</v>
      </c>
      <c r="J1382">
        <v>0</v>
      </c>
      <c r="K1382">
        <v>826512495</v>
      </c>
      <c r="L1382">
        <v>0</v>
      </c>
      <c r="M1382">
        <v>0</v>
      </c>
      <c r="N1382">
        <v>0</v>
      </c>
      <c r="O1382">
        <v>0</v>
      </c>
      <c r="P1382">
        <v>1239768</v>
      </c>
      <c r="Q1382">
        <v>0</v>
      </c>
      <c r="R1382">
        <v>0</v>
      </c>
      <c r="S1382">
        <v>0</v>
      </c>
      <c r="T1382">
        <v>0</v>
      </c>
    </row>
    <row r="1383" spans="1:20" x14ac:dyDescent="0.25">
      <c r="A1383" t="s">
        <v>102</v>
      </c>
      <c r="B1383" t="s">
        <v>125</v>
      </c>
      <c r="C1383">
        <v>202511</v>
      </c>
      <c r="D1383" s="47" t="str">
        <f>MID(C1383,1,4)</f>
        <v>2025</v>
      </c>
      <c r="E1383" t="str">
        <f>IF(Portfolio!$M$1=1,CONCATENATE(A1383,C1383),CONCATENATE(B1383,C1383))</f>
        <v>KAWAN LAMA202511</v>
      </c>
      <c r="F1383">
        <v>261</v>
      </c>
      <c r="G1383">
        <v>0</v>
      </c>
      <c r="H1383">
        <v>0</v>
      </c>
      <c r="I1383">
        <v>0</v>
      </c>
      <c r="J1383">
        <v>0</v>
      </c>
      <c r="K1383">
        <v>17076000</v>
      </c>
      <c r="L1383">
        <v>0</v>
      </c>
      <c r="M1383">
        <v>0</v>
      </c>
      <c r="N1383">
        <v>0</v>
      </c>
      <c r="O1383">
        <v>0</v>
      </c>
      <c r="P1383">
        <v>25614</v>
      </c>
      <c r="Q1383">
        <v>0</v>
      </c>
      <c r="R1383">
        <v>0</v>
      </c>
      <c r="S1383">
        <v>0</v>
      </c>
      <c r="T1383">
        <v>0</v>
      </c>
    </row>
    <row r="1384" spans="1:20" x14ac:dyDescent="0.25">
      <c r="A1384" t="s">
        <v>102</v>
      </c>
      <c r="B1384" t="s">
        <v>127</v>
      </c>
      <c r="C1384">
        <v>202511</v>
      </c>
      <c r="D1384" s="47" t="str">
        <f>MID(C1384,1,4)</f>
        <v>2025</v>
      </c>
      <c r="E1384" t="str">
        <f>IF(Portfolio!$M$1=1,CONCATENATE(A1384,C1384),CONCATENATE(B1384,C1384))</f>
        <v>KAWAN LAMA202511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58000</v>
      </c>
      <c r="L1384">
        <v>0</v>
      </c>
      <c r="M1384">
        <v>0</v>
      </c>
      <c r="N1384">
        <v>0</v>
      </c>
      <c r="O1384">
        <v>0</v>
      </c>
      <c r="P1384">
        <v>87</v>
      </c>
      <c r="Q1384">
        <v>0</v>
      </c>
      <c r="R1384">
        <v>0</v>
      </c>
      <c r="S1384">
        <v>0</v>
      </c>
      <c r="T1384">
        <v>0</v>
      </c>
    </row>
    <row r="1385" spans="1:20" x14ac:dyDescent="0.25">
      <c r="A1385" t="s">
        <v>102</v>
      </c>
      <c r="B1385" t="s">
        <v>129</v>
      </c>
      <c r="C1385">
        <v>202511</v>
      </c>
      <c r="D1385" s="47" t="str">
        <f>MID(C1385,1,4)</f>
        <v>2025</v>
      </c>
      <c r="E1385" t="str">
        <f>IF(Portfolio!$M$1=1,CONCATENATE(A1385,C1385),CONCATENATE(B1385,C1385))</f>
        <v>KAWAN LAMA202511</v>
      </c>
      <c r="F1385">
        <v>2</v>
      </c>
      <c r="G1385">
        <v>0</v>
      </c>
      <c r="H1385">
        <v>0</v>
      </c>
      <c r="I1385">
        <v>0</v>
      </c>
      <c r="J1385">
        <v>0</v>
      </c>
      <c r="K1385">
        <v>13054010</v>
      </c>
      <c r="L1385">
        <v>0</v>
      </c>
      <c r="M1385">
        <v>0</v>
      </c>
      <c r="N1385">
        <v>0</v>
      </c>
      <c r="O1385">
        <v>0</v>
      </c>
      <c r="P1385">
        <v>19581</v>
      </c>
      <c r="Q1385">
        <v>0</v>
      </c>
      <c r="R1385">
        <v>0</v>
      </c>
      <c r="S1385">
        <v>0</v>
      </c>
      <c r="T1385">
        <v>0</v>
      </c>
    </row>
    <row r="1386" spans="1:20" x14ac:dyDescent="0.25">
      <c r="A1386" t="s">
        <v>102</v>
      </c>
      <c r="B1386" t="s">
        <v>131</v>
      </c>
      <c r="C1386">
        <v>202511</v>
      </c>
      <c r="D1386" s="47" t="str">
        <f>MID(C1386,1,4)</f>
        <v>2025</v>
      </c>
      <c r="E1386" t="str">
        <f>IF(Portfolio!$M$1=1,CONCATENATE(A1386,C1386),CONCATENATE(B1386,C1386))</f>
        <v>KAWAN LAMA202511</v>
      </c>
      <c r="F1386">
        <v>7</v>
      </c>
      <c r="G1386">
        <v>0</v>
      </c>
      <c r="H1386">
        <v>0</v>
      </c>
      <c r="I1386">
        <v>0</v>
      </c>
      <c r="J1386">
        <v>0</v>
      </c>
      <c r="K1386">
        <v>459000</v>
      </c>
      <c r="L1386">
        <v>0</v>
      </c>
      <c r="M1386">
        <v>0</v>
      </c>
      <c r="N1386">
        <v>0</v>
      </c>
      <c r="O1386">
        <v>0</v>
      </c>
      <c r="P1386">
        <v>688</v>
      </c>
      <c r="Q1386">
        <v>0</v>
      </c>
      <c r="R1386">
        <v>0</v>
      </c>
      <c r="S1386">
        <v>0</v>
      </c>
      <c r="T1386">
        <v>0</v>
      </c>
    </row>
    <row r="1387" spans="1:20" x14ac:dyDescent="0.25">
      <c r="A1387" t="s">
        <v>102</v>
      </c>
      <c r="B1387" t="s">
        <v>133</v>
      </c>
      <c r="C1387">
        <v>202511</v>
      </c>
      <c r="D1387" s="47" t="str">
        <f>MID(C1387,1,4)</f>
        <v>2025</v>
      </c>
      <c r="E1387" t="str">
        <f>IF(Portfolio!$M$1=1,CONCATENATE(A1387,C1387),CONCATENATE(B1387,C1387))</f>
        <v>KAWAN LAMA202511</v>
      </c>
      <c r="F1387">
        <v>17</v>
      </c>
      <c r="G1387">
        <v>0</v>
      </c>
      <c r="H1387">
        <v>0</v>
      </c>
      <c r="I1387">
        <v>0</v>
      </c>
      <c r="J1387">
        <v>0</v>
      </c>
      <c r="K1387">
        <v>2365000</v>
      </c>
      <c r="L1387">
        <v>0</v>
      </c>
      <c r="M1387">
        <v>0</v>
      </c>
      <c r="N1387">
        <v>0</v>
      </c>
      <c r="O1387">
        <v>0</v>
      </c>
      <c r="P1387">
        <v>3548</v>
      </c>
      <c r="Q1387">
        <v>0</v>
      </c>
      <c r="R1387">
        <v>0</v>
      </c>
      <c r="S1387">
        <v>0</v>
      </c>
      <c r="T1387">
        <v>0</v>
      </c>
    </row>
    <row r="1388" spans="1:20" x14ac:dyDescent="0.25">
      <c r="A1388" t="s">
        <v>102</v>
      </c>
      <c r="B1388" t="s">
        <v>135</v>
      </c>
      <c r="C1388">
        <v>202511</v>
      </c>
      <c r="D1388" s="47" t="str">
        <f>MID(C1388,1,4)</f>
        <v>2025</v>
      </c>
      <c r="E1388" t="str">
        <f>IF(Portfolio!$M$1=1,CONCATENATE(A1388,C1388),CONCATENATE(B1388,C1388))</f>
        <v>KAWAN LAMA202511</v>
      </c>
      <c r="F1388">
        <v>328</v>
      </c>
      <c r="G1388">
        <v>0</v>
      </c>
      <c r="H1388">
        <v>0</v>
      </c>
      <c r="I1388">
        <v>0</v>
      </c>
      <c r="J1388">
        <v>0</v>
      </c>
      <c r="K1388">
        <v>1444398285</v>
      </c>
      <c r="L1388">
        <v>0</v>
      </c>
      <c r="M1388">
        <v>0</v>
      </c>
      <c r="N1388">
        <v>0</v>
      </c>
      <c r="O1388">
        <v>0</v>
      </c>
      <c r="P1388">
        <v>2166597</v>
      </c>
      <c r="Q1388">
        <v>0</v>
      </c>
      <c r="R1388">
        <v>0</v>
      </c>
      <c r="S1388">
        <v>0</v>
      </c>
      <c r="T1388">
        <v>0</v>
      </c>
    </row>
    <row r="1389" spans="1:20" x14ac:dyDescent="0.25">
      <c r="A1389" t="s">
        <v>102</v>
      </c>
      <c r="B1389" t="s">
        <v>137</v>
      </c>
      <c r="C1389">
        <v>202511</v>
      </c>
      <c r="D1389" s="47" t="str">
        <f>MID(C1389,1,4)</f>
        <v>2025</v>
      </c>
      <c r="E1389" t="str">
        <f>IF(Portfolio!$M$1=1,CONCATENATE(A1389,C1389),CONCATENATE(B1389,C1389))</f>
        <v>KAWAN LAMA202511</v>
      </c>
      <c r="F1389">
        <v>23</v>
      </c>
      <c r="G1389">
        <v>0</v>
      </c>
      <c r="H1389">
        <v>0</v>
      </c>
      <c r="I1389">
        <v>0</v>
      </c>
      <c r="J1389">
        <v>0</v>
      </c>
      <c r="K1389">
        <v>88223000</v>
      </c>
      <c r="L1389">
        <v>0</v>
      </c>
      <c r="M1389">
        <v>0</v>
      </c>
      <c r="N1389">
        <v>0</v>
      </c>
      <c r="O1389">
        <v>0</v>
      </c>
      <c r="P1389">
        <v>132334</v>
      </c>
      <c r="Q1389">
        <v>0</v>
      </c>
      <c r="R1389">
        <v>0</v>
      </c>
      <c r="S1389">
        <v>0</v>
      </c>
      <c r="T1389">
        <v>0</v>
      </c>
    </row>
    <row r="1390" spans="1:20" x14ac:dyDescent="0.25">
      <c r="A1390" t="s">
        <v>102</v>
      </c>
      <c r="B1390" t="s">
        <v>142</v>
      </c>
      <c r="C1390">
        <v>202511</v>
      </c>
      <c r="D1390" s="47" t="str">
        <f>MID(C1390,1,4)</f>
        <v>2025</v>
      </c>
      <c r="E1390" t="str">
        <f>IF(Portfolio!$M$1=1,CONCATENATE(A1390,C1390),CONCATENATE(B1390,C1390))</f>
        <v>KAWAN LAMA202511</v>
      </c>
      <c r="F1390">
        <v>22</v>
      </c>
      <c r="G1390">
        <v>0</v>
      </c>
      <c r="H1390">
        <v>0</v>
      </c>
      <c r="I1390">
        <v>0</v>
      </c>
      <c r="J1390">
        <v>25</v>
      </c>
      <c r="K1390">
        <v>50854366</v>
      </c>
      <c r="L1390">
        <v>0</v>
      </c>
      <c r="M1390">
        <v>0</v>
      </c>
      <c r="N1390">
        <v>0</v>
      </c>
      <c r="O1390">
        <v>2315000</v>
      </c>
      <c r="P1390">
        <v>76282</v>
      </c>
      <c r="Q1390">
        <v>0</v>
      </c>
      <c r="R1390">
        <v>0</v>
      </c>
      <c r="S1390">
        <v>0</v>
      </c>
      <c r="T1390">
        <v>0</v>
      </c>
    </row>
    <row r="1391" spans="1:20" x14ac:dyDescent="0.25">
      <c r="A1391" t="s">
        <v>102</v>
      </c>
      <c r="B1391" t="s">
        <v>144</v>
      </c>
      <c r="C1391">
        <v>202511</v>
      </c>
      <c r="D1391" s="47" t="str">
        <f>MID(C1391,1,4)</f>
        <v>2025</v>
      </c>
      <c r="E1391" t="str">
        <f>IF(Portfolio!$M$1=1,CONCATENATE(A1391,C1391),CONCATENATE(B1391,C1391))</f>
        <v>KAWAN LAMA202511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349000</v>
      </c>
      <c r="L1391">
        <v>0</v>
      </c>
      <c r="M1391">
        <v>0</v>
      </c>
      <c r="N1391">
        <v>0</v>
      </c>
      <c r="O1391">
        <v>0</v>
      </c>
      <c r="P1391">
        <v>524</v>
      </c>
      <c r="Q1391">
        <v>0</v>
      </c>
      <c r="R1391">
        <v>0</v>
      </c>
      <c r="S1391">
        <v>0</v>
      </c>
      <c r="T1391">
        <v>0</v>
      </c>
    </row>
    <row r="1392" spans="1:20" x14ac:dyDescent="0.25">
      <c r="A1392" t="s">
        <v>102</v>
      </c>
      <c r="B1392" t="s">
        <v>145</v>
      </c>
      <c r="C1392">
        <v>202511</v>
      </c>
      <c r="D1392" s="47" t="str">
        <f>MID(C1392,1,4)</f>
        <v>2025</v>
      </c>
      <c r="E1392" t="str">
        <f>IF(Portfolio!$M$1=1,CONCATENATE(A1392,C1392),CONCATENATE(B1392,C1392))</f>
        <v>KAWAN LAMA202511</v>
      </c>
      <c r="F1392">
        <v>0</v>
      </c>
      <c r="G1392">
        <v>0</v>
      </c>
      <c r="H1392">
        <v>0</v>
      </c>
      <c r="I1392">
        <v>2</v>
      </c>
      <c r="J1392">
        <v>12</v>
      </c>
      <c r="K1392">
        <v>0</v>
      </c>
      <c r="L1392">
        <v>0</v>
      </c>
      <c r="M1392">
        <v>0</v>
      </c>
      <c r="N1392">
        <v>2200750</v>
      </c>
      <c r="O1392">
        <v>1011</v>
      </c>
      <c r="P1392">
        <v>0</v>
      </c>
      <c r="Q1392">
        <v>0</v>
      </c>
      <c r="R1392">
        <v>0</v>
      </c>
      <c r="S1392">
        <v>15405</v>
      </c>
      <c r="T1392">
        <v>7</v>
      </c>
    </row>
    <row r="1393" spans="1:20" x14ac:dyDescent="0.25">
      <c r="A1393" t="s">
        <v>103</v>
      </c>
      <c r="B1393" t="s">
        <v>146</v>
      </c>
      <c r="C1393">
        <v>202511</v>
      </c>
      <c r="D1393" s="47" t="str">
        <f>MID(C1393,1,4)</f>
        <v>2025</v>
      </c>
      <c r="E1393" t="str">
        <f>IF(Portfolio!$M$1=1,CONCATENATE(A1393,C1393),CONCATENATE(B1393,C1393))</f>
        <v>KCIC202511</v>
      </c>
      <c r="F1393">
        <v>22</v>
      </c>
      <c r="G1393">
        <v>396</v>
      </c>
      <c r="H1393">
        <v>641</v>
      </c>
      <c r="I1393">
        <v>7</v>
      </c>
      <c r="J1393">
        <v>1891</v>
      </c>
      <c r="K1393">
        <v>14970000</v>
      </c>
      <c r="L1393">
        <v>297187000</v>
      </c>
      <c r="M1393">
        <v>544437000</v>
      </c>
      <c r="N1393">
        <v>6160000</v>
      </c>
      <c r="O1393">
        <v>1492312000</v>
      </c>
      <c r="P1393">
        <v>22455</v>
      </c>
      <c r="Q1393">
        <v>2971870</v>
      </c>
      <c r="R1393">
        <v>9803866</v>
      </c>
      <c r="S1393">
        <v>43120</v>
      </c>
      <c r="T1393">
        <v>10446184</v>
      </c>
    </row>
    <row r="1394" spans="1:20" x14ac:dyDescent="0.25">
      <c r="A1394" t="s">
        <v>104</v>
      </c>
      <c r="B1394" t="s">
        <v>147</v>
      </c>
      <c r="C1394">
        <v>202511</v>
      </c>
      <c r="D1394" s="47" t="str">
        <f>MID(C1394,1,4)</f>
        <v>2025</v>
      </c>
      <c r="E1394" t="str">
        <f>IF(Portfolio!$M$1=1,CONCATENATE(A1394,C1394),CONCATENATE(B1394,C1394))</f>
        <v>KIMIA FARMA202511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1000</v>
      </c>
      <c r="P1394">
        <v>0</v>
      </c>
      <c r="Q1394">
        <v>0</v>
      </c>
      <c r="R1394">
        <v>0</v>
      </c>
      <c r="S1394">
        <v>0</v>
      </c>
      <c r="T1394">
        <v>7</v>
      </c>
    </row>
    <row r="1395" spans="1:20" x14ac:dyDescent="0.25">
      <c r="A1395" t="s">
        <v>105</v>
      </c>
      <c r="B1395" t="s">
        <v>148</v>
      </c>
      <c r="C1395">
        <v>202511</v>
      </c>
      <c r="D1395" s="47" t="str">
        <f>MID(C1395,1,4)</f>
        <v>2025</v>
      </c>
      <c r="E1395" t="str">
        <f>IF(Portfolio!$M$1=1,CONCATENATE(A1395,C1395),CONCATENATE(B1395,C1395))</f>
        <v>LOTTE GROUP202511</v>
      </c>
      <c r="F1395">
        <v>649</v>
      </c>
      <c r="G1395">
        <v>0</v>
      </c>
      <c r="H1395">
        <v>0</v>
      </c>
      <c r="I1395">
        <v>0</v>
      </c>
      <c r="J1395">
        <v>13</v>
      </c>
      <c r="K1395">
        <v>469452388</v>
      </c>
      <c r="L1395">
        <v>0</v>
      </c>
      <c r="M1395">
        <v>0</v>
      </c>
      <c r="N1395">
        <v>0</v>
      </c>
      <c r="O1395">
        <v>13</v>
      </c>
      <c r="P1395">
        <v>704177</v>
      </c>
      <c r="Q1395">
        <v>0</v>
      </c>
      <c r="R1395">
        <v>0</v>
      </c>
      <c r="S1395">
        <v>0</v>
      </c>
      <c r="T1395">
        <v>0</v>
      </c>
    </row>
    <row r="1396" spans="1:20" x14ac:dyDescent="0.25">
      <c r="A1396" t="s">
        <v>105</v>
      </c>
      <c r="B1396" t="s">
        <v>149</v>
      </c>
      <c r="C1396">
        <v>202511</v>
      </c>
      <c r="D1396" s="47" t="str">
        <f>MID(C1396,1,4)</f>
        <v>2025</v>
      </c>
      <c r="E1396" t="str">
        <f>IF(Portfolio!$M$1=1,CONCATENATE(A1396,C1396),CONCATENATE(B1396,C1396))</f>
        <v>LOTTE GROUP202511</v>
      </c>
      <c r="F1396">
        <v>344</v>
      </c>
      <c r="G1396">
        <v>11</v>
      </c>
      <c r="H1396">
        <v>22</v>
      </c>
      <c r="I1396">
        <v>0</v>
      </c>
      <c r="J1396">
        <v>0</v>
      </c>
      <c r="K1396">
        <v>88621100</v>
      </c>
      <c r="L1396">
        <v>4054400</v>
      </c>
      <c r="M1396">
        <v>7783700</v>
      </c>
      <c r="N1396">
        <v>0</v>
      </c>
      <c r="O1396">
        <v>0</v>
      </c>
      <c r="P1396">
        <v>132932</v>
      </c>
      <c r="Q1396">
        <v>40544</v>
      </c>
      <c r="R1396">
        <v>101188</v>
      </c>
      <c r="S1396">
        <v>0</v>
      </c>
      <c r="T1396">
        <v>0</v>
      </c>
    </row>
    <row r="1397" spans="1:20" x14ac:dyDescent="0.25">
      <c r="A1397" t="s">
        <v>106</v>
      </c>
      <c r="B1397" t="s">
        <v>106</v>
      </c>
      <c r="C1397">
        <v>202511</v>
      </c>
      <c r="D1397" s="47" t="str">
        <f>MID(C1397,1,4)</f>
        <v>2025</v>
      </c>
      <c r="E1397" t="str">
        <f>IF(Portfolio!$M$1=1,CONCATENATE(A1397,C1397),CONCATENATE(B1397,C1397))</f>
        <v>MAMA ROZ202511</v>
      </c>
      <c r="F1397">
        <v>0</v>
      </c>
      <c r="G1397">
        <v>13</v>
      </c>
      <c r="H1397">
        <v>8</v>
      </c>
      <c r="I1397">
        <v>0</v>
      </c>
      <c r="J1397">
        <v>220</v>
      </c>
      <c r="K1397">
        <v>0</v>
      </c>
      <c r="L1397">
        <v>865800</v>
      </c>
      <c r="M1397">
        <v>1471100</v>
      </c>
      <c r="N1397">
        <v>0</v>
      </c>
      <c r="O1397">
        <v>16433761</v>
      </c>
      <c r="P1397">
        <v>0</v>
      </c>
      <c r="Q1397">
        <v>8658</v>
      </c>
      <c r="R1397">
        <v>22066</v>
      </c>
      <c r="S1397">
        <v>0</v>
      </c>
      <c r="T1397">
        <v>115041</v>
      </c>
    </row>
    <row r="1398" spans="1:20" x14ac:dyDescent="0.25">
      <c r="A1398" t="s">
        <v>107</v>
      </c>
      <c r="B1398" t="s">
        <v>150</v>
      </c>
      <c r="C1398">
        <v>202511</v>
      </c>
      <c r="D1398" s="47" t="str">
        <f>MID(C1398,1,4)</f>
        <v>2025</v>
      </c>
      <c r="E1398" t="str">
        <f>IF(Portfolio!$M$1=1,CONCATENATE(A1398,C1398),CONCATENATE(B1398,C1398))</f>
        <v>MAP GROUP202511</v>
      </c>
      <c r="F1398">
        <v>2</v>
      </c>
      <c r="G1398">
        <v>10</v>
      </c>
      <c r="H1398">
        <v>34</v>
      </c>
      <c r="I1398">
        <v>0</v>
      </c>
      <c r="J1398">
        <v>0</v>
      </c>
      <c r="K1398">
        <v>2899400</v>
      </c>
      <c r="L1398">
        <v>12794000</v>
      </c>
      <c r="M1398">
        <v>53562400</v>
      </c>
      <c r="N1398">
        <v>0</v>
      </c>
      <c r="O1398">
        <v>0</v>
      </c>
      <c r="P1398">
        <v>4349</v>
      </c>
      <c r="Q1398">
        <v>127940</v>
      </c>
      <c r="R1398">
        <v>696311</v>
      </c>
      <c r="S1398">
        <v>0</v>
      </c>
      <c r="T1398">
        <v>0</v>
      </c>
    </row>
    <row r="1399" spans="1:20" x14ac:dyDescent="0.25">
      <c r="A1399" t="s">
        <v>107</v>
      </c>
      <c r="B1399" t="s">
        <v>151</v>
      </c>
      <c r="C1399">
        <v>202511</v>
      </c>
      <c r="D1399" s="47" t="str">
        <f>MID(C1399,1,4)</f>
        <v>2025</v>
      </c>
      <c r="E1399" t="str">
        <f>IF(Portfolio!$M$1=1,CONCATENATE(A1399,C1399),CONCATENATE(B1399,C1399))</f>
        <v>MAP GROUP202511</v>
      </c>
      <c r="F1399">
        <v>20</v>
      </c>
      <c r="G1399">
        <v>329</v>
      </c>
      <c r="H1399">
        <v>373</v>
      </c>
      <c r="I1399">
        <v>0</v>
      </c>
      <c r="J1399">
        <v>0</v>
      </c>
      <c r="K1399">
        <v>38157000</v>
      </c>
      <c r="L1399">
        <v>488230500</v>
      </c>
      <c r="M1399">
        <v>601590221</v>
      </c>
      <c r="N1399">
        <v>0</v>
      </c>
      <c r="O1399">
        <v>0</v>
      </c>
      <c r="P1399">
        <v>57236</v>
      </c>
      <c r="Q1399">
        <v>4882305</v>
      </c>
      <c r="R1399">
        <v>7820673</v>
      </c>
      <c r="S1399">
        <v>0</v>
      </c>
      <c r="T1399">
        <v>0</v>
      </c>
    </row>
    <row r="1400" spans="1:20" x14ac:dyDescent="0.25">
      <c r="A1400" t="s">
        <v>107</v>
      </c>
      <c r="B1400" t="s">
        <v>152</v>
      </c>
      <c r="C1400">
        <v>202511</v>
      </c>
      <c r="D1400" s="47" t="str">
        <f>MID(C1400,1,4)</f>
        <v>2025</v>
      </c>
      <c r="E1400" t="str">
        <f>IF(Portfolio!$M$1=1,CONCATENATE(A1400,C1400),CONCATENATE(B1400,C1400))</f>
        <v>MAP GROUP202511</v>
      </c>
      <c r="F1400">
        <v>7</v>
      </c>
      <c r="G1400">
        <v>110</v>
      </c>
      <c r="H1400">
        <v>211</v>
      </c>
      <c r="I1400">
        <v>0</v>
      </c>
      <c r="J1400">
        <v>0</v>
      </c>
      <c r="K1400">
        <v>9819120</v>
      </c>
      <c r="L1400">
        <v>146132180</v>
      </c>
      <c r="M1400">
        <v>297820814</v>
      </c>
      <c r="N1400">
        <v>0</v>
      </c>
      <c r="O1400">
        <v>0</v>
      </c>
      <c r="P1400">
        <v>14729</v>
      </c>
      <c r="Q1400">
        <v>1461322</v>
      </c>
      <c r="R1400">
        <v>3871671</v>
      </c>
      <c r="S1400">
        <v>0</v>
      </c>
      <c r="T1400">
        <v>0</v>
      </c>
    </row>
    <row r="1401" spans="1:20" x14ac:dyDescent="0.25">
      <c r="A1401" t="s">
        <v>107</v>
      </c>
      <c r="B1401" t="s">
        <v>153</v>
      </c>
      <c r="C1401">
        <v>202511</v>
      </c>
      <c r="D1401" s="47" t="str">
        <f>MID(C1401,1,4)</f>
        <v>2025</v>
      </c>
      <c r="E1401" t="str">
        <f>IF(Portfolio!$M$1=1,CONCATENATE(A1401,C1401),CONCATENATE(B1401,C1401))</f>
        <v>MAP GROUP202511</v>
      </c>
      <c r="F1401">
        <v>0</v>
      </c>
      <c r="G1401">
        <v>5</v>
      </c>
      <c r="H1401">
        <v>22</v>
      </c>
      <c r="I1401">
        <v>0</v>
      </c>
      <c r="J1401">
        <v>0</v>
      </c>
      <c r="K1401">
        <v>0</v>
      </c>
      <c r="L1401">
        <v>8790300</v>
      </c>
      <c r="M1401">
        <v>32441600</v>
      </c>
      <c r="N1401">
        <v>0</v>
      </c>
      <c r="O1401">
        <v>0</v>
      </c>
      <c r="P1401">
        <v>0</v>
      </c>
      <c r="Q1401">
        <v>87903</v>
      </c>
      <c r="R1401">
        <v>421741</v>
      </c>
      <c r="S1401">
        <v>0</v>
      </c>
      <c r="T1401">
        <v>0</v>
      </c>
    </row>
    <row r="1402" spans="1:20" x14ac:dyDescent="0.25">
      <c r="A1402" t="s">
        <v>107</v>
      </c>
      <c r="B1402" t="s">
        <v>154</v>
      </c>
      <c r="C1402">
        <v>202511</v>
      </c>
      <c r="D1402" s="47" t="str">
        <f>MID(C1402,1,4)</f>
        <v>2025</v>
      </c>
      <c r="E1402" t="str">
        <f>IF(Portfolio!$M$1=1,CONCATENATE(A1402,C1402),CONCATENATE(B1402,C1402))</f>
        <v>MAP GROUP202511</v>
      </c>
      <c r="F1402">
        <v>23</v>
      </c>
      <c r="G1402">
        <v>175</v>
      </c>
      <c r="H1402">
        <v>412</v>
      </c>
      <c r="I1402">
        <v>0</v>
      </c>
      <c r="J1402">
        <v>0</v>
      </c>
      <c r="K1402">
        <v>50712400</v>
      </c>
      <c r="L1402">
        <v>405223677</v>
      </c>
      <c r="M1402">
        <v>890324434</v>
      </c>
      <c r="N1402">
        <v>0</v>
      </c>
      <c r="O1402">
        <v>0</v>
      </c>
      <c r="P1402">
        <v>76069</v>
      </c>
      <c r="Q1402">
        <v>4052237</v>
      </c>
      <c r="R1402">
        <v>11574218</v>
      </c>
      <c r="S1402">
        <v>0</v>
      </c>
      <c r="T1402">
        <v>0</v>
      </c>
    </row>
    <row r="1403" spans="1:20" x14ac:dyDescent="0.25">
      <c r="A1403" t="s">
        <v>107</v>
      </c>
      <c r="B1403" t="s">
        <v>155</v>
      </c>
      <c r="C1403">
        <v>202511</v>
      </c>
      <c r="D1403" s="47" t="str">
        <f>MID(C1403,1,4)</f>
        <v>2025</v>
      </c>
      <c r="E1403" t="str">
        <f>IF(Portfolio!$M$1=1,CONCATENATE(A1403,C1403),CONCATENATE(B1403,C1403))</f>
        <v>MAP GROUP202511</v>
      </c>
      <c r="F1403">
        <v>0</v>
      </c>
      <c r="G1403">
        <v>7</v>
      </c>
      <c r="H1403">
        <v>8</v>
      </c>
      <c r="I1403">
        <v>0</v>
      </c>
      <c r="J1403">
        <v>0</v>
      </c>
      <c r="K1403">
        <v>0</v>
      </c>
      <c r="L1403">
        <v>3650600</v>
      </c>
      <c r="M1403">
        <v>4142800</v>
      </c>
      <c r="N1403">
        <v>0</v>
      </c>
      <c r="O1403">
        <v>0</v>
      </c>
      <c r="P1403">
        <v>0</v>
      </c>
      <c r="Q1403">
        <v>36506</v>
      </c>
      <c r="R1403">
        <v>53856</v>
      </c>
      <c r="S1403">
        <v>0</v>
      </c>
      <c r="T1403">
        <v>0</v>
      </c>
    </row>
    <row r="1404" spans="1:20" x14ac:dyDescent="0.25">
      <c r="A1404" t="s">
        <v>107</v>
      </c>
      <c r="B1404" t="s">
        <v>156</v>
      </c>
      <c r="C1404">
        <v>202511</v>
      </c>
      <c r="D1404" s="47" t="str">
        <f>MID(C1404,1,4)</f>
        <v>2025</v>
      </c>
      <c r="E1404" t="str">
        <f>IF(Portfolio!$M$1=1,CONCATENATE(A1404,C1404),CONCATENATE(B1404,C1404))</f>
        <v>MAP GROUP202511</v>
      </c>
      <c r="F1404">
        <v>0</v>
      </c>
      <c r="G1404">
        <v>17</v>
      </c>
      <c r="H1404">
        <v>18</v>
      </c>
      <c r="I1404">
        <v>0</v>
      </c>
      <c r="J1404">
        <v>0</v>
      </c>
      <c r="K1404">
        <v>0</v>
      </c>
      <c r="L1404">
        <v>37909400</v>
      </c>
      <c r="M1404">
        <v>39784200</v>
      </c>
      <c r="N1404">
        <v>0</v>
      </c>
      <c r="O1404">
        <v>0</v>
      </c>
      <c r="P1404">
        <v>0</v>
      </c>
      <c r="Q1404">
        <v>379094</v>
      </c>
      <c r="R1404">
        <v>517195</v>
      </c>
      <c r="S1404">
        <v>0</v>
      </c>
      <c r="T1404">
        <v>0</v>
      </c>
    </row>
    <row r="1405" spans="1:20" x14ac:dyDescent="0.25">
      <c r="A1405" t="s">
        <v>107</v>
      </c>
      <c r="B1405" t="s">
        <v>157</v>
      </c>
      <c r="C1405">
        <v>202511</v>
      </c>
      <c r="D1405" s="47" t="str">
        <f>MID(C1405,1,4)</f>
        <v>2025</v>
      </c>
      <c r="E1405" t="str">
        <f>IF(Portfolio!$M$1=1,CONCATENATE(A1405,C1405),CONCATENATE(B1405,C1405))</f>
        <v>MAP GROUP202511</v>
      </c>
      <c r="F1405">
        <v>0</v>
      </c>
      <c r="G1405">
        <v>22</v>
      </c>
      <c r="H1405">
        <v>56</v>
      </c>
      <c r="I1405">
        <v>0</v>
      </c>
      <c r="J1405">
        <v>0</v>
      </c>
      <c r="K1405">
        <v>0</v>
      </c>
      <c r="L1405">
        <v>26320666</v>
      </c>
      <c r="M1405">
        <v>34851469</v>
      </c>
      <c r="N1405">
        <v>0</v>
      </c>
      <c r="O1405">
        <v>0</v>
      </c>
      <c r="P1405">
        <v>0</v>
      </c>
      <c r="Q1405">
        <v>263207</v>
      </c>
      <c r="R1405">
        <v>453069</v>
      </c>
      <c r="S1405">
        <v>0</v>
      </c>
      <c r="T1405">
        <v>0</v>
      </c>
    </row>
    <row r="1406" spans="1:20" x14ac:dyDescent="0.25">
      <c r="A1406" t="s">
        <v>107</v>
      </c>
      <c r="B1406" t="s">
        <v>158</v>
      </c>
      <c r="C1406">
        <v>202511</v>
      </c>
      <c r="D1406" s="47" t="str">
        <f>MID(C1406,1,4)</f>
        <v>2025</v>
      </c>
      <c r="E1406" t="str">
        <f>IF(Portfolio!$M$1=1,CONCATENATE(A1406,C1406),CONCATENATE(B1406,C1406))</f>
        <v>MAP GROUP202511</v>
      </c>
      <c r="F1406">
        <v>0</v>
      </c>
      <c r="G1406">
        <v>8</v>
      </c>
      <c r="H1406">
        <v>5</v>
      </c>
      <c r="I1406">
        <v>0</v>
      </c>
      <c r="J1406">
        <v>0</v>
      </c>
      <c r="K1406">
        <v>0</v>
      </c>
      <c r="L1406">
        <v>2542123</v>
      </c>
      <c r="M1406">
        <v>3329275</v>
      </c>
      <c r="N1406">
        <v>0</v>
      </c>
      <c r="O1406">
        <v>0</v>
      </c>
      <c r="P1406">
        <v>0</v>
      </c>
      <c r="Q1406">
        <v>25421</v>
      </c>
      <c r="R1406">
        <v>43281</v>
      </c>
      <c r="S1406">
        <v>0</v>
      </c>
      <c r="T1406">
        <v>0</v>
      </c>
    </row>
    <row r="1407" spans="1:20" x14ac:dyDescent="0.25">
      <c r="A1407" t="s">
        <v>107</v>
      </c>
      <c r="B1407" t="s">
        <v>159</v>
      </c>
      <c r="C1407">
        <v>202511</v>
      </c>
      <c r="D1407" s="47" t="str">
        <f>MID(C1407,1,4)</f>
        <v>2025</v>
      </c>
      <c r="E1407" t="str">
        <f>IF(Portfolio!$M$1=1,CONCATENATE(A1407,C1407),CONCATENATE(B1407,C1407))</f>
        <v>MAP GROUP202511</v>
      </c>
      <c r="F1407">
        <v>9</v>
      </c>
      <c r="G1407">
        <v>141</v>
      </c>
      <c r="H1407">
        <v>407</v>
      </c>
      <c r="I1407">
        <v>0</v>
      </c>
      <c r="J1407">
        <v>0</v>
      </c>
      <c r="K1407">
        <v>12375430</v>
      </c>
      <c r="L1407">
        <v>299877534</v>
      </c>
      <c r="M1407">
        <v>854924256</v>
      </c>
      <c r="N1407">
        <v>0</v>
      </c>
      <c r="O1407">
        <v>0</v>
      </c>
      <c r="P1407">
        <v>18563</v>
      </c>
      <c r="Q1407">
        <v>2998775</v>
      </c>
      <c r="R1407">
        <v>11114015</v>
      </c>
      <c r="S1407">
        <v>0</v>
      </c>
      <c r="T1407">
        <v>0</v>
      </c>
    </row>
    <row r="1408" spans="1:20" x14ac:dyDescent="0.25">
      <c r="A1408" t="s">
        <v>107</v>
      </c>
      <c r="B1408" t="s">
        <v>160</v>
      </c>
      <c r="C1408">
        <v>202511</v>
      </c>
      <c r="D1408" s="47" t="str">
        <f>MID(C1408,1,4)</f>
        <v>2025</v>
      </c>
      <c r="E1408" t="str">
        <f>IF(Portfolio!$M$1=1,CONCATENATE(A1408,C1408),CONCATENATE(B1408,C1408))</f>
        <v>MAP GROUP202511</v>
      </c>
      <c r="F1408">
        <v>0</v>
      </c>
      <c r="G1408">
        <v>10</v>
      </c>
      <c r="H1408">
        <v>51</v>
      </c>
      <c r="I1408">
        <v>0</v>
      </c>
      <c r="J1408">
        <v>0</v>
      </c>
      <c r="K1408">
        <v>0</v>
      </c>
      <c r="L1408">
        <v>21619250</v>
      </c>
      <c r="M1408">
        <v>102057260</v>
      </c>
      <c r="N1408">
        <v>0</v>
      </c>
      <c r="O1408">
        <v>0</v>
      </c>
      <c r="P1408">
        <v>0</v>
      </c>
      <c r="Q1408">
        <v>216192</v>
      </c>
      <c r="R1408">
        <v>1326744</v>
      </c>
      <c r="S1408">
        <v>0</v>
      </c>
      <c r="T1408">
        <v>0</v>
      </c>
    </row>
    <row r="1409" spans="1:20" x14ac:dyDescent="0.25">
      <c r="A1409" t="s">
        <v>107</v>
      </c>
      <c r="B1409" t="s">
        <v>161</v>
      </c>
      <c r="C1409">
        <v>202511</v>
      </c>
      <c r="D1409" s="47" t="str">
        <f>MID(C1409,1,4)</f>
        <v>2025</v>
      </c>
      <c r="E1409" t="str">
        <f>IF(Portfolio!$M$1=1,CONCATENATE(A1409,C1409),CONCATENATE(B1409,C1409))</f>
        <v>MAP GROUP202511</v>
      </c>
      <c r="F1409">
        <v>3</v>
      </c>
      <c r="G1409">
        <v>52</v>
      </c>
      <c r="H1409">
        <v>98</v>
      </c>
      <c r="I1409">
        <v>0</v>
      </c>
      <c r="J1409">
        <v>0</v>
      </c>
      <c r="K1409">
        <v>5600420</v>
      </c>
      <c r="L1409">
        <v>79020747</v>
      </c>
      <c r="M1409">
        <v>171242472</v>
      </c>
      <c r="N1409">
        <v>0</v>
      </c>
      <c r="O1409">
        <v>0</v>
      </c>
      <c r="P1409">
        <v>8401</v>
      </c>
      <c r="Q1409">
        <v>790207</v>
      </c>
      <c r="R1409">
        <v>2226152</v>
      </c>
      <c r="S1409">
        <v>0</v>
      </c>
      <c r="T1409">
        <v>0</v>
      </c>
    </row>
    <row r="1410" spans="1:20" x14ac:dyDescent="0.25">
      <c r="A1410" t="s">
        <v>107</v>
      </c>
      <c r="B1410" t="s">
        <v>162</v>
      </c>
      <c r="C1410">
        <v>202511</v>
      </c>
      <c r="D1410" s="47" t="str">
        <f>MID(C1410,1,4)</f>
        <v>2025</v>
      </c>
      <c r="E1410" t="str">
        <f>IF(Portfolio!$M$1=1,CONCATENATE(A1410,C1410),CONCATENATE(B1410,C1410))</f>
        <v>MAP GROUP202511</v>
      </c>
      <c r="F1410">
        <v>28</v>
      </c>
      <c r="G1410">
        <v>347</v>
      </c>
      <c r="H1410">
        <v>300</v>
      </c>
      <c r="I1410">
        <v>0</v>
      </c>
      <c r="J1410">
        <v>0</v>
      </c>
      <c r="K1410">
        <v>34327420</v>
      </c>
      <c r="L1410">
        <v>334177060</v>
      </c>
      <c r="M1410">
        <v>260209505</v>
      </c>
      <c r="N1410">
        <v>0</v>
      </c>
      <c r="O1410">
        <v>0</v>
      </c>
      <c r="P1410">
        <v>51491</v>
      </c>
      <c r="Q1410">
        <v>3341771</v>
      </c>
      <c r="R1410">
        <v>3382724</v>
      </c>
      <c r="S1410">
        <v>0</v>
      </c>
      <c r="T1410">
        <v>0</v>
      </c>
    </row>
    <row r="1411" spans="1:20" x14ac:dyDescent="0.25">
      <c r="A1411" t="s">
        <v>107</v>
      </c>
      <c r="B1411" t="s">
        <v>163</v>
      </c>
      <c r="C1411">
        <v>202511</v>
      </c>
      <c r="D1411" s="47" t="str">
        <f>MID(C1411,1,4)</f>
        <v>2025</v>
      </c>
      <c r="E1411" t="str">
        <f>IF(Portfolio!$M$1=1,CONCATENATE(A1411,C1411),CONCATENATE(B1411,C1411))</f>
        <v>MAP GROUP202511</v>
      </c>
      <c r="F1411">
        <v>59</v>
      </c>
      <c r="G1411">
        <v>988</v>
      </c>
      <c r="H1411">
        <v>1027</v>
      </c>
      <c r="I1411">
        <v>0</v>
      </c>
      <c r="J1411">
        <v>0</v>
      </c>
      <c r="K1411">
        <v>74361420</v>
      </c>
      <c r="L1411">
        <v>1387142842</v>
      </c>
      <c r="M1411">
        <v>1318458722</v>
      </c>
      <c r="N1411">
        <v>0</v>
      </c>
      <c r="O1411">
        <v>0</v>
      </c>
      <c r="P1411">
        <v>111542</v>
      </c>
      <c r="Q1411">
        <v>13871428</v>
      </c>
      <c r="R1411">
        <v>17139963</v>
      </c>
      <c r="S1411">
        <v>0</v>
      </c>
      <c r="T1411">
        <v>0</v>
      </c>
    </row>
    <row r="1412" spans="1:20" x14ac:dyDescent="0.25">
      <c r="A1412" t="s">
        <v>107</v>
      </c>
      <c r="B1412" t="s">
        <v>164</v>
      </c>
      <c r="C1412">
        <v>202511</v>
      </c>
      <c r="D1412" s="47" t="str">
        <f>MID(C1412,1,4)</f>
        <v>2025</v>
      </c>
      <c r="E1412" t="str">
        <f>IF(Portfolio!$M$1=1,CONCATENATE(A1412,C1412),CONCATENATE(B1412,C1412))</f>
        <v>MAP GROUP202511</v>
      </c>
      <c r="F1412">
        <v>1</v>
      </c>
      <c r="G1412">
        <v>25</v>
      </c>
      <c r="H1412">
        <v>29</v>
      </c>
      <c r="I1412">
        <v>0</v>
      </c>
      <c r="J1412">
        <v>0</v>
      </c>
      <c r="K1412">
        <v>18564000</v>
      </c>
      <c r="L1412">
        <v>304122000</v>
      </c>
      <c r="M1412">
        <v>428592000</v>
      </c>
      <c r="N1412">
        <v>0</v>
      </c>
      <c r="O1412">
        <v>0</v>
      </c>
      <c r="P1412">
        <v>27846</v>
      </c>
      <c r="Q1412">
        <v>3041220</v>
      </c>
      <c r="R1412">
        <v>5571696</v>
      </c>
      <c r="S1412">
        <v>0</v>
      </c>
      <c r="T1412">
        <v>0</v>
      </c>
    </row>
    <row r="1413" spans="1:20" x14ac:dyDescent="0.25">
      <c r="A1413" t="s">
        <v>107</v>
      </c>
      <c r="B1413" t="s">
        <v>165</v>
      </c>
      <c r="C1413">
        <v>202511</v>
      </c>
      <c r="D1413" s="47" t="str">
        <f>MID(C1413,1,4)</f>
        <v>2025</v>
      </c>
      <c r="E1413" t="str">
        <f>IF(Portfolio!$M$1=1,CONCATENATE(A1413,C1413),CONCATENATE(B1413,C1413))</f>
        <v>MAP GROUP202511</v>
      </c>
      <c r="F1413">
        <v>0</v>
      </c>
      <c r="G1413">
        <v>3</v>
      </c>
      <c r="H1413">
        <v>4</v>
      </c>
      <c r="I1413">
        <v>0</v>
      </c>
      <c r="J1413">
        <v>0</v>
      </c>
      <c r="K1413">
        <v>0</v>
      </c>
      <c r="L1413">
        <v>5946000</v>
      </c>
      <c r="M1413">
        <v>20545000</v>
      </c>
      <c r="N1413">
        <v>0</v>
      </c>
      <c r="O1413">
        <v>0</v>
      </c>
      <c r="P1413">
        <v>0</v>
      </c>
      <c r="Q1413">
        <v>59460</v>
      </c>
      <c r="R1413">
        <v>267085</v>
      </c>
      <c r="S1413">
        <v>0</v>
      </c>
      <c r="T1413">
        <v>0</v>
      </c>
    </row>
    <row r="1414" spans="1:20" x14ac:dyDescent="0.25">
      <c r="A1414" t="s">
        <v>107</v>
      </c>
      <c r="B1414" t="s">
        <v>166</v>
      </c>
      <c r="C1414">
        <v>202511</v>
      </c>
      <c r="D1414" s="47" t="str">
        <f>MID(C1414,1,4)</f>
        <v>2025</v>
      </c>
      <c r="E1414" t="str">
        <f>IF(Portfolio!$M$1=1,CONCATENATE(A1414,C1414),CONCATENATE(B1414,C1414))</f>
        <v>MAP GROUP202511</v>
      </c>
      <c r="F1414">
        <v>3</v>
      </c>
      <c r="G1414">
        <v>51</v>
      </c>
      <c r="H1414">
        <v>64</v>
      </c>
      <c r="I1414">
        <v>0</v>
      </c>
      <c r="J1414">
        <v>0</v>
      </c>
      <c r="K1414">
        <v>11379800</v>
      </c>
      <c r="L1414">
        <v>143549424</v>
      </c>
      <c r="M1414">
        <v>162375628</v>
      </c>
      <c r="N1414">
        <v>0</v>
      </c>
      <c r="O1414">
        <v>0</v>
      </c>
      <c r="P1414">
        <v>17070</v>
      </c>
      <c r="Q1414">
        <v>1435494</v>
      </c>
      <c r="R1414">
        <v>2110883</v>
      </c>
      <c r="S1414">
        <v>0</v>
      </c>
      <c r="T1414">
        <v>0</v>
      </c>
    </row>
    <row r="1415" spans="1:20" x14ac:dyDescent="0.25">
      <c r="A1415" t="s">
        <v>107</v>
      </c>
      <c r="B1415" t="s">
        <v>167</v>
      </c>
      <c r="C1415">
        <v>202511</v>
      </c>
      <c r="D1415" s="47" t="str">
        <f>MID(C1415,1,4)</f>
        <v>2025</v>
      </c>
      <c r="E1415" t="str">
        <f>IF(Portfolio!$M$1=1,CONCATENATE(A1415,C1415),CONCATENATE(B1415,C1415))</f>
        <v>MAP GROUP202511</v>
      </c>
      <c r="F1415">
        <v>5</v>
      </c>
      <c r="G1415">
        <v>53</v>
      </c>
      <c r="H1415">
        <v>150</v>
      </c>
      <c r="I1415">
        <v>0</v>
      </c>
      <c r="J1415">
        <v>0</v>
      </c>
      <c r="K1415">
        <v>8032500</v>
      </c>
      <c r="L1415">
        <v>89462581</v>
      </c>
      <c r="M1415">
        <v>208908529</v>
      </c>
      <c r="N1415">
        <v>0</v>
      </c>
      <c r="O1415">
        <v>0</v>
      </c>
      <c r="P1415">
        <v>12049</v>
      </c>
      <c r="Q1415">
        <v>894626</v>
      </c>
      <c r="R1415">
        <v>2715811</v>
      </c>
      <c r="S1415">
        <v>0</v>
      </c>
      <c r="T1415">
        <v>0</v>
      </c>
    </row>
    <row r="1416" spans="1:20" x14ac:dyDescent="0.25">
      <c r="A1416" t="s">
        <v>107</v>
      </c>
      <c r="B1416" t="s">
        <v>168</v>
      </c>
      <c r="C1416">
        <v>202511</v>
      </c>
      <c r="D1416" s="47" t="str">
        <f>MID(C1416,1,4)</f>
        <v>2025</v>
      </c>
      <c r="E1416" t="str">
        <f>IF(Portfolio!$M$1=1,CONCATENATE(A1416,C1416),CONCATENATE(B1416,C1416))</f>
        <v>MAP GROUP202511</v>
      </c>
      <c r="F1416">
        <v>1</v>
      </c>
      <c r="G1416">
        <v>86</v>
      </c>
      <c r="H1416">
        <v>316</v>
      </c>
      <c r="I1416">
        <v>0</v>
      </c>
      <c r="J1416">
        <v>0</v>
      </c>
      <c r="K1416">
        <v>330000</v>
      </c>
      <c r="L1416">
        <v>16258000</v>
      </c>
      <c r="M1416">
        <v>78825395</v>
      </c>
      <c r="N1416">
        <v>0</v>
      </c>
      <c r="O1416">
        <v>0</v>
      </c>
      <c r="P1416">
        <v>495</v>
      </c>
      <c r="Q1416">
        <v>162580</v>
      </c>
      <c r="R1416">
        <v>1115667</v>
      </c>
      <c r="S1416">
        <v>0</v>
      </c>
      <c r="T1416">
        <v>0</v>
      </c>
    </row>
    <row r="1417" spans="1:20" x14ac:dyDescent="0.25">
      <c r="A1417" t="s">
        <v>107</v>
      </c>
      <c r="B1417" t="s">
        <v>169</v>
      </c>
      <c r="C1417">
        <v>202511</v>
      </c>
      <c r="D1417" s="47" t="str">
        <f>MID(C1417,1,4)</f>
        <v>2025</v>
      </c>
      <c r="E1417" t="str">
        <f>IF(Portfolio!$M$1=1,CONCATENATE(A1417,C1417),CONCATENATE(B1417,C1417))</f>
        <v>MAP GROUP202511</v>
      </c>
      <c r="F1417">
        <v>0</v>
      </c>
      <c r="G1417">
        <v>6</v>
      </c>
      <c r="H1417">
        <v>3</v>
      </c>
      <c r="I1417">
        <v>0</v>
      </c>
      <c r="J1417">
        <v>0</v>
      </c>
      <c r="K1417">
        <v>0</v>
      </c>
      <c r="L1417">
        <v>164300</v>
      </c>
      <c r="M1417">
        <v>412199</v>
      </c>
      <c r="N1417">
        <v>0</v>
      </c>
      <c r="O1417">
        <v>0</v>
      </c>
      <c r="P1417">
        <v>0</v>
      </c>
      <c r="Q1417">
        <v>1643</v>
      </c>
      <c r="R1417">
        <v>5359</v>
      </c>
      <c r="S1417">
        <v>0</v>
      </c>
      <c r="T1417">
        <v>0</v>
      </c>
    </row>
    <row r="1418" spans="1:20" x14ac:dyDescent="0.25">
      <c r="A1418" t="s">
        <v>107</v>
      </c>
      <c r="B1418" t="s">
        <v>170</v>
      </c>
      <c r="C1418">
        <v>202511</v>
      </c>
      <c r="D1418" s="47" t="str">
        <f>MID(C1418,1,4)</f>
        <v>2025</v>
      </c>
      <c r="E1418" t="str">
        <f>IF(Portfolio!$M$1=1,CONCATENATE(A1418,C1418),CONCATENATE(B1418,C1418))</f>
        <v>MAP GROUP202511</v>
      </c>
      <c r="F1418">
        <v>75</v>
      </c>
      <c r="G1418">
        <v>1088</v>
      </c>
      <c r="H1418">
        <v>1260</v>
      </c>
      <c r="I1418">
        <v>0</v>
      </c>
      <c r="J1418">
        <v>0</v>
      </c>
      <c r="K1418">
        <v>136480040</v>
      </c>
      <c r="L1418">
        <v>1938534665</v>
      </c>
      <c r="M1418">
        <v>2265798282</v>
      </c>
      <c r="N1418">
        <v>0</v>
      </c>
      <c r="O1418">
        <v>0</v>
      </c>
      <c r="P1418">
        <v>204720</v>
      </c>
      <c r="Q1418">
        <v>19385347</v>
      </c>
      <c r="R1418">
        <v>29455378</v>
      </c>
      <c r="S1418">
        <v>0</v>
      </c>
      <c r="T1418">
        <v>0</v>
      </c>
    </row>
    <row r="1419" spans="1:20" x14ac:dyDescent="0.25">
      <c r="A1419" t="s">
        <v>107</v>
      </c>
      <c r="B1419" t="s">
        <v>171</v>
      </c>
      <c r="C1419">
        <v>202511</v>
      </c>
      <c r="D1419" s="47" t="str">
        <f>MID(C1419,1,4)</f>
        <v>2025</v>
      </c>
      <c r="E1419" t="str">
        <f>IF(Portfolio!$M$1=1,CONCATENATE(A1419,C1419),CONCATENATE(B1419,C1419))</f>
        <v>MAP GROUP202511</v>
      </c>
      <c r="F1419">
        <v>0</v>
      </c>
      <c r="G1419">
        <v>4</v>
      </c>
      <c r="H1419">
        <v>12</v>
      </c>
      <c r="I1419">
        <v>0</v>
      </c>
      <c r="J1419">
        <v>0</v>
      </c>
      <c r="K1419">
        <v>0</v>
      </c>
      <c r="L1419">
        <v>1257000</v>
      </c>
      <c r="M1419">
        <v>3149653</v>
      </c>
      <c r="N1419">
        <v>0</v>
      </c>
      <c r="O1419">
        <v>0</v>
      </c>
      <c r="P1419">
        <v>0</v>
      </c>
      <c r="Q1419">
        <v>12570</v>
      </c>
      <c r="R1419">
        <v>40945</v>
      </c>
      <c r="S1419">
        <v>0</v>
      </c>
      <c r="T1419">
        <v>0</v>
      </c>
    </row>
    <row r="1420" spans="1:20" x14ac:dyDescent="0.25">
      <c r="A1420" t="s">
        <v>107</v>
      </c>
      <c r="B1420" t="s">
        <v>172</v>
      </c>
      <c r="C1420">
        <v>202511</v>
      </c>
      <c r="D1420" s="47" t="str">
        <f>MID(C1420,1,4)</f>
        <v>2025</v>
      </c>
      <c r="E1420" t="str">
        <f>IF(Portfolio!$M$1=1,CONCATENATE(A1420,C1420),CONCATENATE(B1420,C1420))</f>
        <v>MAP GROUP202511</v>
      </c>
      <c r="F1420">
        <v>3</v>
      </c>
      <c r="G1420">
        <v>61</v>
      </c>
      <c r="H1420">
        <v>171</v>
      </c>
      <c r="I1420">
        <v>0</v>
      </c>
      <c r="J1420">
        <v>0</v>
      </c>
      <c r="K1420">
        <v>6786000</v>
      </c>
      <c r="L1420">
        <v>146198801</v>
      </c>
      <c r="M1420">
        <v>292480743</v>
      </c>
      <c r="N1420">
        <v>0</v>
      </c>
      <c r="O1420">
        <v>0</v>
      </c>
      <c r="P1420">
        <v>10179</v>
      </c>
      <c r="Q1420">
        <v>1461988</v>
      </c>
      <c r="R1420">
        <v>3802250</v>
      </c>
      <c r="S1420">
        <v>0</v>
      </c>
      <c r="T1420">
        <v>0</v>
      </c>
    </row>
    <row r="1421" spans="1:20" x14ac:dyDescent="0.25">
      <c r="A1421" t="s">
        <v>107</v>
      </c>
      <c r="B1421" t="s">
        <v>173</v>
      </c>
      <c r="C1421">
        <v>202511</v>
      </c>
      <c r="D1421" s="47" t="str">
        <f>MID(C1421,1,4)</f>
        <v>2025</v>
      </c>
      <c r="E1421" t="str">
        <f>IF(Portfolio!$M$1=1,CONCATENATE(A1421,C1421),CONCATENATE(B1421,C1421))</f>
        <v>MAP GROUP202511</v>
      </c>
      <c r="F1421">
        <v>0</v>
      </c>
      <c r="G1421">
        <v>2</v>
      </c>
      <c r="H1421">
        <v>3</v>
      </c>
      <c r="I1421">
        <v>0</v>
      </c>
      <c r="J1421">
        <v>0</v>
      </c>
      <c r="K1421">
        <v>0</v>
      </c>
      <c r="L1421">
        <v>3003050</v>
      </c>
      <c r="M1421">
        <v>3792300</v>
      </c>
      <c r="N1421">
        <v>0</v>
      </c>
      <c r="O1421">
        <v>0</v>
      </c>
      <c r="P1421">
        <v>0</v>
      </c>
      <c r="Q1421">
        <v>30030</v>
      </c>
      <c r="R1421">
        <v>49300</v>
      </c>
      <c r="S1421">
        <v>0</v>
      </c>
      <c r="T1421">
        <v>0</v>
      </c>
    </row>
    <row r="1422" spans="1:20" x14ac:dyDescent="0.25">
      <c r="A1422" t="s">
        <v>107</v>
      </c>
      <c r="B1422" t="s">
        <v>174</v>
      </c>
      <c r="C1422">
        <v>202511</v>
      </c>
      <c r="D1422" s="47" t="str">
        <f>MID(C1422,1,4)</f>
        <v>2025</v>
      </c>
      <c r="E1422" t="str">
        <f>IF(Portfolio!$M$1=1,CONCATENATE(A1422,C1422),CONCATENATE(B1422,C1422))</f>
        <v>MAP GROUP202511</v>
      </c>
      <c r="F1422">
        <v>4</v>
      </c>
      <c r="G1422">
        <v>107</v>
      </c>
      <c r="H1422">
        <v>237</v>
      </c>
      <c r="I1422">
        <v>0</v>
      </c>
      <c r="J1422">
        <v>0</v>
      </c>
      <c r="K1422">
        <v>9909000</v>
      </c>
      <c r="L1422">
        <v>357577010</v>
      </c>
      <c r="M1422">
        <v>633250610</v>
      </c>
      <c r="N1422">
        <v>0</v>
      </c>
      <c r="O1422">
        <v>0</v>
      </c>
      <c r="P1422">
        <v>14864</v>
      </c>
      <c r="Q1422">
        <v>3575770</v>
      </c>
      <c r="R1422">
        <v>8232258</v>
      </c>
      <c r="S1422">
        <v>0</v>
      </c>
      <c r="T1422">
        <v>0</v>
      </c>
    </row>
    <row r="1423" spans="1:20" x14ac:dyDescent="0.25">
      <c r="A1423" t="s">
        <v>107</v>
      </c>
      <c r="B1423" t="s">
        <v>175</v>
      </c>
      <c r="C1423">
        <v>202511</v>
      </c>
      <c r="D1423" s="47" t="str">
        <f>MID(C1423,1,4)</f>
        <v>2025</v>
      </c>
      <c r="E1423" t="str">
        <f>IF(Portfolio!$M$1=1,CONCATENATE(A1423,C1423),CONCATENATE(B1423,C1423))</f>
        <v>MAP GROUP202511</v>
      </c>
      <c r="F1423">
        <v>0</v>
      </c>
      <c r="G1423">
        <v>2</v>
      </c>
      <c r="H1423">
        <v>5</v>
      </c>
      <c r="I1423">
        <v>0</v>
      </c>
      <c r="J1423">
        <v>0</v>
      </c>
      <c r="K1423">
        <v>0</v>
      </c>
      <c r="L1423">
        <v>2893000</v>
      </c>
      <c r="M1423">
        <v>7775750</v>
      </c>
      <c r="N1423">
        <v>0</v>
      </c>
      <c r="O1423">
        <v>0</v>
      </c>
      <c r="P1423">
        <v>0</v>
      </c>
      <c r="Q1423">
        <v>28930</v>
      </c>
      <c r="R1423">
        <v>101085</v>
      </c>
      <c r="S1423">
        <v>0</v>
      </c>
      <c r="T1423">
        <v>0</v>
      </c>
    </row>
    <row r="1424" spans="1:20" x14ac:dyDescent="0.25">
      <c r="A1424" t="s">
        <v>107</v>
      </c>
      <c r="B1424" t="s">
        <v>176</v>
      </c>
      <c r="C1424">
        <v>202511</v>
      </c>
      <c r="D1424" s="47" t="str">
        <f>MID(C1424,1,4)</f>
        <v>2025</v>
      </c>
      <c r="E1424" t="str">
        <f>IF(Portfolio!$M$1=1,CONCATENATE(A1424,C1424),CONCATENATE(B1424,C1424))</f>
        <v>MAP GROUP202511</v>
      </c>
      <c r="F1424">
        <v>98</v>
      </c>
      <c r="G1424">
        <v>1554</v>
      </c>
      <c r="H1424">
        <v>3126</v>
      </c>
      <c r="I1424">
        <v>0</v>
      </c>
      <c r="J1424">
        <v>0</v>
      </c>
      <c r="K1424">
        <v>45977054</v>
      </c>
      <c r="L1424">
        <v>1072969438</v>
      </c>
      <c r="M1424">
        <v>1993489691</v>
      </c>
      <c r="N1424">
        <v>0</v>
      </c>
      <c r="O1424">
        <v>0</v>
      </c>
      <c r="P1424">
        <v>68966</v>
      </c>
      <c r="Q1424">
        <v>10729694</v>
      </c>
      <c r="R1424">
        <v>25915364</v>
      </c>
      <c r="S1424">
        <v>0</v>
      </c>
      <c r="T1424">
        <v>0</v>
      </c>
    </row>
    <row r="1425" spans="1:20" x14ac:dyDescent="0.25">
      <c r="A1425" t="s">
        <v>107</v>
      </c>
      <c r="B1425" t="s">
        <v>177</v>
      </c>
      <c r="C1425">
        <v>202511</v>
      </c>
      <c r="D1425" s="47" t="str">
        <f>MID(C1425,1,4)</f>
        <v>2025</v>
      </c>
      <c r="E1425" t="str">
        <f>IF(Portfolio!$M$1=1,CONCATENATE(A1425,C1425),CONCATENATE(B1425,C1425))</f>
        <v>MAP GROUP202511</v>
      </c>
      <c r="F1425">
        <v>2</v>
      </c>
      <c r="G1425">
        <v>18</v>
      </c>
      <c r="H1425">
        <v>53</v>
      </c>
      <c r="I1425">
        <v>0</v>
      </c>
      <c r="J1425">
        <v>0</v>
      </c>
      <c r="K1425">
        <v>5912800</v>
      </c>
      <c r="L1425">
        <v>50296200</v>
      </c>
      <c r="M1425">
        <v>180589194</v>
      </c>
      <c r="N1425">
        <v>0</v>
      </c>
      <c r="O1425">
        <v>0</v>
      </c>
      <c r="P1425">
        <v>8869</v>
      </c>
      <c r="Q1425">
        <v>502962</v>
      </c>
      <c r="R1425">
        <v>2347660</v>
      </c>
      <c r="S1425">
        <v>0</v>
      </c>
      <c r="T1425">
        <v>0</v>
      </c>
    </row>
    <row r="1426" spans="1:20" x14ac:dyDescent="0.25">
      <c r="A1426" t="s">
        <v>107</v>
      </c>
      <c r="B1426" t="s">
        <v>178</v>
      </c>
      <c r="C1426">
        <v>202511</v>
      </c>
      <c r="D1426" s="47" t="str">
        <f>MID(C1426,1,4)</f>
        <v>2025</v>
      </c>
      <c r="E1426" t="str">
        <f>IF(Portfolio!$M$1=1,CONCATENATE(A1426,C1426),CONCATENATE(B1426,C1426))</f>
        <v>MAP GROUP202511</v>
      </c>
      <c r="F1426">
        <v>11</v>
      </c>
      <c r="G1426">
        <v>302</v>
      </c>
      <c r="H1426">
        <v>841</v>
      </c>
      <c r="I1426">
        <v>48</v>
      </c>
      <c r="J1426">
        <v>1729</v>
      </c>
      <c r="K1426">
        <v>9649750</v>
      </c>
      <c r="L1426">
        <v>255846845</v>
      </c>
      <c r="M1426">
        <v>959192912</v>
      </c>
      <c r="N1426">
        <v>583300</v>
      </c>
      <c r="O1426">
        <v>126582501</v>
      </c>
      <c r="P1426">
        <v>14475</v>
      </c>
      <c r="Q1426">
        <v>2558468</v>
      </c>
      <c r="R1426">
        <v>12469508</v>
      </c>
      <c r="S1426">
        <v>625</v>
      </c>
      <c r="T1426">
        <v>817234</v>
      </c>
    </row>
    <row r="1427" spans="1:20" x14ac:dyDescent="0.25">
      <c r="A1427" t="s">
        <v>107</v>
      </c>
      <c r="B1427" t="s">
        <v>179</v>
      </c>
      <c r="C1427">
        <v>202511</v>
      </c>
      <c r="D1427" s="47" t="str">
        <f>MID(C1427,1,4)</f>
        <v>2025</v>
      </c>
      <c r="E1427" t="str">
        <f>IF(Portfolio!$M$1=1,CONCATENATE(A1427,C1427),CONCATENATE(B1427,C1427))</f>
        <v>MAP GROUP202511</v>
      </c>
      <c r="F1427">
        <v>3</v>
      </c>
      <c r="G1427">
        <v>16</v>
      </c>
      <c r="H1427">
        <v>50</v>
      </c>
      <c r="I1427">
        <v>0</v>
      </c>
      <c r="J1427">
        <v>0</v>
      </c>
      <c r="K1427">
        <v>2054600</v>
      </c>
      <c r="L1427">
        <v>17184060</v>
      </c>
      <c r="M1427">
        <v>60448302</v>
      </c>
      <c r="N1427">
        <v>0</v>
      </c>
      <c r="O1427">
        <v>0</v>
      </c>
      <c r="P1427">
        <v>3082</v>
      </c>
      <c r="Q1427">
        <v>171841</v>
      </c>
      <c r="R1427">
        <v>785828</v>
      </c>
      <c r="S1427">
        <v>0</v>
      </c>
      <c r="T1427">
        <v>0</v>
      </c>
    </row>
    <row r="1428" spans="1:20" x14ac:dyDescent="0.25">
      <c r="A1428" t="s">
        <v>107</v>
      </c>
      <c r="B1428" t="s">
        <v>180</v>
      </c>
      <c r="C1428">
        <v>202511</v>
      </c>
      <c r="D1428" s="47" t="str">
        <f>MID(C1428,1,4)</f>
        <v>2025</v>
      </c>
      <c r="E1428" t="str">
        <f>IF(Portfolio!$M$1=1,CONCATENATE(A1428,C1428),CONCATENATE(B1428,C1428))</f>
        <v>MAP GROUP202511</v>
      </c>
      <c r="F1428">
        <v>1</v>
      </c>
      <c r="G1428">
        <v>11</v>
      </c>
      <c r="H1428">
        <v>10</v>
      </c>
      <c r="I1428">
        <v>0</v>
      </c>
      <c r="J1428">
        <v>0</v>
      </c>
      <c r="K1428">
        <v>149700</v>
      </c>
      <c r="L1428">
        <v>4474090</v>
      </c>
      <c r="M1428">
        <v>9072573</v>
      </c>
      <c r="N1428">
        <v>0</v>
      </c>
      <c r="O1428">
        <v>0</v>
      </c>
      <c r="P1428">
        <v>225</v>
      </c>
      <c r="Q1428">
        <v>44741</v>
      </c>
      <c r="R1428">
        <v>117943</v>
      </c>
      <c r="S1428">
        <v>0</v>
      </c>
      <c r="T1428">
        <v>0</v>
      </c>
    </row>
    <row r="1429" spans="1:20" x14ac:dyDescent="0.25">
      <c r="A1429" t="s">
        <v>107</v>
      </c>
      <c r="B1429" t="s">
        <v>181</v>
      </c>
      <c r="C1429">
        <v>202511</v>
      </c>
      <c r="D1429" s="47" t="str">
        <f>MID(C1429,1,4)</f>
        <v>2025</v>
      </c>
      <c r="E1429" t="str">
        <f>IF(Portfolio!$M$1=1,CONCATENATE(A1429,C1429),CONCATENATE(B1429,C1429))</f>
        <v>MAP GROUP202511</v>
      </c>
      <c r="F1429">
        <v>1</v>
      </c>
      <c r="G1429">
        <v>0</v>
      </c>
      <c r="H1429">
        <v>0</v>
      </c>
      <c r="I1429">
        <v>0</v>
      </c>
      <c r="J1429">
        <v>0</v>
      </c>
      <c r="K1429">
        <v>12500</v>
      </c>
      <c r="L1429">
        <v>0</v>
      </c>
      <c r="M1429">
        <v>0</v>
      </c>
      <c r="N1429">
        <v>0</v>
      </c>
      <c r="O1429">
        <v>0</v>
      </c>
      <c r="P1429">
        <v>19</v>
      </c>
      <c r="Q1429">
        <v>0</v>
      </c>
      <c r="R1429">
        <v>0</v>
      </c>
      <c r="S1429">
        <v>0</v>
      </c>
      <c r="T1429">
        <v>0</v>
      </c>
    </row>
    <row r="1430" spans="1:20" x14ac:dyDescent="0.25">
      <c r="A1430" t="s">
        <v>107</v>
      </c>
      <c r="B1430" t="s">
        <v>182</v>
      </c>
      <c r="C1430">
        <v>202511</v>
      </c>
      <c r="D1430" s="47" t="str">
        <f>MID(C1430,1,4)</f>
        <v>2025</v>
      </c>
      <c r="E1430" t="str">
        <f>IF(Portfolio!$M$1=1,CONCATENATE(A1430,C1430),CONCATENATE(B1430,C1430))</f>
        <v>MAP GROUP202511</v>
      </c>
      <c r="F1430">
        <v>45</v>
      </c>
      <c r="G1430">
        <v>528</v>
      </c>
      <c r="H1430">
        <v>669</v>
      </c>
      <c r="I1430">
        <v>0</v>
      </c>
      <c r="J1430">
        <v>0</v>
      </c>
      <c r="K1430">
        <v>61507260</v>
      </c>
      <c r="L1430">
        <v>870460840</v>
      </c>
      <c r="M1430">
        <v>967122625</v>
      </c>
      <c r="N1430">
        <v>0</v>
      </c>
      <c r="O1430">
        <v>0</v>
      </c>
      <c r="P1430">
        <v>92261</v>
      </c>
      <c r="Q1430">
        <v>8704608</v>
      </c>
      <c r="R1430">
        <v>12572594</v>
      </c>
      <c r="S1430">
        <v>0</v>
      </c>
      <c r="T1430">
        <v>0</v>
      </c>
    </row>
    <row r="1431" spans="1:20" x14ac:dyDescent="0.25">
      <c r="A1431" t="s">
        <v>107</v>
      </c>
      <c r="B1431" t="s">
        <v>183</v>
      </c>
      <c r="C1431">
        <v>202511</v>
      </c>
      <c r="D1431" s="47" t="str">
        <f>MID(C1431,1,4)</f>
        <v>2025</v>
      </c>
      <c r="E1431" t="str">
        <f>IF(Portfolio!$M$1=1,CONCATENATE(A1431,C1431),CONCATENATE(B1431,C1431))</f>
        <v>MAP GROUP202511</v>
      </c>
      <c r="F1431">
        <v>18</v>
      </c>
      <c r="G1431">
        <v>326</v>
      </c>
      <c r="H1431">
        <v>505</v>
      </c>
      <c r="I1431">
        <v>0</v>
      </c>
      <c r="J1431">
        <v>0</v>
      </c>
      <c r="K1431">
        <v>18490460</v>
      </c>
      <c r="L1431">
        <v>414359490</v>
      </c>
      <c r="M1431">
        <v>539001269</v>
      </c>
      <c r="N1431">
        <v>0</v>
      </c>
      <c r="O1431">
        <v>0</v>
      </c>
      <c r="P1431">
        <v>27736</v>
      </c>
      <c r="Q1431">
        <v>4143595</v>
      </c>
      <c r="R1431">
        <v>7007016</v>
      </c>
      <c r="S1431">
        <v>0</v>
      </c>
      <c r="T1431">
        <v>0</v>
      </c>
    </row>
    <row r="1432" spans="1:20" x14ac:dyDescent="0.25">
      <c r="A1432" t="s">
        <v>107</v>
      </c>
      <c r="B1432" t="s">
        <v>184</v>
      </c>
      <c r="C1432">
        <v>202511</v>
      </c>
      <c r="D1432" s="47" t="str">
        <f>MID(C1432,1,4)</f>
        <v>2025</v>
      </c>
      <c r="E1432" t="str">
        <f>IF(Portfolio!$M$1=1,CONCATENATE(A1432,C1432),CONCATENATE(B1432,C1432))</f>
        <v>MAP GROUP202511</v>
      </c>
      <c r="F1432">
        <v>0</v>
      </c>
      <c r="G1432">
        <v>0</v>
      </c>
      <c r="H1432">
        <v>2</v>
      </c>
      <c r="I1432">
        <v>0</v>
      </c>
      <c r="J1432">
        <v>0</v>
      </c>
      <c r="K1432">
        <v>0</v>
      </c>
      <c r="L1432">
        <v>0</v>
      </c>
      <c r="M1432">
        <v>744421</v>
      </c>
      <c r="N1432">
        <v>0</v>
      </c>
      <c r="O1432">
        <v>0</v>
      </c>
      <c r="P1432">
        <v>0</v>
      </c>
      <c r="Q1432">
        <v>0</v>
      </c>
      <c r="R1432">
        <v>9677</v>
      </c>
      <c r="S1432">
        <v>0</v>
      </c>
      <c r="T1432">
        <v>0</v>
      </c>
    </row>
    <row r="1433" spans="1:20" x14ac:dyDescent="0.25">
      <c r="A1433" t="s">
        <v>107</v>
      </c>
      <c r="B1433" t="s">
        <v>185</v>
      </c>
      <c r="C1433">
        <v>202511</v>
      </c>
      <c r="D1433" s="47" t="str">
        <f>MID(C1433,1,4)</f>
        <v>2025</v>
      </c>
      <c r="E1433" t="str">
        <f>IF(Portfolio!$M$1=1,CONCATENATE(A1433,C1433),CONCATENATE(B1433,C1433))</f>
        <v>MAP GROUP202511</v>
      </c>
      <c r="F1433">
        <v>20</v>
      </c>
      <c r="G1433">
        <v>147</v>
      </c>
      <c r="H1433">
        <v>259</v>
      </c>
      <c r="I1433">
        <v>0</v>
      </c>
      <c r="J1433">
        <v>0</v>
      </c>
      <c r="K1433">
        <v>60092000</v>
      </c>
      <c r="L1433">
        <v>469607893</v>
      </c>
      <c r="M1433">
        <v>760036000</v>
      </c>
      <c r="N1433">
        <v>0</v>
      </c>
      <c r="O1433">
        <v>0</v>
      </c>
      <c r="P1433">
        <v>90138</v>
      </c>
      <c r="Q1433">
        <v>4696079</v>
      </c>
      <c r="R1433">
        <v>9880468</v>
      </c>
      <c r="S1433">
        <v>0</v>
      </c>
      <c r="T1433">
        <v>0</v>
      </c>
    </row>
    <row r="1434" spans="1:20" x14ac:dyDescent="0.25">
      <c r="A1434" t="s">
        <v>107</v>
      </c>
      <c r="B1434" t="s">
        <v>186</v>
      </c>
      <c r="C1434">
        <v>202511</v>
      </c>
      <c r="D1434" s="47" t="str">
        <f>MID(C1434,1,4)</f>
        <v>2025</v>
      </c>
      <c r="E1434" t="str">
        <f>IF(Portfolio!$M$1=1,CONCATENATE(A1434,C1434),CONCATENATE(B1434,C1434))</f>
        <v>MAP GROUP202511</v>
      </c>
      <c r="F1434">
        <v>115</v>
      </c>
      <c r="G1434">
        <v>1306</v>
      </c>
      <c r="H1434">
        <v>795</v>
      </c>
      <c r="I1434">
        <v>0</v>
      </c>
      <c r="J1434">
        <v>0</v>
      </c>
      <c r="K1434">
        <v>43975441</v>
      </c>
      <c r="L1434">
        <v>536916280</v>
      </c>
      <c r="M1434">
        <v>335929820</v>
      </c>
      <c r="N1434">
        <v>0</v>
      </c>
      <c r="O1434">
        <v>0</v>
      </c>
      <c r="P1434">
        <v>65963</v>
      </c>
      <c r="Q1434">
        <v>5369163</v>
      </c>
      <c r="R1434">
        <v>4367088</v>
      </c>
      <c r="S1434">
        <v>0</v>
      </c>
      <c r="T1434">
        <v>0</v>
      </c>
    </row>
    <row r="1435" spans="1:20" x14ac:dyDescent="0.25">
      <c r="A1435" t="s">
        <v>107</v>
      </c>
      <c r="B1435" t="s">
        <v>187</v>
      </c>
      <c r="C1435">
        <v>202511</v>
      </c>
      <c r="D1435" s="47" t="str">
        <f>MID(C1435,1,4)</f>
        <v>2025</v>
      </c>
      <c r="E1435" t="str">
        <f>IF(Portfolio!$M$1=1,CONCATENATE(A1435,C1435),CONCATENATE(B1435,C1435))</f>
        <v>MAP GROUP202511</v>
      </c>
      <c r="F1435">
        <v>0</v>
      </c>
      <c r="G1435">
        <v>9</v>
      </c>
      <c r="H1435">
        <v>15</v>
      </c>
      <c r="I1435">
        <v>0</v>
      </c>
      <c r="J1435">
        <v>0</v>
      </c>
      <c r="K1435">
        <v>0</v>
      </c>
      <c r="L1435">
        <v>10784497</v>
      </c>
      <c r="M1435">
        <v>24058566</v>
      </c>
      <c r="N1435">
        <v>0</v>
      </c>
      <c r="O1435">
        <v>0</v>
      </c>
      <c r="P1435">
        <v>0</v>
      </c>
      <c r="Q1435">
        <v>107845</v>
      </c>
      <c r="R1435">
        <v>312761</v>
      </c>
      <c r="S1435">
        <v>0</v>
      </c>
      <c r="T1435">
        <v>0</v>
      </c>
    </row>
    <row r="1436" spans="1:20" x14ac:dyDescent="0.25">
      <c r="A1436" t="s">
        <v>107</v>
      </c>
      <c r="B1436" t="s">
        <v>188</v>
      </c>
      <c r="C1436">
        <v>202511</v>
      </c>
      <c r="D1436" s="47" t="str">
        <f>MID(C1436,1,4)</f>
        <v>2025</v>
      </c>
      <c r="E1436" t="str">
        <f>IF(Portfolio!$M$1=1,CONCATENATE(A1436,C1436),CONCATENATE(B1436,C1436))</f>
        <v>MAP GROUP202511</v>
      </c>
      <c r="F1436">
        <v>2</v>
      </c>
      <c r="G1436">
        <v>22</v>
      </c>
      <c r="H1436">
        <v>58</v>
      </c>
      <c r="I1436">
        <v>0</v>
      </c>
      <c r="J1436">
        <v>0</v>
      </c>
      <c r="K1436">
        <v>1686800</v>
      </c>
      <c r="L1436">
        <v>14217285</v>
      </c>
      <c r="M1436">
        <v>32334361</v>
      </c>
      <c r="N1436">
        <v>0</v>
      </c>
      <c r="O1436">
        <v>0</v>
      </c>
      <c r="P1436">
        <v>2530</v>
      </c>
      <c r="Q1436">
        <v>142173</v>
      </c>
      <c r="R1436">
        <v>420347</v>
      </c>
      <c r="S1436">
        <v>0</v>
      </c>
      <c r="T1436">
        <v>0</v>
      </c>
    </row>
    <row r="1437" spans="1:20" x14ac:dyDescent="0.25">
      <c r="A1437" t="s">
        <v>107</v>
      </c>
      <c r="B1437" t="s">
        <v>189</v>
      </c>
      <c r="C1437">
        <v>202511</v>
      </c>
      <c r="D1437" s="47" t="str">
        <f>MID(C1437,1,4)</f>
        <v>2025</v>
      </c>
      <c r="E1437" t="str">
        <f>IF(Portfolio!$M$1=1,CONCATENATE(A1437,C1437),CONCATENATE(B1437,C1437))</f>
        <v>MAP GROUP202511</v>
      </c>
      <c r="F1437">
        <v>57</v>
      </c>
      <c r="G1437">
        <v>872</v>
      </c>
      <c r="H1437">
        <v>1942</v>
      </c>
      <c r="I1437">
        <v>0</v>
      </c>
      <c r="J1437">
        <v>0</v>
      </c>
      <c r="K1437">
        <v>84608540</v>
      </c>
      <c r="L1437">
        <v>1236271780</v>
      </c>
      <c r="M1437">
        <v>2518752036</v>
      </c>
      <c r="N1437">
        <v>0</v>
      </c>
      <c r="O1437">
        <v>0</v>
      </c>
      <c r="P1437">
        <v>126913</v>
      </c>
      <c r="Q1437">
        <v>12362718</v>
      </c>
      <c r="R1437">
        <v>32743776</v>
      </c>
      <c r="S1437">
        <v>0</v>
      </c>
      <c r="T1437">
        <v>0</v>
      </c>
    </row>
    <row r="1438" spans="1:20" x14ac:dyDescent="0.25">
      <c r="A1438" t="s">
        <v>107</v>
      </c>
      <c r="B1438" t="s">
        <v>190</v>
      </c>
      <c r="C1438">
        <v>202511</v>
      </c>
      <c r="D1438" s="47" t="str">
        <f>MID(C1438,1,4)</f>
        <v>2025</v>
      </c>
      <c r="E1438" t="str">
        <f>IF(Portfolio!$M$1=1,CONCATENATE(A1438,C1438),CONCATENATE(B1438,C1438))</f>
        <v>MAP GROUP202511</v>
      </c>
      <c r="F1438">
        <v>0</v>
      </c>
      <c r="G1438">
        <v>67</v>
      </c>
      <c r="H1438">
        <v>215</v>
      </c>
      <c r="I1438">
        <v>0</v>
      </c>
      <c r="J1438">
        <v>148</v>
      </c>
      <c r="K1438">
        <v>0</v>
      </c>
      <c r="L1438">
        <v>122480740</v>
      </c>
      <c r="M1438">
        <v>293508220</v>
      </c>
      <c r="N1438">
        <v>0</v>
      </c>
      <c r="O1438">
        <v>10909600</v>
      </c>
      <c r="P1438">
        <v>0</v>
      </c>
      <c r="Q1438">
        <v>1224807</v>
      </c>
      <c r="R1438">
        <v>3815607</v>
      </c>
      <c r="S1438">
        <v>0</v>
      </c>
      <c r="T1438">
        <v>1716</v>
      </c>
    </row>
    <row r="1439" spans="1:20" x14ac:dyDescent="0.25">
      <c r="A1439" t="s">
        <v>107</v>
      </c>
      <c r="B1439" t="s">
        <v>191</v>
      </c>
      <c r="C1439">
        <v>202511</v>
      </c>
      <c r="D1439" s="47" t="str">
        <f>MID(C1439,1,4)</f>
        <v>2025</v>
      </c>
      <c r="E1439" t="str">
        <f>IF(Portfolio!$M$1=1,CONCATENATE(A1439,C1439),CONCATENATE(B1439,C1439))</f>
        <v>MAP GROUP202511</v>
      </c>
      <c r="F1439">
        <v>16</v>
      </c>
      <c r="G1439">
        <v>184</v>
      </c>
      <c r="H1439">
        <v>247</v>
      </c>
      <c r="I1439">
        <v>0</v>
      </c>
      <c r="J1439">
        <v>0</v>
      </c>
      <c r="K1439">
        <v>18658800</v>
      </c>
      <c r="L1439">
        <v>257503120</v>
      </c>
      <c r="M1439">
        <v>320606240</v>
      </c>
      <c r="N1439">
        <v>0</v>
      </c>
      <c r="O1439">
        <v>0</v>
      </c>
      <c r="P1439">
        <v>27988</v>
      </c>
      <c r="Q1439">
        <v>2575031</v>
      </c>
      <c r="R1439">
        <v>4167881</v>
      </c>
      <c r="S1439">
        <v>0</v>
      </c>
      <c r="T1439">
        <v>0</v>
      </c>
    </row>
    <row r="1440" spans="1:20" x14ac:dyDescent="0.25">
      <c r="A1440" t="s">
        <v>107</v>
      </c>
      <c r="B1440" t="s">
        <v>192</v>
      </c>
      <c r="C1440">
        <v>202511</v>
      </c>
      <c r="D1440" s="47" t="str">
        <f>MID(C1440,1,4)</f>
        <v>2025</v>
      </c>
      <c r="E1440" t="str">
        <f>IF(Portfolio!$M$1=1,CONCATENATE(A1440,C1440),CONCATENATE(B1440,C1440))</f>
        <v>MAP GROUP202511</v>
      </c>
      <c r="F1440">
        <v>5</v>
      </c>
      <c r="G1440">
        <v>59</v>
      </c>
      <c r="H1440">
        <v>91</v>
      </c>
      <c r="I1440">
        <v>1</v>
      </c>
      <c r="J1440">
        <v>178</v>
      </c>
      <c r="K1440">
        <v>2697260</v>
      </c>
      <c r="L1440">
        <v>61459320</v>
      </c>
      <c r="M1440">
        <v>60907837</v>
      </c>
      <c r="N1440">
        <v>20000</v>
      </c>
      <c r="O1440">
        <v>12063000</v>
      </c>
      <c r="P1440">
        <v>4046</v>
      </c>
      <c r="Q1440">
        <v>614593</v>
      </c>
      <c r="R1440">
        <v>791802</v>
      </c>
      <c r="S1440">
        <v>0</v>
      </c>
      <c r="T1440">
        <v>4116</v>
      </c>
    </row>
    <row r="1441" spans="1:20" x14ac:dyDescent="0.25">
      <c r="A1441" t="s">
        <v>107</v>
      </c>
      <c r="B1441" t="s">
        <v>193</v>
      </c>
      <c r="C1441">
        <v>202511</v>
      </c>
      <c r="D1441" s="47" t="str">
        <f>MID(C1441,1,4)</f>
        <v>2025</v>
      </c>
      <c r="E1441" t="str">
        <f>IF(Portfolio!$M$1=1,CONCATENATE(A1441,C1441),CONCATENATE(B1441,C1441))</f>
        <v>MAP GROUP202511</v>
      </c>
      <c r="F1441">
        <v>1</v>
      </c>
      <c r="G1441">
        <v>5</v>
      </c>
      <c r="H1441">
        <v>16</v>
      </c>
      <c r="I1441">
        <v>0</v>
      </c>
      <c r="J1441">
        <v>0</v>
      </c>
      <c r="K1441">
        <v>239200</v>
      </c>
      <c r="L1441">
        <v>4644400</v>
      </c>
      <c r="M1441">
        <v>16074200</v>
      </c>
      <c r="N1441">
        <v>0</v>
      </c>
      <c r="O1441">
        <v>0</v>
      </c>
      <c r="P1441">
        <v>359</v>
      </c>
      <c r="Q1441">
        <v>46444</v>
      </c>
      <c r="R1441">
        <v>208965</v>
      </c>
      <c r="S1441">
        <v>0</v>
      </c>
      <c r="T1441">
        <v>0</v>
      </c>
    </row>
    <row r="1442" spans="1:20" x14ac:dyDescent="0.25">
      <c r="A1442" t="s">
        <v>107</v>
      </c>
      <c r="B1442" t="s">
        <v>194</v>
      </c>
      <c r="C1442">
        <v>202511</v>
      </c>
      <c r="D1442" s="47" t="str">
        <f>MID(C1442,1,4)</f>
        <v>2025</v>
      </c>
      <c r="E1442" t="str">
        <f>IF(Portfolio!$M$1=1,CONCATENATE(A1442,C1442),CONCATENATE(B1442,C1442))</f>
        <v>MAP GROUP202511</v>
      </c>
      <c r="F1442">
        <v>0</v>
      </c>
      <c r="G1442">
        <v>7</v>
      </c>
      <c r="H1442">
        <v>27</v>
      </c>
      <c r="I1442">
        <v>0</v>
      </c>
      <c r="J1442">
        <v>0</v>
      </c>
      <c r="K1442">
        <v>0</v>
      </c>
      <c r="L1442">
        <v>5948300</v>
      </c>
      <c r="M1442">
        <v>66072400</v>
      </c>
      <c r="N1442">
        <v>0</v>
      </c>
      <c r="O1442">
        <v>0</v>
      </c>
      <c r="P1442">
        <v>0</v>
      </c>
      <c r="Q1442">
        <v>59483</v>
      </c>
      <c r="R1442">
        <v>858941</v>
      </c>
      <c r="S1442">
        <v>0</v>
      </c>
      <c r="T1442">
        <v>0</v>
      </c>
    </row>
    <row r="1443" spans="1:20" x14ac:dyDescent="0.25">
      <c r="A1443" t="s">
        <v>107</v>
      </c>
      <c r="B1443" t="s">
        <v>195</v>
      </c>
      <c r="C1443">
        <v>202511</v>
      </c>
      <c r="D1443" s="47" t="str">
        <f>MID(C1443,1,4)</f>
        <v>2025</v>
      </c>
      <c r="E1443" t="str">
        <f>IF(Portfolio!$M$1=1,CONCATENATE(A1443,C1443),CONCATENATE(B1443,C1443))</f>
        <v>MAP GROUP202511</v>
      </c>
      <c r="F1443">
        <v>2</v>
      </c>
      <c r="G1443">
        <v>26</v>
      </c>
      <c r="H1443">
        <v>57</v>
      </c>
      <c r="I1443">
        <v>0</v>
      </c>
      <c r="J1443">
        <v>0</v>
      </c>
      <c r="K1443">
        <v>5317250</v>
      </c>
      <c r="L1443">
        <v>14706600</v>
      </c>
      <c r="M1443">
        <v>42483170</v>
      </c>
      <c r="N1443">
        <v>0</v>
      </c>
      <c r="O1443">
        <v>0</v>
      </c>
      <c r="P1443">
        <v>7976</v>
      </c>
      <c r="Q1443">
        <v>147066</v>
      </c>
      <c r="R1443">
        <v>552281</v>
      </c>
      <c r="S1443">
        <v>0</v>
      </c>
      <c r="T1443">
        <v>0</v>
      </c>
    </row>
    <row r="1444" spans="1:20" x14ac:dyDescent="0.25">
      <c r="A1444" t="s">
        <v>107</v>
      </c>
      <c r="B1444" t="s">
        <v>196</v>
      </c>
      <c r="C1444">
        <v>202511</v>
      </c>
      <c r="D1444" s="47" t="str">
        <f>MID(C1444,1,4)</f>
        <v>2025</v>
      </c>
      <c r="E1444" t="str">
        <f>IF(Portfolio!$M$1=1,CONCATENATE(A1444,C1444),CONCATENATE(B1444,C1444))</f>
        <v>MAP GROUP202511</v>
      </c>
      <c r="F1444">
        <v>1</v>
      </c>
      <c r="G1444">
        <v>1</v>
      </c>
      <c r="H1444">
        <v>0</v>
      </c>
      <c r="I1444">
        <v>0</v>
      </c>
      <c r="J1444">
        <v>0</v>
      </c>
      <c r="K1444">
        <v>137700</v>
      </c>
      <c r="L1444">
        <v>41700</v>
      </c>
      <c r="M1444">
        <v>0</v>
      </c>
      <c r="N1444">
        <v>0</v>
      </c>
      <c r="O1444">
        <v>0</v>
      </c>
      <c r="P1444">
        <v>207</v>
      </c>
      <c r="Q1444">
        <v>417</v>
      </c>
      <c r="R1444">
        <v>0</v>
      </c>
      <c r="S1444">
        <v>0</v>
      </c>
      <c r="T1444">
        <v>0</v>
      </c>
    </row>
    <row r="1445" spans="1:20" x14ac:dyDescent="0.25">
      <c r="A1445" t="s">
        <v>107</v>
      </c>
      <c r="B1445" t="s">
        <v>197</v>
      </c>
      <c r="C1445">
        <v>202511</v>
      </c>
      <c r="D1445" s="47" t="str">
        <f>MID(C1445,1,4)</f>
        <v>2025</v>
      </c>
      <c r="E1445" t="str">
        <f>IF(Portfolio!$M$1=1,CONCATENATE(A1445,C1445),CONCATENATE(B1445,C1445))</f>
        <v>MAP GROUP202511</v>
      </c>
      <c r="F1445">
        <v>0</v>
      </c>
      <c r="G1445">
        <v>4</v>
      </c>
      <c r="H1445">
        <v>7</v>
      </c>
      <c r="I1445">
        <v>0</v>
      </c>
      <c r="J1445">
        <v>0</v>
      </c>
      <c r="K1445">
        <v>0</v>
      </c>
      <c r="L1445">
        <v>17017000</v>
      </c>
      <c r="M1445">
        <v>25512000</v>
      </c>
      <c r="N1445">
        <v>0</v>
      </c>
      <c r="O1445">
        <v>0</v>
      </c>
      <c r="P1445">
        <v>0</v>
      </c>
      <c r="Q1445">
        <v>170170</v>
      </c>
      <c r="R1445">
        <v>331656</v>
      </c>
      <c r="S1445">
        <v>0</v>
      </c>
      <c r="T1445">
        <v>0</v>
      </c>
    </row>
    <row r="1446" spans="1:20" x14ac:dyDescent="0.25">
      <c r="A1446" t="s">
        <v>107</v>
      </c>
      <c r="B1446" t="s">
        <v>198</v>
      </c>
      <c r="C1446">
        <v>202511</v>
      </c>
      <c r="D1446" s="47" t="str">
        <f>MID(C1446,1,4)</f>
        <v>2025</v>
      </c>
      <c r="E1446" t="str">
        <f>IF(Portfolio!$M$1=1,CONCATENATE(A1446,C1446),CONCATENATE(B1446,C1446))</f>
        <v>MAP GROUP202511</v>
      </c>
      <c r="F1446">
        <v>66</v>
      </c>
      <c r="G1446">
        <v>17</v>
      </c>
      <c r="H1446">
        <v>39</v>
      </c>
      <c r="I1446">
        <v>0</v>
      </c>
      <c r="J1446">
        <v>0</v>
      </c>
      <c r="K1446">
        <v>82609120</v>
      </c>
      <c r="L1446">
        <v>24150550</v>
      </c>
      <c r="M1446">
        <v>55965285</v>
      </c>
      <c r="N1446">
        <v>0</v>
      </c>
      <c r="O1446">
        <v>0</v>
      </c>
      <c r="P1446">
        <v>123914</v>
      </c>
      <c r="Q1446">
        <v>241506</v>
      </c>
      <c r="R1446">
        <v>727549</v>
      </c>
      <c r="S1446">
        <v>0</v>
      </c>
      <c r="T1446">
        <v>0</v>
      </c>
    </row>
    <row r="1447" spans="1:20" x14ac:dyDescent="0.25">
      <c r="A1447" t="s">
        <v>107</v>
      </c>
      <c r="B1447" t="s">
        <v>199</v>
      </c>
      <c r="C1447">
        <v>202511</v>
      </c>
      <c r="D1447" s="47" t="str">
        <f>MID(C1447,1,4)</f>
        <v>2025</v>
      </c>
      <c r="E1447" t="str">
        <f>IF(Portfolio!$M$1=1,CONCATENATE(A1447,C1447),CONCATENATE(B1447,C1447))</f>
        <v>MAP GROUP202511</v>
      </c>
      <c r="F1447">
        <v>197</v>
      </c>
      <c r="G1447">
        <v>2331</v>
      </c>
      <c r="H1447">
        <v>2871</v>
      </c>
      <c r="I1447">
        <v>0</v>
      </c>
      <c r="J1447">
        <v>0</v>
      </c>
      <c r="K1447">
        <v>258332590</v>
      </c>
      <c r="L1447">
        <v>3003028444</v>
      </c>
      <c r="M1447">
        <v>3529525020</v>
      </c>
      <c r="N1447">
        <v>0</v>
      </c>
      <c r="O1447">
        <v>0</v>
      </c>
      <c r="P1447">
        <v>387499</v>
      </c>
      <c r="Q1447">
        <v>30030284</v>
      </c>
      <c r="R1447">
        <v>45883825</v>
      </c>
      <c r="S1447">
        <v>0</v>
      </c>
      <c r="T1447">
        <v>0</v>
      </c>
    </row>
    <row r="1448" spans="1:20" x14ac:dyDescent="0.25">
      <c r="A1448" t="s">
        <v>107</v>
      </c>
      <c r="B1448" t="s">
        <v>200</v>
      </c>
      <c r="C1448">
        <v>202511</v>
      </c>
      <c r="D1448" s="47" t="str">
        <f>MID(C1448,1,4)</f>
        <v>2025</v>
      </c>
      <c r="E1448" t="str">
        <f>IF(Portfolio!$M$1=1,CONCATENATE(A1448,C1448),CONCATENATE(B1448,C1448))</f>
        <v>MAP GROUP202511</v>
      </c>
      <c r="F1448">
        <v>8</v>
      </c>
      <c r="G1448">
        <v>125</v>
      </c>
      <c r="H1448">
        <v>228</v>
      </c>
      <c r="I1448">
        <v>0</v>
      </c>
      <c r="J1448">
        <v>0</v>
      </c>
      <c r="K1448">
        <v>9713660</v>
      </c>
      <c r="L1448">
        <v>153809296</v>
      </c>
      <c r="M1448">
        <v>204517560</v>
      </c>
      <c r="N1448">
        <v>0</v>
      </c>
      <c r="O1448">
        <v>0</v>
      </c>
      <c r="P1448">
        <v>14570</v>
      </c>
      <c r="Q1448">
        <v>1538093</v>
      </c>
      <c r="R1448">
        <v>2658728</v>
      </c>
      <c r="S1448">
        <v>0</v>
      </c>
      <c r="T1448">
        <v>0</v>
      </c>
    </row>
    <row r="1449" spans="1:20" x14ac:dyDescent="0.25">
      <c r="A1449" t="s">
        <v>107</v>
      </c>
      <c r="B1449" t="s">
        <v>201</v>
      </c>
      <c r="C1449">
        <v>202511</v>
      </c>
      <c r="D1449" s="47" t="str">
        <f>MID(C1449,1,4)</f>
        <v>2025</v>
      </c>
      <c r="E1449" t="str">
        <f>IF(Portfolio!$M$1=1,CONCATENATE(A1449,C1449),CONCATENATE(B1449,C1449))</f>
        <v>MAP GROUP202511</v>
      </c>
      <c r="F1449">
        <v>15</v>
      </c>
      <c r="G1449">
        <v>376</v>
      </c>
      <c r="H1449">
        <v>965</v>
      </c>
      <c r="I1449">
        <v>0</v>
      </c>
      <c r="J1449">
        <v>0</v>
      </c>
      <c r="K1449">
        <v>6760580</v>
      </c>
      <c r="L1449">
        <v>218051854</v>
      </c>
      <c r="M1449">
        <v>533997710</v>
      </c>
      <c r="N1449">
        <v>0</v>
      </c>
      <c r="O1449">
        <v>0</v>
      </c>
      <c r="P1449">
        <v>10141</v>
      </c>
      <c r="Q1449">
        <v>2180519</v>
      </c>
      <c r="R1449">
        <v>6941970</v>
      </c>
      <c r="S1449">
        <v>0</v>
      </c>
      <c r="T1449">
        <v>0</v>
      </c>
    </row>
    <row r="1450" spans="1:20" x14ac:dyDescent="0.25">
      <c r="A1450" t="s">
        <v>107</v>
      </c>
      <c r="B1450" t="s">
        <v>202</v>
      </c>
      <c r="C1450">
        <v>202511</v>
      </c>
      <c r="D1450" s="47" t="str">
        <f>MID(C1450,1,4)</f>
        <v>2025</v>
      </c>
      <c r="E1450" t="str">
        <f>IF(Portfolio!$M$1=1,CONCATENATE(A1450,C1450),CONCATENATE(B1450,C1450))</f>
        <v>MAP GROUP202511</v>
      </c>
      <c r="F1450">
        <v>0</v>
      </c>
      <c r="G1450">
        <v>10</v>
      </c>
      <c r="H1450">
        <v>20</v>
      </c>
      <c r="I1450">
        <v>0</v>
      </c>
      <c r="J1450">
        <v>0</v>
      </c>
      <c r="K1450">
        <v>0</v>
      </c>
      <c r="L1450">
        <v>8672900</v>
      </c>
      <c r="M1450">
        <v>18619200</v>
      </c>
      <c r="N1450">
        <v>0</v>
      </c>
      <c r="O1450">
        <v>0</v>
      </c>
      <c r="P1450">
        <v>0</v>
      </c>
      <c r="Q1450">
        <v>86729</v>
      </c>
      <c r="R1450">
        <v>242050</v>
      </c>
      <c r="S1450">
        <v>0</v>
      </c>
      <c r="T1450">
        <v>0</v>
      </c>
    </row>
    <row r="1451" spans="1:20" x14ac:dyDescent="0.25">
      <c r="A1451" t="s">
        <v>107</v>
      </c>
      <c r="B1451" t="s">
        <v>203</v>
      </c>
      <c r="C1451">
        <v>202511</v>
      </c>
      <c r="D1451" s="47" t="str">
        <f>MID(C1451,1,4)</f>
        <v>2025</v>
      </c>
      <c r="E1451" t="str">
        <f>IF(Portfolio!$M$1=1,CONCATENATE(A1451,C1451),CONCATENATE(B1451,C1451))</f>
        <v>MAP GROUP202511</v>
      </c>
      <c r="F1451">
        <v>727</v>
      </c>
      <c r="G1451">
        <v>8894</v>
      </c>
      <c r="H1451">
        <v>7778</v>
      </c>
      <c r="I1451">
        <v>0</v>
      </c>
      <c r="J1451">
        <v>0</v>
      </c>
      <c r="K1451">
        <v>474219274</v>
      </c>
      <c r="L1451">
        <v>5951524484</v>
      </c>
      <c r="M1451">
        <v>5184591322</v>
      </c>
      <c r="N1451">
        <v>0</v>
      </c>
      <c r="O1451">
        <v>0</v>
      </c>
      <c r="P1451">
        <v>711329</v>
      </c>
      <c r="Q1451">
        <v>59515245</v>
      </c>
      <c r="R1451">
        <v>67399687</v>
      </c>
      <c r="S1451">
        <v>0</v>
      </c>
      <c r="T1451">
        <v>0</v>
      </c>
    </row>
    <row r="1452" spans="1:20" x14ac:dyDescent="0.25">
      <c r="A1452" t="s">
        <v>107</v>
      </c>
      <c r="B1452" t="s">
        <v>204</v>
      </c>
      <c r="C1452">
        <v>202511</v>
      </c>
      <c r="D1452" s="47" t="str">
        <f>MID(C1452,1,4)</f>
        <v>2025</v>
      </c>
      <c r="E1452" t="str">
        <f>IF(Portfolio!$M$1=1,CONCATENATE(A1452,C1452),CONCATENATE(B1452,C1452))</f>
        <v>MAP GROUP202511</v>
      </c>
      <c r="F1452">
        <v>13</v>
      </c>
      <c r="G1452">
        <v>134</v>
      </c>
      <c r="H1452">
        <v>273</v>
      </c>
      <c r="I1452">
        <v>0</v>
      </c>
      <c r="J1452">
        <v>0</v>
      </c>
      <c r="K1452">
        <v>27182070</v>
      </c>
      <c r="L1452">
        <v>246358321</v>
      </c>
      <c r="M1452">
        <v>529935792</v>
      </c>
      <c r="N1452">
        <v>0</v>
      </c>
      <c r="O1452">
        <v>0</v>
      </c>
      <c r="P1452">
        <v>40773</v>
      </c>
      <c r="Q1452">
        <v>2463583</v>
      </c>
      <c r="R1452">
        <v>6889165</v>
      </c>
      <c r="S1452">
        <v>0</v>
      </c>
      <c r="T1452">
        <v>0</v>
      </c>
    </row>
    <row r="1453" spans="1:20" x14ac:dyDescent="0.25">
      <c r="A1453" t="s">
        <v>107</v>
      </c>
      <c r="B1453" t="s">
        <v>205</v>
      </c>
      <c r="C1453">
        <v>202511</v>
      </c>
      <c r="D1453" s="47" t="str">
        <f>MID(C1453,1,4)</f>
        <v>2025</v>
      </c>
      <c r="E1453" t="str">
        <f>IF(Portfolio!$M$1=1,CONCATENATE(A1453,C1453),CONCATENATE(B1453,C1453))</f>
        <v>MAP GROUP202511</v>
      </c>
      <c r="F1453">
        <v>64</v>
      </c>
      <c r="G1453">
        <v>252</v>
      </c>
      <c r="H1453">
        <v>1302</v>
      </c>
      <c r="I1453">
        <v>0</v>
      </c>
      <c r="J1453">
        <v>0</v>
      </c>
      <c r="K1453">
        <v>7482500</v>
      </c>
      <c r="L1453">
        <v>31654750</v>
      </c>
      <c r="M1453">
        <v>159074646</v>
      </c>
      <c r="N1453">
        <v>0</v>
      </c>
      <c r="O1453">
        <v>0</v>
      </c>
      <c r="P1453">
        <v>11224</v>
      </c>
      <c r="Q1453">
        <v>316548</v>
      </c>
      <c r="R1453">
        <v>2067970</v>
      </c>
      <c r="S1453">
        <v>0</v>
      </c>
      <c r="T1453">
        <v>0</v>
      </c>
    </row>
    <row r="1454" spans="1:20" x14ac:dyDescent="0.25">
      <c r="A1454" t="s">
        <v>107</v>
      </c>
      <c r="B1454" t="s">
        <v>206</v>
      </c>
      <c r="C1454">
        <v>202511</v>
      </c>
      <c r="D1454" s="47" t="str">
        <f>MID(C1454,1,4)</f>
        <v>2025</v>
      </c>
      <c r="E1454" t="str">
        <f>IF(Portfolio!$M$1=1,CONCATENATE(A1454,C1454),CONCATENATE(B1454,C1454))</f>
        <v>MAP GROUP202511</v>
      </c>
      <c r="F1454">
        <v>13</v>
      </c>
      <c r="G1454">
        <v>119</v>
      </c>
      <c r="H1454">
        <v>186</v>
      </c>
      <c r="I1454">
        <v>0</v>
      </c>
      <c r="J1454">
        <v>0</v>
      </c>
      <c r="K1454">
        <v>19535950</v>
      </c>
      <c r="L1454">
        <v>171110120</v>
      </c>
      <c r="M1454">
        <v>255340951</v>
      </c>
      <c r="N1454">
        <v>0</v>
      </c>
      <c r="O1454">
        <v>0</v>
      </c>
      <c r="P1454">
        <v>29304</v>
      </c>
      <c r="Q1454">
        <v>1711101</v>
      </c>
      <c r="R1454">
        <v>3319432</v>
      </c>
      <c r="S1454">
        <v>0</v>
      </c>
      <c r="T1454">
        <v>0</v>
      </c>
    </row>
    <row r="1455" spans="1:20" x14ac:dyDescent="0.25">
      <c r="A1455" t="s">
        <v>107</v>
      </c>
      <c r="B1455" t="s">
        <v>207</v>
      </c>
      <c r="C1455">
        <v>202511</v>
      </c>
      <c r="D1455" s="47" t="str">
        <f>MID(C1455,1,4)</f>
        <v>2025</v>
      </c>
      <c r="E1455" t="str">
        <f>IF(Portfolio!$M$1=1,CONCATENATE(A1455,C1455),CONCATENATE(B1455,C1455))</f>
        <v>MAP GROUP202511</v>
      </c>
      <c r="F1455">
        <v>1</v>
      </c>
      <c r="G1455">
        <v>10</v>
      </c>
      <c r="H1455">
        <v>11</v>
      </c>
      <c r="I1455">
        <v>1</v>
      </c>
      <c r="J1455">
        <v>0</v>
      </c>
      <c r="K1455">
        <v>66000</v>
      </c>
      <c r="L1455">
        <v>956000</v>
      </c>
      <c r="M1455">
        <v>1149000</v>
      </c>
      <c r="N1455">
        <v>157000</v>
      </c>
      <c r="O1455">
        <v>0</v>
      </c>
      <c r="P1455">
        <v>99</v>
      </c>
      <c r="Q1455">
        <v>9560</v>
      </c>
      <c r="R1455">
        <v>15232</v>
      </c>
      <c r="S1455">
        <v>0</v>
      </c>
      <c r="T1455">
        <v>0</v>
      </c>
    </row>
    <row r="1456" spans="1:20" x14ac:dyDescent="0.25">
      <c r="A1456" t="s">
        <v>107</v>
      </c>
      <c r="B1456" t="s">
        <v>208</v>
      </c>
      <c r="C1456">
        <v>202511</v>
      </c>
      <c r="D1456" s="47" t="str">
        <f>MID(C1456,1,4)</f>
        <v>2025</v>
      </c>
      <c r="E1456" t="str">
        <f>IF(Portfolio!$M$1=1,CONCATENATE(A1456,C1456),CONCATENATE(B1456,C1456))</f>
        <v>MAP GROUP202511</v>
      </c>
      <c r="F1456">
        <v>0</v>
      </c>
      <c r="G1456">
        <v>2</v>
      </c>
      <c r="H1456">
        <v>6</v>
      </c>
      <c r="I1456">
        <v>0</v>
      </c>
      <c r="J1456">
        <v>0</v>
      </c>
      <c r="K1456">
        <v>0</v>
      </c>
      <c r="L1456">
        <v>3028670</v>
      </c>
      <c r="M1456">
        <v>11437820</v>
      </c>
      <c r="N1456">
        <v>0</v>
      </c>
      <c r="O1456">
        <v>0</v>
      </c>
      <c r="P1456">
        <v>0</v>
      </c>
      <c r="Q1456">
        <v>30287</v>
      </c>
      <c r="R1456">
        <v>148692</v>
      </c>
      <c r="S1456">
        <v>0</v>
      </c>
      <c r="T1456">
        <v>0</v>
      </c>
    </row>
    <row r="1457" spans="1:20" x14ac:dyDescent="0.25">
      <c r="A1457" t="s">
        <v>107</v>
      </c>
      <c r="B1457" t="s">
        <v>209</v>
      </c>
      <c r="C1457">
        <v>202511</v>
      </c>
      <c r="D1457" s="47" t="str">
        <f>MID(C1457,1,4)</f>
        <v>2025</v>
      </c>
      <c r="E1457" t="str">
        <f>IF(Portfolio!$M$1=1,CONCATENATE(A1457,C1457),CONCATENATE(B1457,C1457))</f>
        <v>MAP GROUP202511</v>
      </c>
      <c r="F1457">
        <v>0</v>
      </c>
      <c r="G1457">
        <v>11</v>
      </c>
      <c r="H1457">
        <v>39</v>
      </c>
      <c r="I1457">
        <v>0</v>
      </c>
      <c r="J1457">
        <v>0</v>
      </c>
      <c r="K1457">
        <v>0</v>
      </c>
      <c r="L1457">
        <v>16121400</v>
      </c>
      <c r="M1457">
        <v>48259200</v>
      </c>
      <c r="N1457">
        <v>0</v>
      </c>
      <c r="O1457">
        <v>0</v>
      </c>
      <c r="P1457">
        <v>0</v>
      </c>
      <c r="Q1457">
        <v>161214</v>
      </c>
      <c r="R1457">
        <v>627370</v>
      </c>
      <c r="S1457">
        <v>0</v>
      </c>
      <c r="T1457">
        <v>0</v>
      </c>
    </row>
    <row r="1458" spans="1:20" x14ac:dyDescent="0.25">
      <c r="A1458" t="s">
        <v>109</v>
      </c>
      <c r="B1458" t="s">
        <v>109</v>
      </c>
      <c r="C1458">
        <v>202511</v>
      </c>
      <c r="D1458" s="47" t="str">
        <f>MID(C1458,1,4)</f>
        <v>2025</v>
      </c>
      <c r="E1458" t="str">
        <f>IF(Portfolio!$M$1=1,CONCATENATE(A1458,C1458),CONCATENATE(B1458,C1458))</f>
        <v>MITRA10202511</v>
      </c>
      <c r="F1458">
        <v>405</v>
      </c>
      <c r="G1458">
        <v>2</v>
      </c>
      <c r="H1458">
        <v>0</v>
      </c>
      <c r="I1458">
        <v>0</v>
      </c>
      <c r="J1458">
        <v>0</v>
      </c>
      <c r="K1458">
        <v>1030258109</v>
      </c>
      <c r="L1458">
        <v>5225523</v>
      </c>
      <c r="M1458">
        <v>0</v>
      </c>
      <c r="N1458">
        <v>0</v>
      </c>
      <c r="O1458">
        <v>0</v>
      </c>
      <c r="P1458">
        <v>1545386</v>
      </c>
      <c r="Q1458">
        <v>52255</v>
      </c>
      <c r="R1458">
        <v>0</v>
      </c>
      <c r="S1458">
        <v>0</v>
      </c>
      <c r="T1458">
        <v>0</v>
      </c>
    </row>
    <row r="1459" spans="1:20" x14ac:dyDescent="0.25">
      <c r="A1459" t="s">
        <v>110</v>
      </c>
      <c r="B1459" t="s">
        <v>110</v>
      </c>
      <c r="C1459">
        <v>202511</v>
      </c>
      <c r="D1459" s="47" t="str">
        <f>MID(C1459,1,4)</f>
        <v>2025</v>
      </c>
      <c r="E1459" t="str">
        <f>IF(Portfolio!$M$1=1,CONCATENATE(A1459,C1459),CONCATENATE(B1459,C1459))</f>
        <v>OPTIK MELAWAI202511</v>
      </c>
      <c r="F1459">
        <v>73</v>
      </c>
      <c r="G1459">
        <v>0</v>
      </c>
      <c r="H1459">
        <v>0</v>
      </c>
      <c r="I1459">
        <v>0</v>
      </c>
      <c r="J1459">
        <v>0</v>
      </c>
      <c r="K1459">
        <v>124723500</v>
      </c>
      <c r="L1459">
        <v>0</v>
      </c>
      <c r="M1459">
        <v>0</v>
      </c>
      <c r="N1459">
        <v>0</v>
      </c>
      <c r="O1459">
        <v>0</v>
      </c>
      <c r="P1459">
        <v>187085</v>
      </c>
      <c r="Q1459">
        <v>0</v>
      </c>
      <c r="R1459">
        <v>0</v>
      </c>
      <c r="S1459">
        <v>0</v>
      </c>
      <c r="T1459">
        <v>0</v>
      </c>
    </row>
    <row r="1460" spans="1:20" x14ac:dyDescent="0.25">
      <c r="A1460" t="s">
        <v>111</v>
      </c>
      <c r="B1460" t="s">
        <v>211</v>
      </c>
      <c r="C1460">
        <v>202511</v>
      </c>
      <c r="D1460" s="47" t="str">
        <f>MID(C1460,1,4)</f>
        <v>2025</v>
      </c>
      <c r="E1460" t="str">
        <f>IF(Portfolio!$M$1=1,CONCATENATE(A1460,C1460),CONCATENATE(B1460,C1460))</f>
        <v>PATRA JASA202511</v>
      </c>
      <c r="F1460">
        <v>0</v>
      </c>
      <c r="G1460">
        <v>0</v>
      </c>
      <c r="H1460">
        <v>2</v>
      </c>
      <c r="I1460">
        <v>0</v>
      </c>
      <c r="J1460">
        <v>0</v>
      </c>
      <c r="K1460">
        <v>0</v>
      </c>
      <c r="L1460">
        <v>0</v>
      </c>
      <c r="M1460">
        <v>508330</v>
      </c>
      <c r="N1460">
        <v>0</v>
      </c>
      <c r="O1460">
        <v>0</v>
      </c>
      <c r="P1460">
        <v>0</v>
      </c>
      <c r="Q1460">
        <v>0</v>
      </c>
      <c r="R1460">
        <v>9150</v>
      </c>
      <c r="S1460">
        <v>0</v>
      </c>
      <c r="T1460">
        <v>0</v>
      </c>
    </row>
    <row r="1461" spans="1:20" x14ac:dyDescent="0.25">
      <c r="A1461" t="s">
        <v>111</v>
      </c>
      <c r="B1461" t="s">
        <v>212</v>
      </c>
      <c r="C1461">
        <v>202511</v>
      </c>
      <c r="D1461" s="47" t="str">
        <f>MID(C1461,1,4)</f>
        <v>2025</v>
      </c>
      <c r="E1461" t="str">
        <f>IF(Portfolio!$M$1=1,CONCATENATE(A1461,C1461),CONCATENATE(B1461,C1461))</f>
        <v>PATRA JASA202511</v>
      </c>
      <c r="F1461">
        <v>0</v>
      </c>
      <c r="G1461">
        <v>1</v>
      </c>
      <c r="H1461">
        <v>2</v>
      </c>
      <c r="I1461">
        <v>0</v>
      </c>
      <c r="J1461">
        <v>0</v>
      </c>
      <c r="K1461">
        <v>0</v>
      </c>
      <c r="L1461">
        <v>15000</v>
      </c>
      <c r="M1461">
        <v>6100000</v>
      </c>
      <c r="N1461">
        <v>0</v>
      </c>
      <c r="O1461">
        <v>0</v>
      </c>
      <c r="P1461">
        <v>0</v>
      </c>
      <c r="Q1461">
        <v>150</v>
      </c>
      <c r="R1461">
        <v>109800</v>
      </c>
      <c r="S1461">
        <v>0</v>
      </c>
      <c r="T1461">
        <v>0</v>
      </c>
    </row>
    <row r="1462" spans="1:20" x14ac:dyDescent="0.25">
      <c r="A1462" t="s">
        <v>111</v>
      </c>
      <c r="B1462" t="s">
        <v>213</v>
      </c>
      <c r="C1462">
        <v>202511</v>
      </c>
      <c r="D1462" s="47" t="str">
        <f>MID(C1462,1,4)</f>
        <v>2025</v>
      </c>
      <c r="E1462" t="str">
        <f>IF(Portfolio!$M$1=1,CONCATENATE(A1462,C1462),CONCATENATE(B1462,C1462))</f>
        <v>PATRA JASA202511</v>
      </c>
      <c r="F1462">
        <v>0</v>
      </c>
      <c r="G1462">
        <v>0</v>
      </c>
      <c r="H1462">
        <v>0</v>
      </c>
      <c r="I1462">
        <v>1</v>
      </c>
      <c r="J1462">
        <v>3</v>
      </c>
      <c r="K1462">
        <v>0</v>
      </c>
      <c r="L1462">
        <v>0</v>
      </c>
      <c r="M1462">
        <v>0</v>
      </c>
      <c r="N1462">
        <v>34000</v>
      </c>
      <c r="O1462">
        <v>334000</v>
      </c>
      <c r="P1462">
        <v>0</v>
      </c>
      <c r="Q1462">
        <v>0</v>
      </c>
      <c r="R1462">
        <v>0</v>
      </c>
      <c r="S1462">
        <v>238</v>
      </c>
      <c r="T1462">
        <v>2338</v>
      </c>
    </row>
    <row r="1463" spans="1:20" x14ac:dyDescent="0.25">
      <c r="A1463" t="s">
        <v>112</v>
      </c>
      <c r="B1463" t="s">
        <v>215</v>
      </c>
      <c r="C1463">
        <v>202511</v>
      </c>
      <c r="D1463" s="47" t="str">
        <f>MID(C1463,1,4)</f>
        <v>2025</v>
      </c>
      <c r="E1463" t="str">
        <f>IF(Portfolio!$M$1=1,CONCATENATE(A1463,C1463),CONCATENATE(B1463,C1463))</f>
        <v>PERTAMINA RETAIL202511</v>
      </c>
      <c r="F1463">
        <v>6</v>
      </c>
      <c r="G1463">
        <v>110</v>
      </c>
      <c r="H1463">
        <v>21</v>
      </c>
      <c r="I1463">
        <v>0</v>
      </c>
      <c r="J1463">
        <v>1034</v>
      </c>
      <c r="K1463">
        <v>1546900</v>
      </c>
      <c r="L1463">
        <v>11928550</v>
      </c>
      <c r="M1463">
        <v>2529700</v>
      </c>
      <c r="N1463">
        <v>0</v>
      </c>
      <c r="O1463">
        <v>40518378</v>
      </c>
      <c r="P1463">
        <v>2320</v>
      </c>
      <c r="Q1463">
        <v>119286</v>
      </c>
      <c r="R1463">
        <v>45535</v>
      </c>
      <c r="S1463">
        <v>0</v>
      </c>
      <c r="T1463">
        <v>283621</v>
      </c>
    </row>
    <row r="1464" spans="1:20" x14ac:dyDescent="0.25">
      <c r="A1464" t="s">
        <v>112</v>
      </c>
      <c r="B1464" t="s">
        <v>216</v>
      </c>
      <c r="C1464">
        <v>202511</v>
      </c>
      <c r="D1464" s="47" t="str">
        <f>MID(C1464,1,4)</f>
        <v>2025</v>
      </c>
      <c r="E1464" t="str">
        <f>IF(Portfolio!$M$1=1,CONCATENATE(A1464,C1464),CONCATENATE(B1464,C1464))</f>
        <v>PERTAMINA RETAIL202511</v>
      </c>
      <c r="F1464">
        <v>59</v>
      </c>
      <c r="G1464">
        <v>1982</v>
      </c>
      <c r="H1464">
        <v>226</v>
      </c>
      <c r="I1464">
        <v>121</v>
      </c>
      <c r="J1464">
        <v>13546</v>
      </c>
      <c r="K1464">
        <v>10435903</v>
      </c>
      <c r="L1464">
        <v>357013952</v>
      </c>
      <c r="M1464">
        <v>57626518</v>
      </c>
      <c r="N1464">
        <v>18671611</v>
      </c>
      <c r="O1464">
        <v>1235794173</v>
      </c>
      <c r="P1464">
        <v>15654</v>
      </c>
      <c r="Q1464">
        <v>3212708</v>
      </c>
      <c r="R1464">
        <v>1037277</v>
      </c>
      <c r="S1464">
        <v>52242</v>
      </c>
      <c r="T1464">
        <v>2741274</v>
      </c>
    </row>
    <row r="1465" spans="1:20" x14ac:dyDescent="0.25">
      <c r="A1465" t="s">
        <v>114</v>
      </c>
      <c r="B1465" t="s">
        <v>217</v>
      </c>
      <c r="C1465">
        <v>202511</v>
      </c>
      <c r="D1465" s="47" t="str">
        <f>MID(C1465,1,4)</f>
        <v>2025</v>
      </c>
      <c r="E1465" t="str">
        <f>IF(Portfolio!$M$1=1,CONCATENATE(A1465,C1465),CONCATENATE(B1465,C1465))</f>
        <v>PIZZA HUT202511</v>
      </c>
      <c r="F1465">
        <v>28</v>
      </c>
      <c r="G1465">
        <v>6</v>
      </c>
      <c r="H1465">
        <v>0</v>
      </c>
      <c r="I1465">
        <v>3</v>
      </c>
      <c r="J1465">
        <v>439</v>
      </c>
      <c r="K1465">
        <v>5984502</v>
      </c>
      <c r="L1465">
        <v>181000</v>
      </c>
      <c r="M1465">
        <v>0</v>
      </c>
      <c r="N1465">
        <v>71000</v>
      </c>
      <c r="O1465">
        <v>7651000</v>
      </c>
      <c r="P1465">
        <v>8977</v>
      </c>
      <c r="Q1465">
        <v>1810</v>
      </c>
      <c r="R1465">
        <v>0</v>
      </c>
      <c r="S1465">
        <v>0</v>
      </c>
      <c r="T1465">
        <v>0</v>
      </c>
    </row>
    <row r="1466" spans="1:20" x14ac:dyDescent="0.25">
      <c r="A1466" t="s">
        <v>114</v>
      </c>
      <c r="B1466" t="s">
        <v>218</v>
      </c>
      <c r="C1466">
        <v>202511</v>
      </c>
      <c r="D1466" s="47" t="str">
        <f>MID(C1466,1,4)</f>
        <v>2025</v>
      </c>
      <c r="E1466" t="str">
        <f>IF(Portfolio!$M$1=1,CONCATENATE(A1466,C1466),CONCATENATE(B1466,C1466))</f>
        <v>PIZZA HUT202511</v>
      </c>
      <c r="F1466">
        <v>146</v>
      </c>
      <c r="G1466">
        <v>21</v>
      </c>
      <c r="H1466">
        <v>2</v>
      </c>
      <c r="I1466">
        <v>20</v>
      </c>
      <c r="J1466">
        <v>269</v>
      </c>
      <c r="K1466">
        <v>46624418</v>
      </c>
      <c r="L1466">
        <v>1780000</v>
      </c>
      <c r="M1466">
        <v>100000</v>
      </c>
      <c r="N1466">
        <v>1240000</v>
      </c>
      <c r="O1466">
        <v>16971000</v>
      </c>
      <c r="P1466">
        <v>69936</v>
      </c>
      <c r="Q1466">
        <v>17800</v>
      </c>
      <c r="R1466">
        <v>1800</v>
      </c>
      <c r="S1466">
        <v>0</v>
      </c>
      <c r="T1466">
        <v>0</v>
      </c>
    </row>
    <row r="1467" spans="1:20" x14ac:dyDescent="0.25">
      <c r="A1467" t="s">
        <v>115</v>
      </c>
      <c r="B1467" t="s">
        <v>115</v>
      </c>
      <c r="C1467">
        <v>202511</v>
      </c>
      <c r="D1467" s="47" t="str">
        <f>MID(C1467,1,4)</f>
        <v>2025</v>
      </c>
      <c r="E1467" t="str">
        <f>IF(Portfolio!$M$1=1,CONCATENATE(A1467,C1467),CONCATENATE(B1467,C1467))</f>
        <v>PLATINUM CINEPLEX202511</v>
      </c>
      <c r="F1467">
        <v>1</v>
      </c>
      <c r="G1467">
        <v>25</v>
      </c>
      <c r="H1467">
        <v>5</v>
      </c>
      <c r="I1467">
        <v>2</v>
      </c>
      <c r="J1467">
        <v>654</v>
      </c>
      <c r="K1467">
        <v>45000</v>
      </c>
      <c r="L1467">
        <v>3758000</v>
      </c>
      <c r="M1467">
        <v>3488000</v>
      </c>
      <c r="N1467">
        <v>253000</v>
      </c>
      <c r="O1467">
        <v>68163000</v>
      </c>
      <c r="P1467">
        <v>68</v>
      </c>
      <c r="Q1467">
        <v>37580</v>
      </c>
      <c r="R1467">
        <v>62960</v>
      </c>
      <c r="S1467">
        <v>1771</v>
      </c>
      <c r="T1467">
        <v>477141</v>
      </c>
    </row>
    <row r="1468" spans="1:20" x14ac:dyDescent="0.25">
      <c r="A1468" t="s">
        <v>116</v>
      </c>
      <c r="B1468" t="s">
        <v>116</v>
      </c>
      <c r="C1468">
        <v>202511</v>
      </c>
      <c r="D1468" s="47" t="str">
        <f>MID(C1468,1,4)</f>
        <v>2025</v>
      </c>
      <c r="E1468" t="str">
        <f>IF(Portfolio!$M$1=1,CONCATENATE(A1468,C1468),CONCATENATE(B1468,C1468))</f>
        <v>POPEYES202511</v>
      </c>
      <c r="F1468">
        <v>0</v>
      </c>
      <c r="G1468">
        <v>13</v>
      </c>
      <c r="H1468">
        <v>3</v>
      </c>
      <c r="I1468">
        <v>0</v>
      </c>
      <c r="J1468">
        <v>14</v>
      </c>
      <c r="K1468">
        <v>0</v>
      </c>
      <c r="L1468">
        <v>775005</v>
      </c>
      <c r="M1468">
        <v>155000</v>
      </c>
      <c r="N1468">
        <v>0</v>
      </c>
      <c r="O1468">
        <v>927894</v>
      </c>
      <c r="P1468">
        <v>0</v>
      </c>
      <c r="Q1468">
        <v>7750</v>
      </c>
      <c r="R1468">
        <v>2790</v>
      </c>
      <c r="S1468">
        <v>0</v>
      </c>
      <c r="T1468">
        <v>6495</v>
      </c>
    </row>
    <row r="1469" spans="1:20" x14ac:dyDescent="0.25">
      <c r="A1469" t="s">
        <v>118</v>
      </c>
      <c r="B1469" t="s">
        <v>118</v>
      </c>
      <c r="C1469">
        <v>202511</v>
      </c>
      <c r="D1469" s="47" t="str">
        <f>MID(C1469,1,4)</f>
        <v>2025</v>
      </c>
      <c r="E1469" t="str">
        <f>IF(Portfolio!$M$1=1,CONCATENATE(A1469,C1469),CONCATENATE(B1469,C1469))</f>
        <v>SARINAH202511</v>
      </c>
      <c r="F1469">
        <v>4</v>
      </c>
      <c r="G1469">
        <v>280</v>
      </c>
      <c r="H1469">
        <v>350</v>
      </c>
      <c r="I1469">
        <v>9</v>
      </c>
      <c r="J1469">
        <v>848</v>
      </c>
      <c r="K1469">
        <v>2339040</v>
      </c>
      <c r="L1469">
        <v>166118333</v>
      </c>
      <c r="M1469">
        <v>299749676</v>
      </c>
      <c r="N1469">
        <v>705000</v>
      </c>
      <c r="O1469">
        <v>202394323</v>
      </c>
      <c r="P1469">
        <v>3509</v>
      </c>
      <c r="Q1469">
        <v>1661183</v>
      </c>
      <c r="R1469">
        <v>5492802</v>
      </c>
      <c r="S1469">
        <v>4935</v>
      </c>
      <c r="T1469">
        <v>197330</v>
      </c>
    </row>
    <row r="1470" spans="1:20" x14ac:dyDescent="0.25">
      <c r="A1470" t="s">
        <v>120</v>
      </c>
      <c r="B1470" t="s">
        <v>120</v>
      </c>
      <c r="C1470">
        <v>202511</v>
      </c>
      <c r="D1470" s="47" t="str">
        <f>MID(C1470,1,4)</f>
        <v>2025</v>
      </c>
      <c r="E1470" t="str">
        <f>IF(Portfolio!$M$1=1,CONCATENATE(A1470,C1470),CONCATENATE(B1470,C1470))</f>
        <v>SHIHLIN202511</v>
      </c>
      <c r="F1470">
        <v>36</v>
      </c>
      <c r="G1470">
        <v>6</v>
      </c>
      <c r="H1470">
        <v>2</v>
      </c>
      <c r="I1470">
        <v>89</v>
      </c>
      <c r="J1470">
        <v>2535</v>
      </c>
      <c r="K1470">
        <v>2291000</v>
      </c>
      <c r="L1470">
        <v>311000</v>
      </c>
      <c r="M1470">
        <v>151000</v>
      </c>
      <c r="N1470">
        <v>5244000</v>
      </c>
      <c r="O1470">
        <v>211050001</v>
      </c>
      <c r="P1470">
        <v>3436</v>
      </c>
      <c r="Q1470">
        <v>3110</v>
      </c>
      <c r="R1470">
        <v>3020</v>
      </c>
      <c r="S1470">
        <v>4263</v>
      </c>
      <c r="T1470">
        <v>454524</v>
      </c>
    </row>
    <row r="1471" spans="1:20" x14ac:dyDescent="0.25">
      <c r="A1471" t="s">
        <v>122</v>
      </c>
      <c r="B1471" t="s">
        <v>122</v>
      </c>
      <c r="C1471">
        <v>202511</v>
      </c>
      <c r="D1471" s="47" t="str">
        <f>MID(C1471,1,4)</f>
        <v>2025</v>
      </c>
      <c r="E1471" t="str">
        <f>IF(Portfolio!$M$1=1,CONCATENATE(A1471,C1471),CONCATENATE(B1471,C1471))</f>
        <v>SOLARIA202511</v>
      </c>
      <c r="F1471">
        <v>1114</v>
      </c>
      <c r="G1471">
        <v>3</v>
      </c>
      <c r="H1471">
        <v>0</v>
      </c>
      <c r="I1471">
        <v>21</v>
      </c>
      <c r="J1471">
        <v>1272</v>
      </c>
      <c r="K1471">
        <v>187639700</v>
      </c>
      <c r="L1471">
        <v>488000</v>
      </c>
      <c r="M1471">
        <v>0</v>
      </c>
      <c r="N1471">
        <v>3469000</v>
      </c>
      <c r="O1471">
        <v>185086000</v>
      </c>
      <c r="P1471">
        <v>281460</v>
      </c>
      <c r="Q1471">
        <v>4880</v>
      </c>
      <c r="R1471">
        <v>0</v>
      </c>
      <c r="S1471">
        <v>24283</v>
      </c>
      <c r="T1471">
        <v>1295595</v>
      </c>
    </row>
    <row r="1472" spans="1:20" x14ac:dyDescent="0.25">
      <c r="A1472" t="s">
        <v>124</v>
      </c>
      <c r="B1472" t="s">
        <v>124</v>
      </c>
      <c r="C1472">
        <v>202511</v>
      </c>
      <c r="D1472" s="47" t="str">
        <f>MID(C1472,1,4)</f>
        <v>2025</v>
      </c>
      <c r="E1472" t="str">
        <f>IF(Portfolio!$M$1=1,CONCATENATE(A1472,C1472),CONCATENATE(B1472,C1472))</f>
        <v>SOUR SALLY202511</v>
      </c>
      <c r="F1472">
        <v>0</v>
      </c>
      <c r="G1472">
        <v>2</v>
      </c>
      <c r="H1472">
        <v>0</v>
      </c>
      <c r="I1472">
        <v>34</v>
      </c>
      <c r="J1472">
        <v>568</v>
      </c>
      <c r="K1472">
        <v>0</v>
      </c>
      <c r="L1472">
        <v>136640</v>
      </c>
      <c r="M1472">
        <v>0</v>
      </c>
      <c r="N1472">
        <v>2893000</v>
      </c>
      <c r="O1472">
        <v>43009201</v>
      </c>
      <c r="P1472">
        <v>0</v>
      </c>
      <c r="Q1472">
        <v>1366</v>
      </c>
      <c r="R1472">
        <v>0</v>
      </c>
      <c r="S1472">
        <v>20251</v>
      </c>
      <c r="T1472">
        <v>301065</v>
      </c>
    </row>
    <row r="1473" spans="1:20" x14ac:dyDescent="0.25">
      <c r="A1473" t="s">
        <v>126</v>
      </c>
      <c r="B1473" t="s">
        <v>220</v>
      </c>
      <c r="C1473">
        <v>202511</v>
      </c>
      <c r="D1473" s="47" t="str">
        <f>MID(C1473,1,4)</f>
        <v>2025</v>
      </c>
      <c r="E1473" t="str">
        <f>IF(Portfolio!$M$1=1,CONCATENATE(A1473,C1473),CONCATENATE(B1473,C1473))</f>
        <v>STEVEN GROUP202511</v>
      </c>
      <c r="F1473">
        <v>12</v>
      </c>
      <c r="G1473">
        <v>25</v>
      </c>
      <c r="H1473">
        <v>7</v>
      </c>
      <c r="I1473">
        <v>0</v>
      </c>
      <c r="J1473">
        <v>402</v>
      </c>
      <c r="K1473">
        <v>2919508</v>
      </c>
      <c r="L1473">
        <v>1843273</v>
      </c>
      <c r="M1473">
        <v>874990</v>
      </c>
      <c r="N1473">
        <v>0</v>
      </c>
      <c r="O1473">
        <v>42354619</v>
      </c>
      <c r="P1473">
        <v>4379</v>
      </c>
      <c r="Q1473">
        <v>18433</v>
      </c>
      <c r="R1473">
        <v>17390</v>
      </c>
      <c r="S1473">
        <v>0</v>
      </c>
      <c r="T1473">
        <v>296477</v>
      </c>
    </row>
    <row r="1474" spans="1:20" x14ac:dyDescent="0.25">
      <c r="A1474" t="s">
        <v>126</v>
      </c>
      <c r="B1474" t="s">
        <v>221</v>
      </c>
      <c r="C1474">
        <v>202511</v>
      </c>
      <c r="D1474" s="47" t="str">
        <f>MID(C1474,1,4)</f>
        <v>2025</v>
      </c>
      <c r="E1474" t="str">
        <f>IF(Portfolio!$M$1=1,CONCATENATE(A1474,C1474),CONCATENATE(B1474,C1474))</f>
        <v>STEVEN GROUP202511</v>
      </c>
      <c r="F1474">
        <v>0</v>
      </c>
      <c r="G1474">
        <v>0</v>
      </c>
      <c r="H1474">
        <v>0</v>
      </c>
      <c r="I1474">
        <v>14</v>
      </c>
      <c r="J1474">
        <v>439</v>
      </c>
      <c r="K1474">
        <v>0</v>
      </c>
      <c r="L1474">
        <v>0</v>
      </c>
      <c r="M1474">
        <v>0</v>
      </c>
      <c r="N1474">
        <v>510000</v>
      </c>
      <c r="O1474">
        <v>14673000</v>
      </c>
      <c r="P1474">
        <v>0</v>
      </c>
      <c r="Q1474">
        <v>0</v>
      </c>
      <c r="R1474">
        <v>0</v>
      </c>
      <c r="S1474">
        <v>0</v>
      </c>
      <c r="T1474">
        <v>3150</v>
      </c>
    </row>
    <row r="1475" spans="1:20" x14ac:dyDescent="0.25">
      <c r="A1475" t="s">
        <v>126</v>
      </c>
      <c r="B1475" t="s">
        <v>222</v>
      </c>
      <c r="C1475">
        <v>202511</v>
      </c>
      <c r="D1475" s="47" t="str">
        <f>MID(C1475,1,4)</f>
        <v>2025</v>
      </c>
      <c r="E1475" t="str">
        <f>IF(Portfolio!$M$1=1,CONCATENATE(A1475,C1475),CONCATENATE(B1475,C1475))</f>
        <v>STEVEN GROUP202511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0" x14ac:dyDescent="0.25">
      <c r="A1476" t="s">
        <v>126</v>
      </c>
      <c r="B1476" t="s">
        <v>224</v>
      </c>
      <c r="C1476">
        <v>202511</v>
      </c>
      <c r="D1476" s="47" t="str">
        <f>MID(C1476,1,4)</f>
        <v>2025</v>
      </c>
      <c r="E1476" t="str">
        <f>IF(Portfolio!$M$1=1,CONCATENATE(A1476,C1476),CONCATENATE(B1476,C1476))</f>
        <v>STEVEN GROUP202511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 spans="1:20" x14ac:dyDescent="0.25">
      <c r="A1477" t="s">
        <v>126</v>
      </c>
      <c r="B1477" t="s">
        <v>228</v>
      </c>
      <c r="C1477">
        <v>202511</v>
      </c>
      <c r="D1477" s="47" t="str">
        <f>MID(C1477,1,4)</f>
        <v>2025</v>
      </c>
      <c r="E1477" t="str">
        <f>IF(Portfolio!$M$1=1,CONCATENATE(A1477,C1477),CONCATENATE(B1477,C1477))</f>
        <v>STEVEN GROUP202511</v>
      </c>
      <c r="F1477">
        <v>0</v>
      </c>
      <c r="G1477">
        <v>0</v>
      </c>
      <c r="H1477">
        <v>0</v>
      </c>
      <c r="I1477">
        <v>0</v>
      </c>
      <c r="J1477">
        <v>1948</v>
      </c>
      <c r="K1477">
        <v>0</v>
      </c>
      <c r="L1477">
        <v>0</v>
      </c>
      <c r="M1477">
        <v>0</v>
      </c>
      <c r="N1477">
        <v>0</v>
      </c>
      <c r="O1477">
        <v>121424392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 spans="1:20" x14ac:dyDescent="0.25">
      <c r="A1478" t="s">
        <v>126</v>
      </c>
      <c r="B1478" t="s">
        <v>132</v>
      </c>
      <c r="C1478">
        <v>202511</v>
      </c>
      <c r="D1478" s="47" t="str">
        <f>MID(C1478,1,4)</f>
        <v>2025</v>
      </c>
      <c r="E1478" t="str">
        <f>IF(Portfolio!$M$1=1,CONCATENATE(A1478,C1478),CONCATENATE(B1478,C1478))</f>
        <v>STEVEN GROUP202511</v>
      </c>
      <c r="F1478">
        <v>0</v>
      </c>
      <c r="G1478">
        <v>0</v>
      </c>
      <c r="H1478">
        <v>0</v>
      </c>
      <c r="I1478">
        <v>4</v>
      </c>
      <c r="J1478">
        <v>103</v>
      </c>
      <c r="K1478">
        <v>0</v>
      </c>
      <c r="L1478">
        <v>0</v>
      </c>
      <c r="M1478">
        <v>0</v>
      </c>
      <c r="N1478">
        <v>367400</v>
      </c>
      <c r="O1478">
        <v>11862402</v>
      </c>
      <c r="P1478">
        <v>0</v>
      </c>
      <c r="Q1478">
        <v>0</v>
      </c>
      <c r="R1478">
        <v>0</v>
      </c>
      <c r="S1478">
        <v>0</v>
      </c>
      <c r="T1478">
        <v>1594</v>
      </c>
    </row>
    <row r="1479" spans="1:20" x14ac:dyDescent="0.25">
      <c r="A1479" t="s">
        <v>130</v>
      </c>
      <c r="B1479" t="s">
        <v>227</v>
      </c>
      <c r="C1479">
        <v>202511</v>
      </c>
      <c r="D1479" s="47" t="str">
        <f>MID(C1479,1,4)</f>
        <v>2025</v>
      </c>
      <c r="E1479" t="str">
        <f>IF(Portfolio!$M$1=1,CONCATENATE(A1479,C1479),CONCATENATE(B1479,C1479))</f>
        <v>SURYA BUMI RETAILINDO202511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906000</v>
      </c>
      <c r="L1479">
        <v>0</v>
      </c>
      <c r="M1479">
        <v>0</v>
      </c>
      <c r="N1479">
        <v>0</v>
      </c>
      <c r="O1479">
        <v>0</v>
      </c>
      <c r="P1479">
        <v>1359</v>
      </c>
      <c r="Q1479">
        <v>0</v>
      </c>
      <c r="R1479">
        <v>0</v>
      </c>
      <c r="S1479">
        <v>0</v>
      </c>
      <c r="T1479">
        <v>0</v>
      </c>
    </row>
    <row r="1480" spans="1:20" x14ac:dyDescent="0.25">
      <c r="A1480" t="s">
        <v>134</v>
      </c>
      <c r="B1480" t="s">
        <v>134</v>
      </c>
      <c r="C1480">
        <v>202511</v>
      </c>
      <c r="D1480" s="47" t="str">
        <f>MID(C1480,1,4)</f>
        <v>2025</v>
      </c>
      <c r="E1480" t="str">
        <f>IF(Portfolio!$M$1=1,CONCATENATE(A1480,C1480),CONCATENATE(B1480,C1480))</f>
        <v>TAMANI202511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v>115500</v>
      </c>
      <c r="L1480">
        <v>0</v>
      </c>
      <c r="M1480">
        <v>0</v>
      </c>
      <c r="N1480">
        <v>0</v>
      </c>
      <c r="O1480">
        <v>0</v>
      </c>
      <c r="P1480">
        <v>173</v>
      </c>
      <c r="Q1480">
        <v>0</v>
      </c>
      <c r="R1480">
        <v>0</v>
      </c>
      <c r="S1480">
        <v>0</v>
      </c>
      <c r="T1480">
        <v>0</v>
      </c>
    </row>
    <row r="1481" spans="1:20" x14ac:dyDescent="0.25">
      <c r="A1481" t="s">
        <v>138</v>
      </c>
      <c r="B1481" t="s">
        <v>138</v>
      </c>
      <c r="C1481">
        <v>202511</v>
      </c>
      <c r="D1481" s="47" t="str">
        <f>MID(C1481,1,4)</f>
        <v>2025</v>
      </c>
      <c r="E1481" t="str">
        <f>IF(Portfolio!$M$1=1,CONCATENATE(A1481,C1481),CONCATENATE(B1481,C1481))</f>
        <v>YOSHINOYA202511</v>
      </c>
      <c r="F1481">
        <v>278</v>
      </c>
      <c r="G1481">
        <v>10036</v>
      </c>
      <c r="H1481">
        <v>139</v>
      </c>
      <c r="I1481">
        <v>61</v>
      </c>
      <c r="J1481">
        <v>11021</v>
      </c>
      <c r="K1481">
        <v>42285500</v>
      </c>
      <c r="L1481">
        <v>1468169696</v>
      </c>
      <c r="M1481">
        <v>20617500</v>
      </c>
      <c r="N1481">
        <v>5875000</v>
      </c>
      <c r="O1481">
        <v>1484477413</v>
      </c>
      <c r="P1481">
        <v>63428</v>
      </c>
      <c r="Q1481">
        <v>14681697</v>
      </c>
      <c r="R1481">
        <v>241426</v>
      </c>
      <c r="S1481">
        <v>0</v>
      </c>
      <c r="T1481">
        <v>10132549</v>
      </c>
    </row>
    <row r="1482" spans="1:20" x14ac:dyDescent="0.25">
      <c r="A1482" t="s">
        <v>140</v>
      </c>
      <c r="B1482" t="s">
        <v>140</v>
      </c>
      <c r="C1482">
        <v>202511</v>
      </c>
      <c r="D1482" s="47" t="str">
        <f>MID(C1482,1,4)</f>
        <v>2025</v>
      </c>
      <c r="E1482" t="str">
        <f>IF(Portfolio!$M$1=1,CONCATENATE(A1482,C1482),CONCATENATE(B1482,C1482))</f>
        <v>ZENBU202511</v>
      </c>
      <c r="F1482">
        <v>0</v>
      </c>
      <c r="G1482">
        <v>0</v>
      </c>
      <c r="H1482">
        <v>0</v>
      </c>
      <c r="I1482">
        <v>3</v>
      </c>
      <c r="J1482">
        <v>1377</v>
      </c>
      <c r="K1482">
        <v>0</v>
      </c>
      <c r="L1482">
        <v>0</v>
      </c>
      <c r="M1482">
        <v>0</v>
      </c>
      <c r="N1482">
        <v>1568160</v>
      </c>
      <c r="O1482">
        <v>355981848</v>
      </c>
      <c r="P1482">
        <v>0</v>
      </c>
      <c r="Q1482">
        <v>0</v>
      </c>
      <c r="R1482">
        <v>0</v>
      </c>
      <c r="S1482">
        <v>10977</v>
      </c>
      <c r="T1482">
        <v>2491870</v>
      </c>
    </row>
    <row r="1483" spans="1:20" x14ac:dyDescent="0.25">
      <c r="A1483" t="s">
        <v>67</v>
      </c>
      <c r="B1483" t="s">
        <v>68</v>
      </c>
      <c r="C1483">
        <v>202512</v>
      </c>
      <c r="D1483" s="47" t="str">
        <f>MID(C1483,1,4)</f>
        <v>2025</v>
      </c>
      <c r="E1483" t="str">
        <f>IF(Portfolio!$M$1=1,CONCATENATE(A1483,C1483),CONCATENATE(B1483,C1483))</f>
        <v>ALFA GROUP202512</v>
      </c>
      <c r="F1483">
        <v>18506</v>
      </c>
      <c r="G1483">
        <v>74069</v>
      </c>
      <c r="H1483">
        <v>17305</v>
      </c>
      <c r="I1483">
        <v>34</v>
      </c>
      <c r="J1483">
        <v>477</v>
      </c>
      <c r="K1483">
        <v>1913106236</v>
      </c>
      <c r="L1483">
        <v>7845131995</v>
      </c>
      <c r="M1483">
        <v>2732626821</v>
      </c>
      <c r="N1483">
        <v>2327581</v>
      </c>
      <c r="O1483">
        <v>36753794</v>
      </c>
      <c r="P1483">
        <v>2869657</v>
      </c>
      <c r="Q1483">
        <v>78347134</v>
      </c>
      <c r="R1483">
        <v>48797304</v>
      </c>
      <c r="S1483">
        <v>9180</v>
      </c>
      <c r="T1483">
        <v>6692</v>
      </c>
    </row>
    <row r="1484" spans="1:20" x14ac:dyDescent="0.25">
      <c r="A1484" t="s">
        <v>67</v>
      </c>
      <c r="B1484" t="s">
        <v>69</v>
      </c>
      <c r="C1484">
        <v>202512</v>
      </c>
      <c r="D1484" s="47" t="str">
        <f>MID(C1484,1,4)</f>
        <v>2025</v>
      </c>
      <c r="E1484" t="str">
        <f>IF(Portfolio!$M$1=1,CONCATENATE(A1484,C1484),CONCATENATE(B1484,C1484))</f>
        <v>ALFA GROUP202512</v>
      </c>
      <c r="F1484">
        <v>5</v>
      </c>
      <c r="G1484">
        <v>81</v>
      </c>
      <c r="H1484">
        <v>27</v>
      </c>
      <c r="I1484">
        <v>7</v>
      </c>
      <c r="J1484">
        <v>124</v>
      </c>
      <c r="K1484">
        <v>800600</v>
      </c>
      <c r="L1484">
        <v>11934749</v>
      </c>
      <c r="M1484">
        <v>6867617</v>
      </c>
      <c r="N1484">
        <v>171700</v>
      </c>
      <c r="O1484">
        <v>4242300</v>
      </c>
      <c r="P1484">
        <v>1201</v>
      </c>
      <c r="Q1484">
        <v>119347</v>
      </c>
      <c r="R1484">
        <v>123617</v>
      </c>
      <c r="S1484">
        <v>1200</v>
      </c>
      <c r="T1484">
        <v>29694</v>
      </c>
    </row>
    <row r="1485" spans="1:20" x14ac:dyDescent="0.25">
      <c r="A1485" t="s">
        <v>67</v>
      </c>
      <c r="B1485" t="s">
        <v>72</v>
      </c>
      <c r="C1485">
        <v>202512</v>
      </c>
      <c r="D1485" s="47" t="str">
        <f>MID(C1485,1,4)</f>
        <v>2025</v>
      </c>
      <c r="E1485" t="str">
        <f>IF(Portfolio!$M$1=1,CONCATENATE(A1485,C1485),CONCATENATE(B1485,C1485))</f>
        <v>ALFA GROUP202512</v>
      </c>
      <c r="F1485">
        <v>275</v>
      </c>
      <c r="G1485">
        <v>1324</v>
      </c>
      <c r="H1485">
        <v>195</v>
      </c>
      <c r="I1485">
        <v>0</v>
      </c>
      <c r="J1485">
        <v>0</v>
      </c>
      <c r="K1485">
        <v>44378463</v>
      </c>
      <c r="L1485">
        <v>203742527</v>
      </c>
      <c r="M1485">
        <v>30911700</v>
      </c>
      <c r="N1485">
        <v>0</v>
      </c>
      <c r="O1485">
        <v>0</v>
      </c>
      <c r="P1485">
        <v>66568</v>
      </c>
      <c r="Q1485">
        <v>2037425</v>
      </c>
      <c r="R1485">
        <v>556907</v>
      </c>
      <c r="S1485">
        <v>0</v>
      </c>
      <c r="T1485">
        <v>0</v>
      </c>
    </row>
    <row r="1486" spans="1:20" x14ac:dyDescent="0.25">
      <c r="A1486" t="s">
        <v>70</v>
      </c>
      <c r="B1486" t="s">
        <v>70</v>
      </c>
      <c r="C1486">
        <v>202512</v>
      </c>
      <c r="D1486" s="47" t="str">
        <f>MID(C1486,1,4)</f>
        <v>2025</v>
      </c>
      <c r="E1486" t="str">
        <f>IF(Portfolio!$M$1=1,CONCATENATE(A1486,C1486),CONCATENATE(B1486,C1486))</f>
        <v>ANCOL202512</v>
      </c>
      <c r="F1486">
        <v>170</v>
      </c>
      <c r="G1486">
        <v>2421</v>
      </c>
      <c r="H1486">
        <v>607</v>
      </c>
      <c r="I1486">
        <v>28</v>
      </c>
      <c r="J1486">
        <v>15933</v>
      </c>
      <c r="K1486">
        <v>73724585</v>
      </c>
      <c r="L1486">
        <v>2086724961</v>
      </c>
      <c r="M1486">
        <v>554424280</v>
      </c>
      <c r="N1486">
        <v>1127605</v>
      </c>
      <c r="O1486">
        <v>7763794892</v>
      </c>
      <c r="P1486">
        <v>110587</v>
      </c>
      <c r="Q1486">
        <v>20838584</v>
      </c>
      <c r="R1486">
        <v>9955192</v>
      </c>
      <c r="S1486">
        <v>0</v>
      </c>
      <c r="T1486">
        <v>53573484</v>
      </c>
    </row>
    <row r="1487" spans="1:20" x14ac:dyDescent="0.25">
      <c r="A1487" t="s">
        <v>73</v>
      </c>
      <c r="B1487" t="s">
        <v>73</v>
      </c>
      <c r="C1487">
        <v>202512</v>
      </c>
      <c r="D1487" s="47" t="str">
        <f>MID(C1487,1,4)</f>
        <v>2025</v>
      </c>
      <c r="E1487" t="str">
        <f>IF(Portfolio!$M$1=1,CONCATENATE(A1487,C1487),CONCATENATE(B1487,C1487))</f>
        <v>BANBAN TEA202512</v>
      </c>
      <c r="F1487">
        <v>2</v>
      </c>
      <c r="G1487">
        <v>1</v>
      </c>
      <c r="H1487">
        <v>1</v>
      </c>
      <c r="I1487">
        <v>68</v>
      </c>
      <c r="J1487">
        <v>24</v>
      </c>
      <c r="K1487">
        <v>189200</v>
      </c>
      <c r="L1487">
        <v>41800</v>
      </c>
      <c r="M1487">
        <v>27500</v>
      </c>
      <c r="N1487">
        <v>5346497</v>
      </c>
      <c r="O1487">
        <v>1534802</v>
      </c>
      <c r="P1487">
        <v>284</v>
      </c>
      <c r="Q1487">
        <v>418</v>
      </c>
      <c r="R1487">
        <v>495</v>
      </c>
      <c r="S1487">
        <v>37427</v>
      </c>
      <c r="T1487">
        <v>10743</v>
      </c>
    </row>
    <row r="1488" spans="1:20" x14ac:dyDescent="0.25">
      <c r="A1488" t="s">
        <v>74</v>
      </c>
      <c r="B1488" t="s">
        <v>74</v>
      </c>
      <c r="C1488">
        <v>202512</v>
      </c>
      <c r="D1488" s="47" t="str">
        <f>MID(C1488,1,4)</f>
        <v>2025</v>
      </c>
      <c r="E1488" t="str">
        <f>IF(Portfolio!$M$1=1,CONCATENATE(A1488,C1488),CONCATENATE(B1488,C1488))</f>
        <v>BEARD PAPA202512</v>
      </c>
      <c r="F1488">
        <v>23</v>
      </c>
      <c r="G1488">
        <v>0</v>
      </c>
      <c r="H1488">
        <v>0</v>
      </c>
      <c r="I1488">
        <v>0</v>
      </c>
      <c r="J1488">
        <v>19</v>
      </c>
      <c r="K1488">
        <v>2047000</v>
      </c>
      <c r="L1488">
        <v>0</v>
      </c>
      <c r="M1488">
        <v>0</v>
      </c>
      <c r="N1488">
        <v>0</v>
      </c>
      <c r="O1488">
        <v>19723203</v>
      </c>
      <c r="P1488">
        <v>3070</v>
      </c>
      <c r="Q1488">
        <v>0</v>
      </c>
      <c r="R1488">
        <v>0</v>
      </c>
      <c r="S1488">
        <v>0</v>
      </c>
      <c r="T1488">
        <v>138062</v>
      </c>
    </row>
    <row r="1489" spans="1:20" x14ac:dyDescent="0.25">
      <c r="A1489" t="s">
        <v>75</v>
      </c>
      <c r="B1489" t="s">
        <v>77</v>
      </c>
      <c r="C1489">
        <v>202512</v>
      </c>
      <c r="D1489" s="47" t="str">
        <f>MID(C1489,1,4)</f>
        <v>2025</v>
      </c>
      <c r="E1489" t="str">
        <f>IF(Portfolio!$M$1=1,CONCATENATE(A1489,C1489),CONCATENATE(B1489,C1489))</f>
        <v>CHAMP RESTO202512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173700</v>
      </c>
      <c r="L1489">
        <v>0</v>
      </c>
      <c r="M1489">
        <v>0</v>
      </c>
      <c r="N1489">
        <v>0</v>
      </c>
      <c r="O1489">
        <v>133000</v>
      </c>
      <c r="P1489">
        <v>261</v>
      </c>
      <c r="Q1489">
        <v>0</v>
      </c>
      <c r="R1489">
        <v>0</v>
      </c>
      <c r="S1489">
        <v>0</v>
      </c>
      <c r="T1489">
        <v>931</v>
      </c>
    </row>
    <row r="1490" spans="1:20" x14ac:dyDescent="0.25">
      <c r="A1490" t="s">
        <v>75</v>
      </c>
      <c r="B1490" t="s">
        <v>81</v>
      </c>
      <c r="C1490">
        <v>202512</v>
      </c>
      <c r="D1490" s="47" t="str">
        <f>MID(C1490,1,4)</f>
        <v>2025</v>
      </c>
      <c r="E1490" t="str">
        <f>IF(Portfolio!$M$1=1,CONCATENATE(A1490,C1490),CONCATENATE(B1490,C1490))</f>
        <v>CHAMP RESTO202512</v>
      </c>
      <c r="F1490">
        <v>3</v>
      </c>
      <c r="G1490">
        <v>0</v>
      </c>
      <c r="H1490">
        <v>0</v>
      </c>
      <c r="I1490">
        <v>0</v>
      </c>
      <c r="J1490">
        <v>9</v>
      </c>
      <c r="K1490">
        <v>741600</v>
      </c>
      <c r="L1490">
        <v>0</v>
      </c>
      <c r="M1490">
        <v>0</v>
      </c>
      <c r="N1490">
        <v>0</v>
      </c>
      <c r="O1490">
        <v>2157200</v>
      </c>
      <c r="P1490">
        <v>1112</v>
      </c>
      <c r="Q1490">
        <v>0</v>
      </c>
      <c r="R1490">
        <v>0</v>
      </c>
      <c r="S1490">
        <v>0</v>
      </c>
      <c r="T1490">
        <v>15100</v>
      </c>
    </row>
    <row r="1491" spans="1:20" x14ac:dyDescent="0.25">
      <c r="A1491" t="s">
        <v>75</v>
      </c>
      <c r="B1491" t="s">
        <v>83</v>
      </c>
      <c r="C1491">
        <v>202512</v>
      </c>
      <c r="D1491" s="47" t="str">
        <f>MID(C1491,1,4)</f>
        <v>2025</v>
      </c>
      <c r="E1491" t="str">
        <f>IF(Portfolio!$M$1=1,CONCATENATE(A1491,C1491),CONCATENATE(B1491,C1491))</f>
        <v>CHAMP RESTO202512</v>
      </c>
      <c r="F1491">
        <v>0</v>
      </c>
      <c r="G1491">
        <v>0</v>
      </c>
      <c r="H1491">
        <v>0</v>
      </c>
      <c r="I1491">
        <v>2</v>
      </c>
      <c r="J1491">
        <v>307</v>
      </c>
      <c r="K1491">
        <v>0</v>
      </c>
      <c r="L1491">
        <v>0</v>
      </c>
      <c r="M1491">
        <v>0</v>
      </c>
      <c r="N1491">
        <v>46000</v>
      </c>
      <c r="O1491">
        <v>22242536</v>
      </c>
      <c r="P1491">
        <v>0</v>
      </c>
      <c r="Q1491">
        <v>0</v>
      </c>
      <c r="R1491">
        <v>0</v>
      </c>
      <c r="S1491">
        <v>0</v>
      </c>
      <c r="T1491">
        <v>23892</v>
      </c>
    </row>
    <row r="1492" spans="1:20" x14ac:dyDescent="0.25">
      <c r="A1492" t="s">
        <v>75</v>
      </c>
      <c r="B1492" t="s">
        <v>85</v>
      </c>
      <c r="C1492">
        <v>202512</v>
      </c>
      <c r="D1492" s="47" t="str">
        <f>MID(C1492,1,4)</f>
        <v>2025</v>
      </c>
      <c r="E1492" t="str">
        <f>IF(Portfolio!$M$1=1,CONCATENATE(A1492,C1492),CONCATENATE(B1492,C1492))</f>
        <v>CHAMP RESTO202512</v>
      </c>
      <c r="F1492">
        <v>8</v>
      </c>
      <c r="G1492">
        <v>7</v>
      </c>
      <c r="H1492">
        <v>0</v>
      </c>
      <c r="I1492">
        <v>0</v>
      </c>
      <c r="J1492">
        <v>45</v>
      </c>
      <c r="K1492">
        <v>1008500</v>
      </c>
      <c r="L1492">
        <v>1584488</v>
      </c>
      <c r="M1492">
        <v>0</v>
      </c>
      <c r="N1492">
        <v>0</v>
      </c>
      <c r="O1492">
        <v>18693297</v>
      </c>
      <c r="P1492">
        <v>1513</v>
      </c>
      <c r="Q1492">
        <v>15845</v>
      </c>
      <c r="R1492">
        <v>0</v>
      </c>
      <c r="S1492">
        <v>0</v>
      </c>
      <c r="T1492">
        <v>130850</v>
      </c>
    </row>
    <row r="1493" spans="1:20" x14ac:dyDescent="0.25">
      <c r="A1493" t="s">
        <v>75</v>
      </c>
      <c r="B1493" t="s">
        <v>91</v>
      </c>
      <c r="C1493">
        <v>202512</v>
      </c>
      <c r="D1493" s="47" t="str">
        <f>MID(C1493,1,4)</f>
        <v>2025</v>
      </c>
      <c r="E1493" t="str">
        <f>IF(Portfolio!$M$1=1,CONCATENATE(A1493,C1493),CONCATENATE(B1493,C1493))</f>
        <v>CHAMP RESTO202512</v>
      </c>
      <c r="F1493">
        <v>4</v>
      </c>
      <c r="G1493">
        <v>9</v>
      </c>
      <c r="H1493">
        <v>0</v>
      </c>
      <c r="I1493">
        <v>0</v>
      </c>
      <c r="J1493">
        <v>20</v>
      </c>
      <c r="K1493">
        <v>1086836</v>
      </c>
      <c r="L1493">
        <v>2817895</v>
      </c>
      <c r="M1493">
        <v>0</v>
      </c>
      <c r="N1493">
        <v>0</v>
      </c>
      <c r="O1493">
        <v>8881165</v>
      </c>
      <c r="P1493">
        <v>1630</v>
      </c>
      <c r="Q1493">
        <v>28179</v>
      </c>
      <c r="R1493">
        <v>0</v>
      </c>
      <c r="S1493">
        <v>0</v>
      </c>
      <c r="T1493">
        <v>62169</v>
      </c>
    </row>
    <row r="1494" spans="1:20" x14ac:dyDescent="0.25">
      <c r="A1494" t="s">
        <v>75</v>
      </c>
      <c r="B1494" t="s">
        <v>93</v>
      </c>
      <c r="C1494">
        <v>202512</v>
      </c>
      <c r="D1494" s="47" t="str">
        <f>MID(C1494,1,4)</f>
        <v>2025</v>
      </c>
      <c r="E1494" t="str">
        <f>IF(Portfolio!$M$1=1,CONCATENATE(A1494,C1494),CONCATENATE(B1494,C1494))</f>
        <v>CHAMP RESTO202512</v>
      </c>
      <c r="F1494">
        <v>1</v>
      </c>
      <c r="G1494">
        <v>0</v>
      </c>
      <c r="H1494">
        <v>0</v>
      </c>
      <c r="I1494">
        <v>1</v>
      </c>
      <c r="J1494">
        <v>109</v>
      </c>
      <c r="K1494">
        <v>103840</v>
      </c>
      <c r="L1494">
        <v>0</v>
      </c>
      <c r="M1494">
        <v>0</v>
      </c>
      <c r="N1494">
        <v>480000</v>
      </c>
      <c r="O1494">
        <v>22010000</v>
      </c>
      <c r="P1494">
        <v>156</v>
      </c>
      <c r="Q1494">
        <v>0</v>
      </c>
      <c r="R1494">
        <v>0</v>
      </c>
      <c r="S1494">
        <v>0</v>
      </c>
      <c r="T1494">
        <v>5880</v>
      </c>
    </row>
    <row r="1495" spans="1:20" x14ac:dyDescent="0.25">
      <c r="A1495" t="s">
        <v>75</v>
      </c>
      <c r="B1495" t="s">
        <v>95</v>
      </c>
      <c r="C1495">
        <v>202512</v>
      </c>
      <c r="D1495" s="47" t="str">
        <f>MID(C1495,1,4)</f>
        <v>2025</v>
      </c>
      <c r="E1495" t="str">
        <f>IF(Portfolio!$M$1=1,CONCATENATE(A1495,C1495),CONCATENATE(B1495,C1495))</f>
        <v>CHAMP RESTO202512</v>
      </c>
      <c r="F1495">
        <v>11</v>
      </c>
      <c r="G1495">
        <v>5</v>
      </c>
      <c r="H1495">
        <v>0</v>
      </c>
      <c r="I1495">
        <v>0</v>
      </c>
      <c r="J1495">
        <v>3</v>
      </c>
      <c r="K1495">
        <v>4929993</v>
      </c>
      <c r="L1495">
        <v>1702503</v>
      </c>
      <c r="M1495">
        <v>0</v>
      </c>
      <c r="N1495">
        <v>0</v>
      </c>
      <c r="O1495">
        <v>11280260</v>
      </c>
      <c r="P1495">
        <v>7395</v>
      </c>
      <c r="Q1495">
        <v>17025</v>
      </c>
      <c r="R1495">
        <v>0</v>
      </c>
      <c r="S1495">
        <v>0</v>
      </c>
      <c r="T1495">
        <v>78957</v>
      </c>
    </row>
    <row r="1496" spans="1:20" x14ac:dyDescent="0.25">
      <c r="A1496" t="s">
        <v>76</v>
      </c>
      <c r="B1496" t="s">
        <v>76</v>
      </c>
      <c r="C1496">
        <v>202512</v>
      </c>
      <c r="D1496" s="47" t="str">
        <f>MID(C1496,1,4)</f>
        <v>2025</v>
      </c>
      <c r="E1496" t="str">
        <f>IF(Portfolio!$M$1=1,CONCATENATE(A1496,C1496),CONCATENATE(B1496,C1496))</f>
        <v>DAMRI202512</v>
      </c>
      <c r="F1496">
        <v>0</v>
      </c>
      <c r="G1496">
        <v>6</v>
      </c>
      <c r="H1496">
        <v>1</v>
      </c>
      <c r="I1496">
        <v>0</v>
      </c>
      <c r="J1496">
        <v>47</v>
      </c>
      <c r="K1496">
        <v>0</v>
      </c>
      <c r="L1496">
        <v>1729000</v>
      </c>
      <c r="M1496">
        <v>255000</v>
      </c>
      <c r="N1496">
        <v>0</v>
      </c>
      <c r="O1496">
        <v>13483000</v>
      </c>
      <c r="P1496">
        <v>0</v>
      </c>
      <c r="Q1496">
        <v>17290</v>
      </c>
      <c r="R1496">
        <v>5100</v>
      </c>
      <c r="S1496">
        <v>0</v>
      </c>
      <c r="T1496">
        <v>94381</v>
      </c>
    </row>
    <row r="1497" spans="1:20" x14ac:dyDescent="0.25">
      <c r="A1497" t="s">
        <v>78</v>
      </c>
      <c r="B1497" t="s">
        <v>98</v>
      </c>
      <c r="C1497">
        <v>202512</v>
      </c>
      <c r="D1497" s="47" t="str">
        <f>MID(C1497,1,4)</f>
        <v>2025</v>
      </c>
      <c r="E1497" t="str">
        <f>IF(Portfolio!$M$1=1,CONCATENATE(A1497,C1497),CONCATENATE(B1497,C1497))</f>
        <v>DELTA WIBAWA BERSAMA202512</v>
      </c>
      <c r="F1497">
        <v>0</v>
      </c>
      <c r="G1497">
        <v>6</v>
      </c>
      <c r="H1497">
        <v>16</v>
      </c>
      <c r="I1497">
        <v>10</v>
      </c>
      <c r="J1497">
        <v>650</v>
      </c>
      <c r="K1497">
        <v>0</v>
      </c>
      <c r="L1497">
        <v>1941556</v>
      </c>
      <c r="M1497">
        <v>4876276</v>
      </c>
      <c r="N1497">
        <v>1902286</v>
      </c>
      <c r="O1497">
        <v>141776147</v>
      </c>
      <c r="P1497">
        <v>0</v>
      </c>
      <c r="Q1497">
        <v>19416</v>
      </c>
      <c r="R1497">
        <v>97526</v>
      </c>
      <c r="S1497">
        <v>13316</v>
      </c>
      <c r="T1497">
        <v>992428</v>
      </c>
    </row>
    <row r="1498" spans="1:20" x14ac:dyDescent="0.25">
      <c r="A1498" t="s">
        <v>78</v>
      </c>
      <c r="B1498" t="s">
        <v>100</v>
      </c>
      <c r="C1498">
        <v>202512</v>
      </c>
      <c r="D1498" s="47" t="str">
        <f>MID(C1498,1,4)</f>
        <v>2025</v>
      </c>
      <c r="E1498" t="str">
        <f>IF(Portfolio!$M$1=1,CONCATENATE(A1498,C1498),CONCATENATE(B1498,C1498))</f>
        <v>DELTA WIBAWA BERSAMA202512</v>
      </c>
      <c r="F1498">
        <v>0</v>
      </c>
      <c r="G1498">
        <v>7</v>
      </c>
      <c r="H1498">
        <v>6</v>
      </c>
      <c r="I1498">
        <v>7</v>
      </c>
      <c r="J1498">
        <v>17</v>
      </c>
      <c r="K1498">
        <v>0</v>
      </c>
      <c r="L1498">
        <v>1669553</v>
      </c>
      <c r="M1498">
        <v>1745205</v>
      </c>
      <c r="N1498">
        <v>1553764</v>
      </c>
      <c r="O1498">
        <v>2532530</v>
      </c>
      <c r="P1498">
        <v>0</v>
      </c>
      <c r="Q1498">
        <v>16696</v>
      </c>
      <c r="R1498">
        <v>34904</v>
      </c>
      <c r="S1498">
        <v>10876</v>
      </c>
      <c r="T1498">
        <v>17730</v>
      </c>
    </row>
    <row r="1499" spans="1:20" x14ac:dyDescent="0.25">
      <c r="A1499" t="s">
        <v>80</v>
      </c>
      <c r="B1499" t="s">
        <v>80</v>
      </c>
      <c r="C1499">
        <v>202512</v>
      </c>
      <c r="D1499" s="47" t="str">
        <f>MID(C1499,1,4)</f>
        <v>2025</v>
      </c>
      <c r="E1499" t="str">
        <f>IF(Portfolio!$M$1=1,CONCATENATE(A1499,C1499),CONCATENATE(B1499,C1499))</f>
        <v>DWIDAYA202512</v>
      </c>
      <c r="F1499">
        <v>9</v>
      </c>
      <c r="G1499">
        <v>12</v>
      </c>
      <c r="H1499">
        <v>0</v>
      </c>
      <c r="I1499">
        <v>0</v>
      </c>
      <c r="J1499">
        <v>51</v>
      </c>
      <c r="K1499">
        <v>194749060</v>
      </c>
      <c r="L1499">
        <v>192187035</v>
      </c>
      <c r="M1499">
        <v>0</v>
      </c>
      <c r="N1499">
        <v>0</v>
      </c>
      <c r="O1499">
        <v>106543191</v>
      </c>
      <c r="P1499">
        <v>292124</v>
      </c>
      <c r="Q1499">
        <v>1921870</v>
      </c>
      <c r="R1499">
        <v>0</v>
      </c>
      <c r="S1499">
        <v>0</v>
      </c>
      <c r="T1499">
        <v>745804</v>
      </c>
    </row>
    <row r="1500" spans="1:20" x14ac:dyDescent="0.25">
      <c r="A1500" t="s">
        <v>82</v>
      </c>
      <c r="B1500" t="s">
        <v>82</v>
      </c>
      <c r="C1500">
        <v>202512</v>
      </c>
      <c r="D1500" s="47" t="str">
        <f>MID(C1500,1,4)</f>
        <v>2025</v>
      </c>
      <c r="E1500" t="str">
        <f>IF(Portfolio!$M$1=1,CONCATENATE(A1500,C1500),CONCATENATE(B1500,C1500))</f>
        <v>EKA HOSPITAL202512</v>
      </c>
      <c r="F1500">
        <v>1</v>
      </c>
      <c r="G1500">
        <v>5</v>
      </c>
      <c r="H1500">
        <v>6</v>
      </c>
      <c r="I1500">
        <v>0</v>
      </c>
      <c r="J1500">
        <v>5</v>
      </c>
      <c r="K1500">
        <v>1842840</v>
      </c>
      <c r="L1500">
        <v>14816487</v>
      </c>
      <c r="M1500">
        <v>1154320</v>
      </c>
      <c r="N1500">
        <v>0</v>
      </c>
      <c r="O1500">
        <v>1120005</v>
      </c>
      <c r="P1500">
        <v>2764</v>
      </c>
      <c r="Q1500">
        <v>148165</v>
      </c>
      <c r="R1500">
        <v>15006</v>
      </c>
      <c r="S1500">
        <v>0</v>
      </c>
      <c r="T1500">
        <v>7840</v>
      </c>
    </row>
    <row r="1501" spans="1:20" x14ac:dyDescent="0.25">
      <c r="A1501" t="s">
        <v>86</v>
      </c>
      <c r="B1501" t="s">
        <v>86</v>
      </c>
      <c r="C1501">
        <v>202512</v>
      </c>
      <c r="D1501" s="47" t="str">
        <f>MID(C1501,1,4)</f>
        <v>2025</v>
      </c>
      <c r="E1501" t="str">
        <f>IF(Portfolio!$M$1=1,CONCATENATE(A1501,C1501),CONCATENATE(B1501,C1501))</f>
        <v>GRAMEDIA202512</v>
      </c>
      <c r="F1501">
        <v>8</v>
      </c>
      <c r="G1501">
        <v>0</v>
      </c>
      <c r="H1501">
        <v>0</v>
      </c>
      <c r="I1501">
        <v>1</v>
      </c>
      <c r="J1501">
        <v>126</v>
      </c>
      <c r="K1501">
        <v>6972850</v>
      </c>
      <c r="L1501">
        <v>0</v>
      </c>
      <c r="M1501">
        <v>0</v>
      </c>
      <c r="N1501">
        <v>72000</v>
      </c>
      <c r="O1501">
        <v>4126100</v>
      </c>
      <c r="P1501">
        <v>10459</v>
      </c>
      <c r="Q1501">
        <v>0</v>
      </c>
      <c r="R1501">
        <v>0</v>
      </c>
      <c r="S1501">
        <v>0</v>
      </c>
      <c r="T1501">
        <v>0</v>
      </c>
    </row>
    <row r="1502" spans="1:20" x14ac:dyDescent="0.25">
      <c r="A1502" t="s">
        <v>88</v>
      </c>
      <c r="B1502" t="s">
        <v>88</v>
      </c>
      <c r="C1502">
        <v>202512</v>
      </c>
      <c r="D1502" s="47" t="str">
        <f>MID(C1502,1,4)</f>
        <v>2025</v>
      </c>
      <c r="E1502" t="str">
        <f>IF(Portfolio!$M$1=1,CONCATENATE(A1502,C1502),CONCATENATE(B1502,C1502))</f>
        <v>HAUS202512</v>
      </c>
      <c r="F1502">
        <v>0</v>
      </c>
      <c r="G1502">
        <v>1</v>
      </c>
      <c r="H1502">
        <v>0</v>
      </c>
      <c r="I1502">
        <v>36</v>
      </c>
      <c r="J1502">
        <v>412</v>
      </c>
      <c r="K1502">
        <v>0</v>
      </c>
      <c r="L1502">
        <v>29000</v>
      </c>
      <c r="M1502">
        <v>0</v>
      </c>
      <c r="N1502">
        <v>4143900</v>
      </c>
      <c r="O1502">
        <v>14859400</v>
      </c>
      <c r="P1502">
        <v>0</v>
      </c>
      <c r="Q1502">
        <v>290</v>
      </c>
      <c r="R1502">
        <v>0</v>
      </c>
      <c r="S1502">
        <v>2550</v>
      </c>
      <c r="T1502">
        <v>11466</v>
      </c>
    </row>
    <row r="1503" spans="1:20" x14ac:dyDescent="0.25">
      <c r="A1503" t="s">
        <v>92</v>
      </c>
      <c r="B1503" t="s">
        <v>108</v>
      </c>
      <c r="C1503">
        <v>202512</v>
      </c>
      <c r="D1503" s="47" t="str">
        <f>MID(C1503,1,4)</f>
        <v>2025</v>
      </c>
      <c r="E1503" t="str">
        <f>IF(Portfolio!$M$1=1,CONCATENATE(A1503,C1503),CONCATENATE(B1503,C1503))</f>
        <v>HERO GROUP202512</v>
      </c>
      <c r="F1503">
        <v>35</v>
      </c>
      <c r="G1503">
        <v>12</v>
      </c>
      <c r="H1503">
        <v>3</v>
      </c>
      <c r="I1503">
        <v>282</v>
      </c>
      <c r="J1503">
        <v>1051</v>
      </c>
      <c r="K1503">
        <v>17984925</v>
      </c>
      <c r="L1503">
        <v>5248561</v>
      </c>
      <c r="M1503">
        <v>5697798</v>
      </c>
      <c r="N1503">
        <v>83391819</v>
      </c>
      <c r="O1503">
        <v>82957304</v>
      </c>
      <c r="P1503">
        <v>26977</v>
      </c>
      <c r="Q1503">
        <v>52486</v>
      </c>
      <c r="R1503">
        <v>113956</v>
      </c>
      <c r="S1503">
        <v>357563</v>
      </c>
      <c r="T1503">
        <v>343542</v>
      </c>
    </row>
    <row r="1504" spans="1:20" x14ac:dyDescent="0.25">
      <c r="A1504" t="s">
        <v>94</v>
      </c>
      <c r="B1504" t="s">
        <v>94</v>
      </c>
      <c r="C1504">
        <v>202512</v>
      </c>
      <c r="D1504" s="47" t="str">
        <f>MID(C1504,1,4)</f>
        <v>2025</v>
      </c>
      <c r="E1504" t="str">
        <f>IF(Portfolio!$M$1=1,CONCATENATE(A1504,C1504),CONCATENATE(B1504,C1504))</f>
        <v>HOKBEN202512</v>
      </c>
      <c r="F1504">
        <v>0</v>
      </c>
      <c r="G1504">
        <v>0</v>
      </c>
      <c r="H1504">
        <v>0</v>
      </c>
      <c r="I1504">
        <v>16</v>
      </c>
      <c r="J1504">
        <v>3343</v>
      </c>
      <c r="K1504">
        <v>0</v>
      </c>
      <c r="L1504">
        <v>0</v>
      </c>
      <c r="M1504">
        <v>0</v>
      </c>
      <c r="N1504">
        <v>1539500</v>
      </c>
      <c r="O1504">
        <v>355915975</v>
      </c>
      <c r="P1504">
        <v>0</v>
      </c>
      <c r="Q1504">
        <v>0</v>
      </c>
      <c r="R1504">
        <v>0</v>
      </c>
      <c r="S1504">
        <v>9118</v>
      </c>
      <c r="T1504">
        <v>2472625</v>
      </c>
    </row>
    <row r="1505" spans="1:20" x14ac:dyDescent="0.25">
      <c r="A1505" t="s">
        <v>96</v>
      </c>
      <c r="B1505" t="s">
        <v>96</v>
      </c>
      <c r="C1505">
        <v>202512</v>
      </c>
      <c r="D1505" s="47" t="str">
        <f>MID(C1505,1,4)</f>
        <v>2025</v>
      </c>
      <c r="E1505" t="str">
        <f>IF(Portfolio!$M$1=1,CONCATENATE(A1505,C1505),CONCATENATE(B1505,C1505))</f>
        <v>HOKKAIDO BAKED CHEESE202512</v>
      </c>
      <c r="F1505">
        <v>0</v>
      </c>
      <c r="G1505">
        <v>51</v>
      </c>
      <c r="H1505">
        <v>7</v>
      </c>
      <c r="I1505">
        <v>2</v>
      </c>
      <c r="J1505">
        <v>542</v>
      </c>
      <c r="K1505">
        <v>0</v>
      </c>
      <c r="L1505">
        <v>5369495</v>
      </c>
      <c r="M1505">
        <v>719684</v>
      </c>
      <c r="N1505">
        <v>61600</v>
      </c>
      <c r="O1505">
        <v>47852470</v>
      </c>
      <c r="P1505">
        <v>0</v>
      </c>
      <c r="Q1505">
        <v>53695</v>
      </c>
      <c r="R1505">
        <v>14394</v>
      </c>
      <c r="S1505">
        <v>347</v>
      </c>
      <c r="T1505">
        <v>255265</v>
      </c>
    </row>
    <row r="1506" spans="1:20" x14ac:dyDescent="0.25">
      <c r="A1506" t="s">
        <v>97</v>
      </c>
      <c r="B1506" t="s">
        <v>97</v>
      </c>
      <c r="C1506">
        <v>202512</v>
      </c>
      <c r="D1506" s="47" t="str">
        <f>MID(C1506,1,4)</f>
        <v>2025</v>
      </c>
      <c r="E1506" t="str">
        <f>IF(Portfolio!$M$1=1,CONCATENATE(A1506,C1506),CONCATENATE(B1506,C1506))</f>
        <v>HOP HOP202512</v>
      </c>
      <c r="F1506">
        <v>0</v>
      </c>
      <c r="G1506">
        <v>0</v>
      </c>
      <c r="H1506">
        <v>0</v>
      </c>
      <c r="I1506">
        <v>120</v>
      </c>
      <c r="J1506">
        <v>7780</v>
      </c>
      <c r="K1506">
        <v>0</v>
      </c>
      <c r="L1506">
        <v>0</v>
      </c>
      <c r="M1506">
        <v>0</v>
      </c>
      <c r="N1506">
        <v>4699000</v>
      </c>
      <c r="O1506">
        <v>204843998</v>
      </c>
      <c r="P1506">
        <v>0</v>
      </c>
      <c r="Q1506">
        <v>0</v>
      </c>
      <c r="R1506">
        <v>0</v>
      </c>
      <c r="S1506">
        <v>0</v>
      </c>
      <c r="T1506">
        <v>1929</v>
      </c>
    </row>
    <row r="1507" spans="1:20" x14ac:dyDescent="0.25">
      <c r="A1507" t="s">
        <v>97</v>
      </c>
      <c r="B1507" t="s">
        <v>113</v>
      </c>
      <c r="C1507">
        <v>202512</v>
      </c>
      <c r="D1507" s="47" t="str">
        <f>MID(C1507,1,4)</f>
        <v>2025</v>
      </c>
      <c r="E1507" t="str">
        <f>IF(Portfolio!$M$1=1,CONCATENATE(A1507,C1507),CONCATENATE(B1507,C1507))</f>
        <v>HOP HOP202512</v>
      </c>
      <c r="F1507">
        <v>0</v>
      </c>
      <c r="G1507">
        <v>0</v>
      </c>
      <c r="H1507">
        <v>0</v>
      </c>
      <c r="I1507">
        <v>10</v>
      </c>
      <c r="J1507">
        <v>1828</v>
      </c>
      <c r="K1507">
        <v>0</v>
      </c>
      <c r="L1507">
        <v>0</v>
      </c>
      <c r="M1507">
        <v>0</v>
      </c>
      <c r="N1507">
        <v>345000</v>
      </c>
      <c r="O1507">
        <v>37452088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 spans="1:20" x14ac:dyDescent="0.25">
      <c r="A1508" t="s">
        <v>99</v>
      </c>
      <c r="B1508" t="s">
        <v>99</v>
      </c>
      <c r="C1508">
        <v>202512</v>
      </c>
      <c r="D1508" s="47" t="str">
        <f>MID(C1508,1,4)</f>
        <v>2025</v>
      </c>
      <c r="E1508" t="str">
        <f>IF(Portfolio!$M$1=1,CONCATENATE(A1508,C1508),CONCATENATE(B1508,C1508))</f>
        <v>IKEA202512</v>
      </c>
      <c r="F1508">
        <v>31</v>
      </c>
      <c r="G1508">
        <v>0</v>
      </c>
      <c r="H1508">
        <v>0</v>
      </c>
      <c r="I1508">
        <v>0</v>
      </c>
      <c r="J1508">
        <v>0</v>
      </c>
      <c r="K1508">
        <v>25167100</v>
      </c>
      <c r="L1508">
        <v>0</v>
      </c>
      <c r="M1508">
        <v>0</v>
      </c>
      <c r="N1508">
        <v>0</v>
      </c>
      <c r="O1508">
        <v>0</v>
      </c>
      <c r="P1508">
        <v>37751</v>
      </c>
      <c r="Q1508">
        <v>0</v>
      </c>
      <c r="R1508">
        <v>0</v>
      </c>
      <c r="S1508">
        <v>0</v>
      </c>
      <c r="T1508">
        <v>0</v>
      </c>
    </row>
    <row r="1509" spans="1:20" x14ac:dyDescent="0.25">
      <c r="A1509" t="s">
        <v>101</v>
      </c>
      <c r="B1509" t="s">
        <v>101</v>
      </c>
      <c r="C1509">
        <v>202512</v>
      </c>
      <c r="D1509" s="47" t="str">
        <f>MID(C1509,1,4)</f>
        <v>2025</v>
      </c>
      <c r="E1509" t="str">
        <f>IF(Portfolio!$M$1=1,CONCATENATE(A1509,C1509),CONCATENATE(B1509,C1509))</f>
        <v>INDOMARET202512</v>
      </c>
      <c r="F1509">
        <v>23452</v>
      </c>
      <c r="G1509">
        <v>59887</v>
      </c>
      <c r="H1509">
        <v>26952</v>
      </c>
      <c r="I1509">
        <v>3</v>
      </c>
      <c r="J1509">
        <v>220</v>
      </c>
      <c r="K1509">
        <v>2515125891</v>
      </c>
      <c r="L1509">
        <v>5523751319</v>
      </c>
      <c r="M1509">
        <v>4067412797</v>
      </c>
      <c r="N1509">
        <v>61100</v>
      </c>
      <c r="O1509">
        <v>17954900</v>
      </c>
      <c r="P1509">
        <v>3772687</v>
      </c>
      <c r="Q1509">
        <v>55182305</v>
      </c>
      <c r="R1509">
        <v>68027395</v>
      </c>
      <c r="S1509">
        <v>427</v>
      </c>
      <c r="T1509">
        <v>11030</v>
      </c>
    </row>
    <row r="1510" spans="1:20" x14ac:dyDescent="0.25">
      <c r="A1510" t="s">
        <v>101</v>
      </c>
      <c r="B1510" t="s">
        <v>117</v>
      </c>
      <c r="C1510">
        <v>202512</v>
      </c>
      <c r="D1510" s="47" t="str">
        <f>MID(C1510,1,4)</f>
        <v>2025</v>
      </c>
      <c r="E1510" t="str">
        <f>IF(Portfolio!$M$1=1,CONCATENATE(A1510,C1510),CONCATENATE(B1510,C1510))</f>
        <v>INDOMARET202512</v>
      </c>
      <c r="F1510">
        <v>74</v>
      </c>
      <c r="G1510">
        <v>230</v>
      </c>
      <c r="H1510">
        <v>112</v>
      </c>
      <c r="I1510">
        <v>0</v>
      </c>
      <c r="J1510">
        <v>0</v>
      </c>
      <c r="K1510">
        <v>6303837</v>
      </c>
      <c r="L1510">
        <v>20338100</v>
      </c>
      <c r="M1510">
        <v>15500700</v>
      </c>
      <c r="N1510">
        <v>0</v>
      </c>
      <c r="O1510">
        <v>0</v>
      </c>
      <c r="P1510">
        <v>9456</v>
      </c>
      <c r="Q1510">
        <v>203381</v>
      </c>
      <c r="R1510">
        <v>255762</v>
      </c>
      <c r="S1510">
        <v>0</v>
      </c>
      <c r="T1510">
        <v>0</v>
      </c>
    </row>
    <row r="1511" spans="1:20" x14ac:dyDescent="0.25">
      <c r="A1511" t="s">
        <v>102</v>
      </c>
      <c r="B1511" t="s">
        <v>119</v>
      </c>
      <c r="C1511">
        <v>202512</v>
      </c>
      <c r="D1511" s="47" t="str">
        <f>MID(C1511,1,4)</f>
        <v>2025</v>
      </c>
      <c r="E1511" t="str">
        <f>IF(Portfolio!$M$1=1,CONCATENATE(A1511,C1511),CONCATENATE(B1511,C1511))</f>
        <v>KAWAN LAMA202512</v>
      </c>
      <c r="F1511">
        <v>0</v>
      </c>
      <c r="G1511">
        <v>0</v>
      </c>
      <c r="H1511">
        <v>1</v>
      </c>
      <c r="I1511">
        <v>0</v>
      </c>
      <c r="J1511">
        <v>1</v>
      </c>
      <c r="K1511">
        <v>0</v>
      </c>
      <c r="L1511">
        <v>0</v>
      </c>
      <c r="M1511">
        <v>163944</v>
      </c>
      <c r="N1511">
        <v>0</v>
      </c>
      <c r="O1511">
        <v>496117</v>
      </c>
      <c r="P1511">
        <v>0</v>
      </c>
      <c r="Q1511">
        <v>0</v>
      </c>
      <c r="R1511">
        <v>1967</v>
      </c>
      <c r="S1511">
        <v>0</v>
      </c>
      <c r="T1511">
        <v>3473</v>
      </c>
    </row>
    <row r="1512" spans="1:20" x14ac:dyDescent="0.25">
      <c r="A1512" t="s">
        <v>102</v>
      </c>
      <c r="B1512" t="s">
        <v>121</v>
      </c>
      <c r="C1512">
        <v>202512</v>
      </c>
      <c r="D1512" s="47" t="str">
        <f>MID(C1512,1,4)</f>
        <v>2025</v>
      </c>
      <c r="E1512" t="str">
        <f>IF(Portfolio!$M$1=1,CONCATENATE(A1512,C1512),CONCATENATE(B1512,C1512))</f>
        <v>KAWAN LAMA202512</v>
      </c>
      <c r="F1512">
        <v>3</v>
      </c>
      <c r="G1512">
        <v>0</v>
      </c>
      <c r="H1512">
        <v>0</v>
      </c>
      <c r="I1512">
        <v>10</v>
      </c>
      <c r="J1512">
        <v>3</v>
      </c>
      <c r="K1512">
        <v>585000</v>
      </c>
      <c r="L1512">
        <v>0</v>
      </c>
      <c r="M1512">
        <v>0</v>
      </c>
      <c r="N1512">
        <v>1035000</v>
      </c>
      <c r="O1512">
        <v>3</v>
      </c>
      <c r="P1512">
        <v>878</v>
      </c>
      <c r="Q1512">
        <v>0</v>
      </c>
      <c r="R1512">
        <v>0</v>
      </c>
      <c r="S1512">
        <v>7244</v>
      </c>
      <c r="T1512">
        <v>0</v>
      </c>
    </row>
    <row r="1513" spans="1:20" x14ac:dyDescent="0.25">
      <c r="A1513" t="s">
        <v>102</v>
      </c>
      <c r="B1513" t="s">
        <v>123</v>
      </c>
      <c r="C1513">
        <v>202512</v>
      </c>
      <c r="D1513" s="47" t="str">
        <f>MID(C1513,1,4)</f>
        <v>2025</v>
      </c>
      <c r="E1513" t="str">
        <f>IF(Portfolio!$M$1=1,CONCATENATE(A1513,C1513),CONCATENATE(B1513,C1513))</f>
        <v>KAWAN LAMA202512</v>
      </c>
      <c r="F1513">
        <v>1248</v>
      </c>
      <c r="G1513">
        <v>0</v>
      </c>
      <c r="H1513">
        <v>0</v>
      </c>
      <c r="I1513">
        <v>128</v>
      </c>
      <c r="J1513">
        <v>237</v>
      </c>
      <c r="K1513">
        <v>957839433</v>
      </c>
      <c r="L1513">
        <v>0</v>
      </c>
      <c r="M1513">
        <v>0</v>
      </c>
      <c r="N1513">
        <v>73186033</v>
      </c>
      <c r="O1513">
        <v>639489901</v>
      </c>
      <c r="P1513">
        <v>1436758</v>
      </c>
      <c r="Q1513">
        <v>0</v>
      </c>
      <c r="R1513">
        <v>0</v>
      </c>
      <c r="S1513">
        <v>505650</v>
      </c>
      <c r="T1513">
        <v>4224462</v>
      </c>
    </row>
    <row r="1514" spans="1:20" x14ac:dyDescent="0.25">
      <c r="A1514" t="s">
        <v>102</v>
      </c>
      <c r="B1514" t="s">
        <v>125</v>
      </c>
      <c r="C1514">
        <v>202512</v>
      </c>
      <c r="D1514" s="47" t="str">
        <f>MID(C1514,1,4)</f>
        <v>2025</v>
      </c>
      <c r="E1514" t="str">
        <f>IF(Portfolio!$M$1=1,CONCATENATE(A1514,C1514),CONCATENATE(B1514,C1514))</f>
        <v>KAWAN LAMA202512</v>
      </c>
      <c r="F1514">
        <v>299</v>
      </c>
      <c r="G1514">
        <v>0</v>
      </c>
      <c r="H1514">
        <v>0</v>
      </c>
      <c r="I1514">
        <v>0</v>
      </c>
      <c r="J1514">
        <v>71</v>
      </c>
      <c r="K1514">
        <v>20414000</v>
      </c>
      <c r="L1514">
        <v>0</v>
      </c>
      <c r="M1514">
        <v>0</v>
      </c>
      <c r="N1514">
        <v>0</v>
      </c>
      <c r="O1514">
        <v>13069012</v>
      </c>
      <c r="P1514">
        <v>30621</v>
      </c>
      <c r="Q1514">
        <v>0</v>
      </c>
      <c r="R1514">
        <v>0</v>
      </c>
      <c r="S1514">
        <v>0</v>
      </c>
      <c r="T1514">
        <v>91483</v>
      </c>
    </row>
    <row r="1515" spans="1:20" x14ac:dyDescent="0.25">
      <c r="A1515" t="s">
        <v>102</v>
      </c>
      <c r="B1515" t="s">
        <v>129</v>
      </c>
      <c r="C1515">
        <v>202512</v>
      </c>
      <c r="D1515" s="47" t="str">
        <f>MID(C1515,1,4)</f>
        <v>2025</v>
      </c>
      <c r="E1515" t="str">
        <f>IF(Portfolio!$M$1=1,CONCATENATE(A1515,C1515),CONCATENATE(B1515,C1515))</f>
        <v>KAWAN LAMA202512</v>
      </c>
      <c r="F1515">
        <v>0</v>
      </c>
      <c r="G1515">
        <v>0</v>
      </c>
      <c r="H1515">
        <v>0</v>
      </c>
      <c r="I1515">
        <v>2</v>
      </c>
      <c r="J1515">
        <v>0</v>
      </c>
      <c r="K1515">
        <v>0</v>
      </c>
      <c r="L1515">
        <v>0</v>
      </c>
      <c r="M1515">
        <v>0</v>
      </c>
      <c r="N1515">
        <v>400550</v>
      </c>
      <c r="O1515">
        <v>940501</v>
      </c>
      <c r="P1515">
        <v>0</v>
      </c>
      <c r="Q1515">
        <v>0</v>
      </c>
      <c r="R1515">
        <v>0</v>
      </c>
      <c r="S1515">
        <v>0</v>
      </c>
      <c r="T1515">
        <v>6583</v>
      </c>
    </row>
    <row r="1516" spans="1:20" x14ac:dyDescent="0.25">
      <c r="A1516" t="s">
        <v>102</v>
      </c>
      <c r="B1516" t="s">
        <v>131</v>
      </c>
      <c r="C1516">
        <v>202512</v>
      </c>
      <c r="D1516" s="47" t="str">
        <f>MID(C1516,1,4)</f>
        <v>2025</v>
      </c>
      <c r="E1516" t="str">
        <f>IF(Portfolio!$M$1=1,CONCATENATE(A1516,C1516),CONCATENATE(B1516,C1516))</f>
        <v>KAWAN LAMA202512</v>
      </c>
      <c r="F1516">
        <v>11</v>
      </c>
      <c r="G1516">
        <v>0</v>
      </c>
      <c r="H1516">
        <v>0</v>
      </c>
      <c r="I1516">
        <v>0</v>
      </c>
      <c r="J1516">
        <v>2</v>
      </c>
      <c r="K1516">
        <v>861000</v>
      </c>
      <c r="L1516">
        <v>0</v>
      </c>
      <c r="M1516">
        <v>0</v>
      </c>
      <c r="N1516">
        <v>0</v>
      </c>
      <c r="O1516">
        <v>528002</v>
      </c>
      <c r="P1516">
        <v>1292</v>
      </c>
      <c r="Q1516">
        <v>0</v>
      </c>
      <c r="R1516">
        <v>0</v>
      </c>
      <c r="S1516">
        <v>0</v>
      </c>
      <c r="T1516">
        <v>3696</v>
      </c>
    </row>
    <row r="1517" spans="1:20" x14ac:dyDescent="0.25">
      <c r="A1517" t="s">
        <v>102</v>
      </c>
      <c r="B1517" t="s">
        <v>133</v>
      </c>
      <c r="C1517">
        <v>202512</v>
      </c>
      <c r="D1517" s="47" t="str">
        <f>MID(C1517,1,4)</f>
        <v>2025</v>
      </c>
      <c r="E1517" t="str">
        <f>IF(Portfolio!$M$1=1,CONCATENATE(A1517,C1517),CONCATENATE(B1517,C1517))</f>
        <v>KAWAN LAMA202512</v>
      </c>
      <c r="F1517">
        <v>26</v>
      </c>
      <c r="G1517">
        <v>0</v>
      </c>
      <c r="H1517">
        <v>0</v>
      </c>
      <c r="I1517">
        <v>0</v>
      </c>
      <c r="J1517">
        <v>2</v>
      </c>
      <c r="K1517">
        <v>3858000</v>
      </c>
      <c r="L1517">
        <v>0</v>
      </c>
      <c r="M1517">
        <v>0</v>
      </c>
      <c r="N1517">
        <v>0</v>
      </c>
      <c r="O1517">
        <v>1016002</v>
      </c>
      <c r="P1517">
        <v>5787</v>
      </c>
      <c r="Q1517">
        <v>0</v>
      </c>
      <c r="R1517">
        <v>0</v>
      </c>
      <c r="S1517">
        <v>0</v>
      </c>
      <c r="T1517">
        <v>7112</v>
      </c>
    </row>
    <row r="1518" spans="1:20" x14ac:dyDescent="0.25">
      <c r="A1518" t="s">
        <v>102</v>
      </c>
      <c r="B1518" t="s">
        <v>135</v>
      </c>
      <c r="C1518">
        <v>202512</v>
      </c>
      <c r="D1518" s="47" t="str">
        <f>MID(C1518,1,4)</f>
        <v>2025</v>
      </c>
      <c r="E1518" t="str">
        <f>IF(Portfolio!$M$1=1,CONCATENATE(A1518,C1518),CONCATENATE(B1518,C1518))</f>
        <v>KAWAN LAMA202512</v>
      </c>
      <c r="F1518">
        <v>438</v>
      </c>
      <c r="G1518">
        <v>0</v>
      </c>
      <c r="H1518">
        <v>0</v>
      </c>
      <c r="I1518">
        <v>12</v>
      </c>
      <c r="J1518">
        <v>8</v>
      </c>
      <c r="K1518">
        <v>1757622240</v>
      </c>
      <c r="L1518">
        <v>0</v>
      </c>
      <c r="M1518">
        <v>0</v>
      </c>
      <c r="N1518">
        <v>9362524</v>
      </c>
      <c r="O1518">
        <v>738445176</v>
      </c>
      <c r="P1518">
        <v>2636433</v>
      </c>
      <c r="Q1518">
        <v>0</v>
      </c>
      <c r="R1518">
        <v>0</v>
      </c>
      <c r="S1518">
        <v>65537</v>
      </c>
      <c r="T1518">
        <v>5169105</v>
      </c>
    </row>
    <row r="1519" spans="1:20" x14ac:dyDescent="0.25">
      <c r="A1519" t="s">
        <v>102</v>
      </c>
      <c r="B1519" t="s">
        <v>137</v>
      </c>
      <c r="C1519">
        <v>202512</v>
      </c>
      <c r="D1519" s="47" t="str">
        <f>MID(C1519,1,4)</f>
        <v>2025</v>
      </c>
      <c r="E1519" t="str">
        <f>IF(Portfolio!$M$1=1,CONCATENATE(A1519,C1519),CONCATENATE(B1519,C1519))</f>
        <v>KAWAN LAMA202512</v>
      </c>
      <c r="F1519">
        <v>34</v>
      </c>
      <c r="G1519">
        <v>0</v>
      </c>
      <c r="H1519">
        <v>0</v>
      </c>
      <c r="I1519">
        <v>0</v>
      </c>
      <c r="J1519">
        <v>0</v>
      </c>
      <c r="K1519">
        <v>193677718</v>
      </c>
      <c r="L1519">
        <v>0</v>
      </c>
      <c r="M1519">
        <v>0</v>
      </c>
      <c r="N1519">
        <v>0</v>
      </c>
      <c r="O1519">
        <v>134077881</v>
      </c>
      <c r="P1519">
        <v>290517</v>
      </c>
      <c r="Q1519">
        <v>0</v>
      </c>
      <c r="R1519">
        <v>0</v>
      </c>
      <c r="S1519">
        <v>0</v>
      </c>
      <c r="T1519">
        <v>938545</v>
      </c>
    </row>
    <row r="1520" spans="1:20" x14ac:dyDescent="0.25">
      <c r="A1520" t="s">
        <v>102</v>
      </c>
      <c r="B1520" t="s">
        <v>139</v>
      </c>
      <c r="C1520">
        <v>202512</v>
      </c>
      <c r="D1520" s="47" t="str">
        <f>MID(C1520,1,4)</f>
        <v>2025</v>
      </c>
      <c r="E1520" t="str">
        <f>IF(Portfolio!$M$1=1,CONCATENATE(A1520,C1520),CONCATENATE(B1520,C1520))</f>
        <v>KAWAN LAMA202512</v>
      </c>
      <c r="F1520">
        <v>0</v>
      </c>
      <c r="G1520">
        <v>0</v>
      </c>
      <c r="H1520">
        <v>0</v>
      </c>
      <c r="I1520">
        <v>0</v>
      </c>
      <c r="J1520"/>
      <c r="K1520">
        <v>0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 spans="1:20" x14ac:dyDescent="0.25">
      <c r="A1521" t="s">
        <v>102</v>
      </c>
      <c r="B1521" t="s">
        <v>141</v>
      </c>
      <c r="C1521">
        <v>202512</v>
      </c>
      <c r="D1521" s="47" t="str">
        <f>MID(C1521,1,4)</f>
        <v>2025</v>
      </c>
      <c r="E1521" t="str">
        <f>IF(Portfolio!$M$1=1,CONCATENATE(A1521,C1521),CONCATENATE(B1521,C1521))</f>
        <v>KAWAN LAMA202512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75000</v>
      </c>
      <c r="P1521">
        <v>0</v>
      </c>
      <c r="Q1521">
        <v>0</v>
      </c>
      <c r="R1521">
        <v>0</v>
      </c>
      <c r="S1521">
        <v>0</v>
      </c>
      <c r="T1521">
        <v>525</v>
      </c>
    </row>
    <row r="1522" spans="1:20" x14ac:dyDescent="0.25">
      <c r="A1522" t="s">
        <v>102</v>
      </c>
      <c r="B1522" t="s">
        <v>142</v>
      </c>
      <c r="C1522">
        <v>202512</v>
      </c>
      <c r="D1522" s="47" t="str">
        <f>MID(C1522,1,4)</f>
        <v>2025</v>
      </c>
      <c r="E1522" t="str">
        <f>IF(Portfolio!$M$1=1,CONCATENATE(A1522,C1522),CONCATENATE(B1522,C1522))</f>
        <v>KAWAN LAMA202512</v>
      </c>
      <c r="F1522">
        <v>35</v>
      </c>
      <c r="G1522">
        <v>0</v>
      </c>
      <c r="H1522">
        <v>0</v>
      </c>
      <c r="I1522">
        <v>0</v>
      </c>
      <c r="J1522">
        <v>30</v>
      </c>
      <c r="K1522">
        <v>33729761</v>
      </c>
      <c r="L1522">
        <v>0</v>
      </c>
      <c r="M1522">
        <v>0</v>
      </c>
      <c r="N1522">
        <v>0</v>
      </c>
      <c r="O1522">
        <v>48942095</v>
      </c>
      <c r="P1522">
        <v>50595</v>
      </c>
      <c r="Q1522">
        <v>0</v>
      </c>
      <c r="R1522">
        <v>0</v>
      </c>
      <c r="S1522">
        <v>0</v>
      </c>
      <c r="T1522">
        <v>323135</v>
      </c>
    </row>
    <row r="1523" spans="1:20" x14ac:dyDescent="0.25">
      <c r="A1523" t="s">
        <v>102</v>
      </c>
      <c r="B1523" t="s">
        <v>144</v>
      </c>
      <c r="C1523">
        <v>202512</v>
      </c>
      <c r="D1523" s="47" t="str">
        <f>MID(C1523,1,4)</f>
        <v>2025</v>
      </c>
      <c r="E1523" t="str">
        <f>IF(Portfolio!$M$1=1,CONCATENATE(A1523,C1523),CONCATENATE(B1523,C1523))</f>
        <v>KAWAN LAMA202512</v>
      </c>
      <c r="F1523">
        <v>2</v>
      </c>
      <c r="G1523">
        <v>0</v>
      </c>
      <c r="H1523">
        <v>0</v>
      </c>
      <c r="I1523">
        <v>0</v>
      </c>
      <c r="J1523">
        <v>0</v>
      </c>
      <c r="K1523">
        <v>566000</v>
      </c>
      <c r="L1523">
        <v>0</v>
      </c>
      <c r="M1523">
        <v>0</v>
      </c>
      <c r="N1523">
        <v>0</v>
      </c>
      <c r="O1523">
        <v>440000</v>
      </c>
      <c r="P1523">
        <v>849</v>
      </c>
      <c r="Q1523">
        <v>0</v>
      </c>
      <c r="R1523">
        <v>0</v>
      </c>
      <c r="S1523">
        <v>0</v>
      </c>
      <c r="T1523">
        <v>3080</v>
      </c>
    </row>
    <row r="1524" spans="1:20" x14ac:dyDescent="0.25">
      <c r="A1524" t="s">
        <v>102</v>
      </c>
      <c r="B1524" t="s">
        <v>145</v>
      </c>
      <c r="C1524">
        <v>202512</v>
      </c>
      <c r="D1524" s="47" t="str">
        <f>MID(C1524,1,4)</f>
        <v>2025</v>
      </c>
      <c r="E1524" t="str">
        <f>IF(Portfolio!$M$1=1,CONCATENATE(A1524,C1524),CONCATENATE(B1524,C1524))</f>
        <v>KAWAN LAMA202512</v>
      </c>
      <c r="F1524">
        <v>8</v>
      </c>
      <c r="G1524">
        <v>0</v>
      </c>
      <c r="H1524">
        <v>0</v>
      </c>
      <c r="I1524">
        <v>31</v>
      </c>
      <c r="J1524">
        <v>11</v>
      </c>
      <c r="K1524">
        <v>2841053</v>
      </c>
      <c r="L1524">
        <v>0</v>
      </c>
      <c r="M1524">
        <v>0</v>
      </c>
      <c r="N1524">
        <v>10529641</v>
      </c>
      <c r="O1524">
        <v>11</v>
      </c>
      <c r="P1524">
        <v>4262</v>
      </c>
      <c r="Q1524">
        <v>0</v>
      </c>
      <c r="R1524">
        <v>0</v>
      </c>
      <c r="S1524">
        <v>73708</v>
      </c>
      <c r="T1524">
        <v>0</v>
      </c>
    </row>
    <row r="1525" spans="1:20" x14ac:dyDescent="0.25">
      <c r="A1525" t="s">
        <v>103</v>
      </c>
      <c r="B1525" t="s">
        <v>146</v>
      </c>
      <c r="C1525">
        <v>202512</v>
      </c>
      <c r="D1525" s="47" t="str">
        <f>MID(C1525,1,4)</f>
        <v>2025</v>
      </c>
      <c r="E1525" t="str">
        <f>IF(Portfolio!$M$1=1,CONCATENATE(A1525,C1525),CONCATENATE(B1525,C1525))</f>
        <v>KCIC202512</v>
      </c>
      <c r="F1525">
        <v>20</v>
      </c>
      <c r="G1525">
        <v>428</v>
      </c>
      <c r="H1525">
        <v>908</v>
      </c>
      <c r="I1525">
        <v>8</v>
      </c>
      <c r="J1525">
        <v>2164</v>
      </c>
      <c r="K1525">
        <v>14605000</v>
      </c>
      <c r="L1525">
        <v>413955000</v>
      </c>
      <c r="M1525">
        <v>970325000</v>
      </c>
      <c r="N1525">
        <v>3860000</v>
      </c>
      <c r="O1525">
        <v>1810570000</v>
      </c>
      <c r="P1525">
        <v>21908</v>
      </c>
      <c r="Q1525">
        <v>4016550</v>
      </c>
      <c r="R1525">
        <v>17472850</v>
      </c>
      <c r="S1525">
        <v>27020</v>
      </c>
      <c r="T1525">
        <v>12673990</v>
      </c>
    </row>
    <row r="1526" spans="1:20" x14ac:dyDescent="0.25">
      <c r="A1526" t="s">
        <v>105</v>
      </c>
      <c r="B1526" t="s">
        <v>148</v>
      </c>
      <c r="C1526">
        <v>202512</v>
      </c>
      <c r="D1526" s="47" t="str">
        <f>MID(C1526,1,4)</f>
        <v>2025</v>
      </c>
      <c r="E1526" t="str">
        <f>IF(Portfolio!$M$1=1,CONCATENATE(A1526,C1526),CONCATENATE(B1526,C1526))</f>
        <v>LOTTE GROUP202512</v>
      </c>
      <c r="F1526">
        <v>621</v>
      </c>
      <c r="G1526">
        <v>0</v>
      </c>
      <c r="H1526">
        <v>0</v>
      </c>
      <c r="I1526">
        <v>0</v>
      </c>
      <c r="J1526">
        <v>11</v>
      </c>
      <c r="K1526">
        <v>597195808</v>
      </c>
      <c r="L1526">
        <v>0</v>
      </c>
      <c r="M1526">
        <v>0</v>
      </c>
      <c r="N1526">
        <v>0</v>
      </c>
      <c r="O1526">
        <v>24</v>
      </c>
      <c r="P1526">
        <v>895792</v>
      </c>
      <c r="Q1526">
        <v>0</v>
      </c>
      <c r="R1526">
        <v>0</v>
      </c>
      <c r="S1526">
        <v>0</v>
      </c>
      <c r="T1526">
        <v>0</v>
      </c>
    </row>
    <row r="1527" spans="1:20" x14ac:dyDescent="0.25">
      <c r="A1527" t="s">
        <v>105</v>
      </c>
      <c r="B1527" t="s">
        <v>149</v>
      </c>
      <c r="C1527">
        <v>202512</v>
      </c>
      <c r="D1527" s="47" t="str">
        <f>MID(C1527,1,4)</f>
        <v>2025</v>
      </c>
      <c r="E1527" t="str">
        <f>IF(Portfolio!$M$1=1,CONCATENATE(A1527,C1527),CONCATENATE(B1527,C1527))</f>
        <v>LOTTE GROUP202512</v>
      </c>
      <c r="F1527">
        <v>371</v>
      </c>
      <c r="G1527">
        <v>12</v>
      </c>
      <c r="H1527">
        <v>10</v>
      </c>
      <c r="I1527">
        <v>0</v>
      </c>
      <c r="J1527">
        <v>0</v>
      </c>
      <c r="K1527">
        <v>103852700</v>
      </c>
      <c r="L1527">
        <v>3410650</v>
      </c>
      <c r="M1527">
        <v>6149600</v>
      </c>
      <c r="N1527">
        <v>0</v>
      </c>
      <c r="O1527">
        <v>0</v>
      </c>
      <c r="P1527">
        <v>155779</v>
      </c>
      <c r="Q1527">
        <v>34106</v>
      </c>
      <c r="R1527">
        <v>79945</v>
      </c>
      <c r="S1527">
        <v>0</v>
      </c>
      <c r="T1527">
        <v>0</v>
      </c>
    </row>
    <row r="1528" spans="1:20" x14ac:dyDescent="0.25">
      <c r="A1528" t="s">
        <v>106</v>
      </c>
      <c r="B1528" t="s">
        <v>106</v>
      </c>
      <c r="C1528">
        <v>202512</v>
      </c>
      <c r="D1528" s="47" t="str">
        <f>MID(C1528,1,4)</f>
        <v>2025</v>
      </c>
      <c r="E1528" t="str">
        <f>IF(Portfolio!$M$1=1,CONCATENATE(A1528,C1528),CONCATENATE(B1528,C1528))</f>
        <v>MAMA ROZ202512</v>
      </c>
      <c r="F1528">
        <v>0</v>
      </c>
      <c r="G1528">
        <v>7</v>
      </c>
      <c r="H1528">
        <v>0</v>
      </c>
      <c r="I1528">
        <v>0</v>
      </c>
      <c r="J1528">
        <v>87</v>
      </c>
      <c r="K1528">
        <v>0</v>
      </c>
      <c r="L1528">
        <v>463980</v>
      </c>
      <c r="M1528">
        <v>0</v>
      </c>
      <c r="N1528">
        <v>0</v>
      </c>
      <c r="O1528">
        <v>10855622</v>
      </c>
      <c r="P1528">
        <v>0</v>
      </c>
      <c r="Q1528">
        <v>4640</v>
      </c>
      <c r="R1528">
        <v>0</v>
      </c>
      <c r="S1528">
        <v>0</v>
      </c>
      <c r="T1528">
        <v>75989</v>
      </c>
    </row>
    <row r="1529" spans="1:20" x14ac:dyDescent="0.25">
      <c r="A1529" t="s">
        <v>107</v>
      </c>
      <c r="B1529" t="s">
        <v>150</v>
      </c>
      <c r="C1529">
        <v>202512</v>
      </c>
      <c r="D1529" s="47" t="str">
        <f>MID(C1529,1,4)</f>
        <v>2025</v>
      </c>
      <c r="E1529" t="str">
        <f>IF(Portfolio!$M$1=1,CONCATENATE(A1529,C1529),CONCATENATE(B1529,C1529))</f>
        <v>MAP GROUP202512</v>
      </c>
      <c r="F1529">
        <v>0</v>
      </c>
      <c r="G1529">
        <v>15</v>
      </c>
      <c r="H1529">
        <v>16</v>
      </c>
      <c r="I1529">
        <v>0</v>
      </c>
      <c r="J1529">
        <v>0</v>
      </c>
      <c r="K1529">
        <v>0</v>
      </c>
      <c r="L1529">
        <v>34915740</v>
      </c>
      <c r="M1529">
        <v>24644800</v>
      </c>
      <c r="N1529">
        <v>0</v>
      </c>
      <c r="O1529">
        <v>0</v>
      </c>
      <c r="P1529">
        <v>0</v>
      </c>
      <c r="Q1529">
        <v>349157</v>
      </c>
      <c r="R1529">
        <v>320382</v>
      </c>
      <c r="S1529">
        <v>0</v>
      </c>
      <c r="T1529">
        <v>0</v>
      </c>
    </row>
    <row r="1530" spans="1:20" x14ac:dyDescent="0.25">
      <c r="A1530" t="s">
        <v>107</v>
      </c>
      <c r="B1530" t="s">
        <v>151</v>
      </c>
      <c r="C1530">
        <v>202512</v>
      </c>
      <c r="D1530" s="47" t="str">
        <f>MID(C1530,1,4)</f>
        <v>2025</v>
      </c>
      <c r="E1530" t="str">
        <f>IF(Portfolio!$M$1=1,CONCATENATE(A1530,C1530),CONCATENATE(B1530,C1530))</f>
        <v>MAP GROUP202512</v>
      </c>
      <c r="F1530">
        <v>25</v>
      </c>
      <c r="G1530">
        <v>331</v>
      </c>
      <c r="H1530">
        <v>347</v>
      </c>
      <c r="I1530">
        <v>0</v>
      </c>
      <c r="J1530">
        <v>0</v>
      </c>
      <c r="K1530">
        <v>48528000</v>
      </c>
      <c r="L1530">
        <v>559549400</v>
      </c>
      <c r="M1530">
        <v>604562117</v>
      </c>
      <c r="N1530">
        <v>0</v>
      </c>
      <c r="O1530">
        <v>0</v>
      </c>
      <c r="P1530">
        <v>72792</v>
      </c>
      <c r="Q1530">
        <v>5547354</v>
      </c>
      <c r="R1530">
        <v>7859308</v>
      </c>
      <c r="S1530">
        <v>0</v>
      </c>
      <c r="T1530">
        <v>0</v>
      </c>
    </row>
    <row r="1531" spans="1:20" x14ac:dyDescent="0.25">
      <c r="A1531" t="s">
        <v>107</v>
      </c>
      <c r="B1531" t="s">
        <v>152</v>
      </c>
      <c r="C1531">
        <v>202512</v>
      </c>
      <c r="D1531" s="47" t="str">
        <f>MID(C1531,1,4)</f>
        <v>2025</v>
      </c>
      <c r="E1531" t="str">
        <f>IF(Portfolio!$M$1=1,CONCATENATE(A1531,C1531),CONCATENATE(B1531,C1531))</f>
        <v>MAP GROUP202512</v>
      </c>
      <c r="F1531">
        <v>10</v>
      </c>
      <c r="G1531">
        <v>115</v>
      </c>
      <c r="H1531">
        <v>227</v>
      </c>
      <c r="I1531">
        <v>0</v>
      </c>
      <c r="J1531">
        <v>0</v>
      </c>
      <c r="K1531">
        <v>11744600</v>
      </c>
      <c r="L1531">
        <v>157541550</v>
      </c>
      <c r="M1531">
        <v>299919370</v>
      </c>
      <c r="N1531">
        <v>0</v>
      </c>
      <c r="O1531">
        <v>0</v>
      </c>
      <c r="P1531">
        <v>17617</v>
      </c>
      <c r="Q1531">
        <v>1569426</v>
      </c>
      <c r="R1531">
        <v>3898952</v>
      </c>
      <c r="S1531">
        <v>0</v>
      </c>
      <c r="T1531">
        <v>0</v>
      </c>
    </row>
    <row r="1532" spans="1:20" x14ac:dyDescent="0.25">
      <c r="A1532" t="s">
        <v>107</v>
      </c>
      <c r="B1532" t="s">
        <v>153</v>
      </c>
      <c r="C1532">
        <v>202512</v>
      </c>
      <c r="D1532" s="47" t="str">
        <f>MID(C1532,1,4)</f>
        <v>2025</v>
      </c>
      <c r="E1532" t="str">
        <f>IF(Portfolio!$M$1=1,CONCATENATE(A1532,C1532),CONCATENATE(B1532,C1532))</f>
        <v>MAP GROUP202512</v>
      </c>
      <c r="F1532">
        <v>2</v>
      </c>
      <c r="G1532">
        <v>12</v>
      </c>
      <c r="H1532">
        <v>26</v>
      </c>
      <c r="I1532">
        <v>0</v>
      </c>
      <c r="J1532">
        <v>0</v>
      </c>
      <c r="K1532">
        <v>3076400</v>
      </c>
      <c r="L1532">
        <v>15113160</v>
      </c>
      <c r="M1532">
        <v>36116440</v>
      </c>
      <c r="N1532">
        <v>0</v>
      </c>
      <c r="O1532">
        <v>0</v>
      </c>
      <c r="P1532">
        <v>4615</v>
      </c>
      <c r="Q1532">
        <v>151132</v>
      </c>
      <c r="R1532">
        <v>469514</v>
      </c>
      <c r="S1532">
        <v>0</v>
      </c>
      <c r="T1532">
        <v>0</v>
      </c>
    </row>
    <row r="1533" spans="1:20" x14ac:dyDescent="0.25">
      <c r="A1533" t="s">
        <v>107</v>
      </c>
      <c r="B1533" t="s">
        <v>154</v>
      </c>
      <c r="C1533">
        <v>202512</v>
      </c>
      <c r="D1533" s="47" t="str">
        <f>MID(C1533,1,4)</f>
        <v>2025</v>
      </c>
      <c r="E1533" t="str">
        <f>IF(Portfolio!$M$1=1,CONCATENATE(A1533,C1533),CONCATENATE(B1533,C1533))</f>
        <v>MAP GROUP202512</v>
      </c>
      <c r="F1533">
        <v>16</v>
      </c>
      <c r="G1533">
        <v>183</v>
      </c>
      <c r="H1533">
        <v>329</v>
      </c>
      <c r="I1533">
        <v>0</v>
      </c>
      <c r="J1533">
        <v>0</v>
      </c>
      <c r="K1533">
        <v>35139900</v>
      </c>
      <c r="L1533">
        <v>430434800</v>
      </c>
      <c r="M1533">
        <v>742163125</v>
      </c>
      <c r="N1533">
        <v>0</v>
      </c>
      <c r="O1533">
        <v>0</v>
      </c>
      <c r="P1533">
        <v>52710</v>
      </c>
      <c r="Q1533">
        <v>4289354</v>
      </c>
      <c r="R1533">
        <v>9648121</v>
      </c>
      <c r="S1533">
        <v>0</v>
      </c>
      <c r="T1533">
        <v>0</v>
      </c>
    </row>
    <row r="1534" spans="1:20" x14ac:dyDescent="0.25">
      <c r="A1534" t="s">
        <v>107</v>
      </c>
      <c r="B1534" t="s">
        <v>155</v>
      </c>
      <c r="C1534">
        <v>202512</v>
      </c>
      <c r="D1534" s="47" t="str">
        <f>MID(C1534,1,4)</f>
        <v>2025</v>
      </c>
      <c r="E1534" t="str">
        <f>IF(Portfolio!$M$1=1,CONCATENATE(A1534,C1534),CONCATENATE(B1534,C1534))</f>
        <v>MAP GROUP202512</v>
      </c>
      <c r="F1534">
        <v>0</v>
      </c>
      <c r="G1534">
        <v>2</v>
      </c>
      <c r="H1534">
        <v>7</v>
      </c>
      <c r="I1534">
        <v>0</v>
      </c>
      <c r="J1534">
        <v>0</v>
      </c>
      <c r="K1534">
        <v>0</v>
      </c>
      <c r="L1534">
        <v>613200</v>
      </c>
      <c r="M1534">
        <v>4057000</v>
      </c>
      <c r="N1534">
        <v>0</v>
      </c>
      <c r="O1534">
        <v>0</v>
      </c>
      <c r="P1534">
        <v>0</v>
      </c>
      <c r="Q1534">
        <v>6132</v>
      </c>
      <c r="R1534">
        <v>52741</v>
      </c>
      <c r="S1534">
        <v>0</v>
      </c>
      <c r="T1534">
        <v>0</v>
      </c>
    </row>
    <row r="1535" spans="1:20" x14ac:dyDescent="0.25">
      <c r="A1535" t="s">
        <v>107</v>
      </c>
      <c r="B1535" t="s">
        <v>156</v>
      </c>
      <c r="C1535">
        <v>202512</v>
      </c>
      <c r="D1535" s="47" t="str">
        <f>MID(C1535,1,4)</f>
        <v>2025</v>
      </c>
      <c r="E1535" t="str">
        <f>IF(Portfolio!$M$1=1,CONCATENATE(A1535,C1535),CONCATENATE(B1535,C1535))</f>
        <v>MAP GROUP202512</v>
      </c>
      <c r="F1535">
        <v>4</v>
      </c>
      <c r="G1535">
        <v>13</v>
      </c>
      <c r="H1535">
        <v>16</v>
      </c>
      <c r="I1535">
        <v>0</v>
      </c>
      <c r="J1535">
        <v>0</v>
      </c>
      <c r="K1535">
        <v>4873000</v>
      </c>
      <c r="L1535">
        <v>27491360</v>
      </c>
      <c r="M1535">
        <v>24156740</v>
      </c>
      <c r="N1535">
        <v>0</v>
      </c>
      <c r="O1535">
        <v>0</v>
      </c>
      <c r="P1535">
        <v>7310</v>
      </c>
      <c r="Q1535">
        <v>274914</v>
      </c>
      <c r="R1535">
        <v>314038</v>
      </c>
      <c r="S1535">
        <v>0</v>
      </c>
      <c r="T1535">
        <v>0</v>
      </c>
    </row>
    <row r="1536" spans="1:20" x14ac:dyDescent="0.25">
      <c r="A1536" t="s">
        <v>107</v>
      </c>
      <c r="B1536" t="s">
        <v>157</v>
      </c>
      <c r="C1536">
        <v>202512</v>
      </c>
      <c r="D1536" s="47" t="str">
        <f>MID(C1536,1,4)</f>
        <v>2025</v>
      </c>
      <c r="E1536" t="str">
        <f>IF(Portfolio!$M$1=1,CONCATENATE(A1536,C1536),CONCATENATE(B1536,C1536))</f>
        <v>MAP GROUP202512</v>
      </c>
      <c r="F1536">
        <v>1</v>
      </c>
      <c r="G1536">
        <v>31</v>
      </c>
      <c r="H1536">
        <v>60</v>
      </c>
      <c r="I1536">
        <v>0</v>
      </c>
      <c r="J1536">
        <v>0</v>
      </c>
      <c r="K1536">
        <v>533800</v>
      </c>
      <c r="L1536">
        <v>26256682</v>
      </c>
      <c r="M1536">
        <v>49927790</v>
      </c>
      <c r="N1536">
        <v>0</v>
      </c>
      <c r="O1536">
        <v>0</v>
      </c>
      <c r="P1536">
        <v>801</v>
      </c>
      <c r="Q1536">
        <v>262567</v>
      </c>
      <c r="R1536">
        <v>649061</v>
      </c>
      <c r="S1536">
        <v>0</v>
      </c>
      <c r="T1536">
        <v>0</v>
      </c>
    </row>
    <row r="1537" spans="1:20" x14ac:dyDescent="0.25">
      <c r="A1537" t="s">
        <v>107</v>
      </c>
      <c r="B1537" t="s">
        <v>158</v>
      </c>
      <c r="C1537">
        <v>202512</v>
      </c>
      <c r="D1537" s="47" t="str">
        <f>MID(C1537,1,4)</f>
        <v>2025</v>
      </c>
      <c r="E1537" t="str">
        <f>IF(Portfolio!$M$1=1,CONCATENATE(A1537,C1537),CONCATENATE(B1537,C1537))</f>
        <v>MAP GROUP202512</v>
      </c>
      <c r="F1537">
        <v>1</v>
      </c>
      <c r="G1537">
        <v>6</v>
      </c>
      <c r="H1537">
        <v>8</v>
      </c>
      <c r="I1537">
        <v>0</v>
      </c>
      <c r="J1537">
        <v>0</v>
      </c>
      <c r="K1537">
        <v>231500</v>
      </c>
      <c r="L1537">
        <v>1279795</v>
      </c>
      <c r="M1537">
        <v>2067500</v>
      </c>
      <c r="N1537">
        <v>0</v>
      </c>
      <c r="O1537">
        <v>0</v>
      </c>
      <c r="P1537">
        <v>347</v>
      </c>
      <c r="Q1537">
        <v>12798</v>
      </c>
      <c r="R1537">
        <v>26878</v>
      </c>
      <c r="S1537">
        <v>0</v>
      </c>
      <c r="T1537">
        <v>0</v>
      </c>
    </row>
    <row r="1538" spans="1:20" x14ac:dyDescent="0.25">
      <c r="A1538" t="s">
        <v>107</v>
      </c>
      <c r="B1538" t="s">
        <v>159</v>
      </c>
      <c r="C1538">
        <v>202512</v>
      </c>
      <c r="D1538" s="47" t="str">
        <f>MID(C1538,1,4)</f>
        <v>2025</v>
      </c>
      <c r="E1538" t="str">
        <f>IF(Portfolio!$M$1=1,CONCATENATE(A1538,C1538),CONCATENATE(B1538,C1538))</f>
        <v>MAP GROUP202512</v>
      </c>
      <c r="F1538">
        <v>14</v>
      </c>
      <c r="G1538">
        <v>142</v>
      </c>
      <c r="H1538">
        <v>282</v>
      </c>
      <c r="I1538">
        <v>0</v>
      </c>
      <c r="J1538">
        <v>0</v>
      </c>
      <c r="K1538">
        <v>37251200</v>
      </c>
      <c r="L1538">
        <v>345923969</v>
      </c>
      <c r="M1538">
        <v>695596070</v>
      </c>
      <c r="N1538">
        <v>0</v>
      </c>
      <c r="O1538">
        <v>0</v>
      </c>
      <c r="P1538">
        <v>55877</v>
      </c>
      <c r="Q1538">
        <v>3459240</v>
      </c>
      <c r="R1538">
        <v>9042749</v>
      </c>
      <c r="S1538">
        <v>0</v>
      </c>
      <c r="T1538">
        <v>0</v>
      </c>
    </row>
    <row r="1539" spans="1:20" x14ac:dyDescent="0.25">
      <c r="A1539" t="s">
        <v>107</v>
      </c>
      <c r="B1539" t="s">
        <v>160</v>
      </c>
      <c r="C1539">
        <v>202512</v>
      </c>
      <c r="D1539" s="47" t="str">
        <f>MID(C1539,1,4)</f>
        <v>2025</v>
      </c>
      <c r="E1539" t="str">
        <f>IF(Portfolio!$M$1=1,CONCATENATE(A1539,C1539),CONCATENATE(B1539,C1539))</f>
        <v>MAP GROUP202512</v>
      </c>
      <c r="F1539">
        <v>1</v>
      </c>
      <c r="G1539">
        <v>15</v>
      </c>
      <c r="H1539">
        <v>58</v>
      </c>
      <c r="I1539">
        <v>0</v>
      </c>
      <c r="J1539">
        <v>0</v>
      </c>
      <c r="K1539">
        <v>2774700</v>
      </c>
      <c r="L1539">
        <v>30400160</v>
      </c>
      <c r="M1539">
        <v>108769520</v>
      </c>
      <c r="N1539">
        <v>0</v>
      </c>
      <c r="O1539">
        <v>0</v>
      </c>
      <c r="P1539">
        <v>4162</v>
      </c>
      <c r="Q1539">
        <v>304002</v>
      </c>
      <c r="R1539">
        <v>1414004</v>
      </c>
      <c r="S1539">
        <v>0</v>
      </c>
      <c r="T1539">
        <v>0</v>
      </c>
    </row>
    <row r="1540" spans="1:20" x14ac:dyDescent="0.25">
      <c r="A1540" t="s">
        <v>107</v>
      </c>
      <c r="B1540" t="s">
        <v>161</v>
      </c>
      <c r="C1540">
        <v>202512</v>
      </c>
      <c r="D1540" s="47" t="str">
        <f>MID(C1540,1,4)</f>
        <v>2025</v>
      </c>
      <c r="E1540" t="str">
        <f>IF(Portfolio!$M$1=1,CONCATENATE(A1540,C1540),CONCATENATE(B1540,C1540))</f>
        <v>MAP GROUP202512</v>
      </c>
      <c r="F1540">
        <v>7</v>
      </c>
      <c r="G1540">
        <v>74</v>
      </c>
      <c r="H1540">
        <v>132</v>
      </c>
      <c r="I1540">
        <v>0</v>
      </c>
      <c r="J1540">
        <v>0</v>
      </c>
      <c r="K1540">
        <v>9700900</v>
      </c>
      <c r="L1540">
        <v>160866796</v>
      </c>
      <c r="M1540">
        <v>246468680</v>
      </c>
      <c r="N1540">
        <v>0</v>
      </c>
      <c r="O1540">
        <v>0</v>
      </c>
      <c r="P1540">
        <v>14551</v>
      </c>
      <c r="Q1540">
        <v>1608668</v>
      </c>
      <c r="R1540">
        <v>3204093</v>
      </c>
      <c r="S1540">
        <v>0</v>
      </c>
      <c r="T1540">
        <v>0</v>
      </c>
    </row>
    <row r="1541" spans="1:20" x14ac:dyDescent="0.25">
      <c r="A1541" t="s">
        <v>107</v>
      </c>
      <c r="B1541" t="s">
        <v>162</v>
      </c>
      <c r="C1541">
        <v>202512</v>
      </c>
      <c r="D1541" s="47" t="str">
        <f>MID(C1541,1,4)</f>
        <v>2025</v>
      </c>
      <c r="E1541" t="str">
        <f>IF(Portfolio!$M$1=1,CONCATENATE(A1541,C1541),CONCATENATE(B1541,C1541))</f>
        <v>MAP GROUP202512</v>
      </c>
      <c r="F1541">
        <v>33</v>
      </c>
      <c r="G1541">
        <v>484</v>
      </c>
      <c r="H1541">
        <v>313</v>
      </c>
      <c r="I1541">
        <v>0</v>
      </c>
      <c r="J1541">
        <v>0</v>
      </c>
      <c r="K1541">
        <v>33271320</v>
      </c>
      <c r="L1541">
        <v>458394788</v>
      </c>
      <c r="M1541">
        <v>307490429</v>
      </c>
      <c r="N1541">
        <v>0</v>
      </c>
      <c r="O1541">
        <v>0</v>
      </c>
      <c r="P1541">
        <v>49907</v>
      </c>
      <c r="Q1541">
        <v>4568908</v>
      </c>
      <c r="R1541">
        <v>3997376</v>
      </c>
      <c r="S1541">
        <v>0</v>
      </c>
      <c r="T1541">
        <v>0</v>
      </c>
    </row>
    <row r="1542" spans="1:20" x14ac:dyDescent="0.25">
      <c r="A1542" t="s">
        <v>107</v>
      </c>
      <c r="B1542" t="s">
        <v>163</v>
      </c>
      <c r="C1542">
        <v>202512</v>
      </c>
      <c r="D1542" s="47" t="str">
        <f>MID(C1542,1,4)</f>
        <v>2025</v>
      </c>
      <c r="E1542" t="str">
        <f>IF(Portfolio!$M$1=1,CONCATENATE(A1542,C1542),CONCATENATE(B1542,C1542))</f>
        <v>MAP GROUP202512</v>
      </c>
      <c r="F1542">
        <v>109</v>
      </c>
      <c r="G1542">
        <v>1229</v>
      </c>
      <c r="H1542">
        <v>967</v>
      </c>
      <c r="I1542">
        <v>0</v>
      </c>
      <c r="J1542">
        <v>0</v>
      </c>
      <c r="K1542">
        <v>151629985</v>
      </c>
      <c r="L1542">
        <v>1749865756</v>
      </c>
      <c r="M1542">
        <v>1336370621</v>
      </c>
      <c r="N1542">
        <v>0</v>
      </c>
      <c r="O1542">
        <v>0</v>
      </c>
      <c r="P1542">
        <v>227445</v>
      </c>
      <c r="Q1542">
        <v>17498658</v>
      </c>
      <c r="R1542">
        <v>17372818</v>
      </c>
      <c r="S1542">
        <v>0</v>
      </c>
      <c r="T1542">
        <v>0</v>
      </c>
    </row>
    <row r="1543" spans="1:20" x14ac:dyDescent="0.25">
      <c r="A1543" t="s">
        <v>107</v>
      </c>
      <c r="B1543" t="s">
        <v>164</v>
      </c>
      <c r="C1543">
        <v>202512</v>
      </c>
      <c r="D1543" s="47" t="str">
        <f>MID(C1543,1,4)</f>
        <v>2025</v>
      </c>
      <c r="E1543" t="str">
        <f>IF(Portfolio!$M$1=1,CONCATENATE(A1543,C1543),CONCATENATE(B1543,C1543))</f>
        <v>MAP GROUP202512</v>
      </c>
      <c r="F1543">
        <v>1</v>
      </c>
      <c r="G1543">
        <v>47</v>
      </c>
      <c r="H1543">
        <v>85</v>
      </c>
      <c r="I1543">
        <v>0</v>
      </c>
      <c r="J1543">
        <v>0</v>
      </c>
      <c r="K1543">
        <v>5439000</v>
      </c>
      <c r="L1543">
        <v>639937550</v>
      </c>
      <c r="M1543">
        <v>974842250</v>
      </c>
      <c r="N1543">
        <v>0</v>
      </c>
      <c r="O1543">
        <v>0</v>
      </c>
      <c r="P1543">
        <v>8158</v>
      </c>
      <c r="Q1543">
        <v>6399376</v>
      </c>
      <c r="R1543">
        <v>12672949</v>
      </c>
      <c r="S1543">
        <v>0</v>
      </c>
      <c r="T1543">
        <v>0</v>
      </c>
    </row>
    <row r="1544" spans="1:20" x14ac:dyDescent="0.25">
      <c r="A1544" t="s">
        <v>107</v>
      </c>
      <c r="B1544" t="s">
        <v>165</v>
      </c>
      <c r="C1544">
        <v>202512</v>
      </c>
      <c r="D1544" s="47" t="str">
        <f>MID(C1544,1,4)</f>
        <v>2025</v>
      </c>
      <c r="E1544" t="str">
        <f>IF(Portfolio!$M$1=1,CONCATENATE(A1544,C1544),CONCATENATE(B1544,C1544))</f>
        <v>MAP GROUP202512</v>
      </c>
      <c r="F1544">
        <v>0</v>
      </c>
      <c r="G1544">
        <v>8</v>
      </c>
      <c r="H1544">
        <v>4</v>
      </c>
      <c r="I1544">
        <v>0</v>
      </c>
      <c r="J1544">
        <v>0</v>
      </c>
      <c r="K1544">
        <v>0</v>
      </c>
      <c r="L1544">
        <v>53245400</v>
      </c>
      <c r="M1544">
        <v>30113250</v>
      </c>
      <c r="N1544">
        <v>0</v>
      </c>
      <c r="O1544">
        <v>0</v>
      </c>
      <c r="P1544">
        <v>0</v>
      </c>
      <c r="Q1544">
        <v>532454</v>
      </c>
      <c r="R1544">
        <v>391472</v>
      </c>
      <c r="S1544">
        <v>0</v>
      </c>
      <c r="T1544">
        <v>0</v>
      </c>
    </row>
    <row r="1545" spans="1:20" x14ac:dyDescent="0.25">
      <c r="A1545" t="s">
        <v>107</v>
      </c>
      <c r="B1545" t="s">
        <v>166</v>
      </c>
      <c r="C1545">
        <v>202512</v>
      </c>
      <c r="D1545" s="47" t="str">
        <f>MID(C1545,1,4)</f>
        <v>2025</v>
      </c>
      <c r="E1545" t="str">
        <f>IF(Portfolio!$M$1=1,CONCATENATE(A1545,C1545),CONCATENATE(B1545,C1545))</f>
        <v>MAP GROUP202512</v>
      </c>
      <c r="F1545">
        <v>2</v>
      </c>
      <c r="G1545">
        <v>63</v>
      </c>
      <c r="H1545">
        <v>68</v>
      </c>
      <c r="I1545">
        <v>0</v>
      </c>
      <c r="J1545">
        <v>0</v>
      </c>
      <c r="K1545">
        <v>3362300</v>
      </c>
      <c r="L1545">
        <v>174939600</v>
      </c>
      <c r="M1545">
        <v>171695650</v>
      </c>
      <c r="N1545">
        <v>0</v>
      </c>
      <c r="O1545">
        <v>0</v>
      </c>
      <c r="P1545">
        <v>5043</v>
      </c>
      <c r="Q1545">
        <v>1749396</v>
      </c>
      <c r="R1545">
        <v>2232043</v>
      </c>
      <c r="S1545">
        <v>0</v>
      </c>
      <c r="T1545">
        <v>0</v>
      </c>
    </row>
    <row r="1546" spans="1:20" x14ac:dyDescent="0.25">
      <c r="A1546" t="s">
        <v>107</v>
      </c>
      <c r="B1546" t="s">
        <v>167</v>
      </c>
      <c r="C1546">
        <v>202512</v>
      </c>
      <c r="D1546" s="47" t="str">
        <f>MID(C1546,1,4)</f>
        <v>2025</v>
      </c>
      <c r="E1546" t="str">
        <f>IF(Portfolio!$M$1=1,CONCATENATE(A1546,C1546),CONCATENATE(B1546,C1546))</f>
        <v>MAP GROUP202512</v>
      </c>
      <c r="F1546">
        <v>6</v>
      </c>
      <c r="G1546">
        <v>55</v>
      </c>
      <c r="H1546">
        <v>131</v>
      </c>
      <c r="I1546">
        <v>0</v>
      </c>
      <c r="J1546">
        <v>0</v>
      </c>
      <c r="K1546">
        <v>7742800</v>
      </c>
      <c r="L1546">
        <v>75100560</v>
      </c>
      <c r="M1546">
        <v>202140325</v>
      </c>
      <c r="N1546">
        <v>0</v>
      </c>
      <c r="O1546">
        <v>0</v>
      </c>
      <c r="P1546">
        <v>11614</v>
      </c>
      <c r="Q1546">
        <v>751006</v>
      </c>
      <c r="R1546">
        <v>2627824</v>
      </c>
      <c r="S1546">
        <v>0</v>
      </c>
      <c r="T1546">
        <v>0</v>
      </c>
    </row>
    <row r="1547" spans="1:20" x14ac:dyDescent="0.25">
      <c r="A1547" t="s">
        <v>107</v>
      </c>
      <c r="B1547" t="s">
        <v>168</v>
      </c>
      <c r="C1547">
        <v>202512</v>
      </c>
      <c r="D1547" s="47" t="str">
        <f>MID(C1547,1,4)</f>
        <v>2025</v>
      </c>
      <c r="E1547" t="str">
        <f>IF(Portfolio!$M$1=1,CONCATENATE(A1547,C1547),CONCATENATE(B1547,C1547))</f>
        <v>MAP GROUP202512</v>
      </c>
      <c r="F1547">
        <v>7</v>
      </c>
      <c r="G1547">
        <v>233</v>
      </c>
      <c r="H1547">
        <v>415</v>
      </c>
      <c r="I1547">
        <v>0</v>
      </c>
      <c r="J1547">
        <v>0</v>
      </c>
      <c r="K1547">
        <v>1050000</v>
      </c>
      <c r="L1547">
        <v>50805000</v>
      </c>
      <c r="M1547">
        <v>114553750</v>
      </c>
      <c r="N1547">
        <v>0</v>
      </c>
      <c r="O1547">
        <v>0</v>
      </c>
      <c r="P1547">
        <v>1575</v>
      </c>
      <c r="Q1547">
        <v>508050</v>
      </c>
      <c r="R1547">
        <v>1489199</v>
      </c>
      <c r="S1547">
        <v>0</v>
      </c>
      <c r="T1547">
        <v>0</v>
      </c>
    </row>
    <row r="1548" spans="1:20" x14ac:dyDescent="0.25">
      <c r="A1548" t="s">
        <v>107</v>
      </c>
      <c r="B1548" t="s">
        <v>169</v>
      </c>
      <c r="C1548">
        <v>202512</v>
      </c>
      <c r="D1548" s="47" t="str">
        <f>MID(C1548,1,4)</f>
        <v>2025</v>
      </c>
      <c r="E1548" t="str">
        <f>IF(Portfolio!$M$1=1,CONCATENATE(A1548,C1548),CONCATENATE(B1548,C1548))</f>
        <v>MAP GROUP202512</v>
      </c>
      <c r="F1548">
        <v>111</v>
      </c>
      <c r="G1548">
        <v>583</v>
      </c>
      <c r="H1548">
        <v>1443</v>
      </c>
      <c r="I1548">
        <v>0</v>
      </c>
      <c r="J1548">
        <v>0</v>
      </c>
      <c r="K1548">
        <v>26051419</v>
      </c>
      <c r="L1548">
        <v>134209484</v>
      </c>
      <c r="M1548">
        <v>503808964</v>
      </c>
      <c r="N1548">
        <v>0</v>
      </c>
      <c r="O1548">
        <v>0</v>
      </c>
      <c r="P1548">
        <v>39077</v>
      </c>
      <c r="Q1548">
        <v>1334803</v>
      </c>
      <c r="R1548">
        <v>6549513</v>
      </c>
      <c r="S1548">
        <v>0</v>
      </c>
      <c r="T1548">
        <v>0</v>
      </c>
    </row>
    <row r="1549" spans="1:20" x14ac:dyDescent="0.25">
      <c r="A1549" t="s">
        <v>107</v>
      </c>
      <c r="B1549" t="s">
        <v>170</v>
      </c>
      <c r="C1549">
        <v>202512</v>
      </c>
      <c r="D1549" s="47" t="str">
        <f>MID(C1549,1,4)</f>
        <v>2025</v>
      </c>
      <c r="E1549" t="str">
        <f>IF(Portfolio!$M$1=1,CONCATENATE(A1549,C1549),CONCATENATE(B1549,C1549))</f>
        <v>MAP GROUP202512</v>
      </c>
      <c r="F1549">
        <v>116</v>
      </c>
      <c r="G1549">
        <v>1347</v>
      </c>
      <c r="H1549">
        <v>1231</v>
      </c>
      <c r="I1549">
        <v>0</v>
      </c>
      <c r="J1549">
        <v>0</v>
      </c>
      <c r="K1549">
        <v>218089380</v>
      </c>
      <c r="L1549">
        <v>2288425367</v>
      </c>
      <c r="M1549">
        <v>2154717674</v>
      </c>
      <c r="N1549">
        <v>0</v>
      </c>
      <c r="O1549">
        <v>0</v>
      </c>
      <c r="P1549">
        <v>327134</v>
      </c>
      <c r="Q1549">
        <v>22877204</v>
      </c>
      <c r="R1549">
        <v>28011330</v>
      </c>
      <c r="S1549">
        <v>0</v>
      </c>
      <c r="T1549">
        <v>0</v>
      </c>
    </row>
    <row r="1550" spans="1:20" x14ac:dyDescent="0.25">
      <c r="A1550" t="s">
        <v>107</v>
      </c>
      <c r="B1550" t="s">
        <v>171</v>
      </c>
      <c r="C1550">
        <v>202512</v>
      </c>
      <c r="D1550" s="47" t="str">
        <f>MID(C1550,1,4)</f>
        <v>2025</v>
      </c>
      <c r="E1550" t="str">
        <f>IF(Portfolio!$M$1=1,CONCATENATE(A1550,C1550),CONCATENATE(B1550,C1550))</f>
        <v>MAP GROUP202512</v>
      </c>
      <c r="F1550">
        <v>1</v>
      </c>
      <c r="G1550">
        <v>5</v>
      </c>
      <c r="H1550">
        <v>5</v>
      </c>
      <c r="I1550">
        <v>0</v>
      </c>
      <c r="J1550">
        <v>0</v>
      </c>
      <c r="K1550">
        <v>196300</v>
      </c>
      <c r="L1550">
        <v>2476000</v>
      </c>
      <c r="M1550">
        <v>3883000</v>
      </c>
      <c r="N1550">
        <v>0</v>
      </c>
      <c r="O1550">
        <v>0</v>
      </c>
      <c r="P1550">
        <v>294</v>
      </c>
      <c r="Q1550">
        <v>24760</v>
      </c>
      <c r="R1550">
        <v>50479</v>
      </c>
      <c r="S1550">
        <v>0</v>
      </c>
      <c r="T1550">
        <v>0</v>
      </c>
    </row>
    <row r="1551" spans="1:20" x14ac:dyDescent="0.25">
      <c r="A1551" t="s">
        <v>107</v>
      </c>
      <c r="B1551" t="s">
        <v>172</v>
      </c>
      <c r="C1551">
        <v>202512</v>
      </c>
      <c r="D1551" s="47" t="str">
        <f>MID(C1551,1,4)</f>
        <v>2025</v>
      </c>
      <c r="E1551" t="str">
        <f>IF(Portfolio!$M$1=1,CONCATENATE(A1551,C1551),CONCATENATE(B1551,C1551))</f>
        <v>MAP GROUP202512</v>
      </c>
      <c r="F1551">
        <v>4</v>
      </c>
      <c r="G1551">
        <v>49</v>
      </c>
      <c r="H1551">
        <v>111</v>
      </c>
      <c r="I1551">
        <v>0</v>
      </c>
      <c r="J1551">
        <v>0</v>
      </c>
      <c r="K1551">
        <v>4713400</v>
      </c>
      <c r="L1551">
        <v>78858600</v>
      </c>
      <c r="M1551">
        <v>202962060</v>
      </c>
      <c r="N1551">
        <v>0</v>
      </c>
      <c r="O1551">
        <v>0</v>
      </c>
      <c r="P1551">
        <v>7070</v>
      </c>
      <c r="Q1551">
        <v>760591</v>
      </c>
      <c r="R1551">
        <v>2638507</v>
      </c>
      <c r="S1551">
        <v>0</v>
      </c>
      <c r="T1551">
        <v>0</v>
      </c>
    </row>
    <row r="1552" spans="1:20" x14ac:dyDescent="0.25">
      <c r="A1552" t="s">
        <v>107</v>
      </c>
      <c r="B1552" t="s">
        <v>173</v>
      </c>
      <c r="C1552">
        <v>202512</v>
      </c>
      <c r="D1552" s="47" t="str">
        <f>MID(C1552,1,4)</f>
        <v>2025</v>
      </c>
      <c r="E1552" t="str">
        <f>IF(Portfolio!$M$1=1,CONCATENATE(A1552,C1552),CONCATENATE(B1552,C1552))</f>
        <v>MAP GROUP202512</v>
      </c>
      <c r="F1552">
        <v>0</v>
      </c>
      <c r="G1552">
        <v>1</v>
      </c>
      <c r="H1552">
        <v>4</v>
      </c>
      <c r="I1552">
        <v>0</v>
      </c>
      <c r="J1552">
        <v>0</v>
      </c>
      <c r="K1552">
        <v>0</v>
      </c>
      <c r="L1552">
        <v>1608960</v>
      </c>
      <c r="M1552">
        <v>4077900</v>
      </c>
      <c r="N1552">
        <v>0</v>
      </c>
      <c r="O1552">
        <v>0</v>
      </c>
      <c r="P1552">
        <v>0</v>
      </c>
      <c r="Q1552">
        <v>16090</v>
      </c>
      <c r="R1552">
        <v>53013</v>
      </c>
      <c r="S1552">
        <v>0</v>
      </c>
      <c r="T1552">
        <v>0</v>
      </c>
    </row>
    <row r="1553" spans="1:20" x14ac:dyDescent="0.25">
      <c r="A1553" t="s">
        <v>107</v>
      </c>
      <c r="B1553" t="s">
        <v>174</v>
      </c>
      <c r="C1553">
        <v>202512</v>
      </c>
      <c r="D1553" s="47" t="str">
        <f>MID(C1553,1,4)</f>
        <v>2025</v>
      </c>
      <c r="E1553" t="str">
        <f>IF(Portfolio!$M$1=1,CONCATENATE(A1553,C1553),CONCATENATE(B1553,C1553))</f>
        <v>MAP GROUP202512</v>
      </c>
      <c r="F1553">
        <v>10</v>
      </c>
      <c r="G1553">
        <v>91</v>
      </c>
      <c r="H1553">
        <v>243</v>
      </c>
      <c r="I1553">
        <v>0</v>
      </c>
      <c r="J1553">
        <v>0</v>
      </c>
      <c r="K1553">
        <v>30372300</v>
      </c>
      <c r="L1553">
        <v>211847886</v>
      </c>
      <c r="M1553">
        <v>573806910</v>
      </c>
      <c r="N1553">
        <v>0</v>
      </c>
      <c r="O1553">
        <v>0</v>
      </c>
      <c r="P1553">
        <v>45558</v>
      </c>
      <c r="Q1553">
        <v>2118479</v>
      </c>
      <c r="R1553">
        <v>7459490</v>
      </c>
      <c r="S1553">
        <v>0</v>
      </c>
      <c r="T1553">
        <v>0</v>
      </c>
    </row>
    <row r="1554" spans="1:20" x14ac:dyDescent="0.25">
      <c r="A1554" t="s">
        <v>107</v>
      </c>
      <c r="B1554" t="s">
        <v>175</v>
      </c>
      <c r="C1554">
        <v>202512</v>
      </c>
      <c r="D1554" s="47" t="str">
        <f>MID(C1554,1,4)</f>
        <v>2025</v>
      </c>
      <c r="E1554" t="str">
        <f>IF(Portfolio!$M$1=1,CONCATENATE(A1554,C1554),CONCATENATE(B1554,C1554))</f>
        <v>MAP GROUP202512</v>
      </c>
      <c r="F1554">
        <v>0</v>
      </c>
      <c r="G1554">
        <v>1</v>
      </c>
      <c r="H1554">
        <v>2</v>
      </c>
      <c r="I1554">
        <v>0</v>
      </c>
      <c r="J1554">
        <v>0</v>
      </c>
      <c r="K1554">
        <v>0</v>
      </c>
      <c r="L1554">
        <v>1265800</v>
      </c>
      <c r="M1554">
        <v>2981600</v>
      </c>
      <c r="N1554">
        <v>0</v>
      </c>
      <c r="O1554">
        <v>0</v>
      </c>
      <c r="P1554">
        <v>0</v>
      </c>
      <c r="Q1554">
        <v>12658</v>
      </c>
      <c r="R1554">
        <v>38761</v>
      </c>
      <c r="S1554">
        <v>0</v>
      </c>
      <c r="T1554">
        <v>0</v>
      </c>
    </row>
    <row r="1555" spans="1:20" x14ac:dyDescent="0.25">
      <c r="A1555" t="s">
        <v>107</v>
      </c>
      <c r="B1555" t="s">
        <v>176</v>
      </c>
      <c r="C1555">
        <v>202512</v>
      </c>
      <c r="D1555" s="47" t="str">
        <f>MID(C1555,1,4)</f>
        <v>2025</v>
      </c>
      <c r="E1555" t="str">
        <f>IF(Portfolio!$M$1=1,CONCATENATE(A1555,C1555),CONCATENATE(B1555,C1555))</f>
        <v>MAP GROUP202512</v>
      </c>
      <c r="F1555">
        <v>138</v>
      </c>
      <c r="G1555">
        <v>1874</v>
      </c>
      <c r="H1555">
        <v>2514</v>
      </c>
      <c r="I1555">
        <v>0</v>
      </c>
      <c r="J1555">
        <v>0</v>
      </c>
      <c r="K1555">
        <v>65516279</v>
      </c>
      <c r="L1555">
        <v>1175309811</v>
      </c>
      <c r="M1555">
        <v>1720246189</v>
      </c>
      <c r="N1555">
        <v>0</v>
      </c>
      <c r="O1555">
        <v>0</v>
      </c>
      <c r="P1555">
        <v>98274</v>
      </c>
      <c r="Q1555">
        <v>11753098</v>
      </c>
      <c r="R1555">
        <v>22363200</v>
      </c>
      <c r="S1555">
        <v>0</v>
      </c>
      <c r="T1555">
        <v>0</v>
      </c>
    </row>
    <row r="1556" spans="1:20" x14ac:dyDescent="0.25">
      <c r="A1556" t="s">
        <v>107</v>
      </c>
      <c r="B1556" t="s">
        <v>177</v>
      </c>
      <c r="C1556">
        <v>202512</v>
      </c>
      <c r="D1556" s="47" t="str">
        <f>MID(C1556,1,4)</f>
        <v>2025</v>
      </c>
      <c r="E1556" t="str">
        <f>IF(Portfolio!$M$1=1,CONCATENATE(A1556,C1556),CONCATENATE(B1556,C1556))</f>
        <v>MAP GROUP202512</v>
      </c>
      <c r="F1556">
        <v>2</v>
      </c>
      <c r="G1556">
        <v>37</v>
      </c>
      <c r="H1556">
        <v>123</v>
      </c>
      <c r="I1556">
        <v>0</v>
      </c>
      <c r="J1556">
        <v>0</v>
      </c>
      <c r="K1556">
        <v>3704400</v>
      </c>
      <c r="L1556">
        <v>81937500</v>
      </c>
      <c r="M1556">
        <v>290934048</v>
      </c>
      <c r="N1556">
        <v>0</v>
      </c>
      <c r="O1556">
        <v>0</v>
      </c>
      <c r="P1556">
        <v>5557</v>
      </c>
      <c r="Q1556">
        <v>819375</v>
      </c>
      <c r="R1556">
        <v>3782143</v>
      </c>
      <c r="S1556">
        <v>0</v>
      </c>
      <c r="T1556">
        <v>0</v>
      </c>
    </row>
    <row r="1557" spans="1:20" x14ac:dyDescent="0.25">
      <c r="A1557" t="s">
        <v>107</v>
      </c>
      <c r="B1557" t="s">
        <v>178</v>
      </c>
      <c r="C1557">
        <v>202512</v>
      </c>
      <c r="D1557" s="47" t="str">
        <f>MID(C1557,1,4)</f>
        <v>2025</v>
      </c>
      <c r="E1557" t="str">
        <f>IF(Portfolio!$M$1=1,CONCATENATE(A1557,C1557),CONCATENATE(B1557,C1557))</f>
        <v>MAP GROUP202512</v>
      </c>
      <c r="F1557">
        <v>19</v>
      </c>
      <c r="G1557">
        <v>406</v>
      </c>
      <c r="H1557">
        <v>658</v>
      </c>
      <c r="I1557">
        <v>36</v>
      </c>
      <c r="J1557">
        <v>1590</v>
      </c>
      <c r="K1557">
        <v>12788000</v>
      </c>
      <c r="L1557">
        <v>293885534</v>
      </c>
      <c r="M1557">
        <v>927937007</v>
      </c>
      <c r="N1557">
        <v>1202900</v>
      </c>
      <c r="O1557">
        <v>125224135</v>
      </c>
      <c r="P1557">
        <v>19182</v>
      </c>
      <c r="Q1557">
        <v>2927815</v>
      </c>
      <c r="R1557">
        <v>12063181</v>
      </c>
      <c r="S1557">
        <v>5113</v>
      </c>
      <c r="T1557">
        <v>824744</v>
      </c>
    </row>
    <row r="1558" spans="1:20" x14ac:dyDescent="0.25">
      <c r="A1558" t="s">
        <v>107</v>
      </c>
      <c r="B1558" t="s">
        <v>179</v>
      </c>
      <c r="C1558">
        <v>202512</v>
      </c>
      <c r="D1558" s="47" t="str">
        <f>MID(C1558,1,4)</f>
        <v>2025</v>
      </c>
      <c r="E1558" t="str">
        <f>IF(Portfolio!$M$1=1,CONCATENATE(A1558,C1558),CONCATENATE(B1558,C1558))</f>
        <v>MAP GROUP202512</v>
      </c>
      <c r="F1558">
        <v>2</v>
      </c>
      <c r="G1558">
        <v>13</v>
      </c>
      <c r="H1558">
        <v>63</v>
      </c>
      <c r="I1558">
        <v>0</v>
      </c>
      <c r="J1558">
        <v>0</v>
      </c>
      <c r="K1558">
        <v>2450200</v>
      </c>
      <c r="L1558">
        <v>12478300</v>
      </c>
      <c r="M1558">
        <v>58227560</v>
      </c>
      <c r="N1558">
        <v>0</v>
      </c>
      <c r="O1558">
        <v>0</v>
      </c>
      <c r="P1558">
        <v>3675</v>
      </c>
      <c r="Q1558">
        <v>124783</v>
      </c>
      <c r="R1558">
        <v>756958</v>
      </c>
      <c r="S1558">
        <v>0</v>
      </c>
      <c r="T1558">
        <v>0</v>
      </c>
    </row>
    <row r="1559" spans="1:20" x14ac:dyDescent="0.25">
      <c r="A1559" t="s">
        <v>107</v>
      </c>
      <c r="B1559" t="s">
        <v>180</v>
      </c>
      <c r="C1559">
        <v>202512</v>
      </c>
      <c r="D1559" s="47" t="str">
        <f>MID(C1559,1,4)</f>
        <v>2025</v>
      </c>
      <c r="E1559" t="str">
        <f>IF(Portfolio!$M$1=1,CONCATENATE(A1559,C1559),CONCATENATE(B1559,C1559))</f>
        <v>MAP GROUP202512</v>
      </c>
      <c r="F1559">
        <v>4</v>
      </c>
      <c r="G1559">
        <v>18</v>
      </c>
      <c r="H1559">
        <v>53</v>
      </c>
      <c r="I1559">
        <v>0</v>
      </c>
      <c r="J1559">
        <v>0</v>
      </c>
      <c r="K1559">
        <v>1057400</v>
      </c>
      <c r="L1559">
        <v>4010041</v>
      </c>
      <c r="M1559">
        <v>28348399</v>
      </c>
      <c r="N1559">
        <v>0</v>
      </c>
      <c r="O1559">
        <v>0</v>
      </c>
      <c r="P1559">
        <v>1586</v>
      </c>
      <c r="Q1559">
        <v>40100</v>
      </c>
      <c r="R1559">
        <v>368529</v>
      </c>
      <c r="S1559">
        <v>0</v>
      </c>
      <c r="T1559">
        <v>0</v>
      </c>
    </row>
    <row r="1560" spans="1:20" x14ac:dyDescent="0.25">
      <c r="A1560" t="s">
        <v>107</v>
      </c>
      <c r="B1560" t="s">
        <v>181</v>
      </c>
      <c r="C1560">
        <v>202512</v>
      </c>
      <c r="D1560" s="47" t="str">
        <f>MID(C1560,1,4)</f>
        <v>2025</v>
      </c>
      <c r="E1560" t="str">
        <f>IF(Portfolio!$M$1=1,CONCATENATE(A1560,C1560),CONCATENATE(B1560,C1560))</f>
        <v>MAP GROUP202512</v>
      </c>
      <c r="F1560">
        <v>4</v>
      </c>
      <c r="G1560">
        <v>1</v>
      </c>
      <c r="H1560">
        <v>7</v>
      </c>
      <c r="I1560">
        <v>0</v>
      </c>
      <c r="J1560">
        <v>0</v>
      </c>
      <c r="K1560">
        <v>43201</v>
      </c>
      <c r="L1560">
        <v>10300</v>
      </c>
      <c r="M1560">
        <v>273339</v>
      </c>
      <c r="N1560">
        <v>0</v>
      </c>
      <c r="O1560">
        <v>0</v>
      </c>
      <c r="P1560">
        <v>65</v>
      </c>
      <c r="Q1560">
        <v>103</v>
      </c>
      <c r="R1560">
        <v>3553</v>
      </c>
      <c r="S1560">
        <v>0</v>
      </c>
      <c r="T1560">
        <v>0</v>
      </c>
    </row>
    <row r="1561" spans="1:20" x14ac:dyDescent="0.25">
      <c r="A1561" t="s">
        <v>107</v>
      </c>
      <c r="B1561" t="s">
        <v>182</v>
      </c>
      <c r="C1561">
        <v>202512</v>
      </c>
      <c r="D1561" s="47" t="str">
        <f>MID(C1561,1,4)</f>
        <v>2025</v>
      </c>
      <c r="E1561" t="str">
        <f>IF(Portfolio!$M$1=1,CONCATENATE(A1561,C1561),CONCATENATE(B1561,C1561))</f>
        <v>MAP GROUP202512</v>
      </c>
      <c r="F1561">
        <v>46</v>
      </c>
      <c r="G1561">
        <v>611</v>
      </c>
      <c r="H1561">
        <v>661</v>
      </c>
      <c r="I1561">
        <v>0</v>
      </c>
      <c r="J1561">
        <v>0</v>
      </c>
      <c r="K1561">
        <v>72576465</v>
      </c>
      <c r="L1561">
        <v>922383785</v>
      </c>
      <c r="M1561">
        <v>1011157700</v>
      </c>
      <c r="N1561">
        <v>0</v>
      </c>
      <c r="O1561">
        <v>0</v>
      </c>
      <c r="P1561">
        <v>108865</v>
      </c>
      <c r="Q1561">
        <v>9223838</v>
      </c>
      <c r="R1561">
        <v>13145050</v>
      </c>
      <c r="S1561">
        <v>0</v>
      </c>
      <c r="T1561">
        <v>0</v>
      </c>
    </row>
    <row r="1562" spans="1:20" x14ac:dyDescent="0.25">
      <c r="A1562" t="s">
        <v>107</v>
      </c>
      <c r="B1562" t="s">
        <v>183</v>
      </c>
      <c r="C1562">
        <v>202512</v>
      </c>
      <c r="D1562" s="47" t="str">
        <f>MID(C1562,1,4)</f>
        <v>2025</v>
      </c>
      <c r="E1562" t="str">
        <f>IF(Portfolio!$M$1=1,CONCATENATE(A1562,C1562),CONCATENATE(B1562,C1562))</f>
        <v>MAP GROUP202512</v>
      </c>
      <c r="F1562">
        <v>20</v>
      </c>
      <c r="G1562">
        <v>345</v>
      </c>
      <c r="H1562">
        <v>315</v>
      </c>
      <c r="I1562">
        <v>0</v>
      </c>
      <c r="J1562">
        <v>0</v>
      </c>
      <c r="K1562">
        <v>22344080</v>
      </c>
      <c r="L1562">
        <v>415188480</v>
      </c>
      <c r="M1562">
        <v>349904626</v>
      </c>
      <c r="N1562">
        <v>0</v>
      </c>
      <c r="O1562">
        <v>0</v>
      </c>
      <c r="P1562">
        <v>33516</v>
      </c>
      <c r="Q1562">
        <v>4110667</v>
      </c>
      <c r="R1562">
        <v>4548760</v>
      </c>
      <c r="S1562">
        <v>0</v>
      </c>
      <c r="T1562">
        <v>0</v>
      </c>
    </row>
    <row r="1563" spans="1:20" x14ac:dyDescent="0.25">
      <c r="A1563" t="s">
        <v>107</v>
      </c>
      <c r="B1563" t="s">
        <v>184</v>
      </c>
      <c r="C1563">
        <v>202512</v>
      </c>
      <c r="D1563" s="47" t="str">
        <f>MID(C1563,1,4)</f>
        <v>2025</v>
      </c>
      <c r="E1563" t="str">
        <f>IF(Portfolio!$M$1=1,CONCATENATE(A1563,C1563),CONCATENATE(B1563,C1563))</f>
        <v>MAP GROUP202512</v>
      </c>
      <c r="F1563">
        <v>0</v>
      </c>
      <c r="G1563">
        <v>1</v>
      </c>
      <c r="H1563">
        <v>3</v>
      </c>
      <c r="I1563">
        <v>0</v>
      </c>
      <c r="J1563">
        <v>0</v>
      </c>
      <c r="K1563">
        <v>0</v>
      </c>
      <c r="L1563">
        <v>457000</v>
      </c>
      <c r="M1563">
        <v>2243689</v>
      </c>
      <c r="N1563">
        <v>0</v>
      </c>
      <c r="O1563">
        <v>0</v>
      </c>
      <c r="P1563">
        <v>0</v>
      </c>
      <c r="Q1563">
        <v>4570</v>
      </c>
      <c r="R1563">
        <v>29168</v>
      </c>
      <c r="S1563">
        <v>0</v>
      </c>
      <c r="T1563">
        <v>0</v>
      </c>
    </row>
    <row r="1564" spans="1:20" x14ac:dyDescent="0.25">
      <c r="A1564" t="s">
        <v>107</v>
      </c>
      <c r="B1564" t="s">
        <v>185</v>
      </c>
      <c r="C1564">
        <v>202512</v>
      </c>
      <c r="D1564" s="47" t="str">
        <f>MID(C1564,1,4)</f>
        <v>2025</v>
      </c>
      <c r="E1564" t="str">
        <f>IF(Portfolio!$M$1=1,CONCATENATE(A1564,C1564),CONCATENATE(B1564,C1564))</f>
        <v>MAP GROUP202512</v>
      </c>
      <c r="F1564">
        <v>14</v>
      </c>
      <c r="G1564">
        <v>176</v>
      </c>
      <c r="H1564">
        <v>254</v>
      </c>
      <c r="I1564">
        <v>0</v>
      </c>
      <c r="J1564">
        <v>0</v>
      </c>
      <c r="K1564">
        <v>60810000</v>
      </c>
      <c r="L1564">
        <v>514211000</v>
      </c>
      <c r="M1564">
        <v>726635000</v>
      </c>
      <c r="N1564">
        <v>0</v>
      </c>
      <c r="O1564">
        <v>0</v>
      </c>
      <c r="P1564">
        <v>91215</v>
      </c>
      <c r="Q1564">
        <v>5142110</v>
      </c>
      <c r="R1564">
        <v>9446255</v>
      </c>
      <c r="S1564">
        <v>0</v>
      </c>
      <c r="T1564">
        <v>0</v>
      </c>
    </row>
    <row r="1565" spans="1:20" x14ac:dyDescent="0.25">
      <c r="A1565" t="s">
        <v>107</v>
      </c>
      <c r="B1565" t="s">
        <v>186</v>
      </c>
      <c r="C1565">
        <v>202512</v>
      </c>
      <c r="D1565" s="47" t="str">
        <f>MID(C1565,1,4)</f>
        <v>2025</v>
      </c>
      <c r="E1565" t="str">
        <f>IF(Portfolio!$M$1=1,CONCATENATE(A1565,C1565),CONCATENATE(B1565,C1565))</f>
        <v>MAP GROUP202512</v>
      </c>
      <c r="F1565">
        <v>160</v>
      </c>
      <c r="G1565">
        <v>1387</v>
      </c>
      <c r="H1565">
        <v>728</v>
      </c>
      <c r="I1565">
        <v>0</v>
      </c>
      <c r="J1565">
        <v>0</v>
      </c>
      <c r="K1565">
        <v>69496700</v>
      </c>
      <c r="L1565">
        <v>617827417</v>
      </c>
      <c r="M1565">
        <v>330849850</v>
      </c>
      <c r="N1565">
        <v>0</v>
      </c>
      <c r="O1565">
        <v>0</v>
      </c>
      <c r="P1565">
        <v>104245</v>
      </c>
      <c r="Q1565">
        <v>6157569</v>
      </c>
      <c r="R1565">
        <v>4301048</v>
      </c>
      <c r="S1565">
        <v>0</v>
      </c>
      <c r="T1565">
        <v>0</v>
      </c>
    </row>
    <row r="1566" spans="1:20" x14ac:dyDescent="0.25">
      <c r="A1566" t="s">
        <v>107</v>
      </c>
      <c r="B1566" t="s">
        <v>187</v>
      </c>
      <c r="C1566">
        <v>202512</v>
      </c>
      <c r="D1566" s="47" t="str">
        <f>MID(C1566,1,4)</f>
        <v>2025</v>
      </c>
      <c r="E1566" t="str">
        <f>IF(Portfolio!$M$1=1,CONCATENATE(A1566,C1566),CONCATENATE(B1566,C1566))</f>
        <v>MAP GROUP202512</v>
      </c>
      <c r="F1566">
        <v>2</v>
      </c>
      <c r="G1566">
        <v>12</v>
      </c>
      <c r="H1566">
        <v>11</v>
      </c>
      <c r="I1566">
        <v>0</v>
      </c>
      <c r="J1566">
        <v>0</v>
      </c>
      <c r="K1566">
        <v>2940400</v>
      </c>
      <c r="L1566">
        <v>20775620</v>
      </c>
      <c r="M1566">
        <v>21110900</v>
      </c>
      <c r="N1566">
        <v>0</v>
      </c>
      <c r="O1566">
        <v>0</v>
      </c>
      <c r="P1566">
        <v>4411</v>
      </c>
      <c r="Q1566">
        <v>207756</v>
      </c>
      <c r="R1566">
        <v>274442</v>
      </c>
      <c r="S1566">
        <v>0</v>
      </c>
      <c r="T1566">
        <v>0</v>
      </c>
    </row>
    <row r="1567" spans="1:20" x14ac:dyDescent="0.25">
      <c r="A1567" t="s">
        <v>107</v>
      </c>
      <c r="B1567" t="s">
        <v>188</v>
      </c>
      <c r="C1567">
        <v>202512</v>
      </c>
      <c r="D1567" s="47" t="str">
        <f>MID(C1567,1,4)</f>
        <v>2025</v>
      </c>
      <c r="E1567" t="str">
        <f>IF(Portfolio!$M$1=1,CONCATENATE(A1567,C1567),CONCATENATE(B1567,C1567))</f>
        <v>MAP GROUP202512</v>
      </c>
      <c r="F1567">
        <v>1</v>
      </c>
      <c r="G1567">
        <v>39</v>
      </c>
      <c r="H1567">
        <v>58</v>
      </c>
      <c r="I1567">
        <v>0</v>
      </c>
      <c r="J1567">
        <v>0</v>
      </c>
      <c r="K1567">
        <v>404960</v>
      </c>
      <c r="L1567">
        <v>22415085</v>
      </c>
      <c r="M1567">
        <v>38032490</v>
      </c>
      <c r="N1567">
        <v>0</v>
      </c>
      <c r="O1567">
        <v>0</v>
      </c>
      <c r="P1567">
        <v>607</v>
      </c>
      <c r="Q1567">
        <v>224151</v>
      </c>
      <c r="R1567">
        <v>494422</v>
      </c>
      <c r="S1567">
        <v>0</v>
      </c>
      <c r="T1567">
        <v>0</v>
      </c>
    </row>
    <row r="1568" spans="1:20" x14ac:dyDescent="0.25">
      <c r="A1568" t="s">
        <v>107</v>
      </c>
      <c r="B1568" t="s">
        <v>189</v>
      </c>
      <c r="C1568">
        <v>202512</v>
      </c>
      <c r="D1568" s="47" t="str">
        <f>MID(C1568,1,4)</f>
        <v>2025</v>
      </c>
      <c r="E1568" t="str">
        <f>IF(Portfolio!$M$1=1,CONCATENATE(A1568,C1568),CONCATENATE(B1568,C1568))</f>
        <v>MAP GROUP202512</v>
      </c>
      <c r="F1568">
        <v>85</v>
      </c>
      <c r="G1568">
        <v>965</v>
      </c>
      <c r="H1568">
        <v>1411</v>
      </c>
      <c r="I1568">
        <v>0</v>
      </c>
      <c r="J1568">
        <v>0</v>
      </c>
      <c r="K1568">
        <v>103747320</v>
      </c>
      <c r="L1568">
        <v>1454878293</v>
      </c>
      <c r="M1568">
        <v>1980539970</v>
      </c>
      <c r="N1568">
        <v>0</v>
      </c>
      <c r="O1568">
        <v>0</v>
      </c>
      <c r="P1568">
        <v>155621</v>
      </c>
      <c r="Q1568">
        <v>14523801</v>
      </c>
      <c r="R1568">
        <v>25747020</v>
      </c>
      <c r="S1568">
        <v>0</v>
      </c>
      <c r="T1568">
        <v>0</v>
      </c>
    </row>
    <row r="1569" spans="1:20" x14ac:dyDescent="0.25">
      <c r="A1569" t="s">
        <v>107</v>
      </c>
      <c r="B1569" t="s">
        <v>190</v>
      </c>
      <c r="C1569">
        <v>202512</v>
      </c>
      <c r="D1569" s="47" t="str">
        <f>MID(C1569,1,4)</f>
        <v>2025</v>
      </c>
      <c r="E1569" t="str">
        <f>IF(Portfolio!$M$1=1,CONCATENATE(A1569,C1569),CONCATENATE(B1569,C1569))</f>
        <v>MAP GROUP202512</v>
      </c>
      <c r="F1569">
        <v>2</v>
      </c>
      <c r="G1569">
        <v>54</v>
      </c>
      <c r="H1569">
        <v>112</v>
      </c>
      <c r="I1569">
        <v>0</v>
      </c>
      <c r="J1569">
        <v>193</v>
      </c>
      <c r="K1569">
        <v>4856600</v>
      </c>
      <c r="L1569">
        <v>73638800</v>
      </c>
      <c r="M1569">
        <v>168366087</v>
      </c>
      <c r="N1569">
        <v>0</v>
      </c>
      <c r="O1569">
        <v>15264500</v>
      </c>
      <c r="P1569">
        <v>7285</v>
      </c>
      <c r="Q1569">
        <v>736388</v>
      </c>
      <c r="R1569">
        <v>2188759</v>
      </c>
      <c r="S1569">
        <v>0</v>
      </c>
      <c r="T1569">
        <v>5837</v>
      </c>
    </row>
    <row r="1570" spans="1:20" x14ac:dyDescent="0.25">
      <c r="A1570" t="s">
        <v>107</v>
      </c>
      <c r="B1570" t="s">
        <v>191</v>
      </c>
      <c r="C1570">
        <v>202512</v>
      </c>
      <c r="D1570" s="47" t="str">
        <f>MID(C1570,1,4)</f>
        <v>2025</v>
      </c>
      <c r="E1570" t="str">
        <f>IF(Portfolio!$M$1=1,CONCATENATE(A1570,C1570),CONCATENATE(B1570,C1570))</f>
        <v>MAP GROUP202512</v>
      </c>
      <c r="F1570">
        <v>19</v>
      </c>
      <c r="G1570">
        <v>210</v>
      </c>
      <c r="H1570">
        <v>232</v>
      </c>
      <c r="I1570">
        <v>0</v>
      </c>
      <c r="J1570">
        <v>0</v>
      </c>
      <c r="K1570">
        <v>23370500</v>
      </c>
      <c r="L1570">
        <v>279947046</v>
      </c>
      <c r="M1570">
        <v>325035951</v>
      </c>
      <c r="N1570">
        <v>0</v>
      </c>
      <c r="O1570">
        <v>0</v>
      </c>
      <c r="P1570">
        <v>35056</v>
      </c>
      <c r="Q1570">
        <v>2799470</v>
      </c>
      <c r="R1570">
        <v>4225467</v>
      </c>
      <c r="S1570">
        <v>0</v>
      </c>
      <c r="T1570">
        <v>0</v>
      </c>
    </row>
    <row r="1571" spans="1:20" x14ac:dyDescent="0.25">
      <c r="A1571" t="s">
        <v>107</v>
      </c>
      <c r="B1571" t="s">
        <v>192</v>
      </c>
      <c r="C1571">
        <v>202512</v>
      </c>
      <c r="D1571" s="47" t="str">
        <f>MID(C1571,1,4)</f>
        <v>2025</v>
      </c>
      <c r="E1571" t="str">
        <f>IF(Portfolio!$M$1=1,CONCATENATE(A1571,C1571),CONCATENATE(B1571,C1571))</f>
        <v>MAP GROUP202512</v>
      </c>
      <c r="F1571">
        <v>9</v>
      </c>
      <c r="G1571">
        <v>71</v>
      </c>
      <c r="H1571">
        <v>79</v>
      </c>
      <c r="I1571">
        <v>1</v>
      </c>
      <c r="J1571">
        <v>211</v>
      </c>
      <c r="K1571">
        <v>7417480</v>
      </c>
      <c r="L1571">
        <v>43934420</v>
      </c>
      <c r="M1571">
        <v>51822460</v>
      </c>
      <c r="N1571">
        <v>166000</v>
      </c>
      <c r="O1571">
        <v>18582000</v>
      </c>
      <c r="P1571">
        <v>11126</v>
      </c>
      <c r="Q1571">
        <v>439344</v>
      </c>
      <c r="R1571">
        <v>673692</v>
      </c>
      <c r="S1571">
        <v>0</v>
      </c>
      <c r="T1571">
        <v>13407</v>
      </c>
    </row>
    <row r="1572" spans="1:20" x14ac:dyDescent="0.25">
      <c r="A1572" t="s">
        <v>107</v>
      </c>
      <c r="B1572" t="s">
        <v>193</v>
      </c>
      <c r="C1572">
        <v>202512</v>
      </c>
      <c r="D1572" s="47" t="str">
        <f>MID(C1572,1,4)</f>
        <v>2025</v>
      </c>
      <c r="E1572" t="str">
        <f>IF(Portfolio!$M$1=1,CONCATENATE(A1572,C1572),CONCATENATE(B1572,C1572))</f>
        <v>MAP GROUP202512</v>
      </c>
      <c r="F1572">
        <v>0</v>
      </c>
      <c r="G1572">
        <v>4</v>
      </c>
      <c r="H1572">
        <v>12</v>
      </c>
      <c r="I1572">
        <v>0</v>
      </c>
      <c r="J1572">
        <v>0</v>
      </c>
      <c r="K1572">
        <v>0</v>
      </c>
      <c r="L1572">
        <v>1681100</v>
      </c>
      <c r="M1572">
        <v>12653800</v>
      </c>
      <c r="N1572">
        <v>0</v>
      </c>
      <c r="O1572">
        <v>0</v>
      </c>
      <c r="P1572">
        <v>0</v>
      </c>
      <c r="Q1572">
        <v>16811</v>
      </c>
      <c r="R1572">
        <v>164499</v>
      </c>
      <c r="S1572">
        <v>0</v>
      </c>
      <c r="T1572">
        <v>0</v>
      </c>
    </row>
    <row r="1573" spans="1:20" x14ac:dyDescent="0.25">
      <c r="A1573" t="s">
        <v>107</v>
      </c>
      <c r="B1573" t="s">
        <v>194</v>
      </c>
      <c r="C1573">
        <v>202512</v>
      </c>
      <c r="D1573" s="47" t="str">
        <f>MID(C1573,1,4)</f>
        <v>2025</v>
      </c>
      <c r="E1573" t="str">
        <f>IF(Portfolio!$M$1=1,CONCATENATE(A1573,C1573),CONCATENATE(B1573,C1573))</f>
        <v>MAP GROUP202512</v>
      </c>
      <c r="F1573">
        <v>1</v>
      </c>
      <c r="G1573">
        <v>15</v>
      </c>
      <c r="H1573">
        <v>33</v>
      </c>
      <c r="I1573">
        <v>0</v>
      </c>
      <c r="J1573">
        <v>0</v>
      </c>
      <c r="K1573">
        <v>1699000</v>
      </c>
      <c r="L1573">
        <v>13167880</v>
      </c>
      <c r="M1573">
        <v>38654200</v>
      </c>
      <c r="N1573">
        <v>0</v>
      </c>
      <c r="O1573">
        <v>0</v>
      </c>
      <c r="P1573">
        <v>2548</v>
      </c>
      <c r="Q1573">
        <v>131679</v>
      </c>
      <c r="R1573">
        <v>502505</v>
      </c>
      <c r="S1573">
        <v>0</v>
      </c>
      <c r="T1573">
        <v>0</v>
      </c>
    </row>
    <row r="1574" spans="1:20" x14ac:dyDescent="0.25">
      <c r="A1574" t="s">
        <v>107</v>
      </c>
      <c r="B1574" t="s">
        <v>195</v>
      </c>
      <c r="C1574">
        <v>202512</v>
      </c>
      <c r="D1574" s="47" t="str">
        <f>MID(C1574,1,4)</f>
        <v>2025</v>
      </c>
      <c r="E1574" t="str">
        <f>IF(Portfolio!$M$1=1,CONCATENATE(A1574,C1574),CONCATENATE(B1574,C1574))</f>
        <v>MAP GROUP202512</v>
      </c>
      <c r="F1574">
        <v>4</v>
      </c>
      <c r="G1574">
        <v>24</v>
      </c>
      <c r="H1574">
        <v>60</v>
      </c>
      <c r="I1574">
        <v>0</v>
      </c>
      <c r="J1574">
        <v>0</v>
      </c>
      <c r="K1574">
        <v>2094800</v>
      </c>
      <c r="L1574">
        <v>10655940</v>
      </c>
      <c r="M1574">
        <v>47401900</v>
      </c>
      <c r="N1574">
        <v>0</v>
      </c>
      <c r="O1574">
        <v>0</v>
      </c>
      <c r="P1574">
        <v>3142</v>
      </c>
      <c r="Q1574">
        <v>106559</v>
      </c>
      <c r="R1574">
        <v>616225</v>
      </c>
      <c r="S1574">
        <v>0</v>
      </c>
      <c r="T1574">
        <v>0</v>
      </c>
    </row>
    <row r="1575" spans="1:20" x14ac:dyDescent="0.25">
      <c r="A1575" t="s">
        <v>107</v>
      </c>
      <c r="B1575" t="s">
        <v>196</v>
      </c>
      <c r="C1575">
        <v>202512</v>
      </c>
      <c r="D1575" s="47" t="str">
        <f>MID(C1575,1,4)</f>
        <v>2025</v>
      </c>
      <c r="E1575" t="str">
        <f>IF(Portfolio!$M$1=1,CONCATENATE(A1575,C1575),CONCATENATE(B1575,C1575))</f>
        <v>MAP GROUP202512</v>
      </c>
      <c r="F1575">
        <v>1</v>
      </c>
      <c r="G1575">
        <v>1</v>
      </c>
      <c r="H1575">
        <v>0</v>
      </c>
      <c r="I1575">
        <v>0</v>
      </c>
      <c r="J1575">
        <v>0</v>
      </c>
      <c r="K1575">
        <v>200000</v>
      </c>
      <c r="L1575">
        <v>685100</v>
      </c>
      <c r="M1575">
        <v>0</v>
      </c>
      <c r="N1575">
        <v>0</v>
      </c>
      <c r="O1575">
        <v>0</v>
      </c>
      <c r="P1575">
        <v>300</v>
      </c>
      <c r="Q1575">
        <v>6851</v>
      </c>
      <c r="R1575">
        <v>0</v>
      </c>
      <c r="S1575">
        <v>0</v>
      </c>
      <c r="T1575">
        <v>0</v>
      </c>
    </row>
    <row r="1576" spans="1:20" x14ac:dyDescent="0.25">
      <c r="A1576" t="s">
        <v>107</v>
      </c>
      <c r="B1576" t="s">
        <v>197</v>
      </c>
      <c r="C1576">
        <v>202512</v>
      </c>
      <c r="D1576" s="47" t="str">
        <f>MID(C1576,1,4)</f>
        <v>2025</v>
      </c>
      <c r="E1576" t="str">
        <f>IF(Portfolio!$M$1=1,CONCATENATE(A1576,C1576),CONCATENATE(B1576,C1576))</f>
        <v>MAP GROUP202512</v>
      </c>
      <c r="F1576">
        <v>1</v>
      </c>
      <c r="G1576">
        <v>18</v>
      </c>
      <c r="H1576">
        <v>18</v>
      </c>
      <c r="I1576">
        <v>0</v>
      </c>
      <c r="J1576">
        <v>0</v>
      </c>
      <c r="K1576">
        <v>3404000</v>
      </c>
      <c r="L1576">
        <v>65542000</v>
      </c>
      <c r="M1576">
        <v>55030025</v>
      </c>
      <c r="N1576">
        <v>0</v>
      </c>
      <c r="O1576">
        <v>0</v>
      </c>
      <c r="P1576">
        <v>5106</v>
      </c>
      <c r="Q1576">
        <v>655420</v>
      </c>
      <c r="R1576">
        <v>715390</v>
      </c>
      <c r="S1576">
        <v>0</v>
      </c>
      <c r="T1576">
        <v>0</v>
      </c>
    </row>
    <row r="1577" spans="1:20" x14ac:dyDescent="0.25">
      <c r="A1577" t="s">
        <v>107</v>
      </c>
      <c r="B1577" t="s">
        <v>198</v>
      </c>
      <c r="C1577">
        <v>202512</v>
      </c>
      <c r="D1577" s="47" t="str">
        <f>MID(C1577,1,4)</f>
        <v>2025</v>
      </c>
      <c r="E1577" t="str">
        <f>IF(Portfolio!$M$1=1,CONCATENATE(A1577,C1577),CONCATENATE(B1577,C1577))</f>
        <v>MAP GROUP202512</v>
      </c>
      <c r="F1577">
        <v>56</v>
      </c>
      <c r="G1577">
        <v>89</v>
      </c>
      <c r="H1577">
        <v>195</v>
      </c>
      <c r="I1577">
        <v>0</v>
      </c>
      <c r="J1577">
        <v>0</v>
      </c>
      <c r="K1577">
        <v>87186600</v>
      </c>
      <c r="L1577">
        <v>125428000</v>
      </c>
      <c r="M1577">
        <v>276900950</v>
      </c>
      <c r="N1577">
        <v>0</v>
      </c>
      <c r="O1577">
        <v>0</v>
      </c>
      <c r="P1577">
        <v>130780</v>
      </c>
      <c r="Q1577">
        <v>1254280</v>
      </c>
      <c r="R1577">
        <v>3599712</v>
      </c>
      <c r="S1577">
        <v>0</v>
      </c>
      <c r="T1577">
        <v>0</v>
      </c>
    </row>
    <row r="1578" spans="1:20" x14ac:dyDescent="0.25">
      <c r="A1578" t="s">
        <v>107</v>
      </c>
      <c r="B1578" t="s">
        <v>199</v>
      </c>
      <c r="C1578">
        <v>202512</v>
      </c>
      <c r="D1578" s="47" t="str">
        <f>MID(C1578,1,4)</f>
        <v>2025</v>
      </c>
      <c r="E1578" t="str">
        <f>IF(Portfolio!$M$1=1,CONCATENATE(A1578,C1578),CONCATENATE(B1578,C1578))</f>
        <v>MAP GROUP202512</v>
      </c>
      <c r="F1578">
        <v>257</v>
      </c>
      <c r="G1578">
        <v>2430</v>
      </c>
      <c r="H1578">
        <v>2313</v>
      </c>
      <c r="I1578">
        <v>0</v>
      </c>
      <c r="J1578">
        <v>0</v>
      </c>
      <c r="K1578">
        <v>331720630</v>
      </c>
      <c r="L1578">
        <v>3183038038</v>
      </c>
      <c r="M1578">
        <v>3152245876</v>
      </c>
      <c r="N1578">
        <v>0</v>
      </c>
      <c r="O1578">
        <v>0</v>
      </c>
      <c r="P1578">
        <v>497581</v>
      </c>
      <c r="Q1578">
        <v>31802287</v>
      </c>
      <c r="R1578">
        <v>40979196</v>
      </c>
      <c r="S1578">
        <v>0</v>
      </c>
      <c r="T1578">
        <v>0</v>
      </c>
    </row>
    <row r="1579" spans="1:20" x14ac:dyDescent="0.25">
      <c r="A1579" t="s">
        <v>107</v>
      </c>
      <c r="B1579" t="s">
        <v>200</v>
      </c>
      <c r="C1579">
        <v>202512</v>
      </c>
      <c r="D1579" s="47" t="str">
        <f>MID(C1579,1,4)</f>
        <v>2025</v>
      </c>
      <c r="E1579" t="str">
        <f>IF(Portfolio!$M$1=1,CONCATENATE(A1579,C1579),CONCATENATE(B1579,C1579))</f>
        <v>MAP GROUP202512</v>
      </c>
      <c r="F1579">
        <v>4</v>
      </c>
      <c r="G1579">
        <v>107</v>
      </c>
      <c r="H1579">
        <v>212</v>
      </c>
      <c r="I1579">
        <v>0</v>
      </c>
      <c r="J1579">
        <v>0</v>
      </c>
      <c r="K1579">
        <v>3041900</v>
      </c>
      <c r="L1579">
        <v>109832564</v>
      </c>
      <c r="M1579">
        <v>205426252</v>
      </c>
      <c r="N1579">
        <v>0</v>
      </c>
      <c r="O1579">
        <v>0</v>
      </c>
      <c r="P1579">
        <v>4563</v>
      </c>
      <c r="Q1579">
        <v>1098326</v>
      </c>
      <c r="R1579">
        <v>2670541</v>
      </c>
      <c r="S1579">
        <v>0</v>
      </c>
      <c r="T1579">
        <v>0</v>
      </c>
    </row>
    <row r="1580" spans="1:20" x14ac:dyDescent="0.25">
      <c r="A1580" t="s">
        <v>107</v>
      </c>
      <c r="B1580" t="s">
        <v>201</v>
      </c>
      <c r="C1580">
        <v>202512</v>
      </c>
      <c r="D1580" s="47" t="str">
        <f>MID(C1580,1,4)</f>
        <v>2025</v>
      </c>
      <c r="E1580" t="str">
        <f>IF(Portfolio!$M$1=1,CONCATENATE(A1580,C1580),CONCATENATE(B1580,C1580))</f>
        <v>MAP GROUP202512</v>
      </c>
      <c r="F1580">
        <v>28</v>
      </c>
      <c r="G1580">
        <v>470</v>
      </c>
      <c r="H1580">
        <v>813</v>
      </c>
      <c r="I1580">
        <v>0</v>
      </c>
      <c r="J1580">
        <v>0</v>
      </c>
      <c r="K1580">
        <v>20516403</v>
      </c>
      <c r="L1580">
        <v>265467702</v>
      </c>
      <c r="M1580">
        <v>470318688</v>
      </c>
      <c r="N1580">
        <v>0</v>
      </c>
      <c r="O1580">
        <v>0</v>
      </c>
      <c r="P1580">
        <v>30775</v>
      </c>
      <c r="Q1580">
        <v>2654677</v>
      </c>
      <c r="R1580">
        <v>6114143</v>
      </c>
      <c r="S1580">
        <v>0</v>
      </c>
      <c r="T1580">
        <v>0</v>
      </c>
    </row>
    <row r="1581" spans="1:20" x14ac:dyDescent="0.25">
      <c r="A1581" t="s">
        <v>107</v>
      </c>
      <c r="B1581" t="s">
        <v>202</v>
      </c>
      <c r="C1581">
        <v>202512</v>
      </c>
      <c r="D1581" s="47" t="str">
        <f>MID(C1581,1,4)</f>
        <v>2025</v>
      </c>
      <c r="E1581" t="str">
        <f>IF(Portfolio!$M$1=1,CONCATENATE(A1581,C1581),CONCATENATE(B1581,C1581))</f>
        <v>MAP GROUP202512</v>
      </c>
      <c r="F1581">
        <v>0</v>
      </c>
      <c r="G1581">
        <v>15</v>
      </c>
      <c r="H1581">
        <v>24</v>
      </c>
      <c r="I1581">
        <v>0</v>
      </c>
      <c r="J1581">
        <v>0</v>
      </c>
      <c r="K1581">
        <v>0</v>
      </c>
      <c r="L1581">
        <v>10598900</v>
      </c>
      <c r="M1581">
        <v>23570580</v>
      </c>
      <c r="N1581">
        <v>0</v>
      </c>
      <c r="O1581">
        <v>0</v>
      </c>
      <c r="P1581">
        <v>0</v>
      </c>
      <c r="Q1581">
        <v>105989</v>
      </c>
      <c r="R1581">
        <v>306418</v>
      </c>
      <c r="S1581">
        <v>0</v>
      </c>
      <c r="T1581">
        <v>0</v>
      </c>
    </row>
    <row r="1582" spans="1:20" x14ac:dyDescent="0.25">
      <c r="A1582" t="s">
        <v>107</v>
      </c>
      <c r="B1582" t="s">
        <v>203</v>
      </c>
      <c r="C1582">
        <v>202512</v>
      </c>
      <c r="D1582" s="47" t="str">
        <f>MID(C1582,1,4)</f>
        <v>2025</v>
      </c>
      <c r="E1582" t="str">
        <f>IF(Portfolio!$M$1=1,CONCATENATE(A1582,C1582),CONCATENATE(B1582,C1582))</f>
        <v>MAP GROUP202512</v>
      </c>
      <c r="F1582">
        <v>855</v>
      </c>
      <c r="G1582">
        <v>9034</v>
      </c>
      <c r="H1582">
        <v>5997</v>
      </c>
      <c r="I1582">
        <v>0</v>
      </c>
      <c r="J1582">
        <v>0</v>
      </c>
      <c r="K1582">
        <v>555622648</v>
      </c>
      <c r="L1582">
        <v>6092205017</v>
      </c>
      <c r="M1582">
        <v>4262705405</v>
      </c>
      <c r="N1582">
        <v>0</v>
      </c>
      <c r="O1582">
        <v>0</v>
      </c>
      <c r="P1582">
        <v>833434</v>
      </c>
      <c r="Q1582">
        <v>60860974</v>
      </c>
      <c r="R1582">
        <v>55415170</v>
      </c>
      <c r="S1582">
        <v>0</v>
      </c>
      <c r="T1582">
        <v>0</v>
      </c>
    </row>
    <row r="1583" spans="1:20" x14ac:dyDescent="0.25">
      <c r="A1583" t="s">
        <v>107</v>
      </c>
      <c r="B1583" t="s">
        <v>204</v>
      </c>
      <c r="C1583">
        <v>202512</v>
      </c>
      <c r="D1583" s="47" t="str">
        <f>MID(C1583,1,4)</f>
        <v>2025</v>
      </c>
      <c r="E1583" t="str">
        <f>IF(Portfolio!$M$1=1,CONCATENATE(A1583,C1583),CONCATENATE(B1583,C1583))</f>
        <v>MAP GROUP202512</v>
      </c>
      <c r="F1583">
        <v>23</v>
      </c>
      <c r="G1583">
        <v>165</v>
      </c>
      <c r="H1583">
        <v>250</v>
      </c>
      <c r="I1583">
        <v>0</v>
      </c>
      <c r="J1583">
        <v>0</v>
      </c>
      <c r="K1583">
        <v>37228467</v>
      </c>
      <c r="L1583">
        <v>295184206</v>
      </c>
      <c r="M1583">
        <v>443883811</v>
      </c>
      <c r="N1583">
        <v>0</v>
      </c>
      <c r="O1583">
        <v>0</v>
      </c>
      <c r="P1583">
        <v>55843</v>
      </c>
      <c r="Q1583">
        <v>2951842</v>
      </c>
      <c r="R1583">
        <v>5770490</v>
      </c>
      <c r="S1583">
        <v>0</v>
      </c>
      <c r="T1583">
        <v>0</v>
      </c>
    </row>
    <row r="1584" spans="1:20" x14ac:dyDescent="0.25">
      <c r="A1584" t="s">
        <v>107</v>
      </c>
      <c r="B1584" t="s">
        <v>205</v>
      </c>
      <c r="C1584">
        <v>202512</v>
      </c>
      <c r="D1584" s="47" t="str">
        <f>MID(C1584,1,4)</f>
        <v>2025</v>
      </c>
      <c r="E1584" t="str">
        <f>IF(Portfolio!$M$1=1,CONCATENATE(A1584,C1584),CONCATENATE(B1584,C1584))</f>
        <v>MAP GROUP202512</v>
      </c>
      <c r="F1584">
        <v>366</v>
      </c>
      <c r="G1584">
        <v>1656</v>
      </c>
      <c r="H1584">
        <v>7070</v>
      </c>
      <c r="I1584">
        <v>0</v>
      </c>
      <c r="J1584">
        <v>0</v>
      </c>
      <c r="K1584">
        <v>59327300</v>
      </c>
      <c r="L1584">
        <v>250082400</v>
      </c>
      <c r="M1584">
        <v>929591500</v>
      </c>
      <c r="N1584">
        <v>0</v>
      </c>
      <c r="O1584">
        <v>0</v>
      </c>
      <c r="P1584">
        <v>88991</v>
      </c>
      <c r="Q1584">
        <v>2319689</v>
      </c>
      <c r="R1584">
        <v>12084690</v>
      </c>
      <c r="S1584">
        <v>0</v>
      </c>
      <c r="T1584">
        <v>0</v>
      </c>
    </row>
    <row r="1585" spans="1:20" x14ac:dyDescent="0.25">
      <c r="A1585" t="s">
        <v>107</v>
      </c>
      <c r="B1585" t="s">
        <v>206</v>
      </c>
      <c r="C1585">
        <v>202512</v>
      </c>
      <c r="D1585" s="47" t="str">
        <f>MID(C1585,1,4)</f>
        <v>2025</v>
      </c>
      <c r="E1585" t="str">
        <f>IF(Portfolio!$M$1=1,CONCATENATE(A1585,C1585),CONCATENATE(B1585,C1585))</f>
        <v>MAP GROUP202512</v>
      </c>
      <c r="F1585">
        <v>11</v>
      </c>
      <c r="G1585">
        <v>131</v>
      </c>
      <c r="H1585">
        <v>178</v>
      </c>
      <c r="I1585">
        <v>0</v>
      </c>
      <c r="J1585">
        <v>0</v>
      </c>
      <c r="K1585">
        <v>15017710</v>
      </c>
      <c r="L1585">
        <v>174765460</v>
      </c>
      <c r="M1585">
        <v>243429097</v>
      </c>
      <c r="N1585">
        <v>0</v>
      </c>
      <c r="O1585">
        <v>0</v>
      </c>
      <c r="P1585">
        <v>22527</v>
      </c>
      <c r="Q1585">
        <v>1747655</v>
      </c>
      <c r="R1585">
        <v>3164578</v>
      </c>
      <c r="S1585">
        <v>0</v>
      </c>
      <c r="T1585">
        <v>0</v>
      </c>
    </row>
    <row r="1586" spans="1:20" x14ac:dyDescent="0.25">
      <c r="A1586" t="s">
        <v>107</v>
      </c>
      <c r="B1586" t="s">
        <v>207</v>
      </c>
      <c r="C1586">
        <v>202512</v>
      </c>
      <c r="D1586" s="47" t="str">
        <f>MID(C1586,1,4)</f>
        <v>2025</v>
      </c>
      <c r="E1586" t="str">
        <f>IF(Portfolio!$M$1=1,CONCATENATE(A1586,C1586),CONCATENATE(B1586,C1586))</f>
        <v>MAP GROUP202512</v>
      </c>
      <c r="F1586">
        <v>9</v>
      </c>
      <c r="G1586">
        <v>31</v>
      </c>
      <c r="H1586">
        <v>28</v>
      </c>
      <c r="I1586">
        <v>1</v>
      </c>
      <c r="J1586">
        <v>0</v>
      </c>
      <c r="K1586">
        <v>669000</v>
      </c>
      <c r="L1586">
        <v>4783500</v>
      </c>
      <c r="M1586">
        <v>4151000</v>
      </c>
      <c r="N1586">
        <v>120000</v>
      </c>
      <c r="O1586">
        <v>0</v>
      </c>
      <c r="P1586">
        <v>1004</v>
      </c>
      <c r="Q1586">
        <v>47835</v>
      </c>
      <c r="R1586">
        <v>53963</v>
      </c>
      <c r="S1586">
        <v>0</v>
      </c>
      <c r="T1586">
        <v>0</v>
      </c>
    </row>
    <row r="1587" spans="1:20" x14ac:dyDescent="0.25">
      <c r="A1587" t="s">
        <v>107</v>
      </c>
      <c r="B1587" t="s">
        <v>208</v>
      </c>
      <c r="C1587">
        <v>202512</v>
      </c>
      <c r="D1587" s="47" t="str">
        <f>MID(C1587,1,4)</f>
        <v>2025</v>
      </c>
      <c r="E1587" t="str">
        <f>IF(Portfolio!$M$1=1,CONCATENATE(A1587,C1587),CONCATENATE(B1587,C1587))</f>
        <v>MAP GROUP202512</v>
      </c>
      <c r="F1587">
        <v>0</v>
      </c>
      <c r="G1587">
        <v>8</v>
      </c>
      <c r="H1587">
        <v>24</v>
      </c>
      <c r="I1587">
        <v>0</v>
      </c>
      <c r="J1587">
        <v>0</v>
      </c>
      <c r="K1587">
        <v>0</v>
      </c>
      <c r="L1587">
        <v>23020200</v>
      </c>
      <c r="M1587">
        <v>64015000</v>
      </c>
      <c r="N1587">
        <v>0</v>
      </c>
      <c r="O1587">
        <v>0</v>
      </c>
      <c r="P1587">
        <v>0</v>
      </c>
      <c r="Q1587">
        <v>230202</v>
      </c>
      <c r="R1587">
        <v>832195</v>
      </c>
      <c r="S1587">
        <v>0</v>
      </c>
      <c r="T1587">
        <v>0</v>
      </c>
    </row>
    <row r="1588" spans="1:20" x14ac:dyDescent="0.25">
      <c r="A1588" t="s">
        <v>107</v>
      </c>
      <c r="B1588" t="s">
        <v>209</v>
      </c>
      <c r="C1588">
        <v>202512</v>
      </c>
      <c r="D1588" s="47" t="str">
        <f>MID(C1588,1,4)</f>
        <v>2025</v>
      </c>
      <c r="E1588" t="str">
        <f>IF(Portfolio!$M$1=1,CONCATENATE(A1588,C1588),CONCATENATE(B1588,C1588))</f>
        <v>MAP GROUP202512</v>
      </c>
      <c r="F1588">
        <v>1</v>
      </c>
      <c r="G1588">
        <v>8</v>
      </c>
      <c r="H1588">
        <v>13</v>
      </c>
      <c r="I1588">
        <v>0</v>
      </c>
      <c r="J1588">
        <v>0</v>
      </c>
      <c r="K1588">
        <v>1814640</v>
      </c>
      <c r="L1588">
        <v>11519600</v>
      </c>
      <c r="M1588">
        <v>15465549</v>
      </c>
      <c r="N1588">
        <v>0</v>
      </c>
      <c r="O1588">
        <v>0</v>
      </c>
      <c r="P1588">
        <v>2722</v>
      </c>
      <c r="Q1588">
        <v>115196</v>
      </c>
      <c r="R1588">
        <v>201052</v>
      </c>
      <c r="S1588">
        <v>0</v>
      </c>
      <c r="T1588">
        <v>0</v>
      </c>
    </row>
    <row r="1589" spans="1:20" x14ac:dyDescent="0.25">
      <c r="A1589" t="s">
        <v>109</v>
      </c>
      <c r="B1589" t="s">
        <v>109</v>
      </c>
      <c r="C1589">
        <v>202512</v>
      </c>
      <c r="D1589" s="47" t="str">
        <f>MID(C1589,1,4)</f>
        <v>2025</v>
      </c>
      <c r="E1589" t="str">
        <f>IF(Portfolio!$M$1=1,CONCATENATE(A1589,C1589),CONCATENATE(B1589,C1589))</f>
        <v>MITRA10202512</v>
      </c>
      <c r="F1589">
        <v>493</v>
      </c>
      <c r="G1589">
        <v>1</v>
      </c>
      <c r="H1589">
        <v>1</v>
      </c>
      <c r="I1589">
        <v>0</v>
      </c>
      <c r="J1589">
        <v>0</v>
      </c>
      <c r="K1589">
        <v>1139496508</v>
      </c>
      <c r="L1589">
        <v>1290575</v>
      </c>
      <c r="M1589">
        <v>2044030</v>
      </c>
      <c r="N1589">
        <v>0</v>
      </c>
      <c r="O1589">
        <v>0</v>
      </c>
      <c r="P1589">
        <v>1709243</v>
      </c>
      <c r="Q1589">
        <v>12906</v>
      </c>
      <c r="R1589">
        <v>40881</v>
      </c>
      <c r="S1589">
        <v>0</v>
      </c>
      <c r="T1589">
        <v>0</v>
      </c>
    </row>
    <row r="1590" spans="1:20" x14ac:dyDescent="0.25">
      <c r="A1590" t="s">
        <v>260</v>
      </c>
      <c r="B1590" t="s">
        <v>260</v>
      </c>
      <c r="C1590">
        <v>202512</v>
      </c>
      <c r="D1590" s="47" t="str">
        <f>MID(C1590,1,4)</f>
        <v>2025</v>
      </c>
      <c r="E1590" t="str">
        <f>IF(Portfolio!$M$1=1,CONCATENATE(A1590,C1590),CONCATENATE(B1590,C1590))</f>
        <v>MIXUE202512</v>
      </c>
      <c r="F1590">
        <v>0</v>
      </c>
      <c r="G1590">
        <v>0</v>
      </c>
      <c r="H1590">
        <v>0</v>
      </c>
      <c r="I1590">
        <v>0</v>
      </c>
      <c r="J1590">
        <v>3</v>
      </c>
      <c r="K1590">
        <v>0</v>
      </c>
      <c r="L1590">
        <v>0</v>
      </c>
      <c r="M1590">
        <v>0</v>
      </c>
      <c r="N1590">
        <v>0</v>
      </c>
      <c r="O1590">
        <v>78000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 spans="1:20" x14ac:dyDescent="0.25">
      <c r="A1591" t="s">
        <v>110</v>
      </c>
      <c r="B1591" t="s">
        <v>110</v>
      </c>
      <c r="C1591">
        <v>202512</v>
      </c>
      <c r="D1591" s="47" t="str">
        <f>MID(C1591,1,4)</f>
        <v>2025</v>
      </c>
      <c r="E1591" t="str">
        <f>IF(Portfolio!$M$1=1,CONCATENATE(A1591,C1591),CONCATENATE(B1591,C1591))</f>
        <v>OPTIK MELAWAI202512</v>
      </c>
      <c r="F1591">
        <v>39</v>
      </c>
      <c r="G1591">
        <v>0</v>
      </c>
      <c r="H1591">
        <v>0</v>
      </c>
      <c r="I1591">
        <v>0</v>
      </c>
      <c r="J1591">
        <v>0</v>
      </c>
      <c r="K1591">
        <v>44725000</v>
      </c>
      <c r="L1591">
        <v>0</v>
      </c>
      <c r="M1591">
        <v>0</v>
      </c>
      <c r="N1591">
        <v>0</v>
      </c>
      <c r="O1591">
        <v>0</v>
      </c>
      <c r="P1591">
        <v>67088</v>
      </c>
      <c r="Q1591">
        <v>0</v>
      </c>
      <c r="R1591">
        <v>0</v>
      </c>
      <c r="S1591">
        <v>0</v>
      </c>
      <c r="T1591">
        <v>0</v>
      </c>
    </row>
    <row r="1592" spans="1:20" x14ac:dyDescent="0.25">
      <c r="A1592" t="s">
        <v>111</v>
      </c>
      <c r="B1592" t="s">
        <v>211</v>
      </c>
      <c r="C1592">
        <v>202512</v>
      </c>
      <c r="D1592" s="47" t="str">
        <f>MID(C1592,1,4)</f>
        <v>2025</v>
      </c>
      <c r="E1592" t="str">
        <f>IF(Portfolio!$M$1=1,CONCATENATE(A1592,C1592),CONCATENATE(B1592,C1592))</f>
        <v>PATRA JASA202512</v>
      </c>
      <c r="F1592">
        <v>0</v>
      </c>
      <c r="G1592">
        <v>2</v>
      </c>
      <c r="H1592">
        <v>5</v>
      </c>
      <c r="I1592">
        <v>0</v>
      </c>
      <c r="J1592">
        <v>0</v>
      </c>
      <c r="K1592">
        <v>0</v>
      </c>
      <c r="L1592">
        <v>2404950</v>
      </c>
      <c r="M1592">
        <v>4056033</v>
      </c>
      <c r="N1592">
        <v>0</v>
      </c>
      <c r="O1592">
        <v>0</v>
      </c>
      <c r="P1592">
        <v>0</v>
      </c>
      <c r="Q1592">
        <v>24050</v>
      </c>
      <c r="R1592">
        <v>73009</v>
      </c>
      <c r="S1592">
        <v>0</v>
      </c>
      <c r="T1592">
        <v>0</v>
      </c>
    </row>
    <row r="1593" spans="1:20" x14ac:dyDescent="0.25">
      <c r="A1593" t="s">
        <v>111</v>
      </c>
      <c r="B1593" t="s">
        <v>212</v>
      </c>
      <c r="C1593">
        <v>202512</v>
      </c>
      <c r="D1593" s="47" t="str">
        <f>MID(C1593,1,4)</f>
        <v>2025</v>
      </c>
      <c r="E1593" t="str">
        <f>IF(Portfolio!$M$1=1,CONCATENATE(A1593,C1593),CONCATENATE(B1593,C1593))</f>
        <v>PATRA JASA202512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4950000</v>
      </c>
      <c r="M1593">
        <v>0</v>
      </c>
      <c r="N1593">
        <v>0</v>
      </c>
      <c r="O1593">
        <v>0</v>
      </c>
      <c r="P1593">
        <v>0</v>
      </c>
      <c r="Q1593">
        <v>49500</v>
      </c>
      <c r="R1593">
        <v>0</v>
      </c>
      <c r="S1593">
        <v>0</v>
      </c>
      <c r="T1593">
        <v>0</v>
      </c>
    </row>
    <row r="1594" spans="1:20" x14ac:dyDescent="0.25">
      <c r="A1594" t="s">
        <v>111</v>
      </c>
      <c r="B1594" t="s">
        <v>213</v>
      </c>
      <c r="C1594">
        <v>202512</v>
      </c>
      <c r="D1594" s="47" t="str">
        <f>MID(C1594,1,4)</f>
        <v>2025</v>
      </c>
      <c r="E1594" t="str">
        <f>IF(Portfolio!$M$1=1,CONCATENATE(A1594,C1594),CONCATENATE(B1594,C1594))</f>
        <v>PATRA JASA202512</v>
      </c>
      <c r="F1594">
        <v>0</v>
      </c>
      <c r="G1594">
        <v>0</v>
      </c>
      <c r="H1594">
        <v>0</v>
      </c>
      <c r="I1594">
        <v>1</v>
      </c>
      <c r="J1594">
        <v>15</v>
      </c>
      <c r="K1594">
        <v>0</v>
      </c>
      <c r="L1594">
        <v>0</v>
      </c>
      <c r="M1594">
        <v>0</v>
      </c>
      <c r="N1594">
        <v>66000</v>
      </c>
      <c r="O1594">
        <v>1251400</v>
      </c>
      <c r="P1594">
        <v>0</v>
      </c>
      <c r="Q1594">
        <v>0</v>
      </c>
      <c r="R1594">
        <v>0</v>
      </c>
      <c r="S1594">
        <v>462</v>
      </c>
      <c r="T1594">
        <v>8760</v>
      </c>
    </row>
    <row r="1595" spans="1:20" x14ac:dyDescent="0.25">
      <c r="A1595" t="s">
        <v>112</v>
      </c>
      <c r="B1595" t="s">
        <v>215</v>
      </c>
      <c r="C1595">
        <v>202512</v>
      </c>
      <c r="D1595" s="47" t="str">
        <f>MID(C1595,1,4)</f>
        <v>2025</v>
      </c>
      <c r="E1595" t="str">
        <f>IF(Portfolio!$M$1=1,CONCATENATE(A1595,C1595),CONCATENATE(B1595,C1595))</f>
        <v>PERTAMINA RETAIL202512</v>
      </c>
      <c r="F1595">
        <v>8</v>
      </c>
      <c r="G1595">
        <v>177</v>
      </c>
      <c r="H1595">
        <v>42</v>
      </c>
      <c r="I1595">
        <v>0</v>
      </c>
      <c r="J1595">
        <v>729</v>
      </c>
      <c r="K1595">
        <v>760900</v>
      </c>
      <c r="L1595">
        <v>15491436</v>
      </c>
      <c r="M1595">
        <v>7952850</v>
      </c>
      <c r="N1595">
        <v>0</v>
      </c>
      <c r="O1595">
        <v>43045740</v>
      </c>
      <c r="P1595">
        <v>1141</v>
      </c>
      <c r="Q1595">
        <v>154914</v>
      </c>
      <c r="R1595">
        <v>143151</v>
      </c>
      <c r="S1595">
        <v>0</v>
      </c>
      <c r="T1595">
        <v>301317</v>
      </c>
    </row>
    <row r="1596" spans="1:20" x14ac:dyDescent="0.25">
      <c r="A1596" t="s">
        <v>112</v>
      </c>
      <c r="B1596" t="s">
        <v>216</v>
      </c>
      <c r="C1596">
        <v>202512</v>
      </c>
      <c r="D1596" s="47" t="str">
        <f>MID(C1596,1,4)</f>
        <v>2025</v>
      </c>
      <c r="E1596" t="str">
        <f>IF(Portfolio!$M$1=1,CONCATENATE(A1596,C1596),CONCATENATE(B1596,C1596))</f>
        <v>PERTAMINA RETAIL202512</v>
      </c>
      <c r="F1596">
        <v>41</v>
      </c>
      <c r="G1596">
        <v>2297</v>
      </c>
      <c r="H1596">
        <v>241</v>
      </c>
      <c r="I1596">
        <v>119</v>
      </c>
      <c r="J1596">
        <v>14481</v>
      </c>
      <c r="K1596">
        <v>8782556</v>
      </c>
      <c r="L1596">
        <v>445743449</v>
      </c>
      <c r="M1596">
        <v>65650440</v>
      </c>
      <c r="N1596">
        <v>18284283</v>
      </c>
      <c r="O1596">
        <v>1587209504</v>
      </c>
      <c r="P1596">
        <v>13174</v>
      </c>
      <c r="Q1596">
        <v>3933203</v>
      </c>
      <c r="R1596">
        <v>1181708</v>
      </c>
      <c r="S1596">
        <v>44793</v>
      </c>
      <c r="T1596">
        <v>4013017</v>
      </c>
    </row>
    <row r="1597" spans="1:20" x14ac:dyDescent="0.25">
      <c r="A1597" t="s">
        <v>114</v>
      </c>
      <c r="B1597" t="s">
        <v>217</v>
      </c>
      <c r="C1597">
        <v>202512</v>
      </c>
      <c r="D1597" s="47" t="str">
        <f>MID(C1597,1,4)</f>
        <v>2025</v>
      </c>
      <c r="E1597" t="str">
        <f>IF(Portfolio!$M$1=1,CONCATENATE(A1597,C1597),CONCATENATE(B1597,C1597))</f>
        <v>PIZZA HUT202512</v>
      </c>
      <c r="F1597">
        <v>25</v>
      </c>
      <c r="G1597">
        <v>0</v>
      </c>
      <c r="H1597">
        <v>0</v>
      </c>
      <c r="I1597">
        <v>0</v>
      </c>
      <c r="J1597">
        <v>338</v>
      </c>
      <c r="K1597">
        <v>4042999</v>
      </c>
      <c r="L1597">
        <v>0</v>
      </c>
      <c r="M1597">
        <v>0</v>
      </c>
      <c r="N1597">
        <v>0</v>
      </c>
      <c r="O1597">
        <v>3760000</v>
      </c>
      <c r="P1597">
        <v>6064</v>
      </c>
      <c r="Q1597">
        <v>0</v>
      </c>
      <c r="R1597">
        <v>0</v>
      </c>
      <c r="S1597">
        <v>0</v>
      </c>
      <c r="T1597">
        <v>0</v>
      </c>
    </row>
    <row r="1598" spans="1:20" x14ac:dyDescent="0.25">
      <c r="A1598" t="s">
        <v>114</v>
      </c>
      <c r="B1598" t="s">
        <v>218</v>
      </c>
      <c r="C1598">
        <v>202512</v>
      </c>
      <c r="D1598" s="47" t="str">
        <f>MID(C1598,1,4)</f>
        <v>2025</v>
      </c>
      <c r="E1598" t="str">
        <f>IF(Portfolio!$M$1=1,CONCATENATE(A1598,C1598),CONCATENATE(B1598,C1598))</f>
        <v>PIZZA HUT202512</v>
      </c>
      <c r="F1598">
        <v>184</v>
      </c>
      <c r="G1598">
        <v>0</v>
      </c>
      <c r="H1598">
        <v>0</v>
      </c>
      <c r="I1598">
        <v>0</v>
      </c>
      <c r="J1598">
        <v>0</v>
      </c>
      <c r="K1598">
        <v>50582128</v>
      </c>
      <c r="L1598">
        <v>0</v>
      </c>
      <c r="M1598">
        <v>0</v>
      </c>
      <c r="N1598">
        <v>0</v>
      </c>
      <c r="O1598">
        <v>0</v>
      </c>
      <c r="P1598">
        <v>75873</v>
      </c>
      <c r="Q1598">
        <v>0</v>
      </c>
      <c r="R1598">
        <v>0</v>
      </c>
      <c r="S1598">
        <v>0</v>
      </c>
      <c r="T1598">
        <v>0</v>
      </c>
    </row>
    <row r="1599" spans="1:20" x14ac:dyDescent="0.25">
      <c r="A1599" t="s">
        <v>115</v>
      </c>
      <c r="B1599" t="s">
        <v>115</v>
      </c>
      <c r="C1599">
        <v>202512</v>
      </c>
      <c r="D1599" s="47" t="str">
        <f>MID(C1599,1,4)</f>
        <v>2025</v>
      </c>
      <c r="E1599" t="str">
        <f>IF(Portfolio!$M$1=1,CONCATENATE(A1599,C1599),CONCATENATE(B1599,C1599))</f>
        <v>PLATINUM CINEPLEX202512</v>
      </c>
      <c r="F1599">
        <v>0</v>
      </c>
      <c r="G1599">
        <v>21</v>
      </c>
      <c r="H1599">
        <v>2</v>
      </c>
      <c r="I1599">
        <v>4</v>
      </c>
      <c r="J1599">
        <v>591</v>
      </c>
      <c r="K1599">
        <v>0</v>
      </c>
      <c r="L1599">
        <v>2666000</v>
      </c>
      <c r="M1599">
        <v>200000</v>
      </c>
      <c r="N1599">
        <v>421000</v>
      </c>
      <c r="O1599">
        <v>54079000</v>
      </c>
      <c r="P1599">
        <v>0</v>
      </c>
      <c r="Q1599">
        <v>26660</v>
      </c>
      <c r="R1599">
        <v>3600</v>
      </c>
      <c r="S1599">
        <v>2947</v>
      </c>
      <c r="T1599">
        <v>378553</v>
      </c>
    </row>
    <row r="1600" spans="1:20" x14ac:dyDescent="0.25">
      <c r="A1600" t="s">
        <v>116</v>
      </c>
      <c r="B1600" t="s">
        <v>116</v>
      </c>
      <c r="C1600">
        <v>202512</v>
      </c>
      <c r="D1600" s="47" t="str">
        <f>MID(C1600,1,4)</f>
        <v>2025</v>
      </c>
      <c r="E1600" t="str">
        <f>IF(Portfolio!$M$1=1,CONCATENATE(A1600,C1600),CONCATENATE(B1600,C1600))</f>
        <v>POPEYES202512</v>
      </c>
      <c r="F1600">
        <v>0</v>
      </c>
      <c r="G1600">
        <v>0</v>
      </c>
      <c r="H1600">
        <v>0</v>
      </c>
      <c r="I1600">
        <v>0</v>
      </c>
      <c r="J1600"/>
      <c r="K1600">
        <v>0</v>
      </c>
      <c r="L1600">
        <v>0</v>
      </c>
      <c r="M1600">
        <v>0</v>
      </c>
      <c r="N1600">
        <v>0</v>
      </c>
      <c r="O1600">
        <v>316500</v>
      </c>
      <c r="P1600">
        <v>0</v>
      </c>
      <c r="Q1600">
        <v>0</v>
      </c>
      <c r="R1600">
        <v>0</v>
      </c>
      <c r="S1600">
        <v>0</v>
      </c>
      <c r="T1600">
        <v>2216</v>
      </c>
    </row>
    <row r="1601" spans="1:20" x14ac:dyDescent="0.25">
      <c r="A1601" t="s">
        <v>118</v>
      </c>
      <c r="B1601" t="s">
        <v>118</v>
      </c>
      <c r="C1601">
        <v>202512</v>
      </c>
      <c r="D1601" s="47" t="str">
        <f>MID(C1601,1,4)</f>
        <v>2025</v>
      </c>
      <c r="E1601" t="str">
        <f>IF(Portfolio!$M$1=1,CONCATENATE(A1601,C1601),CONCATENATE(B1601,C1601))</f>
        <v>SARINAH202512</v>
      </c>
      <c r="F1601">
        <v>3</v>
      </c>
      <c r="G1601">
        <v>124</v>
      </c>
      <c r="H1601">
        <v>214</v>
      </c>
      <c r="I1601">
        <v>0</v>
      </c>
      <c r="J1601">
        <v>367</v>
      </c>
      <c r="K1601">
        <v>1793840</v>
      </c>
      <c r="L1601">
        <v>94350404</v>
      </c>
      <c r="M1601">
        <v>244794313</v>
      </c>
      <c r="N1601">
        <v>0</v>
      </c>
      <c r="O1601">
        <v>103071296</v>
      </c>
      <c r="P1601">
        <v>2691</v>
      </c>
      <c r="Q1601">
        <v>931140</v>
      </c>
      <c r="R1601">
        <v>4426736</v>
      </c>
      <c r="S1601">
        <v>0</v>
      </c>
      <c r="T1601">
        <v>131597</v>
      </c>
    </row>
    <row r="1602" spans="1:20" x14ac:dyDescent="0.25">
      <c r="A1602" t="s">
        <v>120</v>
      </c>
      <c r="B1602" t="s">
        <v>120</v>
      </c>
      <c r="C1602">
        <v>202512</v>
      </c>
      <c r="D1602" s="47" t="str">
        <f>MID(C1602,1,4)</f>
        <v>2025</v>
      </c>
      <c r="E1602" t="str">
        <f>IF(Portfolio!$M$1=1,CONCATENATE(A1602,C1602),CONCATENATE(B1602,C1602))</f>
        <v>SHIHLIN202512</v>
      </c>
      <c r="F1602">
        <v>40</v>
      </c>
      <c r="G1602">
        <v>22</v>
      </c>
      <c r="H1602">
        <v>6</v>
      </c>
      <c r="I1602">
        <v>36</v>
      </c>
      <c r="J1602">
        <v>1148</v>
      </c>
      <c r="K1602">
        <v>3085000</v>
      </c>
      <c r="L1602">
        <v>1543000</v>
      </c>
      <c r="M1602">
        <v>578000</v>
      </c>
      <c r="N1602">
        <v>1985000</v>
      </c>
      <c r="O1602">
        <v>135375601</v>
      </c>
      <c r="P1602">
        <v>4628</v>
      </c>
      <c r="Q1602">
        <v>15430</v>
      </c>
      <c r="R1602">
        <v>11560</v>
      </c>
      <c r="S1602">
        <v>4690</v>
      </c>
      <c r="T1602">
        <v>558134</v>
      </c>
    </row>
    <row r="1603" spans="1:20" x14ac:dyDescent="0.25">
      <c r="A1603" t="s">
        <v>122</v>
      </c>
      <c r="B1603" t="s">
        <v>122</v>
      </c>
      <c r="C1603">
        <v>202512</v>
      </c>
      <c r="D1603" s="47" t="str">
        <f>MID(C1603,1,4)</f>
        <v>2025</v>
      </c>
      <c r="E1603" t="str">
        <f>IF(Portfolio!$M$1=1,CONCATENATE(A1603,C1603),CONCATENATE(B1603,C1603))</f>
        <v>SOLARIA202512</v>
      </c>
      <c r="F1603">
        <v>1407</v>
      </c>
      <c r="G1603">
        <v>2</v>
      </c>
      <c r="H1603">
        <v>0</v>
      </c>
      <c r="I1603">
        <v>25</v>
      </c>
      <c r="J1603">
        <v>1527</v>
      </c>
      <c r="K1603">
        <v>250332000</v>
      </c>
      <c r="L1603">
        <v>279000</v>
      </c>
      <c r="M1603">
        <v>0</v>
      </c>
      <c r="N1603">
        <v>3444000</v>
      </c>
      <c r="O1603">
        <v>235315994</v>
      </c>
      <c r="P1603">
        <v>375498</v>
      </c>
      <c r="Q1603">
        <v>2790</v>
      </c>
      <c r="R1603">
        <v>0</v>
      </c>
      <c r="S1603">
        <v>24108</v>
      </c>
      <c r="T1603">
        <v>1647211</v>
      </c>
    </row>
    <row r="1604" spans="1:20" x14ac:dyDescent="0.25">
      <c r="A1604" t="s">
        <v>124</v>
      </c>
      <c r="B1604" t="s">
        <v>124</v>
      </c>
      <c r="C1604">
        <v>202512</v>
      </c>
      <c r="D1604" s="47" t="str">
        <f>MID(C1604,1,4)</f>
        <v>2025</v>
      </c>
      <c r="E1604" t="str">
        <f>IF(Portfolio!$M$1=1,CONCATENATE(A1604,C1604),CONCATENATE(B1604,C1604))</f>
        <v>SOUR SALLY202512</v>
      </c>
      <c r="F1604">
        <v>4</v>
      </c>
      <c r="G1604">
        <v>16</v>
      </c>
      <c r="H1604">
        <v>1</v>
      </c>
      <c r="I1604">
        <v>47</v>
      </c>
      <c r="J1604">
        <v>281</v>
      </c>
      <c r="K1604">
        <v>374000</v>
      </c>
      <c r="L1604">
        <v>1300000</v>
      </c>
      <c r="M1604">
        <v>186000</v>
      </c>
      <c r="N1604">
        <v>3741000</v>
      </c>
      <c r="O1604">
        <v>29579614</v>
      </c>
      <c r="P1604">
        <v>561</v>
      </c>
      <c r="Q1604">
        <v>13000</v>
      </c>
      <c r="R1604">
        <v>3348</v>
      </c>
      <c r="S1604">
        <v>26187</v>
      </c>
      <c r="T1604">
        <v>207057</v>
      </c>
    </row>
    <row r="1605" spans="1:20" x14ac:dyDescent="0.25">
      <c r="A1605" t="s">
        <v>126</v>
      </c>
      <c r="B1605" t="s">
        <v>220</v>
      </c>
      <c r="C1605">
        <v>202512</v>
      </c>
      <c r="D1605" s="47" t="str">
        <f>MID(C1605,1,4)</f>
        <v>2025</v>
      </c>
      <c r="E1605" t="str">
        <f>IF(Portfolio!$M$1=1,CONCATENATE(A1605,C1605),CONCATENATE(B1605,C1605))</f>
        <v>STEVEN GROUP202512</v>
      </c>
      <c r="F1605">
        <v>20</v>
      </c>
      <c r="G1605">
        <v>58</v>
      </c>
      <c r="H1605">
        <v>16</v>
      </c>
      <c r="I1605">
        <v>0</v>
      </c>
      <c r="J1605">
        <v>136</v>
      </c>
      <c r="K1605">
        <v>1830775</v>
      </c>
      <c r="L1605">
        <v>6630555</v>
      </c>
      <c r="M1605">
        <v>1829222</v>
      </c>
      <c r="N1605">
        <v>0</v>
      </c>
      <c r="O1605">
        <v>34073364</v>
      </c>
      <c r="P1605">
        <v>2746</v>
      </c>
      <c r="Q1605">
        <v>66306</v>
      </c>
      <c r="R1605">
        <v>36584</v>
      </c>
      <c r="S1605">
        <v>0</v>
      </c>
      <c r="T1605">
        <v>238497</v>
      </c>
    </row>
    <row r="1606" spans="1:20" x14ac:dyDescent="0.25">
      <c r="A1606" t="s">
        <v>126</v>
      </c>
      <c r="B1606" t="s">
        <v>221</v>
      </c>
      <c r="C1606">
        <v>202512</v>
      </c>
      <c r="D1606" s="47" t="str">
        <f>MID(C1606,1,4)</f>
        <v>2025</v>
      </c>
      <c r="E1606" t="str">
        <f>IF(Portfolio!$M$1=1,CONCATENATE(A1606,C1606),CONCATENATE(B1606,C1606))</f>
        <v>STEVEN GROUP202512</v>
      </c>
      <c r="F1606">
        <v>0</v>
      </c>
      <c r="G1606">
        <v>0</v>
      </c>
      <c r="H1606">
        <v>0</v>
      </c>
      <c r="I1606">
        <v>12</v>
      </c>
      <c r="J1606">
        <v>494</v>
      </c>
      <c r="K1606">
        <v>0</v>
      </c>
      <c r="L1606">
        <v>0</v>
      </c>
      <c r="M1606">
        <v>0</v>
      </c>
      <c r="N1606">
        <v>427500</v>
      </c>
      <c r="O1606">
        <v>15110500</v>
      </c>
      <c r="P1606">
        <v>0</v>
      </c>
      <c r="Q1606">
        <v>0</v>
      </c>
      <c r="R1606">
        <v>0</v>
      </c>
      <c r="S1606">
        <v>0</v>
      </c>
      <c r="T1606">
        <v>1710</v>
      </c>
    </row>
    <row r="1607" spans="1:20" x14ac:dyDescent="0.25">
      <c r="A1607" t="s">
        <v>126</v>
      </c>
      <c r="B1607" t="s">
        <v>222</v>
      </c>
      <c r="C1607">
        <v>202512</v>
      </c>
      <c r="D1607" s="47" t="str">
        <f>MID(C1607,1,4)</f>
        <v>2025</v>
      </c>
      <c r="E1607" t="str">
        <f>IF(Portfolio!$M$1=1,CONCATENATE(A1607,C1607),CONCATENATE(B1607,C1607))</f>
        <v>STEVEN GROUP202512</v>
      </c>
      <c r="F1607">
        <v>1</v>
      </c>
      <c r="G1607">
        <v>0</v>
      </c>
      <c r="H1607">
        <v>0</v>
      </c>
      <c r="I1607">
        <v>0</v>
      </c>
      <c r="J1607">
        <v>1</v>
      </c>
      <c r="K1607">
        <v>412220</v>
      </c>
      <c r="L1607">
        <v>0</v>
      </c>
      <c r="M1607">
        <v>0</v>
      </c>
      <c r="N1607">
        <v>0</v>
      </c>
      <c r="O1607">
        <v>1</v>
      </c>
      <c r="P1607">
        <v>618</v>
      </c>
      <c r="Q1607">
        <v>0</v>
      </c>
      <c r="R1607">
        <v>0</v>
      </c>
      <c r="S1607">
        <v>0</v>
      </c>
      <c r="T1607">
        <v>0</v>
      </c>
    </row>
    <row r="1608" spans="1:20" x14ac:dyDescent="0.25">
      <c r="A1608" t="s">
        <v>126</v>
      </c>
      <c r="B1608" t="s">
        <v>224</v>
      </c>
      <c r="C1608">
        <v>202512</v>
      </c>
      <c r="D1608" s="47" t="str">
        <f>MID(C1608,1,4)</f>
        <v>2025</v>
      </c>
      <c r="E1608" t="str">
        <f>IF(Portfolio!$M$1=1,CONCATENATE(A1608,C1608),CONCATENATE(B1608,C1608))</f>
        <v>STEVEN GROUP202512</v>
      </c>
      <c r="F1608">
        <v>0</v>
      </c>
      <c r="G1608">
        <v>0</v>
      </c>
      <c r="H1608">
        <v>0</v>
      </c>
      <c r="I1608">
        <v>0</v>
      </c>
      <c r="J1608">
        <v>5</v>
      </c>
      <c r="K1608">
        <v>0</v>
      </c>
      <c r="L1608">
        <v>0</v>
      </c>
      <c r="M1608">
        <v>0</v>
      </c>
      <c r="N1608">
        <v>0</v>
      </c>
      <c r="O1608">
        <v>162002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 spans="1:20" x14ac:dyDescent="0.25">
      <c r="A1609" t="s">
        <v>126</v>
      </c>
      <c r="B1609" t="s">
        <v>228</v>
      </c>
      <c r="C1609">
        <v>202512</v>
      </c>
      <c r="D1609" s="47" t="str">
        <f>MID(C1609,1,4)</f>
        <v>2025</v>
      </c>
      <c r="E1609" t="str">
        <f>IF(Portfolio!$M$1=1,CONCATENATE(A1609,C1609),CONCATENATE(B1609,C1609))</f>
        <v>STEVEN GROUP202512</v>
      </c>
      <c r="F1609">
        <v>0</v>
      </c>
      <c r="G1609">
        <v>0</v>
      </c>
      <c r="H1609">
        <v>0</v>
      </c>
      <c r="I1609">
        <v>0</v>
      </c>
      <c r="J1609">
        <v>1726</v>
      </c>
      <c r="K1609">
        <v>0</v>
      </c>
      <c r="L1609">
        <v>0</v>
      </c>
      <c r="M1609">
        <v>0</v>
      </c>
      <c r="N1609">
        <v>0</v>
      </c>
      <c r="O1609">
        <v>172207880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 spans="1:20" x14ac:dyDescent="0.25">
      <c r="A1610" t="s">
        <v>126</v>
      </c>
      <c r="B1610" t="s">
        <v>132</v>
      </c>
      <c r="C1610">
        <v>202512</v>
      </c>
      <c r="D1610" s="47" t="str">
        <f>MID(C1610,1,4)</f>
        <v>2025</v>
      </c>
      <c r="E1610" t="str">
        <f>IF(Portfolio!$M$1=1,CONCATENATE(A1610,C1610),CONCATENATE(B1610,C1610))</f>
        <v>STEVEN GROUP202512</v>
      </c>
      <c r="F1610">
        <v>0</v>
      </c>
      <c r="G1610">
        <v>0</v>
      </c>
      <c r="H1610">
        <v>0</v>
      </c>
      <c r="I1610">
        <v>0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 x14ac:dyDescent="0.25">
      <c r="A1611" t="s">
        <v>128</v>
      </c>
      <c r="B1611" t="s">
        <v>226</v>
      </c>
      <c r="C1611">
        <v>202512</v>
      </c>
      <c r="D1611" s="47" t="str">
        <f>MID(C1611,1,4)</f>
        <v>2025</v>
      </c>
      <c r="E1611" t="str">
        <f>IF(Portfolio!$M$1=1,CONCATENATE(A1611,C1611),CONCATENATE(B1611,C1611))</f>
        <v>SUPRA BOGA LESTARI202512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678838</v>
      </c>
      <c r="L1611">
        <v>0</v>
      </c>
      <c r="M1611">
        <v>0</v>
      </c>
      <c r="N1611">
        <v>0</v>
      </c>
      <c r="O1611">
        <v>0</v>
      </c>
      <c r="P1611">
        <v>1018</v>
      </c>
      <c r="Q1611">
        <v>0</v>
      </c>
      <c r="R1611">
        <v>0</v>
      </c>
      <c r="S1611">
        <v>0</v>
      </c>
      <c r="T1611">
        <v>0</v>
      </c>
    </row>
    <row r="1612" spans="1:20" x14ac:dyDescent="0.25">
      <c r="A1612" t="s">
        <v>138</v>
      </c>
      <c r="B1612" t="s">
        <v>138</v>
      </c>
      <c r="C1612">
        <v>202512</v>
      </c>
      <c r="D1612" s="47" t="str">
        <f>MID(C1612,1,4)</f>
        <v>2025</v>
      </c>
      <c r="E1612" t="str">
        <f>IF(Portfolio!$M$1=1,CONCATENATE(A1612,C1612),CONCATENATE(B1612,C1612))</f>
        <v>YOSHINOYA202512</v>
      </c>
      <c r="F1612">
        <v>359</v>
      </c>
      <c r="G1612">
        <v>6545</v>
      </c>
      <c r="H1612">
        <v>66</v>
      </c>
      <c r="I1612">
        <v>2</v>
      </c>
      <c r="J1612">
        <v>5411</v>
      </c>
      <c r="K1612">
        <v>64299500</v>
      </c>
      <c r="L1612">
        <v>947368200</v>
      </c>
      <c r="M1612">
        <v>8866500</v>
      </c>
      <c r="N1612">
        <v>50000</v>
      </c>
      <c r="O1612">
        <v>1115664116</v>
      </c>
      <c r="P1612">
        <v>96449</v>
      </c>
      <c r="Q1612">
        <v>9473682</v>
      </c>
      <c r="R1612">
        <v>99620</v>
      </c>
      <c r="S1612">
        <v>350</v>
      </c>
      <c r="T1612">
        <v>7809585</v>
      </c>
    </row>
    <row r="1613" spans="1:20" x14ac:dyDescent="0.25">
      <c r="A1613" t="s">
        <v>67</v>
      </c>
      <c r="B1613" t="s">
        <v>68</v>
      </c>
      <c r="C1613">
        <v>202601</v>
      </c>
      <c r="D1613" s="47" t="str">
        <f>MID(C1613,1,4)</f>
        <v>2026</v>
      </c>
      <c r="E1613" t="str">
        <f>IF(Portfolio!$M$1=1,CONCATENATE(A1613,C1613),CONCATENATE(B1613,C1613))</f>
        <v>ALFA GROUP202601</v>
      </c>
      <c r="F1613">
        <v>67052</v>
      </c>
      <c r="G1613">
        <v>71445</v>
      </c>
      <c r="H1613">
        <v>12682</v>
      </c>
      <c r="I1613">
        <v>6</v>
      </c>
      <c r="J1613">
        <v>206</v>
      </c>
      <c r="K1613">
        <v>6925940282</v>
      </c>
      <c r="L1613">
        <v>7526355052</v>
      </c>
      <c r="M1613">
        <v>2270402125</v>
      </c>
      <c r="N1613">
        <v>121000</v>
      </c>
      <c r="O1613">
        <v>7424600</v>
      </c>
      <c r="P1613">
        <v>10388901</v>
      </c>
      <c r="Q1613">
        <v>75131057</v>
      </c>
      <c r="R1613">
        <v>40282887</v>
      </c>
      <c r="S1613">
        <v>0</v>
      </c>
      <c r="T1613">
        <v>827</v>
      </c>
    </row>
    <row r="1614" spans="1:20" x14ac:dyDescent="0.25">
      <c r="A1614" t="s">
        <v>107</v>
      </c>
      <c r="B1614" t="s">
        <v>169</v>
      </c>
      <c r="C1614">
        <v>202601</v>
      </c>
      <c r="D1614" s="47" t="str">
        <f>MID(C1614,1,4)</f>
        <v>2026</v>
      </c>
      <c r="E1614" t="str">
        <f>IF(Portfolio!$M$1=1,CONCATENATE(A1614,C1614),CONCATENATE(B1614,C1614))</f>
        <v>MAP GROUP202601</v>
      </c>
      <c r="F1614">
        <v>643</v>
      </c>
      <c r="G1614">
        <v>398</v>
      </c>
      <c r="H1614">
        <v>1722</v>
      </c>
      <c r="I1614">
        <v>0</v>
      </c>
      <c r="J1614">
        <v>0</v>
      </c>
      <c r="K1614">
        <v>198715056</v>
      </c>
      <c r="L1614">
        <v>100473151</v>
      </c>
      <c r="M1614">
        <v>648794816</v>
      </c>
      <c r="N1614">
        <v>0</v>
      </c>
      <c r="O1614">
        <v>0</v>
      </c>
      <c r="P1614">
        <v>298071</v>
      </c>
      <c r="Q1614">
        <v>1003316</v>
      </c>
      <c r="R1614">
        <v>8434328</v>
      </c>
      <c r="S1614">
        <v>0</v>
      </c>
      <c r="T1614">
        <v>0</v>
      </c>
    </row>
    <row r="1615" spans="1:20" x14ac:dyDescent="0.25">
      <c r="A1615" t="s">
        <v>101</v>
      </c>
      <c r="B1615" t="s">
        <v>101</v>
      </c>
      <c r="C1615">
        <v>202601</v>
      </c>
      <c r="D1615" s="47" t="str">
        <f>MID(C1615,1,4)</f>
        <v>2026</v>
      </c>
      <c r="E1615" t="str">
        <f>IF(Portfolio!$M$1=1,CONCATENATE(A1615,C1615),CONCATENATE(B1615,C1615))</f>
        <v>INDOMARET202601</v>
      </c>
      <c r="F1615">
        <v>82683</v>
      </c>
      <c r="G1615">
        <v>56324</v>
      </c>
      <c r="H1615">
        <v>30441</v>
      </c>
      <c r="I1615">
        <v>0</v>
      </c>
      <c r="J1615">
        <v>46</v>
      </c>
      <c r="K1615">
        <v>8822536997</v>
      </c>
      <c r="L1615">
        <v>5247329494</v>
      </c>
      <c r="M1615">
        <v>4677203978</v>
      </c>
      <c r="N1615">
        <v>0</v>
      </c>
      <c r="O1615">
        <v>3158900</v>
      </c>
      <c r="P1615">
        <v>13233799</v>
      </c>
      <c r="Q1615">
        <v>52215305</v>
      </c>
      <c r="R1615">
        <v>78212063</v>
      </c>
      <c r="S1615">
        <v>0</v>
      </c>
      <c r="T1615">
        <v>3906</v>
      </c>
    </row>
    <row r="1616" spans="1:20" x14ac:dyDescent="0.25">
      <c r="A1616" t="s">
        <v>107</v>
      </c>
      <c r="B1616" t="s">
        <v>206</v>
      </c>
      <c r="C1616">
        <v>202601</v>
      </c>
      <c r="D1616" s="47" t="str">
        <f>MID(C1616,1,4)</f>
        <v>2026</v>
      </c>
      <c r="E1616" t="str">
        <f>IF(Portfolio!$M$1=1,CONCATENATE(A1616,C1616),CONCATENATE(B1616,C1616))</f>
        <v>MAP GROUP202601</v>
      </c>
      <c r="F1616">
        <v>24</v>
      </c>
      <c r="G1616">
        <v>75</v>
      </c>
      <c r="H1616">
        <v>177</v>
      </c>
      <c r="I1616">
        <v>0</v>
      </c>
      <c r="J1616">
        <v>0</v>
      </c>
      <c r="K1616">
        <v>30594560</v>
      </c>
      <c r="L1616">
        <v>113051100</v>
      </c>
      <c r="M1616">
        <v>273421412</v>
      </c>
      <c r="N1616">
        <v>0</v>
      </c>
      <c r="O1616">
        <v>0</v>
      </c>
      <c r="P1616">
        <v>45892</v>
      </c>
      <c r="Q1616">
        <v>1130511</v>
      </c>
      <c r="R1616">
        <v>3554478</v>
      </c>
      <c r="S1616">
        <v>0</v>
      </c>
      <c r="T1616">
        <v>0</v>
      </c>
    </row>
    <row r="1617" spans="1:20" x14ac:dyDescent="0.25">
      <c r="A1617" t="s">
        <v>107</v>
      </c>
      <c r="B1617" t="s">
        <v>200</v>
      </c>
      <c r="C1617">
        <v>202601</v>
      </c>
      <c r="D1617" s="47" t="str">
        <f>MID(C1617,1,4)</f>
        <v>2026</v>
      </c>
      <c r="E1617" t="str">
        <f>IF(Portfolio!$M$1=1,CONCATENATE(A1617,C1617),CONCATENATE(B1617,C1617))</f>
        <v>MAP GROUP202601</v>
      </c>
      <c r="F1617">
        <v>24</v>
      </c>
      <c r="G1617">
        <v>112</v>
      </c>
      <c r="H1617">
        <v>158</v>
      </c>
      <c r="I1617">
        <v>0</v>
      </c>
      <c r="J1617">
        <v>0</v>
      </c>
      <c r="K1617">
        <v>29088240</v>
      </c>
      <c r="L1617">
        <v>122200541</v>
      </c>
      <c r="M1617">
        <v>156674200</v>
      </c>
      <c r="N1617">
        <v>0</v>
      </c>
      <c r="O1617">
        <v>0</v>
      </c>
      <c r="P1617">
        <v>43632</v>
      </c>
      <c r="Q1617">
        <v>1222005</v>
      </c>
      <c r="R1617">
        <v>2036765</v>
      </c>
      <c r="S1617">
        <v>0</v>
      </c>
      <c r="T1617">
        <v>0</v>
      </c>
    </row>
    <row r="1618" spans="1:20" x14ac:dyDescent="0.25">
      <c r="A1618" t="s">
        <v>107</v>
      </c>
      <c r="B1618" t="s">
        <v>176</v>
      </c>
      <c r="C1618">
        <v>202601</v>
      </c>
      <c r="D1618" s="47" t="str">
        <f>MID(C1618,1,4)</f>
        <v>2026</v>
      </c>
      <c r="E1618" t="str">
        <f>IF(Portfolio!$M$1=1,CONCATENATE(A1618,C1618),CONCATENATE(B1618,C1618))</f>
        <v>MAP GROUP202601</v>
      </c>
      <c r="F1618">
        <v>369</v>
      </c>
      <c r="G1618">
        <v>1257</v>
      </c>
      <c r="H1618">
        <v>1773</v>
      </c>
      <c r="I1618">
        <v>0</v>
      </c>
      <c r="J1618">
        <v>0</v>
      </c>
      <c r="K1618">
        <v>168596572</v>
      </c>
      <c r="L1618">
        <v>714263055</v>
      </c>
      <c r="M1618">
        <v>1213208643</v>
      </c>
      <c r="N1618">
        <v>0</v>
      </c>
      <c r="O1618">
        <v>0</v>
      </c>
      <c r="P1618">
        <v>252895</v>
      </c>
      <c r="Q1618">
        <v>7142631</v>
      </c>
      <c r="R1618">
        <v>15771712</v>
      </c>
      <c r="S1618">
        <v>0</v>
      </c>
      <c r="T1618">
        <v>0</v>
      </c>
    </row>
    <row r="1619" spans="1:20" x14ac:dyDescent="0.25">
      <c r="A1619" t="s">
        <v>107</v>
      </c>
      <c r="B1619" t="s">
        <v>199</v>
      </c>
      <c r="C1619">
        <v>202601</v>
      </c>
      <c r="D1619" s="47" t="str">
        <f>MID(C1619,1,4)</f>
        <v>2026</v>
      </c>
      <c r="E1619" t="str">
        <f>IF(Portfolio!$M$1=1,CONCATENATE(A1619,C1619),CONCATENATE(B1619,C1619))</f>
        <v>MAP GROUP202601</v>
      </c>
      <c r="F1619">
        <v>582</v>
      </c>
      <c r="G1619">
        <v>1680</v>
      </c>
      <c r="H1619">
        <v>1796</v>
      </c>
      <c r="I1619">
        <v>0</v>
      </c>
      <c r="J1619">
        <v>0</v>
      </c>
      <c r="K1619">
        <v>772635656</v>
      </c>
      <c r="L1619">
        <v>2083507844</v>
      </c>
      <c r="M1619">
        <v>2310174070</v>
      </c>
      <c r="N1619">
        <v>0</v>
      </c>
      <c r="O1619">
        <v>0</v>
      </c>
      <c r="P1619">
        <v>1158953</v>
      </c>
      <c r="Q1619">
        <v>20835078</v>
      </c>
      <c r="R1619">
        <v>30032263</v>
      </c>
      <c r="S1619">
        <v>0</v>
      </c>
      <c r="T1619">
        <v>0</v>
      </c>
    </row>
    <row r="1620" spans="1:20" x14ac:dyDescent="0.25">
      <c r="A1620" t="s">
        <v>107</v>
      </c>
      <c r="B1620" t="s">
        <v>151</v>
      </c>
      <c r="C1620">
        <v>202601</v>
      </c>
      <c r="D1620" s="47" t="str">
        <f>MID(C1620,1,4)</f>
        <v>2026</v>
      </c>
      <c r="E1620" t="str">
        <f>IF(Portfolio!$M$1=1,CONCATENATE(A1620,C1620),CONCATENATE(B1620,C1620))</f>
        <v>MAP GROUP202601</v>
      </c>
      <c r="F1620">
        <v>67</v>
      </c>
      <c r="G1620">
        <v>190</v>
      </c>
      <c r="H1620">
        <v>245</v>
      </c>
      <c r="I1620">
        <v>0</v>
      </c>
      <c r="J1620">
        <v>0</v>
      </c>
      <c r="K1620">
        <v>111486000</v>
      </c>
      <c r="L1620">
        <v>309466000</v>
      </c>
      <c r="M1620">
        <v>402455200</v>
      </c>
      <c r="N1620">
        <v>0</v>
      </c>
      <c r="O1620">
        <v>0</v>
      </c>
      <c r="P1620">
        <v>167229</v>
      </c>
      <c r="Q1620">
        <v>3070110</v>
      </c>
      <c r="R1620">
        <v>5231918</v>
      </c>
      <c r="S1620">
        <v>0</v>
      </c>
      <c r="T1620">
        <v>0</v>
      </c>
    </row>
    <row r="1621" spans="1:20" x14ac:dyDescent="0.25">
      <c r="A1621" t="s">
        <v>107</v>
      </c>
      <c r="B1621" t="s">
        <v>189</v>
      </c>
      <c r="C1621">
        <v>202601</v>
      </c>
      <c r="D1621" s="47" t="str">
        <f>MID(C1621,1,4)</f>
        <v>2026</v>
      </c>
      <c r="E1621" t="str">
        <f>IF(Portfolio!$M$1=1,CONCATENATE(A1621,C1621),CONCATENATE(B1621,C1621))</f>
        <v>MAP GROUP202601</v>
      </c>
      <c r="F1621">
        <v>174</v>
      </c>
      <c r="G1621">
        <v>631</v>
      </c>
      <c r="H1621">
        <v>1012</v>
      </c>
      <c r="I1621">
        <v>0</v>
      </c>
      <c r="J1621">
        <v>0</v>
      </c>
      <c r="K1621">
        <v>223677200</v>
      </c>
      <c r="L1621">
        <v>818556735</v>
      </c>
      <c r="M1621">
        <v>1386106753</v>
      </c>
      <c r="N1621">
        <v>0</v>
      </c>
      <c r="O1621">
        <v>0</v>
      </c>
      <c r="P1621">
        <v>335516</v>
      </c>
      <c r="Q1621">
        <v>8147634</v>
      </c>
      <c r="R1621">
        <v>18019388</v>
      </c>
      <c r="S1621">
        <v>0</v>
      </c>
      <c r="T1621">
        <v>0</v>
      </c>
    </row>
    <row r="1622" spans="1:20" x14ac:dyDescent="0.25">
      <c r="A1622" t="s">
        <v>107</v>
      </c>
      <c r="B1622" t="s">
        <v>203</v>
      </c>
      <c r="C1622">
        <v>202601</v>
      </c>
      <c r="D1622" s="47" t="str">
        <f>MID(C1622,1,4)</f>
        <v>2026</v>
      </c>
      <c r="E1622" t="str">
        <f>IF(Portfolio!$M$1=1,CONCATENATE(A1622,C1622),CONCATENATE(B1622,C1622))</f>
        <v>MAP GROUP202601</v>
      </c>
      <c r="F1622">
        <v>2391</v>
      </c>
      <c r="G1622">
        <v>6239</v>
      </c>
      <c r="H1622">
        <v>4994</v>
      </c>
      <c r="I1622">
        <v>0</v>
      </c>
      <c r="J1622">
        <v>0</v>
      </c>
      <c r="K1622">
        <v>1365094156</v>
      </c>
      <c r="L1622">
        <v>4189517869</v>
      </c>
      <c r="M1622">
        <v>3360530464</v>
      </c>
      <c r="N1622">
        <v>0</v>
      </c>
      <c r="O1622">
        <v>0</v>
      </c>
      <c r="P1622">
        <v>2047641</v>
      </c>
      <c r="Q1622">
        <v>41834955</v>
      </c>
      <c r="R1622">
        <v>43686896</v>
      </c>
      <c r="S1622">
        <v>0</v>
      </c>
      <c r="T1622">
        <v>0</v>
      </c>
    </row>
    <row r="1623" spans="1:20" x14ac:dyDescent="0.25">
      <c r="A1623" t="s">
        <v>112</v>
      </c>
      <c r="B1623" t="s">
        <v>216</v>
      </c>
      <c r="C1623">
        <v>202601</v>
      </c>
      <c r="D1623" s="47" t="str">
        <f>MID(C1623,1,4)</f>
        <v>2026</v>
      </c>
      <c r="E1623" t="str">
        <f>IF(Portfolio!$M$1=1,CONCATENATE(A1623,C1623),CONCATENATE(B1623,C1623))</f>
        <v>PERTAMINA RETAIL202601</v>
      </c>
      <c r="F1623">
        <v>202</v>
      </c>
      <c r="G1623">
        <v>2113</v>
      </c>
      <c r="H1623">
        <v>187</v>
      </c>
      <c r="I1623">
        <v>14</v>
      </c>
      <c r="J1623">
        <v>4500</v>
      </c>
      <c r="K1623">
        <v>33761856</v>
      </c>
      <c r="L1623">
        <v>394534661</v>
      </c>
      <c r="M1623">
        <v>48476781</v>
      </c>
      <c r="N1623">
        <v>1712900</v>
      </c>
      <c r="O1623">
        <v>857745617</v>
      </c>
      <c r="P1623">
        <v>50643</v>
      </c>
      <c r="Q1623">
        <v>3337420</v>
      </c>
      <c r="R1623">
        <v>872582</v>
      </c>
      <c r="S1623">
        <v>5652</v>
      </c>
      <c r="T1623">
        <v>967581</v>
      </c>
    </row>
    <row r="1624" spans="1:20" x14ac:dyDescent="0.25">
      <c r="A1624" t="s">
        <v>107</v>
      </c>
      <c r="B1624" t="s">
        <v>205</v>
      </c>
      <c r="C1624">
        <v>202601</v>
      </c>
      <c r="D1624" s="47" t="str">
        <f>MID(C1624,1,4)</f>
        <v>2026</v>
      </c>
      <c r="E1624" t="str">
        <f>IF(Portfolio!$M$1=1,CONCATENATE(A1624,C1624),CONCATENATE(B1624,C1624))</f>
        <v>MAP GROUP202601</v>
      </c>
      <c r="F1624">
        <v>1294</v>
      </c>
      <c r="G1624">
        <v>1718</v>
      </c>
      <c r="H1624">
        <v>8107</v>
      </c>
      <c r="I1624">
        <v>0</v>
      </c>
      <c r="J1624">
        <v>0</v>
      </c>
      <c r="K1624">
        <v>227658600</v>
      </c>
      <c r="L1624">
        <v>254024847</v>
      </c>
      <c r="M1624">
        <v>1075701092</v>
      </c>
      <c r="N1624">
        <v>0</v>
      </c>
      <c r="O1624">
        <v>0</v>
      </c>
      <c r="P1624">
        <v>341488</v>
      </c>
      <c r="Q1624">
        <v>2266489</v>
      </c>
      <c r="R1624">
        <v>13984114</v>
      </c>
      <c r="S1624">
        <v>0</v>
      </c>
      <c r="T1624">
        <v>0</v>
      </c>
    </row>
    <row r="1625" spans="1:20" x14ac:dyDescent="0.25">
      <c r="A1625" t="s">
        <v>107</v>
      </c>
      <c r="B1625" t="s">
        <v>198</v>
      </c>
      <c r="C1625">
        <v>202601</v>
      </c>
      <c r="D1625" s="47" t="str">
        <f>MID(C1625,1,4)</f>
        <v>2026</v>
      </c>
      <c r="E1625" t="str">
        <f>IF(Portfolio!$M$1=1,CONCATENATE(A1625,C1625),CONCATENATE(B1625,C1625))</f>
        <v>MAP GROUP202601</v>
      </c>
      <c r="F1625">
        <v>234</v>
      </c>
      <c r="G1625">
        <v>0</v>
      </c>
      <c r="H1625">
        <v>0</v>
      </c>
      <c r="I1625">
        <v>0</v>
      </c>
      <c r="J1625">
        <v>0</v>
      </c>
      <c r="K1625">
        <v>360465300</v>
      </c>
      <c r="L1625">
        <v>0</v>
      </c>
      <c r="M1625">
        <v>0</v>
      </c>
      <c r="N1625">
        <v>0</v>
      </c>
      <c r="O1625">
        <v>0</v>
      </c>
      <c r="P1625">
        <v>540698</v>
      </c>
      <c r="Q1625">
        <v>0</v>
      </c>
      <c r="R1625">
        <v>0</v>
      </c>
      <c r="S1625">
        <v>0</v>
      </c>
      <c r="T1625">
        <v>0</v>
      </c>
    </row>
    <row r="1626" spans="1:20" x14ac:dyDescent="0.25">
      <c r="A1626" t="s">
        <v>70</v>
      </c>
      <c r="B1626" t="s">
        <v>70</v>
      </c>
      <c r="C1626">
        <v>202601</v>
      </c>
      <c r="D1626" s="47" t="str">
        <f>MID(C1626,1,4)</f>
        <v>2026</v>
      </c>
      <c r="E1626" t="str">
        <f>IF(Portfolio!$M$1=1,CONCATENATE(A1626,C1626),CONCATENATE(B1626,C1626))</f>
        <v>ANCOL202601</v>
      </c>
      <c r="F1626">
        <v>130</v>
      </c>
      <c r="G1626">
        <v>1167</v>
      </c>
      <c r="H1626">
        <v>400</v>
      </c>
      <c r="I1626">
        <v>7</v>
      </c>
      <c r="J1626">
        <v>4926</v>
      </c>
      <c r="K1626">
        <v>68584000</v>
      </c>
      <c r="L1626">
        <v>947511400</v>
      </c>
      <c r="M1626">
        <v>430263650</v>
      </c>
      <c r="N1626">
        <v>385000</v>
      </c>
      <c r="O1626">
        <v>5231242856</v>
      </c>
      <c r="P1626">
        <v>102876</v>
      </c>
      <c r="Q1626">
        <v>9467674</v>
      </c>
      <c r="R1626">
        <v>7627645</v>
      </c>
      <c r="S1626">
        <v>0</v>
      </c>
      <c r="T1626">
        <v>36502193</v>
      </c>
    </row>
    <row r="1627" spans="1:20" x14ac:dyDescent="0.25">
      <c r="A1627" t="s">
        <v>107</v>
      </c>
      <c r="B1627" t="s">
        <v>170</v>
      </c>
      <c r="C1627">
        <v>202601</v>
      </c>
      <c r="D1627" s="47" t="str">
        <f>MID(C1627,1,4)</f>
        <v>2026</v>
      </c>
      <c r="E1627" t="str">
        <f>IF(Portfolio!$M$1=1,CONCATENATE(A1627,C1627),CONCATENATE(B1627,C1627))</f>
        <v>MAP GROUP202601</v>
      </c>
      <c r="F1627">
        <v>357</v>
      </c>
      <c r="G1627">
        <v>818</v>
      </c>
      <c r="H1627">
        <v>894</v>
      </c>
      <c r="I1627">
        <v>0</v>
      </c>
      <c r="J1627">
        <v>0</v>
      </c>
      <c r="K1627">
        <v>599698200</v>
      </c>
      <c r="L1627">
        <v>1326250400</v>
      </c>
      <c r="M1627">
        <v>1546464672</v>
      </c>
      <c r="N1627">
        <v>0</v>
      </c>
      <c r="O1627">
        <v>0</v>
      </c>
      <c r="P1627">
        <v>899547</v>
      </c>
      <c r="Q1627">
        <v>13262504</v>
      </c>
      <c r="R1627">
        <v>20104041</v>
      </c>
      <c r="S1627">
        <v>0</v>
      </c>
      <c r="T1627">
        <v>0</v>
      </c>
    </row>
    <row r="1628" spans="1:20" x14ac:dyDescent="0.25">
      <c r="A1628" t="s">
        <v>102</v>
      </c>
      <c r="B1628" t="s">
        <v>123</v>
      </c>
      <c r="C1628">
        <v>202601</v>
      </c>
      <c r="D1628" s="47" t="str">
        <f>MID(C1628,1,4)</f>
        <v>2026</v>
      </c>
      <c r="E1628" t="str">
        <f>IF(Portfolio!$M$1=1,CONCATENATE(A1628,C1628),CONCATENATE(B1628,C1628))</f>
        <v>KAWAN LAMA202601</v>
      </c>
      <c r="F1628">
        <v>4309</v>
      </c>
      <c r="G1628">
        <v>0</v>
      </c>
      <c r="H1628">
        <v>0</v>
      </c>
      <c r="I1628">
        <v>0</v>
      </c>
      <c r="J1628">
        <v>0</v>
      </c>
      <c r="K1628">
        <v>4051457960</v>
      </c>
      <c r="L1628">
        <v>0</v>
      </c>
      <c r="M1628">
        <v>0</v>
      </c>
      <c r="N1628">
        <v>0</v>
      </c>
      <c r="O1628">
        <v>183882764</v>
      </c>
      <c r="P1628">
        <v>6077182</v>
      </c>
      <c r="Q1628">
        <v>0</v>
      </c>
      <c r="R1628">
        <v>0</v>
      </c>
      <c r="S1628">
        <v>0</v>
      </c>
      <c r="T1628">
        <v>1287179</v>
      </c>
    </row>
    <row r="1629" spans="1:20" x14ac:dyDescent="0.25">
      <c r="A1629" t="s">
        <v>102</v>
      </c>
      <c r="B1629" t="s">
        <v>125</v>
      </c>
      <c r="C1629">
        <v>202601</v>
      </c>
      <c r="D1629" s="47" t="str">
        <f>MID(C1629,1,4)</f>
        <v>2026</v>
      </c>
      <c r="E1629" t="str">
        <f>IF(Portfolio!$M$1=1,CONCATENATE(A1629,C1629),CONCATENATE(B1629,C1629))</f>
        <v>KAWAN LAMA202601</v>
      </c>
      <c r="F1629">
        <v>957</v>
      </c>
      <c r="G1629">
        <v>5</v>
      </c>
      <c r="H1629">
        <v>3</v>
      </c>
      <c r="I1629">
        <v>0</v>
      </c>
      <c r="J1629">
        <v>0</v>
      </c>
      <c r="K1629">
        <v>133525120</v>
      </c>
      <c r="L1629">
        <v>369000</v>
      </c>
      <c r="M1629">
        <v>648000</v>
      </c>
      <c r="N1629">
        <v>0</v>
      </c>
      <c r="O1629">
        <v>3157006</v>
      </c>
      <c r="P1629">
        <v>200288</v>
      </c>
      <c r="Q1629">
        <v>3690</v>
      </c>
      <c r="R1629">
        <v>11664</v>
      </c>
      <c r="S1629">
        <v>0</v>
      </c>
      <c r="T1629">
        <v>22099</v>
      </c>
    </row>
    <row r="1630" spans="1:20" x14ac:dyDescent="0.25">
      <c r="A1630" t="s">
        <v>107</v>
      </c>
      <c r="B1630" t="s">
        <v>162</v>
      </c>
      <c r="C1630">
        <v>202601</v>
      </c>
      <c r="D1630" s="47" t="str">
        <f>MID(C1630,1,4)</f>
        <v>2026</v>
      </c>
      <c r="E1630" t="str">
        <f>IF(Portfolio!$M$1=1,CONCATENATE(A1630,C1630),CONCATENATE(B1630,C1630))</f>
        <v>MAP GROUP202601</v>
      </c>
      <c r="F1630">
        <v>172</v>
      </c>
      <c r="G1630">
        <v>357</v>
      </c>
      <c r="H1630">
        <v>280</v>
      </c>
      <c r="I1630">
        <v>0</v>
      </c>
      <c r="J1630">
        <v>0</v>
      </c>
      <c r="K1630">
        <v>173496920</v>
      </c>
      <c r="L1630">
        <v>355606116</v>
      </c>
      <c r="M1630">
        <v>270622605</v>
      </c>
      <c r="N1630">
        <v>0</v>
      </c>
      <c r="O1630">
        <v>0</v>
      </c>
      <c r="P1630">
        <v>260245</v>
      </c>
      <c r="Q1630">
        <v>3552471</v>
      </c>
      <c r="R1630">
        <v>3518094</v>
      </c>
      <c r="S1630">
        <v>0</v>
      </c>
      <c r="T1630">
        <v>0</v>
      </c>
    </row>
    <row r="1631" spans="1:20" x14ac:dyDescent="0.25">
      <c r="A1631" t="s">
        <v>107</v>
      </c>
      <c r="B1631" t="s">
        <v>186</v>
      </c>
      <c r="C1631">
        <v>202601</v>
      </c>
      <c r="D1631" s="47" t="str">
        <f>MID(C1631,1,4)</f>
        <v>2026</v>
      </c>
      <c r="E1631" t="str">
        <f>IF(Portfolio!$M$1=1,CONCATENATE(A1631,C1631),CONCATENATE(B1631,C1631))</f>
        <v>MAP GROUP202601</v>
      </c>
      <c r="F1631">
        <v>492</v>
      </c>
      <c r="G1631">
        <v>904</v>
      </c>
      <c r="H1631">
        <v>549</v>
      </c>
      <c r="I1631">
        <v>0</v>
      </c>
      <c r="J1631">
        <v>0</v>
      </c>
      <c r="K1631">
        <v>223981200</v>
      </c>
      <c r="L1631">
        <v>408957400</v>
      </c>
      <c r="M1631">
        <v>257931052</v>
      </c>
      <c r="N1631">
        <v>0</v>
      </c>
      <c r="O1631">
        <v>0</v>
      </c>
      <c r="P1631">
        <v>335972</v>
      </c>
      <c r="Q1631">
        <v>4087844</v>
      </c>
      <c r="R1631">
        <v>3353104</v>
      </c>
      <c r="S1631">
        <v>0</v>
      </c>
      <c r="T1631">
        <v>0</v>
      </c>
    </row>
    <row r="1632" spans="1:20" x14ac:dyDescent="0.25">
      <c r="A1632" t="s">
        <v>107</v>
      </c>
      <c r="B1632" t="s">
        <v>154</v>
      </c>
      <c r="C1632">
        <v>202601</v>
      </c>
      <c r="D1632" s="47" t="str">
        <f>MID(C1632,1,4)</f>
        <v>2026</v>
      </c>
      <c r="E1632" t="str">
        <f>IF(Portfolio!$M$1=1,CONCATENATE(A1632,C1632),CONCATENATE(B1632,C1632))</f>
        <v>MAP GROUP202601</v>
      </c>
      <c r="F1632">
        <v>37</v>
      </c>
      <c r="G1632">
        <v>125</v>
      </c>
      <c r="H1632">
        <v>239</v>
      </c>
      <c r="I1632">
        <v>0</v>
      </c>
      <c r="J1632">
        <v>0</v>
      </c>
      <c r="K1632">
        <v>115522800</v>
      </c>
      <c r="L1632">
        <v>266408000</v>
      </c>
      <c r="M1632">
        <v>537847943</v>
      </c>
      <c r="N1632">
        <v>0</v>
      </c>
      <c r="O1632">
        <v>0</v>
      </c>
      <c r="P1632">
        <v>173284</v>
      </c>
      <c r="Q1632">
        <v>2664080</v>
      </c>
      <c r="R1632">
        <v>6992023</v>
      </c>
      <c r="S1632">
        <v>0</v>
      </c>
      <c r="T1632">
        <v>0</v>
      </c>
    </row>
    <row r="1633" spans="1:20" x14ac:dyDescent="0.25">
      <c r="A1633" t="s">
        <v>122</v>
      </c>
      <c r="B1633" t="s">
        <v>122</v>
      </c>
      <c r="C1633">
        <v>202601</v>
      </c>
      <c r="D1633" s="47" t="str">
        <f>MID(C1633,1,4)</f>
        <v>2026</v>
      </c>
      <c r="E1633" t="str">
        <f>IF(Portfolio!$M$1=1,CONCATENATE(A1633,C1633),CONCATENATE(B1633,C1633))</f>
        <v>SOLARIA202601</v>
      </c>
      <c r="F1633">
        <v>4199</v>
      </c>
      <c r="G1633">
        <v>1</v>
      </c>
      <c r="H1633">
        <v>0</v>
      </c>
      <c r="I1633">
        <v>2</v>
      </c>
      <c r="J1633">
        <v>257</v>
      </c>
      <c r="K1633">
        <v>752401200</v>
      </c>
      <c r="L1633">
        <v>64000</v>
      </c>
      <c r="M1633">
        <v>0</v>
      </c>
      <c r="N1633">
        <v>296000</v>
      </c>
      <c r="O1633">
        <v>39618100</v>
      </c>
      <c r="P1633">
        <v>1128602</v>
      </c>
      <c r="Q1633">
        <v>640</v>
      </c>
      <c r="R1633">
        <v>0</v>
      </c>
      <c r="S1633">
        <v>2072</v>
      </c>
      <c r="T1633">
        <v>277327</v>
      </c>
    </row>
    <row r="1634" spans="1:20" x14ac:dyDescent="0.25">
      <c r="A1634" t="s">
        <v>120</v>
      </c>
      <c r="B1634" t="s">
        <v>120</v>
      </c>
      <c r="C1634">
        <v>202601</v>
      </c>
      <c r="D1634" s="47" t="str">
        <f>MID(C1634,1,4)</f>
        <v>2026</v>
      </c>
      <c r="E1634" t="str">
        <f>IF(Portfolio!$M$1=1,CONCATENATE(A1634,C1634),CONCATENATE(B1634,C1634))</f>
        <v>SHIHLIN202601</v>
      </c>
      <c r="F1634">
        <v>144</v>
      </c>
      <c r="G1634">
        <v>19</v>
      </c>
      <c r="H1634">
        <v>7</v>
      </c>
      <c r="I1634">
        <v>10</v>
      </c>
      <c r="J1634">
        <v>128</v>
      </c>
      <c r="K1634">
        <v>11054000</v>
      </c>
      <c r="L1634">
        <v>1628000</v>
      </c>
      <c r="M1634">
        <v>450000</v>
      </c>
      <c r="N1634">
        <v>598000</v>
      </c>
      <c r="O1634">
        <v>90330001</v>
      </c>
      <c r="P1634">
        <v>16581</v>
      </c>
      <c r="Q1634">
        <v>16280</v>
      </c>
      <c r="R1634">
        <v>9000</v>
      </c>
      <c r="S1634">
        <v>4046</v>
      </c>
      <c r="T1634">
        <v>616350</v>
      </c>
    </row>
    <row r="1635" spans="1:20" x14ac:dyDescent="0.25">
      <c r="A1635" t="s">
        <v>107</v>
      </c>
      <c r="B1635" t="s">
        <v>167</v>
      </c>
      <c r="C1635">
        <v>202601</v>
      </c>
      <c r="D1635" s="47" t="str">
        <f>MID(C1635,1,4)</f>
        <v>2026</v>
      </c>
      <c r="E1635" t="str">
        <f>IF(Portfolio!$M$1=1,CONCATENATE(A1635,C1635),CONCATENATE(B1635,C1635))</f>
        <v>MAP GROUP202601</v>
      </c>
      <c r="F1635">
        <v>16</v>
      </c>
      <c r="G1635">
        <v>40</v>
      </c>
      <c r="H1635">
        <v>98</v>
      </c>
      <c r="I1635">
        <v>0</v>
      </c>
      <c r="J1635">
        <v>0</v>
      </c>
      <c r="K1635">
        <v>16026000</v>
      </c>
      <c r="L1635">
        <v>65478030</v>
      </c>
      <c r="M1635">
        <v>145566989</v>
      </c>
      <c r="N1635">
        <v>0</v>
      </c>
      <c r="O1635">
        <v>0</v>
      </c>
      <c r="P1635">
        <v>24039</v>
      </c>
      <c r="Q1635">
        <v>654780</v>
      </c>
      <c r="R1635">
        <v>1892371</v>
      </c>
      <c r="S1635">
        <v>0</v>
      </c>
      <c r="T1635">
        <v>0</v>
      </c>
    </row>
    <row r="1636" spans="1:20" x14ac:dyDescent="0.25">
      <c r="A1636" t="s">
        <v>102</v>
      </c>
      <c r="B1636" t="s">
        <v>135</v>
      </c>
      <c r="C1636">
        <v>202601</v>
      </c>
      <c r="D1636" s="47" t="str">
        <f>MID(C1636,1,4)</f>
        <v>2026</v>
      </c>
      <c r="E1636" t="str">
        <f>IF(Portfolio!$M$1=1,CONCATENATE(A1636,C1636),CONCATENATE(B1636,C1636))</f>
        <v>KAWAN LAMA202601</v>
      </c>
      <c r="F1636">
        <v>1341</v>
      </c>
      <c r="G1636">
        <v>0</v>
      </c>
      <c r="H1636">
        <v>0</v>
      </c>
      <c r="I1636">
        <v>0</v>
      </c>
      <c r="J1636">
        <v>0</v>
      </c>
      <c r="K1636">
        <v>5616666741</v>
      </c>
      <c r="L1636">
        <v>0</v>
      </c>
      <c r="M1636">
        <v>0</v>
      </c>
      <c r="N1636">
        <v>0</v>
      </c>
      <c r="O1636">
        <v>173770190</v>
      </c>
      <c r="P1636">
        <v>8425000</v>
      </c>
      <c r="Q1636">
        <v>0</v>
      </c>
      <c r="R1636">
        <v>0</v>
      </c>
      <c r="S1636">
        <v>0</v>
      </c>
      <c r="T1636">
        <v>1216392</v>
      </c>
    </row>
    <row r="1637" spans="1:20" x14ac:dyDescent="0.25">
      <c r="A1637" t="s">
        <v>107</v>
      </c>
      <c r="B1637" t="s">
        <v>156</v>
      </c>
      <c r="C1637">
        <v>202601</v>
      </c>
      <c r="D1637" s="47" t="str">
        <f>MID(C1637,1,4)</f>
        <v>2026</v>
      </c>
      <c r="E1637" t="str">
        <f>IF(Portfolio!$M$1=1,CONCATENATE(A1637,C1637),CONCATENATE(B1637,C1637))</f>
        <v>MAP GROUP202601</v>
      </c>
      <c r="F1637">
        <v>4</v>
      </c>
      <c r="G1637">
        <v>6</v>
      </c>
      <c r="H1637">
        <v>15</v>
      </c>
      <c r="I1637">
        <v>0</v>
      </c>
      <c r="J1637">
        <v>0</v>
      </c>
      <c r="K1637">
        <v>6026000</v>
      </c>
      <c r="L1637">
        <v>8173860</v>
      </c>
      <c r="M1637">
        <v>29093800</v>
      </c>
      <c r="N1637">
        <v>0</v>
      </c>
      <c r="O1637">
        <v>0</v>
      </c>
      <c r="P1637">
        <v>9039</v>
      </c>
      <c r="Q1637">
        <v>81739</v>
      </c>
      <c r="R1637">
        <v>378219</v>
      </c>
      <c r="S1637">
        <v>0</v>
      </c>
      <c r="T1637">
        <v>0</v>
      </c>
    </row>
    <row r="1638" spans="1:20" x14ac:dyDescent="0.25">
      <c r="A1638" t="s">
        <v>109</v>
      </c>
      <c r="B1638" t="s">
        <v>109</v>
      </c>
      <c r="C1638">
        <v>202601</v>
      </c>
      <c r="D1638" s="47" t="str">
        <f>MID(C1638,1,4)</f>
        <v>2026</v>
      </c>
      <c r="E1638" t="str">
        <f>IF(Portfolio!$M$1=1,CONCATENATE(A1638,C1638),CONCATENATE(B1638,C1638))</f>
        <v>MITRA10202601</v>
      </c>
      <c r="F1638">
        <v>1743</v>
      </c>
      <c r="G1638">
        <v>1</v>
      </c>
      <c r="H1638">
        <v>1</v>
      </c>
      <c r="I1638">
        <v>0</v>
      </c>
      <c r="J1638">
        <v>0</v>
      </c>
      <c r="K1638">
        <v>3806105549</v>
      </c>
      <c r="L1638">
        <v>427500</v>
      </c>
      <c r="M1638">
        <v>700900</v>
      </c>
      <c r="N1638">
        <v>0</v>
      </c>
      <c r="O1638">
        <v>0</v>
      </c>
      <c r="P1638">
        <v>5709153</v>
      </c>
      <c r="Q1638">
        <v>4275</v>
      </c>
      <c r="R1638">
        <v>14018</v>
      </c>
      <c r="S1638">
        <v>0</v>
      </c>
      <c r="T1638">
        <v>0</v>
      </c>
    </row>
    <row r="1639" spans="1:20" x14ac:dyDescent="0.25">
      <c r="A1639" t="s">
        <v>107</v>
      </c>
      <c r="B1639" t="s">
        <v>182</v>
      </c>
      <c r="C1639">
        <v>202601</v>
      </c>
      <c r="D1639" s="47" t="str">
        <f>MID(C1639,1,4)</f>
        <v>2026</v>
      </c>
      <c r="E1639" t="str">
        <f>IF(Portfolio!$M$1=1,CONCATENATE(A1639,C1639),CONCATENATE(B1639,C1639))</f>
        <v>MAP GROUP202601</v>
      </c>
      <c r="F1639">
        <v>141</v>
      </c>
      <c r="G1639">
        <v>402</v>
      </c>
      <c r="H1639">
        <v>492</v>
      </c>
      <c r="I1639">
        <v>0</v>
      </c>
      <c r="J1639">
        <v>0</v>
      </c>
      <c r="K1639">
        <v>253811040</v>
      </c>
      <c r="L1639">
        <v>597909890</v>
      </c>
      <c r="M1639">
        <v>778029639</v>
      </c>
      <c r="N1639">
        <v>0</v>
      </c>
      <c r="O1639">
        <v>0</v>
      </c>
      <c r="P1639">
        <v>380717</v>
      </c>
      <c r="Q1639">
        <v>5939213</v>
      </c>
      <c r="R1639">
        <v>10114385</v>
      </c>
      <c r="S1639">
        <v>0</v>
      </c>
      <c r="T1639">
        <v>0</v>
      </c>
    </row>
    <row r="1640" spans="1:20" x14ac:dyDescent="0.25">
      <c r="A1640" t="s">
        <v>76</v>
      </c>
      <c r="B1640" t="s">
        <v>76</v>
      </c>
      <c r="C1640">
        <v>202601</v>
      </c>
      <c r="D1640" s="47" t="str">
        <f>MID(C1640,1,4)</f>
        <v>2026</v>
      </c>
      <c r="E1640" t="str">
        <f>IF(Portfolio!$M$1=1,CONCATENATE(A1640,C1640),CONCATENATE(B1640,C1640))</f>
        <v>DAMRI202601</v>
      </c>
      <c r="F1640">
        <v>0</v>
      </c>
      <c r="G1640">
        <v>7</v>
      </c>
      <c r="H1640">
        <v>0</v>
      </c>
      <c r="I1640">
        <v>0</v>
      </c>
      <c r="J1640">
        <v>11</v>
      </c>
      <c r="K1640">
        <v>0</v>
      </c>
      <c r="L1640">
        <v>2015000</v>
      </c>
      <c r="M1640">
        <v>0</v>
      </c>
      <c r="N1640">
        <v>0</v>
      </c>
      <c r="O1640">
        <v>3335000</v>
      </c>
      <c r="P1640">
        <v>0</v>
      </c>
      <c r="Q1640">
        <v>20150</v>
      </c>
      <c r="R1640">
        <v>0</v>
      </c>
      <c r="S1640">
        <v>0</v>
      </c>
      <c r="T1640">
        <v>23345</v>
      </c>
    </row>
    <row r="1641" spans="1:20" x14ac:dyDescent="0.25">
      <c r="A1641" t="s">
        <v>114</v>
      </c>
      <c r="B1641" t="s">
        <v>218</v>
      </c>
      <c r="C1641">
        <v>202601</v>
      </c>
      <c r="D1641" s="47" t="str">
        <f>MID(C1641,1,4)</f>
        <v>2026</v>
      </c>
      <c r="E1641" t="str">
        <f>IF(Portfolio!$M$1=1,CONCATENATE(A1641,C1641),CONCATENATE(B1641,C1641))</f>
        <v>PIZZA HUT202601</v>
      </c>
      <c r="F1641">
        <v>583</v>
      </c>
      <c r="G1641">
        <v>0</v>
      </c>
      <c r="H1641">
        <v>0</v>
      </c>
      <c r="I1641">
        <v>0</v>
      </c>
      <c r="J1641">
        <v>24</v>
      </c>
      <c r="K1641">
        <v>161761427</v>
      </c>
      <c r="L1641">
        <v>0</v>
      </c>
      <c r="M1641">
        <v>0</v>
      </c>
      <c r="N1641">
        <v>0</v>
      </c>
      <c r="O1641">
        <v>1065000</v>
      </c>
      <c r="P1641">
        <v>242641</v>
      </c>
      <c r="Q1641">
        <v>0</v>
      </c>
      <c r="R1641">
        <v>0</v>
      </c>
      <c r="S1641">
        <v>0</v>
      </c>
      <c r="T1641">
        <v>0</v>
      </c>
    </row>
    <row r="1642" spans="1:20" x14ac:dyDescent="0.25">
      <c r="A1642" t="s">
        <v>138</v>
      </c>
      <c r="B1642" t="s">
        <v>138</v>
      </c>
      <c r="C1642">
        <v>202601</v>
      </c>
      <c r="D1642" s="47" t="str">
        <f>MID(C1642,1,4)</f>
        <v>2026</v>
      </c>
      <c r="E1642" t="str">
        <f>IF(Portfolio!$M$1=1,CONCATENATE(A1642,C1642),CONCATENATE(B1642,C1642))</f>
        <v>YOSHINOYA202601</v>
      </c>
      <c r="F1642">
        <v>1032</v>
      </c>
      <c r="G1642">
        <v>18</v>
      </c>
      <c r="H1642">
        <v>1</v>
      </c>
      <c r="I1642">
        <v>0</v>
      </c>
      <c r="J1642">
        <v>1166</v>
      </c>
      <c r="K1642">
        <v>166054700</v>
      </c>
      <c r="L1642">
        <v>2383500</v>
      </c>
      <c r="M1642">
        <v>124000</v>
      </c>
      <c r="N1642">
        <v>0</v>
      </c>
      <c r="O1642">
        <v>569666805</v>
      </c>
      <c r="P1642">
        <v>249082</v>
      </c>
      <c r="Q1642">
        <v>23835</v>
      </c>
      <c r="R1642">
        <v>1364</v>
      </c>
      <c r="S1642">
        <v>0</v>
      </c>
      <c r="T1642">
        <v>3987634</v>
      </c>
    </row>
    <row r="1643" spans="1:20" x14ac:dyDescent="0.25">
      <c r="A1643" t="s">
        <v>107</v>
      </c>
      <c r="B1643" t="s">
        <v>204</v>
      </c>
      <c r="C1643">
        <v>202601</v>
      </c>
      <c r="D1643" s="47" t="str">
        <f>MID(C1643,1,4)</f>
        <v>2026</v>
      </c>
      <c r="E1643" t="str">
        <f>IF(Portfolio!$M$1=1,CONCATENATE(A1643,C1643),CONCATENATE(B1643,C1643))</f>
        <v>MAP GROUP202601</v>
      </c>
      <c r="F1643">
        <v>47</v>
      </c>
      <c r="G1643">
        <v>107</v>
      </c>
      <c r="H1643">
        <v>219</v>
      </c>
      <c r="I1643">
        <v>0</v>
      </c>
      <c r="J1643">
        <v>0</v>
      </c>
      <c r="K1643">
        <v>96352400</v>
      </c>
      <c r="L1643">
        <v>206373200</v>
      </c>
      <c r="M1643">
        <v>446358707</v>
      </c>
      <c r="N1643">
        <v>0</v>
      </c>
      <c r="O1643">
        <v>0</v>
      </c>
      <c r="P1643">
        <v>144529</v>
      </c>
      <c r="Q1643">
        <v>2063732</v>
      </c>
      <c r="R1643">
        <v>5802663</v>
      </c>
      <c r="S1643">
        <v>0</v>
      </c>
      <c r="T1643">
        <v>0</v>
      </c>
    </row>
    <row r="1644" spans="1:20" x14ac:dyDescent="0.25">
      <c r="A1644" t="s">
        <v>107</v>
      </c>
      <c r="B1644" t="s">
        <v>163</v>
      </c>
      <c r="C1644">
        <v>202601</v>
      </c>
      <c r="D1644" s="47" t="str">
        <f>MID(C1644,1,4)</f>
        <v>2026</v>
      </c>
      <c r="E1644" t="str">
        <f>IF(Portfolio!$M$1=1,CONCATENATE(A1644,C1644),CONCATENATE(B1644,C1644))</f>
        <v>MAP GROUP202601</v>
      </c>
      <c r="F1644">
        <v>242</v>
      </c>
      <c r="G1644">
        <v>793</v>
      </c>
      <c r="H1644">
        <v>739</v>
      </c>
      <c r="I1644">
        <v>0</v>
      </c>
      <c r="J1644">
        <v>0</v>
      </c>
      <c r="K1644">
        <v>371720720</v>
      </c>
      <c r="L1644">
        <v>1103110770</v>
      </c>
      <c r="M1644">
        <v>986726136</v>
      </c>
      <c r="N1644">
        <v>0</v>
      </c>
      <c r="O1644">
        <v>0</v>
      </c>
      <c r="P1644">
        <v>557581</v>
      </c>
      <c r="Q1644">
        <v>10974931</v>
      </c>
      <c r="R1644">
        <v>12827440</v>
      </c>
      <c r="S1644">
        <v>0</v>
      </c>
      <c r="T1644">
        <v>0</v>
      </c>
    </row>
    <row r="1645" spans="1:20" x14ac:dyDescent="0.25">
      <c r="A1645" t="s">
        <v>74</v>
      </c>
      <c r="B1645" t="s">
        <v>74</v>
      </c>
      <c r="C1645">
        <v>202601</v>
      </c>
      <c r="D1645" s="47" t="str">
        <f>MID(C1645,1,4)</f>
        <v>2026</v>
      </c>
      <c r="E1645" t="str">
        <f>IF(Portfolio!$M$1=1,CONCATENATE(A1645,C1645),CONCATENATE(B1645,C1645))</f>
        <v>BEARD PAPA202601</v>
      </c>
      <c r="F1645">
        <v>60</v>
      </c>
      <c r="G1645">
        <v>0</v>
      </c>
      <c r="H1645">
        <v>0</v>
      </c>
      <c r="I1645">
        <v>0</v>
      </c>
      <c r="J1645">
        <v>5</v>
      </c>
      <c r="K1645">
        <v>5965000</v>
      </c>
      <c r="L1645">
        <v>0</v>
      </c>
      <c r="M1645">
        <v>0</v>
      </c>
      <c r="N1645">
        <v>0</v>
      </c>
      <c r="O1645">
        <v>12136004</v>
      </c>
      <c r="P1645">
        <v>8948</v>
      </c>
      <c r="Q1645">
        <v>0</v>
      </c>
      <c r="R1645">
        <v>0</v>
      </c>
      <c r="S1645">
        <v>0</v>
      </c>
      <c r="T1645">
        <v>84952</v>
      </c>
    </row>
    <row r="1646" spans="1:20" x14ac:dyDescent="0.25">
      <c r="A1646" t="s">
        <v>67</v>
      </c>
      <c r="B1646" t="s">
        <v>72</v>
      </c>
      <c r="C1646">
        <v>202601</v>
      </c>
      <c r="D1646" s="47" t="str">
        <f>MID(C1646,1,4)</f>
        <v>2026</v>
      </c>
      <c r="E1646" t="str">
        <f>IF(Portfolio!$M$1=1,CONCATENATE(A1646,C1646),CONCATENATE(B1646,C1646))</f>
        <v>ALFA GROUP202601</v>
      </c>
      <c r="F1646">
        <v>900</v>
      </c>
      <c r="G1646">
        <v>1162</v>
      </c>
      <c r="H1646">
        <v>198</v>
      </c>
      <c r="I1646">
        <v>0</v>
      </c>
      <c r="J1646">
        <v>0</v>
      </c>
      <c r="K1646">
        <v>140342304</v>
      </c>
      <c r="L1646">
        <v>175463902</v>
      </c>
      <c r="M1646">
        <v>43011098</v>
      </c>
      <c r="N1646">
        <v>0</v>
      </c>
      <c r="O1646">
        <v>0</v>
      </c>
      <c r="P1646">
        <v>210513</v>
      </c>
      <c r="Q1646">
        <v>1753344</v>
      </c>
      <c r="R1646">
        <v>772077</v>
      </c>
      <c r="S1646">
        <v>0</v>
      </c>
      <c r="T1646">
        <v>0</v>
      </c>
    </row>
    <row r="1647" spans="1:20" x14ac:dyDescent="0.25">
      <c r="A1647" t="s">
        <v>75</v>
      </c>
      <c r="B1647" t="s">
        <v>85</v>
      </c>
      <c r="C1647">
        <v>202601</v>
      </c>
      <c r="D1647" s="47" t="str">
        <f>MID(C1647,1,4)</f>
        <v>2026</v>
      </c>
      <c r="E1647" t="str">
        <f>IF(Portfolio!$M$1=1,CONCATENATE(A1647,C1647),CONCATENATE(B1647,C1647))</f>
        <v>CHAMP RESTO202601</v>
      </c>
      <c r="F1647">
        <v>36</v>
      </c>
      <c r="G1647">
        <v>7</v>
      </c>
      <c r="H1647">
        <v>0</v>
      </c>
      <c r="I1647">
        <v>0</v>
      </c>
      <c r="J1647">
        <v>103</v>
      </c>
      <c r="K1647">
        <v>4757956</v>
      </c>
      <c r="L1647">
        <v>1119680</v>
      </c>
      <c r="M1647">
        <v>0</v>
      </c>
      <c r="N1647">
        <v>0</v>
      </c>
      <c r="O1647">
        <v>31813691</v>
      </c>
      <c r="P1647">
        <v>7137</v>
      </c>
      <c r="Q1647">
        <v>11197</v>
      </c>
      <c r="R1647">
        <v>0</v>
      </c>
      <c r="S1647">
        <v>0</v>
      </c>
      <c r="T1647">
        <v>222689</v>
      </c>
    </row>
    <row r="1648" spans="1:20" x14ac:dyDescent="0.25">
      <c r="A1648" t="s">
        <v>107</v>
      </c>
      <c r="B1648" t="s">
        <v>168</v>
      </c>
      <c r="C1648">
        <v>202601</v>
      </c>
      <c r="D1648" s="47" t="str">
        <f>MID(C1648,1,4)</f>
        <v>2026</v>
      </c>
      <c r="E1648" t="str">
        <f>IF(Portfolio!$M$1=1,CONCATENATE(A1648,C1648),CONCATENATE(B1648,C1648))</f>
        <v>MAP GROUP202601</v>
      </c>
      <c r="F1648">
        <v>95</v>
      </c>
      <c r="G1648">
        <v>1</v>
      </c>
      <c r="H1648">
        <v>1</v>
      </c>
      <c r="I1648">
        <v>0</v>
      </c>
      <c r="J1648">
        <v>0</v>
      </c>
      <c r="K1648">
        <v>13503000</v>
      </c>
      <c r="L1648">
        <v>89000</v>
      </c>
      <c r="M1648">
        <v>65000</v>
      </c>
      <c r="N1648">
        <v>0</v>
      </c>
      <c r="O1648">
        <v>0</v>
      </c>
      <c r="P1648">
        <v>20254</v>
      </c>
      <c r="Q1648">
        <v>890</v>
      </c>
      <c r="R1648">
        <v>845</v>
      </c>
      <c r="S1648">
        <v>0</v>
      </c>
      <c r="T1648">
        <v>0</v>
      </c>
    </row>
    <row r="1649" spans="1:20" x14ac:dyDescent="0.25">
      <c r="A1649" t="s">
        <v>107</v>
      </c>
      <c r="B1649" t="s">
        <v>152</v>
      </c>
      <c r="C1649">
        <v>202601</v>
      </c>
      <c r="D1649" s="47" t="str">
        <f>MID(C1649,1,4)</f>
        <v>2026</v>
      </c>
      <c r="E1649" t="str">
        <f>IF(Portfolio!$M$1=1,CONCATENATE(A1649,C1649),CONCATENATE(B1649,C1649))</f>
        <v>MAP GROUP202601</v>
      </c>
      <c r="F1649">
        <v>44</v>
      </c>
      <c r="G1649">
        <v>80</v>
      </c>
      <c r="H1649">
        <v>152</v>
      </c>
      <c r="I1649">
        <v>0</v>
      </c>
      <c r="J1649">
        <v>0</v>
      </c>
      <c r="K1649">
        <v>48382720</v>
      </c>
      <c r="L1649">
        <v>111711450</v>
      </c>
      <c r="M1649">
        <v>210836641</v>
      </c>
      <c r="N1649">
        <v>0</v>
      </c>
      <c r="O1649">
        <v>0</v>
      </c>
      <c r="P1649">
        <v>72574</v>
      </c>
      <c r="Q1649">
        <v>1097507</v>
      </c>
      <c r="R1649">
        <v>2740876</v>
      </c>
      <c r="S1649">
        <v>0</v>
      </c>
      <c r="T1649">
        <v>0</v>
      </c>
    </row>
    <row r="1650" spans="1:20" x14ac:dyDescent="0.25">
      <c r="A1650" t="s">
        <v>107</v>
      </c>
      <c r="B1650" t="s">
        <v>179</v>
      </c>
      <c r="C1650">
        <v>202601</v>
      </c>
      <c r="D1650" s="47" t="str">
        <f>MID(C1650,1,4)</f>
        <v>2026</v>
      </c>
      <c r="E1650" t="str">
        <f>IF(Portfolio!$M$1=1,CONCATENATE(A1650,C1650),CONCATENATE(B1650,C1650))</f>
        <v>MAP GROUP202601</v>
      </c>
      <c r="F1650">
        <v>8</v>
      </c>
      <c r="G1650">
        <v>9</v>
      </c>
      <c r="H1650">
        <v>30</v>
      </c>
      <c r="I1650">
        <v>0</v>
      </c>
      <c r="J1650">
        <v>0</v>
      </c>
      <c r="K1650">
        <v>4654000</v>
      </c>
      <c r="L1650">
        <v>7657178</v>
      </c>
      <c r="M1650">
        <v>36856444</v>
      </c>
      <c r="N1650">
        <v>0</v>
      </c>
      <c r="O1650">
        <v>0</v>
      </c>
      <c r="P1650">
        <v>6981</v>
      </c>
      <c r="Q1650">
        <v>76572</v>
      </c>
      <c r="R1650">
        <v>479134</v>
      </c>
      <c r="S1650">
        <v>0</v>
      </c>
      <c r="T1650">
        <v>0</v>
      </c>
    </row>
    <row r="1651" spans="1:20" x14ac:dyDescent="0.25">
      <c r="A1651" t="s">
        <v>107</v>
      </c>
      <c r="B1651" t="s">
        <v>207</v>
      </c>
      <c r="C1651">
        <v>202601</v>
      </c>
      <c r="D1651" s="47" t="str">
        <f>MID(C1651,1,4)</f>
        <v>2026</v>
      </c>
      <c r="E1651" t="str">
        <f>IF(Portfolio!$M$1=1,CONCATENATE(A1651,C1651),CONCATENATE(B1651,C1651))</f>
        <v>MAP GROUP202601</v>
      </c>
      <c r="F1651">
        <v>321</v>
      </c>
      <c r="G1651">
        <v>364</v>
      </c>
      <c r="H1651">
        <v>943</v>
      </c>
      <c r="I1651">
        <v>0</v>
      </c>
      <c r="J1651">
        <v>0</v>
      </c>
      <c r="K1651">
        <v>28914900</v>
      </c>
      <c r="L1651">
        <v>41898950</v>
      </c>
      <c r="M1651">
        <v>107574425</v>
      </c>
      <c r="N1651">
        <v>0</v>
      </c>
      <c r="O1651">
        <v>0</v>
      </c>
      <c r="P1651">
        <v>43372</v>
      </c>
      <c r="Q1651">
        <v>408420</v>
      </c>
      <c r="R1651">
        <v>1398468</v>
      </c>
      <c r="S1651">
        <v>0</v>
      </c>
      <c r="T1651">
        <v>0</v>
      </c>
    </row>
    <row r="1652" spans="1:20" x14ac:dyDescent="0.25">
      <c r="A1652" t="s">
        <v>107</v>
      </c>
      <c r="B1652" t="s">
        <v>172</v>
      </c>
      <c r="C1652">
        <v>202601</v>
      </c>
      <c r="D1652" s="47" t="str">
        <f>MID(C1652,1,4)</f>
        <v>2026</v>
      </c>
      <c r="E1652" t="str">
        <f>IF(Portfolio!$M$1=1,CONCATENATE(A1652,C1652),CONCATENATE(B1652,C1652))</f>
        <v>MAP GROUP202601</v>
      </c>
      <c r="F1652">
        <v>7</v>
      </c>
      <c r="G1652">
        <v>56</v>
      </c>
      <c r="H1652">
        <v>117</v>
      </c>
      <c r="I1652">
        <v>0</v>
      </c>
      <c r="J1652">
        <v>0</v>
      </c>
      <c r="K1652">
        <v>10280600</v>
      </c>
      <c r="L1652">
        <v>101927213</v>
      </c>
      <c r="M1652">
        <v>230532474</v>
      </c>
      <c r="N1652">
        <v>0</v>
      </c>
      <c r="O1652">
        <v>0</v>
      </c>
      <c r="P1652">
        <v>15421</v>
      </c>
      <c r="Q1652">
        <v>1000212</v>
      </c>
      <c r="R1652">
        <v>2996922</v>
      </c>
      <c r="S1652">
        <v>0</v>
      </c>
      <c r="T1652">
        <v>0</v>
      </c>
    </row>
    <row r="1653" spans="1:20" x14ac:dyDescent="0.25">
      <c r="A1653" t="s">
        <v>107</v>
      </c>
      <c r="B1653" t="s">
        <v>150</v>
      </c>
      <c r="C1653">
        <v>202601</v>
      </c>
      <c r="D1653" s="47" t="str">
        <f>MID(C1653,1,4)</f>
        <v>2026</v>
      </c>
      <c r="E1653" t="str">
        <f>IF(Portfolio!$M$1=1,CONCATENATE(A1653,C1653),CONCATENATE(B1653,C1653))</f>
        <v>MAP GROUP202601</v>
      </c>
      <c r="F1653">
        <v>4</v>
      </c>
      <c r="G1653">
        <v>11</v>
      </c>
      <c r="H1653">
        <v>20</v>
      </c>
      <c r="I1653">
        <v>0</v>
      </c>
      <c r="J1653">
        <v>0</v>
      </c>
      <c r="K1653">
        <v>6234000</v>
      </c>
      <c r="L1653">
        <v>18837060</v>
      </c>
      <c r="M1653">
        <v>34081140</v>
      </c>
      <c r="N1653">
        <v>0</v>
      </c>
      <c r="O1653">
        <v>0</v>
      </c>
      <c r="P1653">
        <v>9351</v>
      </c>
      <c r="Q1653">
        <v>188371</v>
      </c>
      <c r="R1653">
        <v>443055</v>
      </c>
      <c r="S1653">
        <v>0</v>
      </c>
      <c r="T1653">
        <v>0</v>
      </c>
    </row>
    <row r="1654" spans="1:20" x14ac:dyDescent="0.25">
      <c r="A1654" t="s">
        <v>107</v>
      </c>
      <c r="B1654" t="s">
        <v>183</v>
      </c>
      <c r="C1654">
        <v>202601</v>
      </c>
      <c r="D1654" s="47" t="str">
        <f>MID(C1654,1,4)</f>
        <v>2026</v>
      </c>
      <c r="E1654" t="str">
        <f>IF(Portfolio!$M$1=1,CONCATENATE(A1654,C1654),CONCATENATE(B1654,C1654))</f>
        <v>MAP GROUP202601</v>
      </c>
      <c r="F1654">
        <v>78</v>
      </c>
      <c r="G1654">
        <v>254</v>
      </c>
      <c r="H1654">
        <v>255</v>
      </c>
      <c r="I1654">
        <v>0</v>
      </c>
      <c r="J1654">
        <v>0</v>
      </c>
      <c r="K1654">
        <v>87637920</v>
      </c>
      <c r="L1654">
        <v>266833679</v>
      </c>
      <c r="M1654">
        <v>275549260</v>
      </c>
      <c r="N1654">
        <v>0</v>
      </c>
      <c r="O1654">
        <v>0</v>
      </c>
      <c r="P1654">
        <v>131457</v>
      </c>
      <c r="Q1654">
        <v>2668337</v>
      </c>
      <c r="R1654">
        <v>3582140</v>
      </c>
      <c r="S1654">
        <v>0</v>
      </c>
      <c r="T1654">
        <v>0</v>
      </c>
    </row>
    <row r="1655" spans="1:20" x14ac:dyDescent="0.25">
      <c r="A1655" t="s">
        <v>102</v>
      </c>
      <c r="B1655" t="s">
        <v>137</v>
      </c>
      <c r="C1655">
        <v>202601</v>
      </c>
      <c r="D1655" s="47" t="str">
        <f>MID(C1655,1,4)</f>
        <v>2026</v>
      </c>
      <c r="E1655" t="str">
        <f>IF(Portfolio!$M$1=1,CONCATENATE(A1655,C1655),CONCATENATE(B1655,C1655))</f>
        <v>KAWAN LAMA202601</v>
      </c>
      <c r="F1655">
        <v>159</v>
      </c>
      <c r="G1655">
        <v>0</v>
      </c>
      <c r="H1655">
        <v>0</v>
      </c>
      <c r="I1655">
        <v>0</v>
      </c>
      <c r="J1655">
        <v>0</v>
      </c>
      <c r="K1655">
        <v>877943576</v>
      </c>
      <c r="L1655">
        <v>0</v>
      </c>
      <c r="M1655">
        <v>0</v>
      </c>
      <c r="N1655">
        <v>0</v>
      </c>
      <c r="O1655">
        <v>24643950</v>
      </c>
      <c r="P1655">
        <v>1316915</v>
      </c>
      <c r="Q1655">
        <v>0</v>
      </c>
      <c r="R1655">
        <v>0</v>
      </c>
      <c r="S1655">
        <v>0</v>
      </c>
      <c r="T1655">
        <v>172508</v>
      </c>
    </row>
    <row r="1656" spans="1:20" x14ac:dyDescent="0.25">
      <c r="A1656" t="s">
        <v>101</v>
      </c>
      <c r="B1656" t="s">
        <v>117</v>
      </c>
      <c r="C1656">
        <v>202601</v>
      </c>
      <c r="D1656" s="47" t="str">
        <f>MID(C1656,1,4)</f>
        <v>2026</v>
      </c>
      <c r="E1656" t="str">
        <f>IF(Portfolio!$M$1=1,CONCATENATE(A1656,C1656),CONCATENATE(B1656,C1656))</f>
        <v>INDOMARET202601</v>
      </c>
      <c r="F1656">
        <v>318</v>
      </c>
      <c r="G1656">
        <v>262</v>
      </c>
      <c r="H1656">
        <v>160</v>
      </c>
      <c r="I1656">
        <v>0</v>
      </c>
      <c r="J1656">
        <v>0</v>
      </c>
      <c r="K1656">
        <v>24994700</v>
      </c>
      <c r="L1656">
        <v>22728990</v>
      </c>
      <c r="M1656">
        <v>24706700</v>
      </c>
      <c r="N1656">
        <v>0</v>
      </c>
      <c r="O1656">
        <v>0</v>
      </c>
      <c r="P1656">
        <v>37492</v>
      </c>
      <c r="Q1656">
        <v>223175</v>
      </c>
      <c r="R1656">
        <v>407840</v>
      </c>
      <c r="S1656">
        <v>0</v>
      </c>
      <c r="T1656">
        <v>0</v>
      </c>
    </row>
    <row r="1657" spans="1:20" x14ac:dyDescent="0.25">
      <c r="A1657" t="s">
        <v>102</v>
      </c>
      <c r="B1657" t="s">
        <v>142</v>
      </c>
      <c r="C1657">
        <v>202601</v>
      </c>
      <c r="D1657" s="47" t="str">
        <f>MID(C1657,1,4)</f>
        <v>2026</v>
      </c>
      <c r="E1657" t="str">
        <f>IF(Portfolio!$M$1=1,CONCATENATE(A1657,C1657),CONCATENATE(B1657,C1657))</f>
        <v>KAWAN LAMA202601</v>
      </c>
      <c r="F1657">
        <v>118</v>
      </c>
      <c r="G1657">
        <v>0</v>
      </c>
      <c r="H1657">
        <v>0</v>
      </c>
      <c r="I1657">
        <v>1</v>
      </c>
      <c r="J1657">
        <v>6</v>
      </c>
      <c r="K1657">
        <v>133754300</v>
      </c>
      <c r="L1657">
        <v>0</v>
      </c>
      <c r="M1657">
        <v>0</v>
      </c>
      <c r="N1657">
        <v>95000</v>
      </c>
      <c r="O1657">
        <v>10062682</v>
      </c>
      <c r="P1657">
        <v>200631</v>
      </c>
      <c r="Q1657">
        <v>0</v>
      </c>
      <c r="R1657">
        <v>0</v>
      </c>
      <c r="S1657">
        <v>0</v>
      </c>
      <c r="T1657">
        <v>66122</v>
      </c>
    </row>
    <row r="1658" spans="1:20" x14ac:dyDescent="0.25">
      <c r="A1658" t="s">
        <v>102</v>
      </c>
      <c r="B1658" t="s">
        <v>145</v>
      </c>
      <c r="C1658">
        <v>202601</v>
      </c>
      <c r="D1658" s="47" t="str">
        <f>MID(C1658,1,4)</f>
        <v>2026</v>
      </c>
      <c r="E1658" t="str">
        <f>IF(Portfolio!$M$1=1,CONCATENATE(A1658,C1658),CONCATENATE(B1658,C1658))</f>
        <v>KAWAN LAMA202601</v>
      </c>
      <c r="F1658">
        <v>55</v>
      </c>
      <c r="G1658">
        <v>0</v>
      </c>
      <c r="H1658">
        <v>0</v>
      </c>
      <c r="I1658">
        <v>7</v>
      </c>
      <c r="J1658">
        <v>0</v>
      </c>
      <c r="K1658">
        <v>29066144</v>
      </c>
      <c r="L1658">
        <v>0</v>
      </c>
      <c r="M1658">
        <v>0</v>
      </c>
      <c r="N1658">
        <v>1058865</v>
      </c>
      <c r="O1658">
        <v>0</v>
      </c>
      <c r="P1658">
        <v>43599</v>
      </c>
      <c r="Q1658">
        <v>0</v>
      </c>
      <c r="R1658">
        <v>0</v>
      </c>
      <c r="S1658">
        <v>7412</v>
      </c>
      <c r="T1658">
        <v>0</v>
      </c>
    </row>
    <row r="1659" spans="1:20" x14ac:dyDescent="0.25">
      <c r="A1659" t="s">
        <v>75</v>
      </c>
      <c r="B1659" t="s">
        <v>81</v>
      </c>
      <c r="C1659">
        <v>202601</v>
      </c>
      <c r="D1659" s="47" t="str">
        <f>MID(C1659,1,4)</f>
        <v>2026</v>
      </c>
      <c r="E1659" t="str">
        <f>IF(Portfolio!$M$1=1,CONCATENATE(A1659,C1659),CONCATENATE(B1659,C1659))</f>
        <v>CHAMP RESTO202601</v>
      </c>
      <c r="F1659">
        <v>8</v>
      </c>
      <c r="G1659">
        <v>0</v>
      </c>
      <c r="H1659">
        <v>0</v>
      </c>
      <c r="I1659">
        <v>0</v>
      </c>
      <c r="J1659">
        <v>2</v>
      </c>
      <c r="K1659">
        <v>2684800</v>
      </c>
      <c r="L1659">
        <v>0</v>
      </c>
      <c r="M1659">
        <v>0</v>
      </c>
      <c r="N1659">
        <v>0</v>
      </c>
      <c r="O1659">
        <v>1997700</v>
      </c>
      <c r="P1659">
        <v>4027</v>
      </c>
      <c r="Q1659">
        <v>0</v>
      </c>
      <c r="R1659">
        <v>0</v>
      </c>
      <c r="S1659">
        <v>0</v>
      </c>
      <c r="T1659">
        <v>13984</v>
      </c>
    </row>
    <row r="1660" spans="1:20" x14ac:dyDescent="0.25">
      <c r="A1660" t="s">
        <v>107</v>
      </c>
      <c r="B1660" t="s">
        <v>191</v>
      </c>
      <c r="C1660">
        <v>202601</v>
      </c>
      <c r="D1660" s="47" t="str">
        <f>MID(C1660,1,4)</f>
        <v>2026</v>
      </c>
      <c r="E1660" t="str">
        <f>IF(Portfolio!$M$1=1,CONCATENATE(A1660,C1660),CONCATENATE(B1660,C1660))</f>
        <v>MAP GROUP202601</v>
      </c>
      <c r="F1660">
        <v>53</v>
      </c>
      <c r="G1660">
        <v>124</v>
      </c>
      <c r="H1660">
        <v>170</v>
      </c>
      <c r="I1660">
        <v>0</v>
      </c>
      <c r="J1660">
        <v>0</v>
      </c>
      <c r="K1660">
        <v>58344400</v>
      </c>
      <c r="L1660">
        <v>163633600</v>
      </c>
      <c r="M1660">
        <v>213866072</v>
      </c>
      <c r="N1660">
        <v>0</v>
      </c>
      <c r="O1660">
        <v>0</v>
      </c>
      <c r="P1660">
        <v>87517</v>
      </c>
      <c r="Q1660">
        <v>1636336</v>
      </c>
      <c r="R1660">
        <v>2780259</v>
      </c>
      <c r="S1660">
        <v>0</v>
      </c>
      <c r="T1660">
        <v>0</v>
      </c>
    </row>
    <row r="1661" spans="1:20" x14ac:dyDescent="0.25">
      <c r="A1661" t="s">
        <v>107</v>
      </c>
      <c r="B1661" t="s">
        <v>159</v>
      </c>
      <c r="C1661">
        <v>202601</v>
      </c>
      <c r="D1661" s="47" t="str">
        <f>MID(C1661,1,4)</f>
        <v>2026</v>
      </c>
      <c r="E1661" t="str">
        <f>IF(Portfolio!$M$1=1,CONCATENATE(A1661,C1661),CONCATENATE(B1661,C1661))</f>
        <v>MAP GROUP202601</v>
      </c>
      <c r="F1661">
        <v>32</v>
      </c>
      <c r="G1661">
        <v>114</v>
      </c>
      <c r="H1661">
        <v>255</v>
      </c>
      <c r="I1661">
        <v>0</v>
      </c>
      <c r="J1661">
        <v>0</v>
      </c>
      <c r="K1661">
        <v>52197800</v>
      </c>
      <c r="L1661">
        <v>269440642</v>
      </c>
      <c r="M1661">
        <v>575066632</v>
      </c>
      <c r="N1661">
        <v>0</v>
      </c>
      <c r="O1661">
        <v>0</v>
      </c>
      <c r="P1661">
        <v>78297</v>
      </c>
      <c r="Q1661">
        <v>2694406</v>
      </c>
      <c r="R1661">
        <v>7475866</v>
      </c>
      <c r="S1661">
        <v>0</v>
      </c>
      <c r="T1661">
        <v>0</v>
      </c>
    </row>
    <row r="1662" spans="1:20" x14ac:dyDescent="0.25">
      <c r="A1662" t="s">
        <v>107</v>
      </c>
      <c r="B1662" t="s">
        <v>171</v>
      </c>
      <c r="C1662">
        <v>202601</v>
      </c>
      <c r="D1662" s="47" t="str">
        <f>MID(C1662,1,4)</f>
        <v>2026</v>
      </c>
      <c r="E1662" t="str">
        <f>IF(Portfolio!$M$1=1,CONCATENATE(A1662,C1662),CONCATENATE(B1662,C1662))</f>
        <v>MAP GROUP202601</v>
      </c>
      <c r="F1662">
        <v>0</v>
      </c>
      <c r="G1662">
        <v>6</v>
      </c>
      <c r="H1662">
        <v>5</v>
      </c>
      <c r="I1662">
        <v>0</v>
      </c>
      <c r="J1662">
        <v>0</v>
      </c>
      <c r="K1662">
        <v>0</v>
      </c>
      <c r="L1662">
        <v>1377000</v>
      </c>
      <c r="M1662">
        <v>2495000</v>
      </c>
      <c r="N1662">
        <v>0</v>
      </c>
      <c r="O1662">
        <v>0</v>
      </c>
      <c r="P1662">
        <v>0</v>
      </c>
      <c r="Q1662">
        <v>13770</v>
      </c>
      <c r="R1662">
        <v>32435</v>
      </c>
      <c r="S1662">
        <v>0</v>
      </c>
      <c r="T1662">
        <v>0</v>
      </c>
    </row>
    <row r="1663" spans="1:20" x14ac:dyDescent="0.25">
      <c r="A1663" t="s">
        <v>107</v>
      </c>
      <c r="B1663" t="s">
        <v>178</v>
      </c>
      <c r="C1663">
        <v>202601</v>
      </c>
      <c r="D1663" s="47" t="str">
        <f>MID(C1663,1,4)</f>
        <v>2026</v>
      </c>
      <c r="E1663" t="str">
        <f>IF(Portfolio!$M$1=1,CONCATENATE(A1663,C1663),CONCATENATE(B1663,C1663))</f>
        <v>MAP GROUP202601</v>
      </c>
      <c r="F1663">
        <v>49</v>
      </c>
      <c r="G1663">
        <v>275</v>
      </c>
      <c r="H1663">
        <v>459</v>
      </c>
      <c r="I1663">
        <v>0</v>
      </c>
      <c r="J1663">
        <v>46</v>
      </c>
      <c r="K1663">
        <v>34179900</v>
      </c>
      <c r="L1663">
        <v>231224101</v>
      </c>
      <c r="M1663">
        <v>635032083</v>
      </c>
      <c r="N1663">
        <v>0</v>
      </c>
      <c r="O1663">
        <v>371000</v>
      </c>
      <c r="P1663">
        <v>51270</v>
      </c>
      <c r="Q1663">
        <v>2312241</v>
      </c>
      <c r="R1663">
        <v>8256587</v>
      </c>
      <c r="S1663">
        <v>0</v>
      </c>
      <c r="T1663">
        <v>0</v>
      </c>
    </row>
    <row r="1664" spans="1:20" x14ac:dyDescent="0.25">
      <c r="A1664" t="s">
        <v>114</v>
      </c>
      <c r="B1664" t="s">
        <v>217</v>
      </c>
      <c r="C1664">
        <v>202601</v>
      </c>
      <c r="D1664" s="47" t="str">
        <f>MID(C1664,1,4)</f>
        <v>2026</v>
      </c>
      <c r="E1664" t="str">
        <f>IF(Portfolio!$M$1=1,CONCATENATE(A1664,C1664),CONCATENATE(B1664,C1664))</f>
        <v>PIZZA HUT202601</v>
      </c>
      <c r="F1664">
        <v>81</v>
      </c>
      <c r="G1664">
        <v>0</v>
      </c>
      <c r="H1664">
        <v>0</v>
      </c>
      <c r="I1664">
        <v>0</v>
      </c>
      <c r="J1664">
        <v>104</v>
      </c>
      <c r="K1664">
        <v>12622499</v>
      </c>
      <c r="L1664">
        <v>0</v>
      </c>
      <c r="M1664">
        <v>0</v>
      </c>
      <c r="N1664">
        <v>0</v>
      </c>
      <c r="O1664">
        <v>1136000</v>
      </c>
      <c r="P1664">
        <v>18934</v>
      </c>
      <c r="Q1664">
        <v>0</v>
      </c>
      <c r="R1664">
        <v>0</v>
      </c>
      <c r="S1664">
        <v>0</v>
      </c>
      <c r="T1664">
        <v>0</v>
      </c>
    </row>
    <row r="1665" spans="1:20" x14ac:dyDescent="0.25">
      <c r="A1665" t="s">
        <v>105</v>
      </c>
      <c r="B1665" t="s">
        <v>148</v>
      </c>
      <c r="C1665">
        <v>202601</v>
      </c>
      <c r="D1665" s="47" t="str">
        <f>MID(C1665,1,4)</f>
        <v>2026</v>
      </c>
      <c r="E1665" t="str">
        <f>IF(Portfolio!$M$1=1,CONCATENATE(A1665,C1665),CONCATENATE(B1665,C1665))</f>
        <v>LOTTE GROUP202601</v>
      </c>
      <c r="F1665">
        <v>2636</v>
      </c>
      <c r="G1665">
        <v>3</v>
      </c>
      <c r="H1665">
        <v>0</v>
      </c>
      <c r="I1665">
        <v>0</v>
      </c>
      <c r="J1665">
        <v>15</v>
      </c>
      <c r="K1665">
        <v>2502560704</v>
      </c>
      <c r="L1665">
        <v>5275206</v>
      </c>
      <c r="M1665">
        <v>0</v>
      </c>
      <c r="N1665">
        <v>0</v>
      </c>
      <c r="O1665">
        <v>600328</v>
      </c>
      <c r="P1665">
        <v>3753834</v>
      </c>
      <c r="Q1665">
        <v>0</v>
      </c>
      <c r="R1665">
        <v>0</v>
      </c>
      <c r="S1665">
        <v>0</v>
      </c>
      <c r="T1665">
        <v>4202</v>
      </c>
    </row>
    <row r="1666" spans="1:20" x14ac:dyDescent="0.25">
      <c r="A1666" t="s">
        <v>75</v>
      </c>
      <c r="B1666" t="s">
        <v>95</v>
      </c>
      <c r="C1666">
        <v>202601</v>
      </c>
      <c r="D1666" s="47" t="str">
        <f>MID(C1666,1,4)</f>
        <v>2026</v>
      </c>
      <c r="E1666" t="str">
        <f>IF(Portfolio!$M$1=1,CONCATENATE(A1666,C1666),CONCATENATE(B1666,C1666))</f>
        <v>CHAMP RESTO202601</v>
      </c>
      <c r="F1666">
        <v>28</v>
      </c>
      <c r="G1666">
        <v>0</v>
      </c>
      <c r="H1666">
        <v>0</v>
      </c>
      <c r="I1666">
        <v>0</v>
      </c>
      <c r="J1666">
        <v>8</v>
      </c>
      <c r="K1666">
        <v>9555976</v>
      </c>
      <c r="L1666">
        <v>0</v>
      </c>
      <c r="M1666">
        <v>0</v>
      </c>
      <c r="N1666">
        <v>0</v>
      </c>
      <c r="O1666">
        <v>33868048</v>
      </c>
      <c r="P1666">
        <v>14334</v>
      </c>
      <c r="Q1666">
        <v>0</v>
      </c>
      <c r="R1666">
        <v>0</v>
      </c>
      <c r="S1666">
        <v>0</v>
      </c>
      <c r="T1666">
        <v>237067</v>
      </c>
    </row>
    <row r="1667" spans="1:20" x14ac:dyDescent="0.25">
      <c r="A1667" t="s">
        <v>86</v>
      </c>
      <c r="B1667" t="s">
        <v>86</v>
      </c>
      <c r="C1667">
        <v>202601</v>
      </c>
      <c r="D1667" s="47" t="str">
        <f>MID(C1667,1,4)</f>
        <v>2026</v>
      </c>
      <c r="E1667" t="str">
        <f>IF(Portfolio!$M$1=1,CONCATENATE(A1667,C1667),CONCATENATE(B1667,C1667))</f>
        <v>GRAMEDIA202601</v>
      </c>
      <c r="F1667">
        <v>8</v>
      </c>
      <c r="G1667">
        <v>0</v>
      </c>
      <c r="H1667">
        <v>0</v>
      </c>
      <c r="I1667">
        <v>1</v>
      </c>
      <c r="J1667">
        <v>18</v>
      </c>
      <c r="K1667">
        <v>2155600</v>
      </c>
      <c r="L1667">
        <v>0</v>
      </c>
      <c r="M1667">
        <v>0</v>
      </c>
      <c r="N1667">
        <v>7000</v>
      </c>
      <c r="O1667">
        <v>548000</v>
      </c>
      <c r="P1667">
        <v>3233</v>
      </c>
      <c r="Q1667">
        <v>0</v>
      </c>
      <c r="R1667">
        <v>0</v>
      </c>
      <c r="S1667">
        <v>0</v>
      </c>
      <c r="T1667">
        <v>0</v>
      </c>
    </row>
    <row r="1668" spans="1:20" x14ac:dyDescent="0.25">
      <c r="A1668" t="s">
        <v>106</v>
      </c>
      <c r="B1668" t="s">
        <v>106</v>
      </c>
      <c r="C1668">
        <v>202601</v>
      </c>
      <c r="D1668" s="47" t="str">
        <f>MID(C1668,1,4)</f>
        <v>2026</v>
      </c>
      <c r="E1668" t="str">
        <f>IF(Portfolio!$M$1=1,CONCATENATE(A1668,C1668),CONCATENATE(B1668,C1668))</f>
        <v>MAMA ROZ202601</v>
      </c>
      <c r="F1668">
        <v>0</v>
      </c>
      <c r="G1668">
        <v>8</v>
      </c>
      <c r="H1668">
        <v>1</v>
      </c>
      <c r="I1668">
        <v>0</v>
      </c>
      <c r="J1668">
        <v>60</v>
      </c>
      <c r="K1668">
        <v>0</v>
      </c>
      <c r="L1668">
        <v>702320</v>
      </c>
      <c r="M1668">
        <v>230000</v>
      </c>
      <c r="N1668">
        <v>0</v>
      </c>
      <c r="O1668">
        <v>12491520</v>
      </c>
      <c r="P1668">
        <v>0</v>
      </c>
      <c r="Q1668">
        <v>7023</v>
      </c>
      <c r="R1668">
        <v>3450</v>
      </c>
      <c r="S1668">
        <v>0</v>
      </c>
      <c r="T1668">
        <v>87443</v>
      </c>
    </row>
    <row r="1669" spans="1:20" x14ac:dyDescent="0.25">
      <c r="A1669" t="s">
        <v>107</v>
      </c>
      <c r="B1669" t="s">
        <v>190</v>
      </c>
      <c r="C1669">
        <v>202601</v>
      </c>
      <c r="D1669" s="47" t="str">
        <f>MID(C1669,1,4)</f>
        <v>2026</v>
      </c>
      <c r="E1669" t="str">
        <f>IF(Portfolio!$M$1=1,CONCATENATE(A1669,C1669),CONCATENATE(B1669,C1669))</f>
        <v>MAP GROUP202601</v>
      </c>
      <c r="F1669">
        <v>4</v>
      </c>
      <c r="G1669">
        <v>19</v>
      </c>
      <c r="H1669">
        <v>81</v>
      </c>
      <c r="I1669">
        <v>0</v>
      </c>
      <c r="J1669">
        <v>0</v>
      </c>
      <c r="K1669">
        <v>8480000</v>
      </c>
      <c r="L1669">
        <v>37464450</v>
      </c>
      <c r="M1669">
        <v>133372320</v>
      </c>
      <c r="N1669">
        <v>0</v>
      </c>
      <c r="O1669">
        <v>0</v>
      </c>
      <c r="P1669">
        <v>12720</v>
      </c>
      <c r="Q1669">
        <v>374644</v>
      </c>
      <c r="R1669">
        <v>1733840</v>
      </c>
      <c r="S1669">
        <v>0</v>
      </c>
      <c r="T1669">
        <v>0</v>
      </c>
    </row>
    <row r="1670" spans="1:20" x14ac:dyDescent="0.25">
      <c r="A1670" t="s">
        <v>126</v>
      </c>
      <c r="B1670" t="s">
        <v>220</v>
      </c>
      <c r="C1670">
        <v>202601</v>
      </c>
      <c r="D1670" s="47" t="str">
        <f>MID(C1670,1,4)</f>
        <v>2026</v>
      </c>
      <c r="E1670" t="str">
        <f>IF(Portfolio!$M$1=1,CONCATENATE(A1670,C1670),CONCATENATE(B1670,C1670))</f>
        <v>STEVEN GROUP202601</v>
      </c>
      <c r="F1670">
        <v>48</v>
      </c>
      <c r="G1670">
        <v>46</v>
      </c>
      <c r="H1670">
        <v>14</v>
      </c>
      <c r="I1670">
        <v>0</v>
      </c>
      <c r="J1670">
        <v>68</v>
      </c>
      <c r="K1670">
        <v>6098504</v>
      </c>
      <c r="L1670">
        <v>5724753</v>
      </c>
      <c r="M1670">
        <v>2251071</v>
      </c>
      <c r="N1670">
        <v>0</v>
      </c>
      <c r="O1670">
        <v>33122114</v>
      </c>
      <c r="P1670">
        <v>9147</v>
      </c>
      <c r="Q1670">
        <v>57248</v>
      </c>
      <c r="R1670">
        <v>45021</v>
      </c>
      <c r="S1670">
        <v>0</v>
      </c>
      <c r="T1670">
        <v>231850</v>
      </c>
    </row>
    <row r="1671" spans="1:20" x14ac:dyDescent="0.25">
      <c r="A1671" t="s">
        <v>107</v>
      </c>
      <c r="B1671" t="s">
        <v>188</v>
      </c>
      <c r="C1671">
        <v>202601</v>
      </c>
      <c r="D1671" s="47" t="str">
        <f>MID(C1671,1,4)</f>
        <v>2026</v>
      </c>
      <c r="E1671" t="str">
        <f>IF(Portfolio!$M$1=1,CONCATENATE(A1671,C1671),CONCATENATE(B1671,C1671))</f>
        <v>MAP GROUP202601</v>
      </c>
      <c r="F1671">
        <v>27</v>
      </c>
      <c r="G1671">
        <v>37</v>
      </c>
      <c r="H1671">
        <v>34</v>
      </c>
      <c r="I1671">
        <v>0</v>
      </c>
      <c r="J1671">
        <v>0</v>
      </c>
      <c r="K1671">
        <v>15236840</v>
      </c>
      <c r="L1671">
        <v>21800600</v>
      </c>
      <c r="M1671">
        <v>24613500</v>
      </c>
      <c r="N1671">
        <v>0</v>
      </c>
      <c r="O1671">
        <v>0</v>
      </c>
      <c r="P1671">
        <v>22855</v>
      </c>
      <c r="Q1671">
        <v>218006</v>
      </c>
      <c r="R1671">
        <v>319976</v>
      </c>
      <c r="S1671">
        <v>0</v>
      </c>
      <c r="T1671">
        <v>0</v>
      </c>
    </row>
    <row r="1672" spans="1:20" x14ac:dyDescent="0.25">
      <c r="A1672" t="s">
        <v>102</v>
      </c>
      <c r="B1672" t="s">
        <v>133</v>
      </c>
      <c r="C1672">
        <v>202601</v>
      </c>
      <c r="D1672" s="47" t="str">
        <f>MID(C1672,1,4)</f>
        <v>2026</v>
      </c>
      <c r="E1672" t="str">
        <f>IF(Portfolio!$M$1=1,CONCATENATE(A1672,C1672),CONCATENATE(B1672,C1672))</f>
        <v>KAWAN LAMA202601</v>
      </c>
      <c r="F1672">
        <v>75</v>
      </c>
      <c r="G1672">
        <v>0</v>
      </c>
      <c r="H1672">
        <v>0</v>
      </c>
      <c r="I1672">
        <v>0</v>
      </c>
      <c r="J1672">
        <v>0</v>
      </c>
      <c r="K1672">
        <v>13657000</v>
      </c>
      <c r="L1672">
        <v>0</v>
      </c>
      <c r="M1672">
        <v>0</v>
      </c>
      <c r="N1672">
        <v>0</v>
      </c>
      <c r="O1672">
        <v>409000</v>
      </c>
      <c r="P1672">
        <v>20486</v>
      </c>
      <c r="Q1672">
        <v>0</v>
      </c>
      <c r="R1672">
        <v>0</v>
      </c>
      <c r="S1672">
        <v>0</v>
      </c>
      <c r="T1672">
        <v>2863</v>
      </c>
    </row>
    <row r="1673" spans="1:20" x14ac:dyDescent="0.25">
      <c r="A1673" t="s">
        <v>107</v>
      </c>
      <c r="B1673" t="s">
        <v>165</v>
      </c>
      <c r="C1673">
        <v>202601</v>
      </c>
      <c r="D1673" s="47" t="str">
        <f>MID(C1673,1,4)</f>
        <v>2026</v>
      </c>
      <c r="E1673" t="str">
        <f>IF(Portfolio!$M$1=1,CONCATENATE(A1673,C1673),CONCATENATE(B1673,C1673))</f>
        <v>MAP GROUP202601</v>
      </c>
      <c r="F1673">
        <v>28</v>
      </c>
      <c r="G1673">
        <v>2</v>
      </c>
      <c r="H1673">
        <v>2</v>
      </c>
      <c r="I1673">
        <v>0</v>
      </c>
      <c r="J1673">
        <v>0</v>
      </c>
      <c r="K1673">
        <v>322792000</v>
      </c>
      <c r="L1673">
        <v>6047000</v>
      </c>
      <c r="M1673">
        <v>14425300</v>
      </c>
      <c r="N1673">
        <v>0</v>
      </c>
      <c r="O1673">
        <v>0</v>
      </c>
      <c r="P1673">
        <v>484188</v>
      </c>
      <c r="Q1673">
        <v>60470</v>
      </c>
      <c r="R1673">
        <v>187529</v>
      </c>
      <c r="S1673">
        <v>0</v>
      </c>
      <c r="T1673">
        <v>0</v>
      </c>
    </row>
    <row r="1674" spans="1:20" x14ac:dyDescent="0.25">
      <c r="A1674" t="s">
        <v>107</v>
      </c>
      <c r="B1674" t="s">
        <v>166</v>
      </c>
      <c r="C1674">
        <v>202601</v>
      </c>
      <c r="D1674" s="47" t="str">
        <f>MID(C1674,1,4)</f>
        <v>2026</v>
      </c>
      <c r="E1674" t="str">
        <f>IF(Portfolio!$M$1=1,CONCATENATE(A1674,C1674),CONCATENATE(B1674,C1674))</f>
        <v>MAP GROUP202601</v>
      </c>
      <c r="F1674">
        <v>12</v>
      </c>
      <c r="G1674">
        <v>22</v>
      </c>
      <c r="H1674">
        <v>44</v>
      </c>
      <c r="I1674">
        <v>0</v>
      </c>
      <c r="J1674">
        <v>0</v>
      </c>
      <c r="K1674">
        <v>53628000</v>
      </c>
      <c r="L1674">
        <v>48375550</v>
      </c>
      <c r="M1674">
        <v>131683019</v>
      </c>
      <c r="N1674">
        <v>0</v>
      </c>
      <c r="O1674">
        <v>0</v>
      </c>
      <c r="P1674">
        <v>80442</v>
      </c>
      <c r="Q1674">
        <v>483756</v>
      </c>
      <c r="R1674">
        <v>1711879</v>
      </c>
      <c r="S1674">
        <v>0</v>
      </c>
      <c r="T1674">
        <v>0</v>
      </c>
    </row>
    <row r="1675" spans="1:20" x14ac:dyDescent="0.25">
      <c r="A1675" t="s">
        <v>124</v>
      </c>
      <c r="B1675" t="s">
        <v>124</v>
      </c>
      <c r="C1675">
        <v>202601</v>
      </c>
      <c r="D1675" s="47" t="str">
        <f>MID(C1675,1,4)</f>
        <v>2026</v>
      </c>
      <c r="E1675" t="str">
        <f>IF(Portfolio!$M$1=1,CONCATENATE(A1675,C1675),CONCATENATE(B1675,C1675))</f>
        <v>SOUR SALLY202601</v>
      </c>
      <c r="F1675">
        <v>20</v>
      </c>
      <c r="G1675">
        <v>18</v>
      </c>
      <c r="H1675">
        <v>1</v>
      </c>
      <c r="I1675">
        <v>13</v>
      </c>
      <c r="J1675">
        <v>51</v>
      </c>
      <c r="K1675">
        <v>1584000</v>
      </c>
      <c r="L1675">
        <v>1653970</v>
      </c>
      <c r="M1675">
        <v>72000</v>
      </c>
      <c r="N1675">
        <v>793000</v>
      </c>
      <c r="O1675">
        <v>10082020</v>
      </c>
      <c r="P1675">
        <v>2376</v>
      </c>
      <c r="Q1675">
        <v>16540</v>
      </c>
      <c r="R1675">
        <v>1296</v>
      </c>
      <c r="S1675">
        <v>5551</v>
      </c>
      <c r="T1675">
        <v>70574</v>
      </c>
    </row>
    <row r="1676" spans="1:20" x14ac:dyDescent="0.25">
      <c r="A1676" t="s">
        <v>99</v>
      </c>
      <c r="B1676" t="s">
        <v>99</v>
      </c>
      <c r="C1676">
        <v>202601</v>
      </c>
      <c r="D1676" s="47" t="str">
        <f>MID(C1676,1,4)</f>
        <v>2026</v>
      </c>
      <c r="E1676" t="str">
        <f>IF(Portfolio!$M$1=1,CONCATENATE(A1676,C1676),CONCATENATE(B1676,C1676))</f>
        <v>IKEA202601</v>
      </c>
      <c r="F1676">
        <v>65</v>
      </c>
      <c r="G1676">
        <v>0</v>
      </c>
      <c r="H1676">
        <v>0</v>
      </c>
      <c r="I1676">
        <v>0</v>
      </c>
      <c r="J1676">
        <v>0</v>
      </c>
      <c r="K1676">
        <v>162417800</v>
      </c>
      <c r="L1676">
        <v>0</v>
      </c>
      <c r="M1676">
        <v>0</v>
      </c>
      <c r="N1676">
        <v>0</v>
      </c>
      <c r="O1676">
        <v>0</v>
      </c>
      <c r="P1676">
        <v>243627</v>
      </c>
      <c r="Q1676">
        <v>0</v>
      </c>
      <c r="R1676">
        <v>0</v>
      </c>
      <c r="S1676">
        <v>0</v>
      </c>
      <c r="T1676">
        <v>0</v>
      </c>
    </row>
    <row r="1677" spans="1:20" x14ac:dyDescent="0.25">
      <c r="A1677" t="s">
        <v>75</v>
      </c>
      <c r="B1677" t="s">
        <v>91</v>
      </c>
      <c r="C1677">
        <v>202601</v>
      </c>
      <c r="D1677" s="47" t="str">
        <f>MID(C1677,1,4)</f>
        <v>2026</v>
      </c>
      <c r="E1677" t="str">
        <f>IF(Portfolio!$M$1=1,CONCATENATE(A1677,C1677),CONCATENATE(B1677,C1677))</f>
        <v>CHAMP RESTO202601</v>
      </c>
      <c r="F1677">
        <v>19</v>
      </c>
      <c r="G1677">
        <v>7</v>
      </c>
      <c r="H1677">
        <v>0</v>
      </c>
      <c r="I1677">
        <v>0</v>
      </c>
      <c r="J1677">
        <v>11</v>
      </c>
      <c r="K1677">
        <v>10203994</v>
      </c>
      <c r="L1677">
        <v>3028382</v>
      </c>
      <c r="M1677">
        <v>0</v>
      </c>
      <c r="N1677">
        <v>0</v>
      </c>
      <c r="O1677">
        <v>21894926</v>
      </c>
      <c r="P1677">
        <v>15306</v>
      </c>
      <c r="Q1677">
        <v>30284</v>
      </c>
      <c r="R1677">
        <v>0</v>
      </c>
      <c r="S1677">
        <v>0</v>
      </c>
      <c r="T1677">
        <v>153263</v>
      </c>
    </row>
    <row r="1678" spans="1:20" x14ac:dyDescent="0.25">
      <c r="A1678" t="s">
        <v>96</v>
      </c>
      <c r="B1678" t="s">
        <v>96</v>
      </c>
      <c r="C1678">
        <v>202601</v>
      </c>
      <c r="D1678" s="47" t="str">
        <f>MID(C1678,1,4)</f>
        <v>2026</v>
      </c>
      <c r="E1678" t="str">
        <f>IF(Portfolio!$M$1=1,CONCATENATE(A1678,C1678),CONCATENATE(B1678,C1678))</f>
        <v>HOKKAIDO BAKED CHEESE202601</v>
      </c>
      <c r="F1678">
        <v>12</v>
      </c>
      <c r="G1678">
        <v>27</v>
      </c>
      <c r="H1678">
        <v>13</v>
      </c>
      <c r="I1678">
        <v>1</v>
      </c>
      <c r="J1678">
        <v>168</v>
      </c>
      <c r="K1678">
        <v>1024000</v>
      </c>
      <c r="L1678">
        <v>2417183</v>
      </c>
      <c r="M1678">
        <v>1436200</v>
      </c>
      <c r="N1678">
        <v>22000</v>
      </c>
      <c r="O1678">
        <v>11428601</v>
      </c>
      <c r="P1678">
        <v>1536</v>
      </c>
      <c r="Q1678">
        <v>24172</v>
      </c>
      <c r="R1678">
        <v>28724</v>
      </c>
      <c r="S1678">
        <v>0</v>
      </c>
      <c r="T1678">
        <v>53564</v>
      </c>
    </row>
    <row r="1679" spans="1:20" x14ac:dyDescent="0.25">
      <c r="A1679" t="s">
        <v>107</v>
      </c>
      <c r="B1679" t="s">
        <v>164</v>
      </c>
      <c r="C1679">
        <v>202601</v>
      </c>
      <c r="D1679" s="47" t="str">
        <f>MID(C1679,1,4)</f>
        <v>2026</v>
      </c>
      <c r="E1679" t="str">
        <f>IF(Portfolio!$M$1=1,CONCATENATE(A1679,C1679),CONCATENATE(B1679,C1679))</f>
        <v>MAP GROUP202601</v>
      </c>
      <c r="F1679">
        <v>41</v>
      </c>
      <c r="G1679">
        <v>1</v>
      </c>
      <c r="H1679">
        <v>4</v>
      </c>
      <c r="I1679">
        <v>0</v>
      </c>
      <c r="J1679">
        <v>0</v>
      </c>
      <c r="K1679">
        <v>600842200</v>
      </c>
      <c r="L1679">
        <v>599000</v>
      </c>
      <c r="M1679">
        <v>54513000</v>
      </c>
      <c r="N1679">
        <v>0</v>
      </c>
      <c r="O1679">
        <v>0</v>
      </c>
      <c r="P1679">
        <v>901263</v>
      </c>
      <c r="Q1679">
        <v>5990</v>
      </c>
      <c r="R1679">
        <v>708669</v>
      </c>
      <c r="S1679">
        <v>0</v>
      </c>
      <c r="T1679">
        <v>0</v>
      </c>
    </row>
    <row r="1680" spans="1:20" x14ac:dyDescent="0.25">
      <c r="A1680" t="s">
        <v>97</v>
      </c>
      <c r="B1680" t="s">
        <v>113</v>
      </c>
      <c r="C1680">
        <v>202601</v>
      </c>
      <c r="D1680" s="47" t="str">
        <f>MID(C1680,1,4)</f>
        <v>2026</v>
      </c>
      <c r="E1680" t="str">
        <f>IF(Portfolio!$M$1=1,CONCATENATE(A1680,C1680),CONCATENATE(B1680,C1680))</f>
        <v>HOP HOP202601</v>
      </c>
      <c r="F1680">
        <v>0</v>
      </c>
      <c r="G1680">
        <v>0</v>
      </c>
      <c r="H1680">
        <v>0</v>
      </c>
      <c r="I1680">
        <v>0</v>
      </c>
      <c r="J1680">
        <v>49</v>
      </c>
      <c r="K1680">
        <v>0</v>
      </c>
      <c r="L1680">
        <v>0</v>
      </c>
      <c r="M1680">
        <v>0</v>
      </c>
      <c r="N1680">
        <v>0</v>
      </c>
      <c r="O1680">
        <v>1709000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 spans="1:20" x14ac:dyDescent="0.25">
      <c r="A1681" t="s">
        <v>112</v>
      </c>
      <c r="B1681" t="s">
        <v>215</v>
      </c>
      <c r="C1681">
        <v>202601</v>
      </c>
      <c r="D1681" s="47" t="str">
        <f>MID(C1681,1,4)</f>
        <v>2026</v>
      </c>
      <c r="E1681" t="str">
        <f>IF(Portfolio!$M$1=1,CONCATENATE(A1681,C1681),CONCATENATE(B1681,C1681))</f>
        <v>PERTAMINA RETAIL202601</v>
      </c>
      <c r="F1681">
        <v>28</v>
      </c>
      <c r="G1681">
        <v>181</v>
      </c>
      <c r="H1681">
        <v>30</v>
      </c>
      <c r="I1681">
        <v>0</v>
      </c>
      <c r="J1681">
        <v>72</v>
      </c>
      <c r="K1681">
        <v>3605600</v>
      </c>
      <c r="L1681">
        <v>16671775</v>
      </c>
      <c r="M1681">
        <v>5902000</v>
      </c>
      <c r="N1681">
        <v>0</v>
      </c>
      <c r="O1681">
        <v>1971102</v>
      </c>
      <c r="P1681">
        <v>5408</v>
      </c>
      <c r="Q1681">
        <v>166718</v>
      </c>
      <c r="R1681">
        <v>106236</v>
      </c>
      <c r="S1681">
        <v>0</v>
      </c>
      <c r="T1681">
        <v>13798</v>
      </c>
    </row>
    <row r="1682" spans="1:20" x14ac:dyDescent="0.25">
      <c r="A1682" t="s">
        <v>105</v>
      </c>
      <c r="B1682" t="s">
        <v>149</v>
      </c>
      <c r="C1682">
        <v>202601</v>
      </c>
      <c r="D1682" s="47" t="str">
        <f>MID(C1682,1,4)</f>
        <v>2026</v>
      </c>
      <c r="E1682" t="str">
        <f>IF(Portfolio!$M$1=1,CONCATENATE(A1682,C1682),CONCATENATE(B1682,C1682))</f>
        <v>LOTTE GROUP202601</v>
      </c>
      <c r="F1682">
        <v>1528</v>
      </c>
      <c r="G1682">
        <v>16</v>
      </c>
      <c r="H1682">
        <v>20</v>
      </c>
      <c r="I1682">
        <v>0</v>
      </c>
      <c r="J1682">
        <v>0</v>
      </c>
      <c r="K1682">
        <v>440338300</v>
      </c>
      <c r="L1682">
        <v>8711760</v>
      </c>
      <c r="M1682">
        <v>4894400</v>
      </c>
      <c r="N1682">
        <v>0</v>
      </c>
      <c r="O1682">
        <v>0</v>
      </c>
      <c r="P1682">
        <v>660507</v>
      </c>
      <c r="Q1682">
        <v>79832</v>
      </c>
      <c r="R1682">
        <v>63627</v>
      </c>
      <c r="S1682">
        <v>0</v>
      </c>
      <c r="T1682">
        <v>0</v>
      </c>
    </row>
    <row r="1683" spans="1:20" x14ac:dyDescent="0.25">
      <c r="A1683" t="s">
        <v>107</v>
      </c>
      <c r="B1683" t="s">
        <v>180</v>
      </c>
      <c r="C1683">
        <v>202601</v>
      </c>
      <c r="D1683" s="47" t="str">
        <f>MID(C1683,1,4)</f>
        <v>2026</v>
      </c>
      <c r="E1683" t="str">
        <f>IF(Portfolio!$M$1=1,CONCATENATE(A1683,C1683),CONCATENATE(B1683,C1683))</f>
        <v>MAP GROUP202601</v>
      </c>
      <c r="F1683">
        <v>16</v>
      </c>
      <c r="G1683">
        <v>7</v>
      </c>
      <c r="H1683">
        <v>58</v>
      </c>
      <c r="I1683">
        <v>0</v>
      </c>
      <c r="J1683">
        <v>0</v>
      </c>
      <c r="K1683">
        <v>5890160</v>
      </c>
      <c r="L1683">
        <v>1703174</v>
      </c>
      <c r="M1683">
        <v>29245540</v>
      </c>
      <c r="N1683">
        <v>0</v>
      </c>
      <c r="O1683">
        <v>0</v>
      </c>
      <c r="P1683">
        <v>8835</v>
      </c>
      <c r="Q1683">
        <v>17032</v>
      </c>
      <c r="R1683">
        <v>380192</v>
      </c>
      <c r="S1683">
        <v>0</v>
      </c>
      <c r="T1683">
        <v>0</v>
      </c>
    </row>
    <row r="1684" spans="1:20" x14ac:dyDescent="0.25">
      <c r="A1684" t="s">
        <v>110</v>
      </c>
      <c r="B1684" t="s">
        <v>110</v>
      </c>
      <c r="C1684">
        <v>202601</v>
      </c>
      <c r="D1684" s="47" t="str">
        <f>MID(C1684,1,4)</f>
        <v>2026</v>
      </c>
      <c r="E1684" t="str">
        <f>IF(Portfolio!$M$1=1,CONCATENATE(A1684,C1684),CONCATENATE(B1684,C1684))</f>
        <v>OPTIK MELAWAI202601</v>
      </c>
      <c r="F1684">
        <v>188</v>
      </c>
      <c r="G1684">
        <v>0</v>
      </c>
      <c r="H1684">
        <v>0</v>
      </c>
      <c r="I1684">
        <v>0</v>
      </c>
      <c r="J1684">
        <v>0</v>
      </c>
      <c r="K1684">
        <v>336854000</v>
      </c>
      <c r="L1684">
        <v>0</v>
      </c>
      <c r="M1684">
        <v>0</v>
      </c>
      <c r="N1684">
        <v>0</v>
      </c>
      <c r="O1684">
        <v>0</v>
      </c>
      <c r="P1684">
        <v>505281</v>
      </c>
      <c r="Q1684">
        <v>0</v>
      </c>
      <c r="R1684">
        <v>0</v>
      </c>
      <c r="S1684">
        <v>0</v>
      </c>
      <c r="T1684">
        <v>0</v>
      </c>
    </row>
    <row r="1685" spans="1:20" x14ac:dyDescent="0.25">
      <c r="A1685" t="s">
        <v>80</v>
      </c>
      <c r="B1685" t="s">
        <v>80</v>
      </c>
      <c r="C1685">
        <v>202601</v>
      </c>
      <c r="D1685" s="47" t="str">
        <f>MID(C1685,1,4)</f>
        <v>2026</v>
      </c>
      <c r="E1685" t="str">
        <f>IF(Portfolio!$M$1=1,CONCATENATE(A1685,C1685),CONCATENATE(B1685,C1685))</f>
        <v>DWIDAYA202601</v>
      </c>
      <c r="F1685">
        <v>45</v>
      </c>
      <c r="G1685">
        <v>11</v>
      </c>
      <c r="H1685">
        <v>0</v>
      </c>
      <c r="I1685">
        <v>0</v>
      </c>
      <c r="J1685">
        <v>28</v>
      </c>
      <c r="K1685">
        <v>1212705000</v>
      </c>
      <c r="L1685">
        <v>280121081</v>
      </c>
      <c r="M1685">
        <v>0</v>
      </c>
      <c r="N1685">
        <v>0</v>
      </c>
      <c r="O1685">
        <v>174645000</v>
      </c>
      <c r="P1685">
        <v>1819058</v>
      </c>
      <c r="Q1685">
        <v>2801211</v>
      </c>
      <c r="R1685">
        <v>0</v>
      </c>
      <c r="S1685">
        <v>0</v>
      </c>
      <c r="T1685">
        <v>1222515</v>
      </c>
    </row>
    <row r="1686" spans="1:20" x14ac:dyDescent="0.25">
      <c r="A1686" t="s">
        <v>92</v>
      </c>
      <c r="B1686" t="s">
        <v>108</v>
      </c>
      <c r="C1686">
        <v>202601</v>
      </c>
      <c r="D1686" s="47" t="str">
        <f>MID(C1686,1,4)</f>
        <v>2026</v>
      </c>
      <c r="E1686" t="str">
        <f>IF(Portfolio!$M$1=1,CONCATENATE(A1686,C1686),CONCATENATE(B1686,C1686))</f>
        <v>HERO GROUP202601</v>
      </c>
      <c r="F1686">
        <v>234</v>
      </c>
      <c r="G1686">
        <v>1</v>
      </c>
      <c r="H1686">
        <v>2</v>
      </c>
      <c r="I1686">
        <v>47</v>
      </c>
      <c r="J1686">
        <v>23</v>
      </c>
      <c r="K1686">
        <v>124582810</v>
      </c>
      <c r="L1686">
        <v>711141</v>
      </c>
      <c r="M1686">
        <v>607948</v>
      </c>
      <c r="N1686">
        <v>20740151</v>
      </c>
      <c r="O1686">
        <v>1042630</v>
      </c>
      <c r="P1686">
        <v>186874</v>
      </c>
      <c r="Q1686">
        <v>7111</v>
      </c>
      <c r="R1686">
        <v>12159</v>
      </c>
      <c r="S1686">
        <v>38838</v>
      </c>
      <c r="T1686">
        <v>0</v>
      </c>
    </row>
    <row r="1687" spans="1:20" x14ac:dyDescent="0.25">
      <c r="A1687" t="s">
        <v>107</v>
      </c>
      <c r="B1687" t="s">
        <v>197</v>
      </c>
      <c r="C1687">
        <v>202601</v>
      </c>
      <c r="D1687" s="47" t="str">
        <f>MID(C1687,1,4)</f>
        <v>2026</v>
      </c>
      <c r="E1687" t="str">
        <f>IF(Portfolio!$M$1=1,CONCATENATE(A1687,C1687),CONCATENATE(B1687,C1687))</f>
        <v>MAP GROUP202601</v>
      </c>
      <c r="F1687">
        <v>4</v>
      </c>
      <c r="G1687">
        <v>10</v>
      </c>
      <c r="H1687">
        <v>22</v>
      </c>
      <c r="I1687">
        <v>0</v>
      </c>
      <c r="J1687">
        <v>0</v>
      </c>
      <c r="K1687">
        <v>13624000</v>
      </c>
      <c r="L1687">
        <v>27614600</v>
      </c>
      <c r="M1687">
        <v>62753600</v>
      </c>
      <c r="N1687">
        <v>0</v>
      </c>
      <c r="O1687">
        <v>0</v>
      </c>
      <c r="P1687">
        <v>20436</v>
      </c>
      <c r="Q1687">
        <v>276146</v>
      </c>
      <c r="R1687">
        <v>815797</v>
      </c>
      <c r="S1687">
        <v>0</v>
      </c>
      <c r="T1687">
        <v>0</v>
      </c>
    </row>
    <row r="1688" spans="1:20" x14ac:dyDescent="0.25">
      <c r="A1688" t="s">
        <v>67</v>
      </c>
      <c r="B1688" t="s">
        <v>69</v>
      </c>
      <c r="C1688">
        <v>202601</v>
      </c>
      <c r="D1688" s="47" t="str">
        <f>MID(C1688,1,4)</f>
        <v>2026</v>
      </c>
      <c r="E1688" t="str">
        <f>IF(Portfolio!$M$1=1,CONCATENATE(A1688,C1688),CONCATENATE(B1688,C1688))</f>
        <v>ALFA GROUP202601</v>
      </c>
      <c r="F1688">
        <v>52</v>
      </c>
      <c r="G1688">
        <v>85</v>
      </c>
      <c r="H1688">
        <v>28</v>
      </c>
      <c r="I1688">
        <v>1</v>
      </c>
      <c r="J1688">
        <v>27</v>
      </c>
      <c r="K1688">
        <v>8228380</v>
      </c>
      <c r="L1688">
        <v>10960751</v>
      </c>
      <c r="M1688">
        <v>5328117</v>
      </c>
      <c r="N1688">
        <v>8900</v>
      </c>
      <c r="O1688">
        <v>844000</v>
      </c>
      <c r="P1688">
        <v>12343</v>
      </c>
      <c r="Q1688">
        <v>109608</v>
      </c>
      <c r="R1688">
        <v>95906</v>
      </c>
      <c r="S1688">
        <v>62</v>
      </c>
      <c r="T1688">
        <v>5909</v>
      </c>
    </row>
    <row r="1689" spans="1:20" x14ac:dyDescent="0.25">
      <c r="A1689" t="s">
        <v>102</v>
      </c>
      <c r="B1689" t="s">
        <v>131</v>
      </c>
      <c r="C1689">
        <v>202601</v>
      </c>
      <c r="D1689" s="47" t="str">
        <f>MID(C1689,1,4)</f>
        <v>2026</v>
      </c>
      <c r="E1689" t="str">
        <f>IF(Portfolio!$M$1=1,CONCATENATE(A1689,C1689),CONCATENATE(B1689,C1689))</f>
        <v>KAWAN LAMA202601</v>
      </c>
      <c r="F1689">
        <v>16</v>
      </c>
      <c r="G1689">
        <v>0</v>
      </c>
      <c r="H1689">
        <v>0</v>
      </c>
      <c r="I1689">
        <v>0</v>
      </c>
      <c r="J1689">
        <v>0</v>
      </c>
      <c r="K1689">
        <v>948000</v>
      </c>
      <c r="L1689">
        <v>0</v>
      </c>
      <c r="M1689">
        <v>0</v>
      </c>
      <c r="N1689">
        <v>0</v>
      </c>
      <c r="O1689">
        <v>247000</v>
      </c>
      <c r="P1689">
        <v>1422</v>
      </c>
      <c r="Q1689">
        <v>0</v>
      </c>
      <c r="R1689">
        <v>0</v>
      </c>
      <c r="S1689">
        <v>0</v>
      </c>
      <c r="T1689">
        <v>1729</v>
      </c>
    </row>
    <row r="1690" spans="1:20" x14ac:dyDescent="0.25">
      <c r="A1690" t="s">
        <v>97</v>
      </c>
      <c r="B1690" t="s">
        <v>97</v>
      </c>
      <c r="C1690">
        <v>202601</v>
      </c>
      <c r="D1690" s="47" t="str">
        <f>MID(C1690,1,4)</f>
        <v>2026</v>
      </c>
      <c r="E1690" t="str">
        <f>IF(Portfolio!$M$1=1,CONCATENATE(A1690,C1690),CONCATENATE(B1690,C1690))</f>
        <v>HOP HOP202601</v>
      </c>
      <c r="F1690">
        <v>0</v>
      </c>
      <c r="G1690">
        <v>0</v>
      </c>
      <c r="H1690">
        <v>0</v>
      </c>
      <c r="I1690">
        <v>106</v>
      </c>
      <c r="J1690">
        <v>1055</v>
      </c>
      <c r="K1690">
        <v>0</v>
      </c>
      <c r="L1690">
        <v>0</v>
      </c>
      <c r="M1690">
        <v>0</v>
      </c>
      <c r="N1690">
        <v>4745000</v>
      </c>
      <c r="O1690">
        <v>38040500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 spans="1:20" x14ac:dyDescent="0.25">
      <c r="A1691" t="s">
        <v>107</v>
      </c>
      <c r="B1691" t="s">
        <v>201</v>
      </c>
      <c r="C1691">
        <v>202601</v>
      </c>
      <c r="D1691" s="47" t="str">
        <f>MID(C1691,1,4)</f>
        <v>2026</v>
      </c>
      <c r="E1691" t="str">
        <f>IF(Portfolio!$M$1=1,CONCATENATE(A1691,C1691),CONCATENATE(B1691,C1691))</f>
        <v>MAP GROUP202601</v>
      </c>
      <c r="F1691">
        <v>113</v>
      </c>
      <c r="G1691">
        <v>289</v>
      </c>
      <c r="H1691">
        <v>532</v>
      </c>
      <c r="I1691">
        <v>0</v>
      </c>
      <c r="J1691">
        <v>0</v>
      </c>
      <c r="K1691">
        <v>91230600</v>
      </c>
      <c r="L1691">
        <v>154626755</v>
      </c>
      <c r="M1691">
        <v>334584246</v>
      </c>
      <c r="N1691">
        <v>0</v>
      </c>
      <c r="O1691">
        <v>0</v>
      </c>
      <c r="P1691">
        <v>136846</v>
      </c>
      <c r="Q1691">
        <v>1546268</v>
      </c>
      <c r="R1691">
        <v>4349595</v>
      </c>
      <c r="S1691">
        <v>0</v>
      </c>
      <c r="T1691">
        <v>0</v>
      </c>
    </row>
    <row r="1692" spans="1:20" x14ac:dyDescent="0.25">
      <c r="A1692" t="s">
        <v>75</v>
      </c>
      <c r="B1692" t="s">
        <v>93</v>
      </c>
      <c r="C1692">
        <v>202601</v>
      </c>
      <c r="D1692" s="47" t="str">
        <f>MID(C1692,1,4)</f>
        <v>2026</v>
      </c>
      <c r="E1692" t="str">
        <f>IF(Portfolio!$M$1=1,CONCATENATE(A1692,C1692),CONCATENATE(B1692,C1692))</f>
        <v>CHAMP RESTO202601</v>
      </c>
      <c r="F1692">
        <v>20</v>
      </c>
      <c r="G1692">
        <v>0</v>
      </c>
      <c r="H1692">
        <v>0</v>
      </c>
      <c r="I1692">
        <v>0</v>
      </c>
      <c r="J1692">
        <v>37</v>
      </c>
      <c r="K1692">
        <v>3860480</v>
      </c>
      <c r="L1692">
        <v>0</v>
      </c>
      <c r="M1692">
        <v>0</v>
      </c>
      <c r="N1692">
        <v>0</v>
      </c>
      <c r="O1692">
        <v>7945760</v>
      </c>
      <c r="P1692">
        <v>5791</v>
      </c>
      <c r="Q1692">
        <v>0</v>
      </c>
      <c r="R1692">
        <v>0</v>
      </c>
      <c r="S1692">
        <v>0</v>
      </c>
      <c r="T1692">
        <v>4853</v>
      </c>
    </row>
    <row r="1693" spans="1:20" x14ac:dyDescent="0.25">
      <c r="A1693" t="s">
        <v>107</v>
      </c>
      <c r="B1693" t="s">
        <v>161</v>
      </c>
      <c r="C1693">
        <v>202601</v>
      </c>
      <c r="D1693" s="47" t="str">
        <f>MID(C1693,1,4)</f>
        <v>2026</v>
      </c>
      <c r="E1693" t="str">
        <f>IF(Portfolio!$M$1=1,CONCATENATE(A1693,C1693),CONCATENATE(B1693,C1693))</f>
        <v>MAP GROUP202601</v>
      </c>
      <c r="F1693">
        <v>8</v>
      </c>
      <c r="G1693">
        <v>43</v>
      </c>
      <c r="H1693">
        <v>81</v>
      </c>
      <c r="I1693">
        <v>0</v>
      </c>
      <c r="J1693">
        <v>0</v>
      </c>
      <c r="K1693">
        <v>22948000</v>
      </c>
      <c r="L1693">
        <v>84554599</v>
      </c>
      <c r="M1693">
        <v>149585640</v>
      </c>
      <c r="N1693">
        <v>0</v>
      </c>
      <c r="O1693">
        <v>0</v>
      </c>
      <c r="P1693">
        <v>34422</v>
      </c>
      <c r="Q1693">
        <v>822983</v>
      </c>
      <c r="R1693">
        <v>1944613</v>
      </c>
      <c r="S1693">
        <v>0</v>
      </c>
      <c r="T1693">
        <v>0</v>
      </c>
    </row>
    <row r="1694" spans="1:20" x14ac:dyDescent="0.25">
      <c r="A1694" t="s">
        <v>107</v>
      </c>
      <c r="B1694" t="s">
        <v>185</v>
      </c>
      <c r="C1694">
        <v>202601</v>
      </c>
      <c r="D1694" s="47" t="str">
        <f>MID(C1694,1,4)</f>
        <v>2026</v>
      </c>
      <c r="E1694" t="str">
        <f>IF(Portfolio!$M$1=1,CONCATENATE(A1694,C1694),CONCATENATE(B1694,C1694))</f>
        <v>MAP GROUP202601</v>
      </c>
      <c r="F1694">
        <v>71</v>
      </c>
      <c r="G1694">
        <v>173</v>
      </c>
      <c r="H1694">
        <v>232</v>
      </c>
      <c r="I1694">
        <v>0</v>
      </c>
      <c r="J1694">
        <v>0</v>
      </c>
      <c r="K1694">
        <v>215116000</v>
      </c>
      <c r="L1694">
        <v>489831000</v>
      </c>
      <c r="M1694">
        <v>674194000</v>
      </c>
      <c r="N1694">
        <v>0</v>
      </c>
      <c r="O1694">
        <v>0</v>
      </c>
      <c r="P1694">
        <v>322674</v>
      </c>
      <c r="Q1694">
        <v>4889310</v>
      </c>
      <c r="R1694">
        <v>8764522</v>
      </c>
      <c r="S1694">
        <v>0</v>
      </c>
      <c r="T1694">
        <v>0</v>
      </c>
    </row>
    <row r="1695" spans="1:20" x14ac:dyDescent="0.25">
      <c r="A1695" t="s">
        <v>75</v>
      </c>
      <c r="B1695" t="s">
        <v>83</v>
      </c>
      <c r="C1695">
        <v>202601</v>
      </c>
      <c r="D1695" s="47" t="str">
        <f>MID(C1695,1,4)</f>
        <v>2026</v>
      </c>
      <c r="E1695" t="str">
        <f>IF(Portfolio!$M$1=1,CONCATENATE(A1695,C1695),CONCATENATE(B1695,C1695))</f>
        <v>CHAMP RESTO202601</v>
      </c>
      <c r="F1695">
        <v>4</v>
      </c>
      <c r="G1695">
        <v>0</v>
      </c>
      <c r="H1695">
        <v>0</v>
      </c>
      <c r="I1695">
        <v>0</v>
      </c>
      <c r="J1695">
        <v>92</v>
      </c>
      <c r="K1695">
        <v>7053140</v>
      </c>
      <c r="L1695">
        <v>0</v>
      </c>
      <c r="M1695">
        <v>0</v>
      </c>
      <c r="N1695">
        <v>0</v>
      </c>
      <c r="O1695">
        <v>4419580</v>
      </c>
      <c r="P1695">
        <v>10580</v>
      </c>
      <c r="Q1695">
        <v>0</v>
      </c>
      <c r="R1695">
        <v>0</v>
      </c>
      <c r="S1695">
        <v>0</v>
      </c>
      <c r="T1695">
        <v>861</v>
      </c>
    </row>
    <row r="1696" spans="1:20" x14ac:dyDescent="0.25">
      <c r="A1696" t="s">
        <v>107</v>
      </c>
      <c r="B1696" t="s">
        <v>192</v>
      </c>
      <c r="C1696">
        <v>202601</v>
      </c>
      <c r="D1696" s="47" t="str">
        <f>MID(C1696,1,4)</f>
        <v>2026</v>
      </c>
      <c r="E1696" t="str">
        <f>IF(Portfolio!$M$1=1,CONCATENATE(A1696,C1696),CONCATENATE(B1696,C1696))</f>
        <v>MAP GROUP202601</v>
      </c>
      <c r="F1696">
        <v>36</v>
      </c>
      <c r="G1696">
        <v>43</v>
      </c>
      <c r="H1696">
        <v>55</v>
      </c>
      <c r="I1696">
        <v>0</v>
      </c>
      <c r="J1696">
        <v>36</v>
      </c>
      <c r="K1696">
        <v>26441940</v>
      </c>
      <c r="L1696">
        <v>26206160</v>
      </c>
      <c r="M1696">
        <v>36037100</v>
      </c>
      <c r="N1696">
        <v>0</v>
      </c>
      <c r="O1696">
        <v>3010000</v>
      </c>
      <c r="P1696">
        <v>39663</v>
      </c>
      <c r="Q1696">
        <v>262062</v>
      </c>
      <c r="R1696">
        <v>468482</v>
      </c>
      <c r="S1696">
        <v>0</v>
      </c>
      <c r="T1696">
        <v>0</v>
      </c>
    </row>
    <row r="1697" spans="1:20" x14ac:dyDescent="0.25">
      <c r="A1697" t="s">
        <v>103</v>
      </c>
      <c r="B1697" t="s">
        <v>146</v>
      </c>
      <c r="C1697">
        <v>202601</v>
      </c>
      <c r="D1697" s="47" t="str">
        <f>MID(C1697,1,4)</f>
        <v>2026</v>
      </c>
      <c r="E1697" t="str">
        <f>IF(Portfolio!$M$1=1,CONCATENATE(A1697,C1697),CONCATENATE(B1697,C1697))</f>
        <v>KCIC202601</v>
      </c>
      <c r="F1697">
        <v>41</v>
      </c>
      <c r="G1697">
        <v>427</v>
      </c>
      <c r="H1697">
        <v>963</v>
      </c>
      <c r="I1697">
        <v>0</v>
      </c>
      <c r="J1697">
        <v>458</v>
      </c>
      <c r="K1697">
        <v>33325000</v>
      </c>
      <c r="L1697">
        <v>358350000</v>
      </c>
      <c r="M1697">
        <v>969020000</v>
      </c>
      <c r="N1697">
        <v>0</v>
      </c>
      <c r="O1697">
        <v>385650000</v>
      </c>
      <c r="P1697">
        <v>49988</v>
      </c>
      <c r="Q1697">
        <v>3113550</v>
      </c>
      <c r="R1697">
        <v>17448360</v>
      </c>
      <c r="S1697">
        <v>0</v>
      </c>
      <c r="T1697">
        <v>2699550</v>
      </c>
    </row>
    <row r="1698" spans="1:20" x14ac:dyDescent="0.25">
      <c r="A1698" t="s">
        <v>107</v>
      </c>
      <c r="B1698" t="s">
        <v>187</v>
      </c>
      <c r="C1698">
        <v>202601</v>
      </c>
      <c r="D1698" s="47" t="str">
        <f>MID(C1698,1,4)</f>
        <v>2026</v>
      </c>
      <c r="E1698" t="str">
        <f>IF(Portfolio!$M$1=1,CONCATENATE(A1698,C1698),CONCATENATE(B1698,C1698))</f>
        <v>MAP GROUP202601</v>
      </c>
      <c r="F1698">
        <v>6</v>
      </c>
      <c r="G1698">
        <v>8</v>
      </c>
      <c r="H1698">
        <v>16</v>
      </c>
      <c r="I1698">
        <v>0</v>
      </c>
      <c r="J1698">
        <v>0</v>
      </c>
      <c r="K1698">
        <v>8832000</v>
      </c>
      <c r="L1698">
        <v>11797400</v>
      </c>
      <c r="M1698">
        <v>24590820</v>
      </c>
      <c r="N1698">
        <v>0</v>
      </c>
      <c r="O1698">
        <v>0</v>
      </c>
      <c r="P1698">
        <v>13248</v>
      </c>
      <c r="Q1698">
        <v>117974</v>
      </c>
      <c r="R1698">
        <v>319681</v>
      </c>
      <c r="S1698">
        <v>0</v>
      </c>
      <c r="T1698">
        <v>0</v>
      </c>
    </row>
    <row r="1699" spans="1:20" x14ac:dyDescent="0.25">
      <c r="A1699" t="s">
        <v>75</v>
      </c>
      <c r="B1699" t="s">
        <v>79</v>
      </c>
      <c r="C1699">
        <v>202601</v>
      </c>
      <c r="D1699" s="47" t="str">
        <f>MID(C1699,1,4)</f>
        <v>2026</v>
      </c>
      <c r="E1699" t="str">
        <f>IF(Portfolio!$M$1=1,CONCATENATE(A1699,C1699),CONCATENATE(B1699,C1699))</f>
        <v>CHAMP RESTO202601</v>
      </c>
      <c r="F1699">
        <v>0</v>
      </c>
      <c r="G1699">
        <v>0</v>
      </c>
      <c r="H1699">
        <v>0</v>
      </c>
      <c r="I1699">
        <v>0</v>
      </c>
      <c r="J1699"/>
      <c r="K1699">
        <v>0</v>
      </c>
      <c r="L1699">
        <v>0</v>
      </c>
      <c r="M1699">
        <v>0</v>
      </c>
      <c r="N1699">
        <v>0</v>
      </c>
      <c r="O1699">
        <v>353804</v>
      </c>
      <c r="P1699">
        <v>0</v>
      </c>
      <c r="Q1699">
        <v>0</v>
      </c>
      <c r="R1699">
        <v>0</v>
      </c>
      <c r="S1699">
        <v>0</v>
      </c>
      <c r="T1699">
        <v>2477</v>
      </c>
    </row>
    <row r="1700" spans="1:20" x14ac:dyDescent="0.25">
      <c r="A1700" t="s">
        <v>82</v>
      </c>
      <c r="B1700" t="s">
        <v>82</v>
      </c>
      <c r="C1700">
        <v>202601</v>
      </c>
      <c r="D1700" s="47" t="str">
        <f>MID(C1700,1,4)</f>
        <v>2026</v>
      </c>
      <c r="E1700" t="str">
        <f>IF(Portfolio!$M$1=1,CONCATENATE(A1700,C1700),CONCATENATE(B1700,C1700))</f>
        <v>EKA HOSPITAL202601</v>
      </c>
      <c r="F1700">
        <v>20</v>
      </c>
      <c r="G1700">
        <v>9</v>
      </c>
      <c r="H1700">
        <v>22</v>
      </c>
      <c r="I1700">
        <v>0</v>
      </c>
      <c r="J1700">
        <v>0</v>
      </c>
      <c r="K1700">
        <v>18497880</v>
      </c>
      <c r="L1700">
        <v>7927500</v>
      </c>
      <c r="M1700">
        <v>18519794</v>
      </c>
      <c r="N1700">
        <v>0</v>
      </c>
      <c r="O1700">
        <v>3067436</v>
      </c>
      <c r="P1700">
        <v>27747</v>
      </c>
      <c r="Q1700">
        <v>79275</v>
      </c>
      <c r="R1700">
        <v>240757</v>
      </c>
      <c r="S1700">
        <v>0</v>
      </c>
      <c r="T1700">
        <v>21472</v>
      </c>
    </row>
    <row r="1701" spans="1:20" x14ac:dyDescent="0.25">
      <c r="A1701" t="s">
        <v>78</v>
      </c>
      <c r="B1701" t="s">
        <v>98</v>
      </c>
      <c r="C1701">
        <v>202601</v>
      </c>
      <c r="D1701" s="47" t="str">
        <f>MID(C1701,1,4)</f>
        <v>2026</v>
      </c>
      <c r="E1701" t="str">
        <f>IF(Portfolio!$M$1=1,CONCATENATE(A1701,C1701),CONCATENATE(B1701,C1701))</f>
        <v>DELTA WIBAWA BERSAMA202601</v>
      </c>
      <c r="F1701">
        <v>0</v>
      </c>
      <c r="G1701">
        <v>0</v>
      </c>
      <c r="H1701">
        <v>0</v>
      </c>
      <c r="I1701">
        <v>1</v>
      </c>
      <c r="J1701">
        <v>130</v>
      </c>
      <c r="K1701">
        <v>0</v>
      </c>
      <c r="L1701">
        <v>0</v>
      </c>
      <c r="M1701">
        <v>0</v>
      </c>
      <c r="N1701">
        <v>190000</v>
      </c>
      <c r="O1701">
        <v>26631249</v>
      </c>
      <c r="P1701">
        <v>0</v>
      </c>
      <c r="Q1701">
        <v>0</v>
      </c>
      <c r="R1701">
        <v>0</v>
      </c>
      <c r="S1701">
        <v>1330</v>
      </c>
      <c r="T1701">
        <v>186419</v>
      </c>
    </row>
    <row r="1702" spans="1:20" x14ac:dyDescent="0.25">
      <c r="A1702" t="s">
        <v>88</v>
      </c>
      <c r="B1702" t="s">
        <v>88</v>
      </c>
      <c r="C1702">
        <v>202601</v>
      </c>
      <c r="D1702" s="47" t="str">
        <f>MID(C1702,1,4)</f>
        <v>2026</v>
      </c>
      <c r="E1702" t="str">
        <f>IF(Portfolio!$M$1=1,CONCATENATE(A1702,C1702),CONCATENATE(B1702,C1702))</f>
        <v>HAUS202601</v>
      </c>
      <c r="F1702">
        <v>4</v>
      </c>
      <c r="G1702">
        <v>2</v>
      </c>
      <c r="H1702">
        <v>0</v>
      </c>
      <c r="I1702">
        <v>7</v>
      </c>
      <c r="J1702">
        <v>76</v>
      </c>
      <c r="K1702">
        <v>160000</v>
      </c>
      <c r="L1702">
        <v>28000</v>
      </c>
      <c r="M1702">
        <v>0</v>
      </c>
      <c r="N1702">
        <v>1090000</v>
      </c>
      <c r="O1702">
        <v>4905000</v>
      </c>
      <c r="P1702">
        <v>240</v>
      </c>
      <c r="Q1702">
        <v>280</v>
      </c>
      <c r="R1702">
        <v>0</v>
      </c>
      <c r="S1702">
        <v>1626</v>
      </c>
      <c r="T1702">
        <v>9000</v>
      </c>
    </row>
    <row r="1703" spans="1:20" x14ac:dyDescent="0.25">
      <c r="A1703" t="s">
        <v>107</v>
      </c>
      <c r="B1703" t="s">
        <v>209</v>
      </c>
      <c r="C1703">
        <v>202601</v>
      </c>
      <c r="D1703" s="47" t="str">
        <f>MID(C1703,1,4)</f>
        <v>2026</v>
      </c>
      <c r="E1703" t="str">
        <f>IF(Portfolio!$M$1=1,CONCATENATE(A1703,C1703),CONCATENATE(B1703,C1703))</f>
        <v>MAP GROUP202601</v>
      </c>
      <c r="F1703">
        <v>0</v>
      </c>
      <c r="G1703">
        <v>4</v>
      </c>
      <c r="H1703">
        <v>11</v>
      </c>
      <c r="I1703">
        <v>0</v>
      </c>
      <c r="J1703">
        <v>0</v>
      </c>
      <c r="K1703">
        <v>0</v>
      </c>
      <c r="L1703">
        <v>4802200</v>
      </c>
      <c r="M1703">
        <v>11852700</v>
      </c>
      <c r="N1703">
        <v>0</v>
      </c>
      <c r="O1703">
        <v>0</v>
      </c>
      <c r="P1703">
        <v>0</v>
      </c>
      <c r="Q1703">
        <v>48022</v>
      </c>
      <c r="R1703">
        <v>154085</v>
      </c>
      <c r="S1703">
        <v>0</v>
      </c>
      <c r="T1703">
        <v>0</v>
      </c>
    </row>
    <row r="1704" spans="1:20" x14ac:dyDescent="0.25">
      <c r="A1704" t="s">
        <v>102</v>
      </c>
      <c r="B1704" t="s">
        <v>121</v>
      </c>
      <c r="C1704">
        <v>202601</v>
      </c>
      <c r="D1704" s="47" t="str">
        <f>MID(C1704,1,4)</f>
        <v>2026</v>
      </c>
      <c r="E1704" t="str">
        <f>IF(Portfolio!$M$1=1,CONCATENATE(A1704,C1704),CONCATENATE(B1704,C1704))</f>
        <v>KAWAN LAMA202601</v>
      </c>
      <c r="F1704">
        <v>11</v>
      </c>
      <c r="G1704">
        <v>0</v>
      </c>
      <c r="H1704">
        <v>0</v>
      </c>
      <c r="I1704">
        <v>0</v>
      </c>
      <c r="J1704">
        <v>0</v>
      </c>
      <c r="K1704">
        <v>1588500</v>
      </c>
      <c r="L1704">
        <v>0</v>
      </c>
      <c r="M1704">
        <v>0</v>
      </c>
      <c r="N1704">
        <v>0</v>
      </c>
      <c r="O1704">
        <v>0</v>
      </c>
      <c r="P1704">
        <v>2383</v>
      </c>
      <c r="Q1704">
        <v>0</v>
      </c>
      <c r="R1704">
        <v>0</v>
      </c>
      <c r="S1704">
        <v>0</v>
      </c>
      <c r="T1704">
        <v>0</v>
      </c>
    </row>
    <row r="1705" spans="1:20" x14ac:dyDescent="0.25">
      <c r="A1705" t="s">
        <v>104</v>
      </c>
      <c r="B1705" t="s">
        <v>147</v>
      </c>
      <c r="C1705">
        <v>202601</v>
      </c>
      <c r="D1705" s="47" t="str">
        <f>MID(C1705,1,4)</f>
        <v>2026</v>
      </c>
      <c r="E1705" t="str">
        <f>IF(Portfolio!$M$1=1,CONCATENATE(A1705,C1705),CONCATENATE(B1705,C1705))</f>
        <v>KIMIA FARMA202601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217200</v>
      </c>
      <c r="P1705">
        <v>0</v>
      </c>
      <c r="Q1705">
        <v>0</v>
      </c>
      <c r="R1705">
        <v>0</v>
      </c>
      <c r="S1705">
        <v>0</v>
      </c>
      <c r="T1705">
        <v>1520</v>
      </c>
    </row>
    <row r="1706" spans="1:20" x14ac:dyDescent="0.25">
      <c r="A1706" t="s">
        <v>107</v>
      </c>
      <c r="B1706" t="s">
        <v>193</v>
      </c>
      <c r="C1706">
        <v>202601</v>
      </c>
      <c r="D1706" s="47" t="str">
        <f>MID(C1706,1,4)</f>
        <v>2026</v>
      </c>
      <c r="E1706" t="str">
        <f>IF(Portfolio!$M$1=1,CONCATENATE(A1706,C1706),CONCATENATE(B1706,C1706))</f>
        <v>MAP GROUP202601</v>
      </c>
      <c r="F1706">
        <v>4</v>
      </c>
      <c r="G1706">
        <v>2</v>
      </c>
      <c r="H1706">
        <v>12</v>
      </c>
      <c r="I1706">
        <v>0</v>
      </c>
      <c r="J1706">
        <v>0</v>
      </c>
      <c r="K1706">
        <v>3216800</v>
      </c>
      <c r="L1706">
        <v>2742600</v>
      </c>
      <c r="M1706">
        <v>11886600</v>
      </c>
      <c r="N1706">
        <v>0</v>
      </c>
      <c r="O1706">
        <v>0</v>
      </c>
      <c r="P1706">
        <v>4825</v>
      </c>
      <c r="Q1706">
        <v>27426</v>
      </c>
      <c r="R1706">
        <v>154526</v>
      </c>
      <c r="S1706">
        <v>0</v>
      </c>
      <c r="T1706">
        <v>0</v>
      </c>
    </row>
    <row r="1707" spans="1:20" x14ac:dyDescent="0.25">
      <c r="A1707" t="s">
        <v>107</v>
      </c>
      <c r="B1707" t="s">
        <v>195</v>
      </c>
      <c r="C1707">
        <v>202601</v>
      </c>
      <c r="D1707" s="47" t="str">
        <f>MID(C1707,1,4)</f>
        <v>2026</v>
      </c>
      <c r="E1707" t="str">
        <f>IF(Portfolio!$M$1=1,CONCATENATE(A1707,C1707),CONCATENATE(B1707,C1707))</f>
        <v>MAP GROUP202601</v>
      </c>
      <c r="F1707">
        <v>0</v>
      </c>
      <c r="G1707">
        <v>9</v>
      </c>
      <c r="H1707">
        <v>26</v>
      </c>
      <c r="I1707">
        <v>0</v>
      </c>
      <c r="J1707">
        <v>0</v>
      </c>
      <c r="K1707">
        <v>0</v>
      </c>
      <c r="L1707">
        <v>4142200</v>
      </c>
      <c r="M1707">
        <v>19179360</v>
      </c>
      <c r="N1707">
        <v>0</v>
      </c>
      <c r="O1707">
        <v>0</v>
      </c>
      <c r="P1707">
        <v>0</v>
      </c>
      <c r="Q1707">
        <v>41422</v>
      </c>
      <c r="R1707">
        <v>249332</v>
      </c>
      <c r="S1707">
        <v>0</v>
      </c>
      <c r="T1707">
        <v>0</v>
      </c>
    </row>
    <row r="1708" spans="1:20" x14ac:dyDescent="0.25">
      <c r="A1708" t="s">
        <v>107</v>
      </c>
      <c r="B1708" t="s">
        <v>177</v>
      </c>
      <c r="C1708">
        <v>202601</v>
      </c>
      <c r="D1708" s="47" t="str">
        <f>MID(C1708,1,4)</f>
        <v>2026</v>
      </c>
      <c r="E1708" t="str">
        <f>IF(Portfolio!$M$1=1,CONCATENATE(A1708,C1708),CONCATENATE(B1708,C1708))</f>
        <v>MAP GROUP202601</v>
      </c>
      <c r="F1708">
        <v>56</v>
      </c>
      <c r="G1708">
        <v>0</v>
      </c>
      <c r="H1708">
        <v>1</v>
      </c>
      <c r="I1708">
        <v>0</v>
      </c>
      <c r="J1708">
        <v>0</v>
      </c>
      <c r="K1708">
        <v>121628800</v>
      </c>
      <c r="L1708">
        <v>0</v>
      </c>
      <c r="M1708">
        <v>1799100</v>
      </c>
      <c r="N1708">
        <v>0</v>
      </c>
      <c r="O1708">
        <v>0</v>
      </c>
      <c r="P1708">
        <v>182443</v>
      </c>
      <c r="Q1708">
        <v>0</v>
      </c>
      <c r="R1708">
        <v>23388</v>
      </c>
      <c r="S1708">
        <v>0</v>
      </c>
      <c r="T1708">
        <v>0</v>
      </c>
    </row>
    <row r="1709" spans="1:20" x14ac:dyDescent="0.25">
      <c r="A1709" t="s">
        <v>118</v>
      </c>
      <c r="B1709" t="s">
        <v>118</v>
      </c>
      <c r="C1709">
        <v>202601</v>
      </c>
      <c r="D1709" s="47" t="str">
        <f>MID(C1709,1,4)</f>
        <v>2026</v>
      </c>
      <c r="E1709" t="str">
        <f>IF(Portfolio!$M$1=1,CONCATENATE(A1709,C1709),CONCATENATE(B1709,C1709))</f>
        <v>SARINAH202601</v>
      </c>
      <c r="F1709">
        <v>4</v>
      </c>
      <c r="G1709">
        <v>30</v>
      </c>
      <c r="H1709">
        <v>54</v>
      </c>
      <c r="I1709">
        <v>0</v>
      </c>
      <c r="J1709">
        <v>1</v>
      </c>
      <c r="K1709">
        <v>1260000</v>
      </c>
      <c r="L1709">
        <v>35589570</v>
      </c>
      <c r="M1709">
        <v>55548360</v>
      </c>
      <c r="N1709">
        <v>0</v>
      </c>
      <c r="O1709">
        <v>4474266</v>
      </c>
      <c r="P1709">
        <v>1890</v>
      </c>
      <c r="Q1709">
        <v>352516</v>
      </c>
      <c r="R1709">
        <v>999870</v>
      </c>
      <c r="S1709">
        <v>0</v>
      </c>
      <c r="T1709">
        <v>31318</v>
      </c>
    </row>
    <row r="1710" spans="1:20" x14ac:dyDescent="0.25">
      <c r="A1710" t="s">
        <v>107</v>
      </c>
      <c r="B1710" t="s">
        <v>157</v>
      </c>
      <c r="C1710">
        <v>202601</v>
      </c>
      <c r="D1710" s="47" t="str">
        <f>MID(C1710,1,4)</f>
        <v>2026</v>
      </c>
      <c r="E1710" t="str">
        <f>IF(Portfolio!$M$1=1,CONCATENATE(A1710,C1710),CONCATENATE(B1710,C1710))</f>
        <v>MAP GROUP202601</v>
      </c>
      <c r="F1710">
        <v>0</v>
      </c>
      <c r="G1710">
        <v>17</v>
      </c>
      <c r="H1710">
        <v>34</v>
      </c>
      <c r="I1710">
        <v>0</v>
      </c>
      <c r="J1710">
        <v>0</v>
      </c>
      <c r="K1710">
        <v>0</v>
      </c>
      <c r="L1710">
        <v>19929095</v>
      </c>
      <c r="M1710">
        <v>18831706</v>
      </c>
      <c r="N1710">
        <v>0</v>
      </c>
      <c r="O1710">
        <v>0</v>
      </c>
      <c r="P1710">
        <v>0</v>
      </c>
      <c r="Q1710">
        <v>199291</v>
      </c>
      <c r="R1710">
        <v>244812</v>
      </c>
      <c r="S1710">
        <v>0</v>
      </c>
      <c r="T1710">
        <v>0</v>
      </c>
    </row>
    <row r="1711" spans="1:20" x14ac:dyDescent="0.25">
      <c r="A1711" t="s">
        <v>107</v>
      </c>
      <c r="B1711" t="s">
        <v>153</v>
      </c>
      <c r="C1711">
        <v>202601</v>
      </c>
      <c r="D1711" s="47" t="str">
        <f>MID(C1711,1,4)</f>
        <v>2026</v>
      </c>
      <c r="E1711" t="str">
        <f>IF(Portfolio!$M$1=1,CONCATENATE(A1711,C1711),CONCATENATE(B1711,C1711))</f>
        <v>MAP GROUP202601</v>
      </c>
      <c r="F1711">
        <v>0</v>
      </c>
      <c r="G1711">
        <v>14</v>
      </c>
      <c r="H1711">
        <v>21</v>
      </c>
      <c r="I1711">
        <v>0</v>
      </c>
      <c r="J1711">
        <v>0</v>
      </c>
      <c r="K1711">
        <v>0</v>
      </c>
      <c r="L1711">
        <v>17904700</v>
      </c>
      <c r="M1711">
        <v>25178620</v>
      </c>
      <c r="N1711">
        <v>0</v>
      </c>
      <c r="O1711">
        <v>0</v>
      </c>
      <c r="P1711">
        <v>0</v>
      </c>
      <c r="Q1711">
        <v>179047</v>
      </c>
      <c r="R1711">
        <v>327322</v>
      </c>
      <c r="S1711">
        <v>0</v>
      </c>
      <c r="T1711">
        <v>0</v>
      </c>
    </row>
    <row r="1712" spans="1:20" x14ac:dyDescent="0.25">
      <c r="A1712" t="s">
        <v>115</v>
      </c>
      <c r="B1712" t="s">
        <v>115</v>
      </c>
      <c r="C1712">
        <v>202601</v>
      </c>
      <c r="D1712" s="47" t="str">
        <f>MID(C1712,1,4)</f>
        <v>2026</v>
      </c>
      <c r="E1712" t="str">
        <f>IF(Portfolio!$M$1=1,CONCATENATE(A1712,C1712),CONCATENATE(B1712,C1712))</f>
        <v>PLATINUM CINEPLEX202601</v>
      </c>
      <c r="F1712">
        <v>0</v>
      </c>
      <c r="G1712">
        <v>10</v>
      </c>
      <c r="H1712">
        <v>0</v>
      </c>
      <c r="I1712">
        <v>0</v>
      </c>
      <c r="J1712">
        <v>11</v>
      </c>
      <c r="K1712">
        <v>0</v>
      </c>
      <c r="L1712">
        <v>1170000</v>
      </c>
      <c r="M1712">
        <v>0</v>
      </c>
      <c r="N1712">
        <v>0</v>
      </c>
      <c r="O1712">
        <v>830000</v>
      </c>
      <c r="P1712">
        <v>0</v>
      </c>
      <c r="Q1712">
        <v>11700</v>
      </c>
      <c r="R1712">
        <v>0</v>
      </c>
      <c r="S1712">
        <v>0</v>
      </c>
      <c r="T1712">
        <v>5810</v>
      </c>
    </row>
    <row r="1713" spans="1:20" x14ac:dyDescent="0.25">
      <c r="A1713" t="s">
        <v>111</v>
      </c>
      <c r="B1713" t="s">
        <v>212</v>
      </c>
      <c r="C1713">
        <v>202601</v>
      </c>
      <c r="D1713" s="47" t="str">
        <f>MID(C1713,1,4)</f>
        <v>2026</v>
      </c>
      <c r="E1713" t="str">
        <f>IF(Portfolio!$M$1=1,CONCATENATE(A1713,C1713),CONCATENATE(B1713,C1713))</f>
        <v>PATRA JASA202601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150000</v>
      </c>
      <c r="M1713">
        <v>0</v>
      </c>
      <c r="N1713">
        <v>0</v>
      </c>
      <c r="O1713">
        <v>0</v>
      </c>
      <c r="P1713">
        <v>0</v>
      </c>
      <c r="Q1713">
        <v>1500</v>
      </c>
      <c r="R1713">
        <v>0</v>
      </c>
      <c r="S1713">
        <v>0</v>
      </c>
      <c r="T1713">
        <v>0</v>
      </c>
    </row>
    <row r="1714" spans="1:20" x14ac:dyDescent="0.25">
      <c r="A1714" t="s">
        <v>75</v>
      </c>
      <c r="B1714" t="s">
        <v>77</v>
      </c>
      <c r="C1714">
        <v>202601</v>
      </c>
      <c r="D1714" s="47" t="str">
        <f>MID(C1714,1,4)</f>
        <v>2026</v>
      </c>
      <c r="E1714" t="str">
        <f>IF(Portfolio!$M$1=1,CONCATENATE(A1714,C1714),CONCATENATE(B1714,C1714))</f>
        <v>CHAMP RESTO202601</v>
      </c>
      <c r="F1714">
        <v>0</v>
      </c>
      <c r="G1714">
        <v>0</v>
      </c>
      <c r="H1714">
        <v>0</v>
      </c>
      <c r="I1714">
        <v>0</v>
      </c>
      <c r="J1714">
        <v>3</v>
      </c>
      <c r="K1714">
        <v>0</v>
      </c>
      <c r="L1714">
        <v>0</v>
      </c>
      <c r="M1714">
        <v>0</v>
      </c>
      <c r="N1714">
        <v>0</v>
      </c>
      <c r="O1714">
        <v>393300</v>
      </c>
      <c r="P1714">
        <v>0</v>
      </c>
      <c r="Q1714">
        <v>0</v>
      </c>
      <c r="R1714">
        <v>0</v>
      </c>
      <c r="S1714">
        <v>0</v>
      </c>
      <c r="T1714">
        <v>2753</v>
      </c>
    </row>
    <row r="1715" spans="1:20" x14ac:dyDescent="0.25">
      <c r="A1715" t="s">
        <v>107</v>
      </c>
      <c r="B1715" t="s">
        <v>174</v>
      </c>
      <c r="C1715">
        <v>202601</v>
      </c>
      <c r="D1715" s="47" t="str">
        <f>MID(C1715,1,4)</f>
        <v>2026</v>
      </c>
      <c r="E1715" t="str">
        <f>IF(Portfolio!$M$1=1,CONCATENATE(A1715,C1715),CONCATENATE(B1715,C1715))</f>
        <v>MAP GROUP202601</v>
      </c>
      <c r="F1715">
        <v>32</v>
      </c>
      <c r="G1715">
        <v>69</v>
      </c>
      <c r="H1715">
        <v>189</v>
      </c>
      <c r="I1715">
        <v>0</v>
      </c>
      <c r="J1715">
        <v>0</v>
      </c>
      <c r="K1715">
        <v>44196080</v>
      </c>
      <c r="L1715">
        <v>179158760</v>
      </c>
      <c r="M1715">
        <v>455874229</v>
      </c>
      <c r="N1715">
        <v>0</v>
      </c>
      <c r="O1715">
        <v>0</v>
      </c>
      <c r="P1715">
        <v>66294</v>
      </c>
      <c r="Q1715">
        <v>1791588</v>
      </c>
      <c r="R1715">
        <v>5926365</v>
      </c>
      <c r="S1715">
        <v>0</v>
      </c>
      <c r="T1715">
        <v>0</v>
      </c>
    </row>
    <row r="1716" spans="1:20" x14ac:dyDescent="0.25">
      <c r="A1716" t="s">
        <v>78</v>
      </c>
      <c r="B1716" t="s">
        <v>100</v>
      </c>
      <c r="C1716">
        <v>202601</v>
      </c>
      <c r="D1716" s="47" t="str">
        <f>MID(C1716,1,4)</f>
        <v>2026</v>
      </c>
      <c r="E1716" t="str">
        <f>IF(Portfolio!$M$1=1,CONCATENATE(A1716,C1716),CONCATENATE(B1716,C1716))</f>
        <v>DELTA WIBAWA BERSAMA202601</v>
      </c>
      <c r="F1716">
        <v>0</v>
      </c>
      <c r="G1716">
        <v>6</v>
      </c>
      <c r="H1716">
        <v>9</v>
      </c>
      <c r="I1716">
        <v>1</v>
      </c>
      <c r="J1716">
        <v>0</v>
      </c>
      <c r="K1716">
        <v>0</v>
      </c>
      <c r="L1716">
        <v>828135</v>
      </c>
      <c r="M1716">
        <v>3106950</v>
      </c>
      <c r="N1716">
        <v>225225</v>
      </c>
      <c r="O1716">
        <v>0</v>
      </c>
      <c r="P1716">
        <v>0</v>
      </c>
      <c r="Q1716">
        <v>7681</v>
      </c>
      <c r="R1716">
        <v>62139</v>
      </c>
      <c r="S1716">
        <v>1577</v>
      </c>
      <c r="T1716">
        <v>0</v>
      </c>
    </row>
    <row r="1717" spans="1:20" x14ac:dyDescent="0.25">
      <c r="A1717" t="s">
        <v>107</v>
      </c>
      <c r="B1717" t="s">
        <v>202</v>
      </c>
      <c r="C1717">
        <v>202601</v>
      </c>
      <c r="D1717" s="47" t="str">
        <f>MID(C1717,1,4)</f>
        <v>2026</v>
      </c>
      <c r="E1717" t="str">
        <f>IF(Portfolio!$M$1=1,CONCATENATE(A1717,C1717),CONCATENATE(B1717,C1717))</f>
        <v>MAP GROUP202601</v>
      </c>
      <c r="F1717">
        <v>7</v>
      </c>
      <c r="G1717">
        <v>10</v>
      </c>
      <c r="H1717">
        <v>16</v>
      </c>
      <c r="I1717">
        <v>0</v>
      </c>
      <c r="J1717">
        <v>0</v>
      </c>
      <c r="K1717">
        <v>1751900</v>
      </c>
      <c r="L1717">
        <v>8974100</v>
      </c>
      <c r="M1717">
        <v>17524200</v>
      </c>
      <c r="N1717">
        <v>0</v>
      </c>
      <c r="O1717">
        <v>0</v>
      </c>
      <c r="P1717">
        <v>2628</v>
      </c>
      <c r="Q1717">
        <v>89741</v>
      </c>
      <c r="R1717">
        <v>227815</v>
      </c>
      <c r="S1717">
        <v>0</v>
      </c>
      <c r="T1717">
        <v>0</v>
      </c>
    </row>
    <row r="1718" spans="1:20" x14ac:dyDescent="0.25">
      <c r="A1718" t="s">
        <v>102</v>
      </c>
      <c r="B1718" t="s">
        <v>141</v>
      </c>
      <c r="C1718">
        <v>202601</v>
      </c>
      <c r="D1718" s="47" t="str">
        <f>MID(C1718,1,4)</f>
        <v>2026</v>
      </c>
      <c r="E1718" t="str">
        <f>IF(Portfolio!$M$1=1,CONCATENATE(A1718,C1718),CONCATENATE(B1718,C1718))</f>
        <v>KAWAN LAMA202601</v>
      </c>
      <c r="F1718">
        <v>4</v>
      </c>
      <c r="G1718">
        <v>0</v>
      </c>
      <c r="H1718">
        <v>0</v>
      </c>
      <c r="I1718">
        <v>0</v>
      </c>
      <c r="J1718">
        <v>0</v>
      </c>
      <c r="K1718">
        <v>11668584</v>
      </c>
      <c r="L1718">
        <v>0</v>
      </c>
      <c r="M1718">
        <v>0</v>
      </c>
      <c r="N1718">
        <v>0</v>
      </c>
      <c r="O1718">
        <v>0</v>
      </c>
      <c r="P1718">
        <v>17503</v>
      </c>
      <c r="Q1718">
        <v>0</v>
      </c>
      <c r="R1718">
        <v>0</v>
      </c>
      <c r="S1718">
        <v>0</v>
      </c>
      <c r="T1718">
        <v>0</v>
      </c>
    </row>
    <row r="1719" spans="1:20" x14ac:dyDescent="0.25">
      <c r="A1719" t="s">
        <v>102</v>
      </c>
      <c r="B1719" t="s">
        <v>129</v>
      </c>
      <c r="C1719">
        <v>202601</v>
      </c>
      <c r="D1719" s="47" t="str">
        <f>MID(C1719,1,4)</f>
        <v>2026</v>
      </c>
      <c r="E1719" t="str">
        <f>IF(Portfolio!$M$1=1,CONCATENATE(A1719,C1719),CONCATENATE(B1719,C1719))</f>
        <v>KAWAN LAMA202601</v>
      </c>
      <c r="F1719">
        <v>4</v>
      </c>
      <c r="G1719">
        <v>0</v>
      </c>
      <c r="H1719">
        <v>0</v>
      </c>
      <c r="I1719">
        <v>0</v>
      </c>
      <c r="J1719">
        <v>0</v>
      </c>
      <c r="K1719">
        <v>896004</v>
      </c>
      <c r="L1719">
        <v>0</v>
      </c>
      <c r="M1719">
        <v>0</v>
      </c>
      <c r="N1719">
        <v>0</v>
      </c>
      <c r="O1719">
        <v>0</v>
      </c>
      <c r="P1719">
        <v>1344</v>
      </c>
      <c r="Q1719">
        <v>0</v>
      </c>
      <c r="R1719">
        <v>0</v>
      </c>
      <c r="S1719">
        <v>0</v>
      </c>
      <c r="T1719">
        <v>0</v>
      </c>
    </row>
    <row r="1720" spans="1:20" x14ac:dyDescent="0.25">
      <c r="A1720" t="s">
        <v>107</v>
      </c>
      <c r="B1720" t="s">
        <v>194</v>
      </c>
      <c r="C1720">
        <v>202601</v>
      </c>
      <c r="D1720" s="47" t="str">
        <f>MID(C1720,1,4)</f>
        <v>2026</v>
      </c>
      <c r="E1720" t="str">
        <f>IF(Portfolio!$M$1=1,CONCATENATE(A1720,C1720),CONCATENATE(B1720,C1720))</f>
        <v>MAP GROUP202601</v>
      </c>
      <c r="F1720">
        <v>0</v>
      </c>
      <c r="G1720">
        <v>0</v>
      </c>
      <c r="H1720">
        <v>19</v>
      </c>
      <c r="I1720">
        <v>0</v>
      </c>
      <c r="J1720">
        <v>0</v>
      </c>
      <c r="K1720">
        <v>0</v>
      </c>
      <c r="L1720">
        <v>0</v>
      </c>
      <c r="M1720">
        <v>20160560</v>
      </c>
      <c r="N1720">
        <v>0</v>
      </c>
      <c r="O1720">
        <v>0</v>
      </c>
      <c r="P1720">
        <v>0</v>
      </c>
      <c r="Q1720">
        <v>0</v>
      </c>
      <c r="R1720">
        <v>262087</v>
      </c>
      <c r="S1720">
        <v>0</v>
      </c>
      <c r="T1720">
        <v>0</v>
      </c>
    </row>
    <row r="1721" spans="1:20" x14ac:dyDescent="0.25">
      <c r="A1721" t="s">
        <v>111</v>
      </c>
      <c r="B1721" t="s">
        <v>211</v>
      </c>
      <c r="C1721">
        <v>202601</v>
      </c>
      <c r="D1721" s="47" t="str">
        <f>MID(C1721,1,4)</f>
        <v>2026</v>
      </c>
      <c r="E1721" t="str">
        <f>IF(Portfolio!$M$1=1,CONCATENATE(A1721,C1721),CONCATENATE(B1721,C1721))</f>
        <v>PATRA JASA202601</v>
      </c>
      <c r="F1721">
        <v>0</v>
      </c>
      <c r="G1721">
        <v>2</v>
      </c>
      <c r="H1721">
        <v>7</v>
      </c>
      <c r="I1721">
        <v>0</v>
      </c>
      <c r="J1721">
        <v>0</v>
      </c>
      <c r="K1721">
        <v>0</v>
      </c>
      <c r="L1721">
        <v>3193680</v>
      </c>
      <c r="M1721">
        <v>7549590</v>
      </c>
      <c r="N1721">
        <v>0</v>
      </c>
      <c r="O1721">
        <v>0</v>
      </c>
      <c r="P1721">
        <v>0</v>
      </c>
      <c r="Q1721">
        <v>31937</v>
      </c>
      <c r="R1721">
        <v>135893</v>
      </c>
      <c r="S1721">
        <v>0</v>
      </c>
      <c r="T1721">
        <v>0</v>
      </c>
    </row>
    <row r="1722" spans="1:20" x14ac:dyDescent="0.25">
      <c r="A1722" t="s">
        <v>107</v>
      </c>
      <c r="B1722" t="s">
        <v>160</v>
      </c>
      <c r="C1722">
        <v>202601</v>
      </c>
      <c r="D1722" s="47" t="str">
        <f>MID(C1722,1,4)</f>
        <v>2026</v>
      </c>
      <c r="E1722" t="str">
        <f>IF(Portfolio!$M$1=1,CONCATENATE(A1722,C1722),CONCATENATE(B1722,C1722))</f>
        <v>MAP GROUP202601</v>
      </c>
      <c r="F1722">
        <v>8</v>
      </c>
      <c r="G1722">
        <v>0</v>
      </c>
      <c r="H1722">
        <v>0</v>
      </c>
      <c r="I1722">
        <v>0</v>
      </c>
      <c r="J1722">
        <v>0</v>
      </c>
      <c r="K1722">
        <v>24252000</v>
      </c>
      <c r="L1722">
        <v>0</v>
      </c>
      <c r="M1722">
        <v>0</v>
      </c>
      <c r="N1722">
        <v>0</v>
      </c>
      <c r="O1722">
        <v>0</v>
      </c>
      <c r="P1722">
        <v>36378</v>
      </c>
      <c r="Q1722">
        <v>0</v>
      </c>
      <c r="R1722">
        <v>0</v>
      </c>
      <c r="S1722">
        <v>0</v>
      </c>
      <c r="T1722">
        <v>0</v>
      </c>
    </row>
    <row r="1723" spans="1:20" x14ac:dyDescent="0.25">
      <c r="A1723" t="s">
        <v>126</v>
      </c>
      <c r="B1723" t="s">
        <v>132</v>
      </c>
      <c r="C1723">
        <v>202601</v>
      </c>
      <c r="D1723" s="47" t="str">
        <f>MID(C1723,1,4)</f>
        <v>2026</v>
      </c>
      <c r="E1723" t="str">
        <f>IF(Portfolio!$M$1=1,CONCATENATE(A1723,C1723),CONCATENATE(B1723,C1723))</f>
        <v>STEVEN GROUP202601</v>
      </c>
      <c r="F1723">
        <v>0</v>
      </c>
      <c r="G1723">
        <v>0</v>
      </c>
      <c r="H1723">
        <v>0</v>
      </c>
      <c r="I1723">
        <v>0</v>
      </c>
      <c r="J1723"/>
      <c r="K1723">
        <v>0</v>
      </c>
      <c r="L1723">
        <v>0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 spans="1:20" x14ac:dyDescent="0.25">
      <c r="A1724" t="s">
        <v>107</v>
      </c>
      <c r="B1724" t="s">
        <v>158</v>
      </c>
      <c r="C1724">
        <v>202601</v>
      </c>
      <c r="D1724" s="47" t="str">
        <f>MID(C1724,1,4)</f>
        <v>2026</v>
      </c>
      <c r="E1724" t="str">
        <f>IF(Portfolio!$M$1=1,CONCATENATE(A1724,C1724),CONCATENATE(B1724,C1724))</f>
        <v>MAP GROUP202601</v>
      </c>
      <c r="F1724">
        <v>4</v>
      </c>
      <c r="G1724">
        <v>10</v>
      </c>
      <c r="H1724">
        <v>7</v>
      </c>
      <c r="I1724">
        <v>0</v>
      </c>
      <c r="J1724">
        <v>0</v>
      </c>
      <c r="K1724">
        <v>1598000</v>
      </c>
      <c r="L1724">
        <v>4264565</v>
      </c>
      <c r="M1724">
        <v>2550610</v>
      </c>
      <c r="N1724">
        <v>0</v>
      </c>
      <c r="O1724">
        <v>0</v>
      </c>
      <c r="P1724">
        <v>2397</v>
      </c>
      <c r="Q1724">
        <v>42646</v>
      </c>
      <c r="R1724">
        <v>33158</v>
      </c>
      <c r="S1724">
        <v>0</v>
      </c>
      <c r="T1724">
        <v>0</v>
      </c>
    </row>
    <row r="1725" spans="1:20" x14ac:dyDescent="0.25">
      <c r="A1725" t="s">
        <v>107</v>
      </c>
      <c r="B1725" t="s">
        <v>196</v>
      </c>
      <c r="C1725">
        <v>202601</v>
      </c>
      <c r="D1725" s="47" t="str">
        <f>MID(C1725,1,4)</f>
        <v>2026</v>
      </c>
      <c r="E1725" t="str">
        <f>IF(Portfolio!$M$1=1,CONCATENATE(A1725,C1725),CONCATENATE(B1725,C1725))</f>
        <v>MAP GROUP202601</v>
      </c>
      <c r="F1725">
        <v>7</v>
      </c>
      <c r="G1725">
        <v>2</v>
      </c>
      <c r="H1725">
        <v>0</v>
      </c>
      <c r="I1725">
        <v>0</v>
      </c>
      <c r="J1725">
        <v>0</v>
      </c>
      <c r="K1725">
        <v>3322200</v>
      </c>
      <c r="L1725">
        <v>321400</v>
      </c>
      <c r="M1725">
        <v>0</v>
      </c>
      <c r="N1725">
        <v>0</v>
      </c>
      <c r="O1725">
        <v>0</v>
      </c>
      <c r="P1725">
        <v>4983</v>
      </c>
      <c r="Q1725">
        <v>3214</v>
      </c>
      <c r="R1725">
        <v>0</v>
      </c>
      <c r="S1725">
        <v>0</v>
      </c>
      <c r="T1725">
        <v>0</v>
      </c>
    </row>
    <row r="1726" spans="1:20" x14ac:dyDescent="0.25">
      <c r="A1726" t="s">
        <v>111</v>
      </c>
      <c r="B1726" t="s">
        <v>213</v>
      </c>
      <c r="C1726">
        <v>202601</v>
      </c>
      <c r="D1726" s="47" t="str">
        <f>MID(C1726,1,4)</f>
        <v>2026</v>
      </c>
      <c r="E1726" t="str">
        <f>IF(Portfolio!$M$1=1,CONCATENATE(A1726,C1726),CONCATENATE(B1726,C1726))</f>
        <v>PATRA JASA202601</v>
      </c>
      <c r="F1726">
        <v>0</v>
      </c>
      <c r="G1726">
        <v>0</v>
      </c>
      <c r="H1726">
        <v>0</v>
      </c>
      <c r="I1726">
        <v>0</v>
      </c>
      <c r="J1726">
        <v>4</v>
      </c>
      <c r="K1726">
        <v>0</v>
      </c>
      <c r="L1726">
        <v>0</v>
      </c>
      <c r="M1726">
        <v>0</v>
      </c>
      <c r="N1726">
        <v>0</v>
      </c>
      <c r="O1726">
        <v>734700</v>
      </c>
      <c r="P1726">
        <v>0</v>
      </c>
      <c r="Q1726">
        <v>0</v>
      </c>
      <c r="R1726">
        <v>0</v>
      </c>
      <c r="S1726">
        <v>0</v>
      </c>
      <c r="T1726">
        <v>5143</v>
      </c>
    </row>
    <row r="1727" spans="1:20" x14ac:dyDescent="0.25">
      <c r="A1727" t="s">
        <v>126</v>
      </c>
      <c r="B1727" t="s">
        <v>222</v>
      </c>
      <c r="C1727">
        <v>202601</v>
      </c>
      <c r="D1727" s="47" t="str">
        <f>MID(C1727,1,4)</f>
        <v>2026</v>
      </c>
      <c r="E1727" t="str">
        <f>IF(Portfolio!$M$1=1,CONCATENATE(A1727,C1727),CONCATENATE(B1727,C1727))</f>
        <v>STEVEN GROUP202601</v>
      </c>
      <c r="F1727">
        <v>0</v>
      </c>
      <c r="G1727">
        <v>0</v>
      </c>
      <c r="H1727">
        <v>0</v>
      </c>
      <c r="I1727">
        <v>0</v>
      </c>
      <c r="J1727"/>
      <c r="K1727">
        <v>0</v>
      </c>
      <c r="L1727">
        <v>0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 spans="1:20" x14ac:dyDescent="0.25">
      <c r="A1728" t="s">
        <v>107</v>
      </c>
      <c r="B1728" t="s">
        <v>184</v>
      </c>
      <c r="C1728">
        <v>202601</v>
      </c>
      <c r="D1728" s="47" t="str">
        <f>MID(C1728,1,4)</f>
        <v>2026</v>
      </c>
      <c r="E1728" t="str">
        <f>IF(Portfolio!$M$1=1,CONCATENATE(A1728,C1728),CONCATENATE(B1728,C1728))</f>
        <v>MAP GROUP202601</v>
      </c>
      <c r="F1728">
        <v>0</v>
      </c>
      <c r="G1728">
        <v>0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507000</v>
      </c>
      <c r="N1728">
        <v>0</v>
      </c>
      <c r="O1728">
        <v>0</v>
      </c>
      <c r="P1728">
        <v>0</v>
      </c>
      <c r="Q1728">
        <v>0</v>
      </c>
      <c r="R1728">
        <v>6591</v>
      </c>
      <c r="S1728">
        <v>0</v>
      </c>
      <c r="T1728">
        <v>0</v>
      </c>
    </row>
    <row r="1729" spans="1:20" x14ac:dyDescent="0.25">
      <c r="A1729" t="s">
        <v>107</v>
      </c>
      <c r="B1729" t="s">
        <v>155</v>
      </c>
      <c r="C1729">
        <v>202601</v>
      </c>
      <c r="D1729" s="47" t="str">
        <f>MID(C1729,1,4)</f>
        <v>2026</v>
      </c>
      <c r="E1729" t="str">
        <f>IF(Portfolio!$M$1=1,CONCATENATE(A1729,C1729),CONCATENATE(B1729,C1729))</f>
        <v>MAP GROUP202601</v>
      </c>
      <c r="F1729">
        <v>0</v>
      </c>
      <c r="G1729">
        <v>1</v>
      </c>
      <c r="H1729">
        <v>3</v>
      </c>
      <c r="I1729">
        <v>0</v>
      </c>
      <c r="J1729">
        <v>0</v>
      </c>
      <c r="K1729">
        <v>0</v>
      </c>
      <c r="L1729">
        <v>199000</v>
      </c>
      <c r="M1729">
        <v>1138400</v>
      </c>
      <c r="N1729">
        <v>0</v>
      </c>
      <c r="O1729">
        <v>0</v>
      </c>
      <c r="P1729">
        <v>0</v>
      </c>
      <c r="Q1729">
        <v>1990</v>
      </c>
      <c r="R1729">
        <v>14799</v>
      </c>
      <c r="S1729">
        <v>0</v>
      </c>
      <c r="T1729">
        <v>0</v>
      </c>
    </row>
    <row r="1730" spans="1:20" x14ac:dyDescent="0.25">
      <c r="A1730" t="s">
        <v>126</v>
      </c>
      <c r="B1730" t="s">
        <v>221</v>
      </c>
      <c r="C1730">
        <v>202601</v>
      </c>
      <c r="D1730" s="47" t="str">
        <f>MID(C1730,1,4)</f>
        <v>2026</v>
      </c>
      <c r="E1730" t="str">
        <f>IF(Portfolio!$M$1=1,CONCATENATE(A1730,C1730),CONCATENATE(B1730,C1730))</f>
        <v>STEVEN GROUP202601</v>
      </c>
      <c r="F1730">
        <v>0</v>
      </c>
      <c r="G1730">
        <v>0</v>
      </c>
      <c r="H1730">
        <v>0</v>
      </c>
      <c r="I1730">
        <v>0</v>
      </c>
      <c r="J1730">
        <v>71</v>
      </c>
      <c r="K1730">
        <v>0</v>
      </c>
      <c r="L1730">
        <v>0</v>
      </c>
      <c r="M1730">
        <v>0</v>
      </c>
      <c r="N1730">
        <v>0</v>
      </c>
      <c r="O1730">
        <v>2278000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 spans="1:20" x14ac:dyDescent="0.25">
      <c r="A1731" t="s">
        <v>75</v>
      </c>
      <c r="B1731" t="s">
        <v>87</v>
      </c>
      <c r="C1731">
        <v>202601</v>
      </c>
      <c r="D1731" s="47" t="str">
        <f>MID(C1731,1,4)</f>
        <v>2026</v>
      </c>
      <c r="E1731" t="str">
        <f>IF(Portfolio!$M$1=1,CONCATENATE(A1731,C1731),CONCATENATE(B1731,C1731))</f>
        <v>CHAMP RESTO202601</v>
      </c>
      <c r="F1731">
        <v>4</v>
      </c>
      <c r="G1731">
        <v>0</v>
      </c>
      <c r="H1731">
        <v>0</v>
      </c>
      <c r="I1731">
        <v>0</v>
      </c>
      <c r="J1731">
        <v>0</v>
      </c>
      <c r="K1731">
        <v>462000</v>
      </c>
      <c r="L1731">
        <v>0</v>
      </c>
      <c r="M1731">
        <v>0</v>
      </c>
      <c r="N1731">
        <v>0</v>
      </c>
      <c r="O1731">
        <v>0</v>
      </c>
      <c r="P1731">
        <v>693</v>
      </c>
      <c r="Q1731">
        <v>0</v>
      </c>
      <c r="R1731">
        <v>0</v>
      </c>
      <c r="S1731">
        <v>0</v>
      </c>
      <c r="T1731">
        <v>0</v>
      </c>
    </row>
    <row r="1732" spans="1:20" x14ac:dyDescent="0.25">
      <c r="A1732" t="s">
        <v>73</v>
      </c>
      <c r="B1732" t="s">
        <v>73</v>
      </c>
      <c r="C1732">
        <v>202601</v>
      </c>
      <c r="D1732" s="47" t="str">
        <f>MID(C1732,1,4)</f>
        <v>2026</v>
      </c>
      <c r="E1732" t="str">
        <f>IF(Portfolio!$M$1=1,CONCATENATE(A1732,C1732),CONCATENATE(B1732,C1732))</f>
        <v>BANBAN TEA202601</v>
      </c>
      <c r="F1732">
        <v>4</v>
      </c>
      <c r="G1732">
        <v>10</v>
      </c>
      <c r="H1732">
        <v>0</v>
      </c>
      <c r="I1732">
        <v>0</v>
      </c>
      <c r="J1732">
        <v>0</v>
      </c>
      <c r="K1732">
        <v>391600</v>
      </c>
      <c r="L1732">
        <v>961798</v>
      </c>
      <c r="M1732">
        <v>0</v>
      </c>
      <c r="N1732">
        <v>0</v>
      </c>
      <c r="O1732">
        <v>0</v>
      </c>
      <c r="P1732">
        <v>587</v>
      </c>
      <c r="Q1732">
        <v>9618</v>
      </c>
      <c r="R1732">
        <v>0</v>
      </c>
      <c r="S1732">
        <v>0</v>
      </c>
      <c r="T1732">
        <v>0</v>
      </c>
    </row>
    <row r="1733" spans="1:20" x14ac:dyDescent="0.25">
      <c r="A1733" t="s">
        <v>107</v>
      </c>
      <c r="B1733" t="s">
        <v>208</v>
      </c>
      <c r="C1733">
        <v>202601</v>
      </c>
      <c r="D1733" s="47" t="str">
        <f>MID(C1733,1,4)</f>
        <v>2026</v>
      </c>
      <c r="E1733" t="str">
        <f>IF(Portfolio!$M$1=1,CONCATENATE(A1733,C1733),CONCATENATE(B1733,C1733))</f>
        <v>MAP GROUP202601</v>
      </c>
      <c r="F1733">
        <v>4</v>
      </c>
      <c r="G1733">
        <v>1</v>
      </c>
      <c r="H1733">
        <v>1</v>
      </c>
      <c r="I1733">
        <v>0</v>
      </c>
      <c r="J1733">
        <v>0</v>
      </c>
      <c r="K1733">
        <v>6144000</v>
      </c>
      <c r="L1733">
        <v>562000</v>
      </c>
      <c r="M1733">
        <v>3384600</v>
      </c>
      <c r="N1733">
        <v>0</v>
      </c>
      <c r="O1733">
        <v>0</v>
      </c>
      <c r="P1733">
        <v>9216</v>
      </c>
      <c r="Q1733">
        <v>5620</v>
      </c>
      <c r="R1733">
        <v>44000</v>
      </c>
      <c r="S1733">
        <v>0</v>
      </c>
      <c r="T1733">
        <v>0</v>
      </c>
    </row>
    <row r="1734" spans="1:20" x14ac:dyDescent="0.25">
      <c r="A1734" t="s">
        <v>107</v>
      </c>
      <c r="B1734" t="s">
        <v>175</v>
      </c>
      <c r="C1734">
        <v>202601</v>
      </c>
      <c r="D1734" s="47" t="str">
        <f>MID(C1734,1,4)</f>
        <v>2026</v>
      </c>
      <c r="E1734" t="str">
        <f>IF(Portfolio!$M$1=1,CONCATENATE(A1734,C1734),CONCATENATE(B1734,C1734))</f>
        <v>MAP GROUP202601</v>
      </c>
      <c r="F1734">
        <v>0</v>
      </c>
      <c r="G1734">
        <v>0</v>
      </c>
      <c r="H1734">
        <v>2</v>
      </c>
      <c r="I1734">
        <v>0</v>
      </c>
      <c r="J1734">
        <v>0</v>
      </c>
      <c r="K1734">
        <v>0</v>
      </c>
      <c r="L1734">
        <v>0</v>
      </c>
      <c r="M1734">
        <v>1144000</v>
      </c>
      <c r="N1734">
        <v>0</v>
      </c>
      <c r="O1734">
        <v>0</v>
      </c>
      <c r="P1734">
        <v>0</v>
      </c>
      <c r="Q1734">
        <v>0</v>
      </c>
      <c r="R1734">
        <v>14872</v>
      </c>
      <c r="S1734">
        <v>0</v>
      </c>
      <c r="T1734">
        <v>0</v>
      </c>
    </row>
    <row r="1735" spans="1:20" x14ac:dyDescent="0.25">
      <c r="A1735" t="s">
        <v>94</v>
      </c>
      <c r="B1735" t="s">
        <v>94</v>
      </c>
      <c r="C1735">
        <v>202601</v>
      </c>
      <c r="D1735" s="47" t="str">
        <f>MID(C1735,1,4)</f>
        <v>2026</v>
      </c>
      <c r="E1735" t="str">
        <f>IF(Portfolio!$M$1=1,CONCATENATE(A1735,C1735),CONCATENATE(B1735,C1735))</f>
        <v>HOKBEN202601</v>
      </c>
      <c r="F1735">
        <v>0</v>
      </c>
      <c r="G1735">
        <v>0</v>
      </c>
      <c r="H1735">
        <v>0</v>
      </c>
      <c r="I1735">
        <v>0</v>
      </c>
      <c r="J1735">
        <v>9</v>
      </c>
      <c r="K1735">
        <v>0</v>
      </c>
      <c r="L1735">
        <v>0</v>
      </c>
      <c r="M1735">
        <v>0</v>
      </c>
      <c r="N1735">
        <v>0</v>
      </c>
      <c r="O1735">
        <v>699000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 spans="1:20" x14ac:dyDescent="0.25">
      <c r="A1736" t="s">
        <v>102</v>
      </c>
      <c r="B1736" t="s">
        <v>263</v>
      </c>
      <c r="C1736">
        <v>202601</v>
      </c>
      <c r="D1736" s="47" t="str">
        <f>MID(C1736,1,4)</f>
        <v>2026</v>
      </c>
      <c r="E1736" t="str">
        <f>IF(Portfolio!$M$1=1,CONCATENATE(A1736,C1736),CONCATENATE(B1736,C1736))</f>
        <v>KAWAN LAMA202601</v>
      </c>
      <c r="F1736">
        <v>4</v>
      </c>
      <c r="G1736">
        <v>0</v>
      </c>
      <c r="H1736">
        <v>0</v>
      </c>
      <c r="I1736">
        <v>0</v>
      </c>
      <c r="J1736">
        <v>0</v>
      </c>
      <c r="K1736">
        <v>280000</v>
      </c>
      <c r="L1736">
        <v>0</v>
      </c>
      <c r="M1736">
        <v>0</v>
      </c>
      <c r="N1736">
        <v>0</v>
      </c>
      <c r="O1736">
        <v>0</v>
      </c>
      <c r="P1736">
        <v>420</v>
      </c>
      <c r="Q1736">
        <v>0</v>
      </c>
      <c r="R1736">
        <v>0</v>
      </c>
      <c r="S1736">
        <v>0</v>
      </c>
      <c r="T1736">
        <v>0</v>
      </c>
    </row>
    <row r="1737" spans="1:20" x14ac:dyDescent="0.25">
      <c r="A1737" t="s">
        <v>102</v>
      </c>
      <c r="B1737" t="s">
        <v>144</v>
      </c>
      <c r="C1737">
        <v>202601</v>
      </c>
      <c r="D1737" s="47" t="str">
        <f>MID(C1737,1,4)</f>
        <v>2026</v>
      </c>
      <c r="E1737" t="str">
        <f>IF(Portfolio!$M$1=1,CONCATENATE(A1737,C1737),CONCATENATE(B1737,C1737))</f>
        <v>KAWAN LAMA202601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220600</v>
      </c>
      <c r="M1737">
        <v>0</v>
      </c>
      <c r="N1737">
        <v>0</v>
      </c>
      <c r="O1737">
        <v>0</v>
      </c>
      <c r="P1737">
        <v>0</v>
      </c>
      <c r="Q1737">
        <v>2206</v>
      </c>
      <c r="R1737">
        <v>0</v>
      </c>
      <c r="S1737">
        <v>0</v>
      </c>
      <c r="T1737">
        <v>0</v>
      </c>
    </row>
    <row r="1738" spans="1:20" x14ac:dyDescent="0.25">
      <c r="A1738" t="s">
        <v>126</v>
      </c>
      <c r="B1738" t="s">
        <v>228</v>
      </c>
      <c r="C1738">
        <v>202601</v>
      </c>
      <c r="D1738" s="47" t="str">
        <f>MID(C1738,1,4)</f>
        <v>2026</v>
      </c>
      <c r="E1738" t="str">
        <f>IF(Portfolio!$M$1=1,CONCATENATE(A1738,C1738),CONCATENATE(B1738,C1738))</f>
        <v>STEVEN GROUP202601</v>
      </c>
      <c r="F1738">
        <v>0</v>
      </c>
      <c r="G1738">
        <v>0</v>
      </c>
      <c r="H1738">
        <v>0</v>
      </c>
      <c r="I1738">
        <v>0</v>
      </c>
      <c r="J1738">
        <v>603</v>
      </c>
      <c r="K1738">
        <v>0</v>
      </c>
      <c r="L1738">
        <v>0</v>
      </c>
      <c r="M1738">
        <v>0</v>
      </c>
      <c r="N1738">
        <v>0</v>
      </c>
      <c r="O1738">
        <v>128108800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 spans="1:20" x14ac:dyDescent="0.25">
      <c r="A1739" t="s">
        <v>102</v>
      </c>
      <c r="B1739" t="s">
        <v>125</v>
      </c>
      <c r="C1739">
        <v>202601</v>
      </c>
      <c r="D1739" t="str">
        <f>MID(C1739,1,4)</f>
        <v>2026</v>
      </c>
      <c r="E1739" t="str">
        <f>IF(Portfolio!$M$1=1,CONCATENATE(A1739,C1739),CONCATENATE(B1739,C1739))</f>
        <v>KAWAN LAMA202601</v>
      </c>
      <c r="F1739" s="32">
        <v>910</v>
      </c>
      <c r="G1739" s="32">
        <v>5</v>
      </c>
      <c r="H1739" s="32">
        <v>3</v>
      </c>
      <c r="I1739" s="32">
        <v>0</v>
      </c>
      <c r="J1739" s="32">
        <v>0</v>
      </c>
      <c r="K1739" s="32">
        <v>57814000</v>
      </c>
      <c r="L1739" s="32">
        <v>369000</v>
      </c>
      <c r="M1739" s="32">
        <v>648000</v>
      </c>
      <c r="N1739" s="32">
        <v>0</v>
      </c>
      <c r="O1739" s="32">
        <v>2904005</v>
      </c>
      <c r="P1739" s="32">
        <v>86721</v>
      </c>
      <c r="Q1739" s="32">
        <v>3690</v>
      </c>
      <c r="R1739" s="32">
        <v>11664</v>
      </c>
      <c r="S1739" s="32">
        <v>0</v>
      </c>
      <c r="T1739" s="32">
        <v>20328</v>
      </c>
    </row>
    <row r="1740" spans="1:20" x14ac:dyDescent="0.25">
      <c r="A1740" t="s">
        <v>70</v>
      </c>
      <c r="B1740" t="s">
        <v>70</v>
      </c>
      <c r="C1740">
        <v>202601</v>
      </c>
      <c r="D1740" t="str">
        <f>MID(C1740,1,4)</f>
        <v>2026</v>
      </c>
      <c r="E1740" t="str">
        <f>IF(Portfolio!$M$1=1,CONCATENATE(A1740,C1740),CONCATENATE(B1740,C1740))</f>
        <v>ANCOL202601</v>
      </c>
      <c r="F1740" s="32">
        <v>130</v>
      </c>
      <c r="G1740" s="32">
        <v>1226</v>
      </c>
      <c r="H1740" s="32">
        <v>400</v>
      </c>
      <c r="I1740" s="32">
        <v>6</v>
      </c>
      <c r="J1740" s="32">
        <v>4926</v>
      </c>
      <c r="K1740" s="32">
        <v>68584000</v>
      </c>
      <c r="L1740" s="32">
        <v>952512900</v>
      </c>
      <c r="M1740" s="32">
        <v>430263650</v>
      </c>
      <c r="N1740" s="32">
        <v>327000</v>
      </c>
      <c r="O1740" s="32">
        <v>5231242856</v>
      </c>
      <c r="P1740" s="32">
        <v>102876</v>
      </c>
      <c r="Q1740" s="32">
        <v>9517689</v>
      </c>
      <c r="R1740" s="32">
        <v>7627645</v>
      </c>
      <c r="S1740" s="32">
        <v>0</v>
      </c>
      <c r="T1740" s="32">
        <v>36502193</v>
      </c>
    </row>
    <row r="1741" spans="1:20" x14ac:dyDescent="0.25">
      <c r="A1741" t="s">
        <v>101</v>
      </c>
      <c r="B1741" t="s">
        <v>101</v>
      </c>
      <c r="C1741">
        <v>202601</v>
      </c>
      <c r="D1741" t="str">
        <f>MID(C1741,1,4)</f>
        <v>2026</v>
      </c>
      <c r="E1741" t="str">
        <f>IF(Portfolio!$M$1=1,CONCATENATE(A1741,C1741),CONCATENATE(B1741,C1741))</f>
        <v>INDOMARET202601</v>
      </c>
      <c r="F1741" s="32">
        <v>82843</v>
      </c>
      <c r="G1741" s="32">
        <v>56442</v>
      </c>
      <c r="H1741" s="32">
        <v>30519</v>
      </c>
      <c r="I1741" s="32">
        <v>0</v>
      </c>
      <c r="J1741" s="32">
        <v>46</v>
      </c>
      <c r="K1741" s="32">
        <v>8835005497</v>
      </c>
      <c r="L1741" s="32">
        <v>5256558184</v>
      </c>
      <c r="M1741" s="32">
        <v>4689845878</v>
      </c>
      <c r="N1741" s="32">
        <v>0</v>
      </c>
      <c r="O1741" s="32">
        <v>3158900</v>
      </c>
      <c r="P1741" s="32">
        <v>13252501</v>
      </c>
      <c r="Q1741" s="32">
        <v>52304177</v>
      </c>
      <c r="R1741" s="32">
        <v>78420655</v>
      </c>
      <c r="S1741" s="32">
        <v>0</v>
      </c>
      <c r="T1741" s="32">
        <v>3906</v>
      </c>
    </row>
    <row r="1742" spans="1:20" x14ac:dyDescent="0.25">
      <c r="A1742" t="s">
        <v>67</v>
      </c>
      <c r="B1742" t="s">
        <v>68</v>
      </c>
      <c r="C1742">
        <v>202601</v>
      </c>
      <c r="D1742" t="str">
        <f>MID(C1742,1,4)</f>
        <v>2026</v>
      </c>
      <c r="E1742" t="str">
        <f>IF(Portfolio!$M$1=1,CONCATENATE(A1742,C1742),CONCATENATE(B1742,C1742))</f>
        <v>ALFA GROUP202601</v>
      </c>
      <c r="F1742" s="32">
        <v>67071</v>
      </c>
      <c r="G1742" s="32">
        <v>71508</v>
      </c>
      <c r="H1742" s="32">
        <v>12705</v>
      </c>
      <c r="I1742" s="32">
        <v>7</v>
      </c>
      <c r="J1742" s="32">
        <v>233</v>
      </c>
      <c r="K1742" s="32">
        <v>6927112482</v>
      </c>
      <c r="L1742" s="32">
        <v>7525552381</v>
      </c>
      <c r="M1742" s="32">
        <v>2268624742</v>
      </c>
      <c r="N1742" s="32">
        <v>129900</v>
      </c>
      <c r="O1742" s="32">
        <v>8268600</v>
      </c>
      <c r="P1742" s="32">
        <v>10390659</v>
      </c>
      <c r="Q1742" s="32">
        <v>75123030</v>
      </c>
      <c r="R1742" s="32">
        <v>40285259</v>
      </c>
      <c r="S1742" s="32">
        <v>62</v>
      </c>
      <c r="T1742" s="32">
        <v>6736</v>
      </c>
    </row>
    <row r="1743" spans="1:20" x14ac:dyDescent="0.25">
      <c r="A1743" t="s">
        <v>107</v>
      </c>
      <c r="B1743" t="s">
        <v>176</v>
      </c>
      <c r="C1743">
        <v>202601</v>
      </c>
      <c r="D1743" t="str">
        <f>MID(C1743,1,4)</f>
        <v>2026</v>
      </c>
      <c r="E1743" t="str">
        <f>IF(Portfolio!$M$1=1,CONCATENATE(A1743,C1743),CONCATENATE(B1743,C1743))</f>
        <v>MAP GROUP202601</v>
      </c>
      <c r="F1743" s="32">
        <v>373</v>
      </c>
      <c r="G1743" s="32">
        <v>1262</v>
      </c>
      <c r="H1743" s="32">
        <v>1774</v>
      </c>
      <c r="I1743" s="32">
        <v>0</v>
      </c>
      <c r="J1743" s="32">
        <v>0</v>
      </c>
      <c r="K1743" s="32">
        <v>168876172</v>
      </c>
      <c r="L1743" s="32">
        <v>715826695</v>
      </c>
      <c r="M1743" s="32">
        <v>1213308323</v>
      </c>
      <c r="N1743" s="32">
        <v>0</v>
      </c>
      <c r="O1743" s="32">
        <v>0</v>
      </c>
      <c r="P1743" s="32">
        <v>253314</v>
      </c>
      <c r="Q1743" s="32">
        <v>7158267</v>
      </c>
      <c r="R1743" s="32">
        <v>15773008</v>
      </c>
      <c r="S1743" s="32">
        <v>0</v>
      </c>
      <c r="T1743" s="32">
        <v>0</v>
      </c>
    </row>
    <row r="1744" spans="1:20" x14ac:dyDescent="0.25">
      <c r="A1744" t="s">
        <v>107</v>
      </c>
      <c r="B1744" t="s">
        <v>163</v>
      </c>
      <c r="C1744">
        <v>202601</v>
      </c>
      <c r="D1744" t="str">
        <f>MID(C1744,1,4)</f>
        <v>2026</v>
      </c>
      <c r="E1744" t="str">
        <f>IF(Portfolio!$M$1=1,CONCATENATE(A1744,C1744),CONCATENATE(B1744,C1744))</f>
        <v>MAP GROUP202601</v>
      </c>
      <c r="F1744" s="32">
        <v>242</v>
      </c>
      <c r="G1744" s="32">
        <v>793</v>
      </c>
      <c r="H1744" s="32">
        <v>739</v>
      </c>
      <c r="I1744" s="32">
        <v>0</v>
      </c>
      <c r="J1744" s="32">
        <v>0</v>
      </c>
      <c r="K1744" s="32">
        <v>371720720</v>
      </c>
      <c r="L1744" s="32">
        <v>1103110770</v>
      </c>
      <c r="M1744" s="32">
        <v>986726136</v>
      </c>
      <c r="N1744" s="32">
        <v>0</v>
      </c>
      <c r="O1744" s="32">
        <v>0</v>
      </c>
      <c r="P1744" s="32">
        <v>557581</v>
      </c>
      <c r="Q1744" s="32">
        <v>10974931</v>
      </c>
      <c r="R1744" s="32">
        <v>12827440</v>
      </c>
      <c r="S1744" s="32">
        <v>0</v>
      </c>
      <c r="T1744" s="32">
        <v>0</v>
      </c>
    </row>
    <row r="1745" spans="1:20" x14ac:dyDescent="0.25">
      <c r="A1745" t="s">
        <v>107</v>
      </c>
      <c r="B1745" t="s">
        <v>185</v>
      </c>
      <c r="C1745">
        <v>202601</v>
      </c>
      <c r="D1745" t="str">
        <f>MID(C1745,1,4)</f>
        <v>2026</v>
      </c>
      <c r="E1745" t="str">
        <f>IF(Portfolio!$M$1=1,CONCATENATE(A1745,C1745),CONCATENATE(B1745,C1745))</f>
        <v>MAP GROUP202601</v>
      </c>
      <c r="F1745" s="32">
        <v>71</v>
      </c>
      <c r="G1745" s="32">
        <v>173</v>
      </c>
      <c r="H1745" s="32">
        <v>232</v>
      </c>
      <c r="I1745" s="32">
        <v>0</v>
      </c>
      <c r="J1745" s="32">
        <v>0</v>
      </c>
      <c r="K1745" s="32">
        <v>215116000</v>
      </c>
      <c r="L1745" s="32">
        <v>489831000</v>
      </c>
      <c r="M1745" s="32">
        <v>674194000</v>
      </c>
      <c r="N1745" s="32">
        <v>0</v>
      </c>
      <c r="O1745" s="32">
        <v>0</v>
      </c>
      <c r="P1745" s="32">
        <v>322674</v>
      </c>
      <c r="Q1745" s="32">
        <v>4889310</v>
      </c>
      <c r="R1745" s="32">
        <v>8764522</v>
      </c>
      <c r="S1745" s="32">
        <v>0</v>
      </c>
      <c r="T1745" s="32">
        <v>0</v>
      </c>
    </row>
    <row r="1746" spans="1:20" x14ac:dyDescent="0.25">
      <c r="A1746" t="s">
        <v>107</v>
      </c>
      <c r="B1746" t="s">
        <v>199</v>
      </c>
      <c r="C1746">
        <v>202601</v>
      </c>
      <c r="D1746" t="str">
        <f>MID(C1746,1,4)</f>
        <v>2026</v>
      </c>
      <c r="E1746" t="str">
        <f>IF(Portfolio!$M$1=1,CONCATENATE(A1746,C1746),CONCATENATE(B1746,C1746))</f>
        <v>MAP GROUP202601</v>
      </c>
      <c r="F1746" s="32">
        <v>582</v>
      </c>
      <c r="G1746" s="32">
        <v>1680</v>
      </c>
      <c r="H1746" s="32">
        <v>1796</v>
      </c>
      <c r="I1746" s="32">
        <v>0</v>
      </c>
      <c r="J1746" s="32">
        <v>0</v>
      </c>
      <c r="K1746" s="32">
        <v>772635656</v>
      </c>
      <c r="L1746" s="32">
        <v>2083507844</v>
      </c>
      <c r="M1746" s="32">
        <v>2310174070</v>
      </c>
      <c r="N1746" s="32">
        <v>0</v>
      </c>
      <c r="O1746" s="32">
        <v>0</v>
      </c>
      <c r="P1746" s="32">
        <v>1158953</v>
      </c>
      <c r="Q1746" s="32">
        <v>20835078</v>
      </c>
      <c r="R1746" s="32">
        <v>30032263</v>
      </c>
      <c r="S1746" s="32">
        <v>0</v>
      </c>
      <c r="T1746" s="32">
        <v>0</v>
      </c>
    </row>
    <row r="1747" spans="1:20" x14ac:dyDescent="0.25">
      <c r="A1747" t="s">
        <v>67</v>
      </c>
      <c r="B1747" t="s">
        <v>72</v>
      </c>
      <c r="C1747">
        <v>202601</v>
      </c>
      <c r="D1747" t="str">
        <f>MID(C1747,1,4)</f>
        <v>2026</v>
      </c>
      <c r="E1747" t="str">
        <f>IF(Portfolio!$M$1=1,CONCATENATE(A1747,C1747),CONCATENATE(B1747,C1747))</f>
        <v>ALFA GROUP202601</v>
      </c>
      <c r="F1747" s="32">
        <v>900</v>
      </c>
      <c r="G1747" s="32">
        <v>1162</v>
      </c>
      <c r="H1747" s="32">
        <v>198</v>
      </c>
      <c r="I1747" s="32">
        <v>0</v>
      </c>
      <c r="J1747" s="32">
        <v>0</v>
      </c>
      <c r="K1747" s="32">
        <v>140342304</v>
      </c>
      <c r="L1747" s="32">
        <v>175463902</v>
      </c>
      <c r="M1747" s="32">
        <v>43011098</v>
      </c>
      <c r="N1747" s="32">
        <v>0</v>
      </c>
      <c r="O1747" s="32">
        <v>0</v>
      </c>
      <c r="P1747" s="32">
        <v>210513</v>
      </c>
      <c r="Q1747" s="32">
        <v>1753344</v>
      </c>
      <c r="R1747" s="32">
        <v>772077</v>
      </c>
      <c r="S1747" s="32">
        <v>0</v>
      </c>
      <c r="T1747" s="32">
        <v>0</v>
      </c>
    </row>
    <row r="1748" spans="1:20" x14ac:dyDescent="0.25">
      <c r="A1748" t="s">
        <v>107</v>
      </c>
      <c r="B1748" t="s">
        <v>159</v>
      </c>
      <c r="C1748">
        <v>202601</v>
      </c>
      <c r="D1748" t="str">
        <f>MID(C1748,1,4)</f>
        <v>2026</v>
      </c>
      <c r="E1748" t="str">
        <f>IF(Portfolio!$M$1=1,CONCATENATE(A1748,C1748),CONCATENATE(B1748,C1748))</f>
        <v>MAP GROUP202601</v>
      </c>
      <c r="F1748" s="32">
        <v>32</v>
      </c>
      <c r="G1748" s="32">
        <v>114</v>
      </c>
      <c r="H1748" s="32">
        <v>255</v>
      </c>
      <c r="I1748" s="32">
        <v>0</v>
      </c>
      <c r="J1748" s="32">
        <v>0</v>
      </c>
      <c r="K1748" s="32">
        <v>52197800</v>
      </c>
      <c r="L1748" s="32">
        <v>269440642</v>
      </c>
      <c r="M1748" s="32">
        <v>575066632</v>
      </c>
      <c r="N1748" s="32">
        <v>0</v>
      </c>
      <c r="O1748" s="32">
        <v>0</v>
      </c>
      <c r="P1748" s="32">
        <v>78297</v>
      </c>
      <c r="Q1748" s="32">
        <v>2694406</v>
      </c>
      <c r="R1748" s="32">
        <v>7475866</v>
      </c>
      <c r="S1748" s="32">
        <v>0</v>
      </c>
      <c r="T1748" s="32">
        <v>0</v>
      </c>
    </row>
    <row r="1749" spans="1:20" x14ac:dyDescent="0.25">
      <c r="A1749" t="s">
        <v>107</v>
      </c>
      <c r="B1749" t="s">
        <v>190</v>
      </c>
      <c r="C1749">
        <v>202601</v>
      </c>
      <c r="D1749" t="str">
        <f>MID(C1749,1,4)</f>
        <v>2026</v>
      </c>
      <c r="E1749" t="str">
        <f>IF(Portfolio!$M$1=1,CONCATENATE(A1749,C1749),CONCATENATE(B1749,C1749))</f>
        <v>MAP GROUP202601</v>
      </c>
      <c r="F1749" s="32">
        <v>4</v>
      </c>
      <c r="G1749" s="32">
        <v>19</v>
      </c>
      <c r="H1749" s="32">
        <v>81</v>
      </c>
      <c r="I1749" s="32">
        <v>0</v>
      </c>
      <c r="J1749" s="32">
        <v>0</v>
      </c>
      <c r="K1749" s="32">
        <v>8480000</v>
      </c>
      <c r="L1749" s="32">
        <v>37464450</v>
      </c>
      <c r="M1749" s="32">
        <v>133372320</v>
      </c>
      <c r="N1749" s="32">
        <v>0</v>
      </c>
      <c r="O1749" s="32">
        <v>0</v>
      </c>
      <c r="P1749" s="32">
        <v>12720</v>
      </c>
      <c r="Q1749" s="32">
        <v>374644</v>
      </c>
      <c r="R1749" s="32">
        <v>1733840</v>
      </c>
      <c r="S1749" s="32">
        <v>0</v>
      </c>
      <c r="T1749" s="32">
        <v>0</v>
      </c>
    </row>
    <row r="1750" spans="1:20" x14ac:dyDescent="0.25">
      <c r="A1750" t="s">
        <v>122</v>
      </c>
      <c r="B1750" t="s">
        <v>122</v>
      </c>
      <c r="C1750">
        <v>202601</v>
      </c>
      <c r="D1750" t="str">
        <f>MID(C1750,1,4)</f>
        <v>2026</v>
      </c>
      <c r="E1750" t="str">
        <f>IF(Portfolio!$M$1=1,CONCATENATE(A1750,C1750),CONCATENATE(B1750,C1750))</f>
        <v>SOLARIA202601</v>
      </c>
      <c r="F1750" s="32">
        <v>4199</v>
      </c>
      <c r="G1750" s="32">
        <v>1</v>
      </c>
      <c r="H1750" s="32">
        <v>0</v>
      </c>
      <c r="I1750" s="32">
        <v>2</v>
      </c>
      <c r="J1750" s="32">
        <v>257</v>
      </c>
      <c r="K1750" s="32">
        <v>752401200</v>
      </c>
      <c r="L1750" s="32">
        <v>64000</v>
      </c>
      <c r="M1750" s="32">
        <v>0</v>
      </c>
      <c r="N1750" s="32">
        <v>296000</v>
      </c>
      <c r="O1750" s="32">
        <v>39618100</v>
      </c>
      <c r="P1750" s="32">
        <v>1128602</v>
      </c>
      <c r="Q1750" s="32">
        <v>640</v>
      </c>
      <c r="R1750" s="32">
        <v>0</v>
      </c>
      <c r="S1750" s="32">
        <v>2072</v>
      </c>
      <c r="T1750" s="32">
        <v>277327</v>
      </c>
    </row>
    <row r="1751" spans="1:20" x14ac:dyDescent="0.25">
      <c r="A1751" t="s">
        <v>120</v>
      </c>
      <c r="B1751" t="s">
        <v>120</v>
      </c>
      <c r="C1751">
        <v>202601</v>
      </c>
      <c r="D1751" t="str">
        <f>MID(C1751,1,4)</f>
        <v>2026</v>
      </c>
      <c r="E1751" t="str">
        <f>IF(Portfolio!$M$1=1,CONCATENATE(A1751,C1751),CONCATENATE(B1751,C1751))</f>
        <v>SHIHLIN202601</v>
      </c>
      <c r="F1751" s="32">
        <v>144</v>
      </c>
      <c r="G1751" s="32">
        <v>19</v>
      </c>
      <c r="H1751" s="32">
        <v>7</v>
      </c>
      <c r="I1751" s="32">
        <v>10</v>
      </c>
      <c r="J1751" s="32">
        <v>128</v>
      </c>
      <c r="K1751" s="32">
        <v>11054000</v>
      </c>
      <c r="L1751" s="32">
        <v>1628000</v>
      </c>
      <c r="M1751" s="32">
        <v>450000</v>
      </c>
      <c r="N1751" s="32">
        <v>598000</v>
      </c>
      <c r="O1751" s="32">
        <v>90330001</v>
      </c>
      <c r="P1751" s="32">
        <v>16581</v>
      </c>
      <c r="Q1751" s="32">
        <v>16280</v>
      </c>
      <c r="R1751" s="32">
        <v>9000</v>
      </c>
      <c r="S1751" s="32">
        <v>4046</v>
      </c>
      <c r="T1751" s="32">
        <v>616350</v>
      </c>
    </row>
    <row r="1752" spans="1:20" x14ac:dyDescent="0.25">
      <c r="A1752" t="s">
        <v>102</v>
      </c>
      <c r="B1752" t="s">
        <v>135</v>
      </c>
      <c r="C1752">
        <v>202601</v>
      </c>
      <c r="D1752" t="str">
        <f>MID(C1752,1,4)</f>
        <v>2026</v>
      </c>
      <c r="E1752" t="str">
        <f>IF(Portfolio!$M$1=1,CONCATENATE(A1752,C1752),CONCATENATE(B1752,C1752))</f>
        <v>KAWAN LAMA202601</v>
      </c>
      <c r="F1752" s="32">
        <v>1367</v>
      </c>
      <c r="G1752" s="32">
        <v>0</v>
      </c>
      <c r="H1752" s="32">
        <v>0</v>
      </c>
      <c r="I1752" s="32">
        <v>0</v>
      </c>
      <c r="J1752" s="32">
        <v>0</v>
      </c>
      <c r="K1752" s="32">
        <v>5746167461</v>
      </c>
      <c r="L1752" s="32">
        <v>0</v>
      </c>
      <c r="M1752" s="32">
        <v>0</v>
      </c>
      <c r="N1752" s="32">
        <v>0</v>
      </c>
      <c r="O1752" s="32">
        <v>178402490</v>
      </c>
      <c r="P1752" s="32">
        <v>8619251</v>
      </c>
      <c r="Q1752" s="32">
        <v>0</v>
      </c>
      <c r="R1752" s="32">
        <v>0</v>
      </c>
      <c r="S1752" s="32">
        <v>0</v>
      </c>
      <c r="T1752" s="32">
        <v>1248818</v>
      </c>
    </row>
    <row r="1753" spans="1:20" x14ac:dyDescent="0.25">
      <c r="A1753" t="s">
        <v>126</v>
      </c>
      <c r="B1753" t="s">
        <v>220</v>
      </c>
      <c r="C1753">
        <v>202601</v>
      </c>
      <c r="D1753" t="str">
        <f>MID(C1753,1,4)</f>
        <v>2026</v>
      </c>
      <c r="E1753" t="str">
        <f>IF(Portfolio!$M$1=1,CONCATENATE(A1753,C1753),CONCATENATE(B1753,C1753))</f>
        <v>STEVEN GROUP202601</v>
      </c>
      <c r="F1753" s="32">
        <v>48</v>
      </c>
      <c r="G1753" s="32">
        <v>46</v>
      </c>
      <c r="H1753" s="32">
        <v>14</v>
      </c>
      <c r="I1753" s="32">
        <v>0</v>
      </c>
      <c r="J1753" s="32">
        <v>68</v>
      </c>
      <c r="K1753" s="32">
        <v>6098504</v>
      </c>
      <c r="L1753" s="32">
        <v>5724753</v>
      </c>
      <c r="M1753" s="32">
        <v>2251071</v>
      </c>
      <c r="N1753" s="32">
        <v>0</v>
      </c>
      <c r="O1753" s="32">
        <v>33122114</v>
      </c>
      <c r="P1753" s="32">
        <v>9147</v>
      </c>
      <c r="Q1753" s="32">
        <v>57248</v>
      </c>
      <c r="R1753" s="32">
        <v>45021</v>
      </c>
      <c r="S1753" s="32">
        <v>0</v>
      </c>
      <c r="T1753" s="32">
        <v>231850</v>
      </c>
    </row>
    <row r="1754" spans="1:20" x14ac:dyDescent="0.25">
      <c r="A1754" t="s">
        <v>107</v>
      </c>
      <c r="B1754" t="s">
        <v>183</v>
      </c>
      <c r="C1754">
        <v>202601</v>
      </c>
      <c r="D1754" t="str">
        <f>MID(C1754,1,4)</f>
        <v>2026</v>
      </c>
      <c r="E1754" t="str">
        <f>IF(Portfolio!$M$1=1,CONCATENATE(A1754,C1754),CONCATENATE(B1754,C1754))</f>
        <v>MAP GROUP202601</v>
      </c>
      <c r="F1754" s="32">
        <v>78</v>
      </c>
      <c r="G1754" s="32">
        <v>254</v>
      </c>
      <c r="H1754" s="32">
        <v>255</v>
      </c>
      <c r="I1754" s="32">
        <v>0</v>
      </c>
      <c r="J1754" s="32">
        <v>0</v>
      </c>
      <c r="K1754" s="32">
        <v>87637920</v>
      </c>
      <c r="L1754" s="32">
        <v>266833679</v>
      </c>
      <c r="M1754" s="32">
        <v>275549260</v>
      </c>
      <c r="N1754" s="32">
        <v>0</v>
      </c>
      <c r="O1754" s="32">
        <v>0</v>
      </c>
      <c r="P1754" s="32">
        <v>131457</v>
      </c>
      <c r="Q1754" s="32">
        <v>2668337</v>
      </c>
      <c r="R1754" s="32">
        <v>3582140</v>
      </c>
      <c r="S1754" s="32">
        <v>0</v>
      </c>
      <c r="T1754" s="32">
        <v>0</v>
      </c>
    </row>
    <row r="1755" spans="1:20" x14ac:dyDescent="0.25">
      <c r="A1755" t="s">
        <v>96</v>
      </c>
      <c r="B1755" t="s">
        <v>96</v>
      </c>
      <c r="C1755">
        <v>202601</v>
      </c>
      <c r="D1755" t="str">
        <f>MID(C1755,1,4)</f>
        <v>2026</v>
      </c>
      <c r="E1755" t="str">
        <f>IF(Portfolio!$M$1=1,CONCATENATE(A1755,C1755),CONCATENATE(B1755,C1755))</f>
        <v>HOKKAIDO BAKED CHEESE202601</v>
      </c>
      <c r="F1755" s="32">
        <v>12</v>
      </c>
      <c r="G1755" s="32">
        <v>27</v>
      </c>
      <c r="H1755" s="32">
        <v>13</v>
      </c>
      <c r="I1755" s="32">
        <v>1</v>
      </c>
      <c r="J1755" s="32">
        <v>168</v>
      </c>
      <c r="K1755" s="32">
        <v>1024000</v>
      </c>
      <c r="L1755" s="32">
        <v>2417183</v>
      </c>
      <c r="M1755" s="32">
        <v>1436200</v>
      </c>
      <c r="N1755" s="32">
        <v>22000</v>
      </c>
      <c r="O1755" s="32">
        <v>11428601</v>
      </c>
      <c r="P1755" s="32">
        <v>1536</v>
      </c>
      <c r="Q1755" s="32">
        <v>24172</v>
      </c>
      <c r="R1755" s="32">
        <v>28724</v>
      </c>
      <c r="S1755" s="32">
        <v>0</v>
      </c>
      <c r="T1755" s="32">
        <v>53564</v>
      </c>
    </row>
    <row r="1756" spans="1:20" x14ac:dyDescent="0.25">
      <c r="A1756" t="s">
        <v>102</v>
      </c>
      <c r="B1756" t="s">
        <v>123</v>
      </c>
      <c r="C1756">
        <v>202601</v>
      </c>
      <c r="D1756" t="str">
        <f>MID(C1756,1,4)</f>
        <v>2026</v>
      </c>
      <c r="E1756" t="str">
        <f>IF(Portfolio!$M$1=1,CONCATENATE(A1756,C1756),CONCATENATE(B1756,C1756))</f>
        <v>KAWAN LAMA202601</v>
      </c>
      <c r="F1756" s="32">
        <v>4350</v>
      </c>
      <c r="G1756" s="32">
        <v>0</v>
      </c>
      <c r="H1756" s="32">
        <v>0</v>
      </c>
      <c r="I1756" s="32">
        <v>0</v>
      </c>
      <c r="J1756" s="32">
        <v>0</v>
      </c>
      <c r="K1756" s="32">
        <v>4054388560</v>
      </c>
      <c r="L1756" s="32">
        <v>0</v>
      </c>
      <c r="M1756" s="32">
        <v>0</v>
      </c>
      <c r="N1756" s="32">
        <v>0</v>
      </c>
      <c r="O1756" s="32">
        <v>184135765</v>
      </c>
      <c r="P1756" s="32">
        <v>6081578</v>
      </c>
      <c r="Q1756" s="32">
        <v>0</v>
      </c>
      <c r="R1756" s="32">
        <v>0</v>
      </c>
      <c r="S1756" s="32">
        <v>0</v>
      </c>
      <c r="T1756" s="32">
        <v>1288950</v>
      </c>
    </row>
    <row r="1757" spans="1:20" x14ac:dyDescent="0.25">
      <c r="A1757" t="s">
        <v>138</v>
      </c>
      <c r="B1757" t="s">
        <v>138</v>
      </c>
      <c r="C1757">
        <v>202601</v>
      </c>
      <c r="D1757" t="str">
        <f>MID(C1757,1,4)</f>
        <v>2026</v>
      </c>
      <c r="E1757" t="str">
        <f>IF(Portfolio!$M$1=1,CONCATENATE(A1757,C1757),CONCATENATE(B1757,C1757))</f>
        <v>YOSHINOYA202601</v>
      </c>
      <c r="F1757" s="32">
        <v>1032</v>
      </c>
      <c r="G1757" s="32">
        <v>18</v>
      </c>
      <c r="H1757" s="32">
        <v>1</v>
      </c>
      <c r="I1757" s="32">
        <v>0</v>
      </c>
      <c r="J1757" s="32">
        <v>1166</v>
      </c>
      <c r="K1757" s="32">
        <v>166054700</v>
      </c>
      <c r="L1757" s="32">
        <v>2383500</v>
      </c>
      <c r="M1757" s="32">
        <v>124000</v>
      </c>
      <c r="N1757" s="32">
        <v>0</v>
      </c>
      <c r="O1757" s="32">
        <v>569666805</v>
      </c>
      <c r="P1757" s="32">
        <v>249082</v>
      </c>
      <c r="Q1757" s="32">
        <v>23835</v>
      </c>
      <c r="R1757" s="32">
        <v>1364</v>
      </c>
      <c r="S1757" s="32">
        <v>0</v>
      </c>
      <c r="T1757" s="32">
        <v>3987634</v>
      </c>
    </row>
    <row r="1758" spans="1:20" x14ac:dyDescent="0.25">
      <c r="A1758" t="s">
        <v>107</v>
      </c>
      <c r="B1758" t="s">
        <v>200</v>
      </c>
      <c r="C1758">
        <v>202601</v>
      </c>
      <c r="D1758" t="str">
        <f>MID(C1758,1,4)</f>
        <v>2026</v>
      </c>
      <c r="E1758" t="str">
        <f>IF(Portfolio!$M$1=1,CONCATENATE(A1758,C1758),CONCATENATE(B1758,C1758))</f>
        <v>MAP GROUP202601</v>
      </c>
      <c r="F1758" s="32">
        <v>24</v>
      </c>
      <c r="G1758" s="32">
        <v>112</v>
      </c>
      <c r="H1758" s="32">
        <v>158</v>
      </c>
      <c r="I1758" s="32">
        <v>0</v>
      </c>
      <c r="J1758" s="32">
        <v>0</v>
      </c>
      <c r="K1758" s="32">
        <v>29088240</v>
      </c>
      <c r="L1758" s="32">
        <v>122200541</v>
      </c>
      <c r="M1758" s="32">
        <v>156674200</v>
      </c>
      <c r="N1758" s="32">
        <v>0</v>
      </c>
      <c r="O1758" s="32">
        <v>0</v>
      </c>
      <c r="P1758" s="32">
        <v>43632</v>
      </c>
      <c r="Q1758" s="32">
        <v>1222005</v>
      </c>
      <c r="R1758" s="32">
        <v>2036765</v>
      </c>
      <c r="S1758" s="32">
        <v>0</v>
      </c>
      <c r="T1758" s="32">
        <v>0</v>
      </c>
    </row>
    <row r="1759" spans="1:20" x14ac:dyDescent="0.25">
      <c r="A1759" t="s">
        <v>109</v>
      </c>
      <c r="B1759" t="s">
        <v>109</v>
      </c>
      <c r="C1759">
        <v>202601</v>
      </c>
      <c r="D1759" t="str">
        <f>MID(C1759,1,4)</f>
        <v>2026</v>
      </c>
      <c r="E1759" t="str">
        <f>IF(Portfolio!$M$1=1,CONCATENATE(A1759,C1759),CONCATENATE(B1759,C1759))</f>
        <v>MITRA10202601</v>
      </c>
      <c r="F1759" s="32">
        <v>1871</v>
      </c>
      <c r="G1759" s="32">
        <v>1</v>
      </c>
      <c r="H1759" s="32">
        <v>1</v>
      </c>
      <c r="I1759" s="32">
        <v>1</v>
      </c>
      <c r="J1759" s="32">
        <v>175</v>
      </c>
      <c r="K1759" s="32">
        <v>3993839289</v>
      </c>
      <c r="L1759" s="32">
        <v>427500</v>
      </c>
      <c r="M1759" s="32">
        <v>700900</v>
      </c>
      <c r="N1759" s="32">
        <v>10500</v>
      </c>
      <c r="O1759" s="32">
        <v>3492000</v>
      </c>
      <c r="P1759" s="32">
        <v>5990753</v>
      </c>
      <c r="Q1759" s="32">
        <v>4275</v>
      </c>
      <c r="R1759" s="32">
        <v>14018</v>
      </c>
      <c r="S1759" s="32">
        <v>0</v>
      </c>
      <c r="T1759" s="32">
        <v>0</v>
      </c>
    </row>
    <row r="1760" spans="1:20" x14ac:dyDescent="0.25">
      <c r="A1760" t="s">
        <v>107</v>
      </c>
      <c r="B1760" t="s">
        <v>165</v>
      </c>
      <c r="C1760">
        <v>202601</v>
      </c>
      <c r="D1760" t="str">
        <f>MID(C1760,1,4)</f>
        <v>2026</v>
      </c>
      <c r="E1760" t="str">
        <f>IF(Portfolio!$M$1=1,CONCATENATE(A1760,C1760),CONCATENATE(B1760,C1760))</f>
        <v>MAP GROUP202601</v>
      </c>
      <c r="F1760" s="32">
        <v>28</v>
      </c>
      <c r="G1760" s="32">
        <v>2</v>
      </c>
      <c r="H1760" s="32">
        <v>2</v>
      </c>
      <c r="I1760" s="32">
        <v>0</v>
      </c>
      <c r="J1760" s="32">
        <v>0</v>
      </c>
      <c r="K1760" s="32">
        <v>322792000</v>
      </c>
      <c r="L1760" s="32">
        <v>6047000</v>
      </c>
      <c r="M1760" s="32">
        <v>14425300</v>
      </c>
      <c r="N1760" s="32">
        <v>0</v>
      </c>
      <c r="O1760" s="32">
        <v>0</v>
      </c>
      <c r="P1760" s="32">
        <v>484188</v>
      </c>
      <c r="Q1760" s="32">
        <v>60470</v>
      </c>
      <c r="R1760" s="32">
        <v>187529</v>
      </c>
      <c r="S1760" s="32">
        <v>0</v>
      </c>
      <c r="T1760" s="32">
        <v>0</v>
      </c>
    </row>
    <row r="1761" spans="1:20" x14ac:dyDescent="0.25">
      <c r="A1761" t="s">
        <v>97</v>
      </c>
      <c r="B1761" t="s">
        <v>97</v>
      </c>
      <c r="C1761">
        <v>202601</v>
      </c>
      <c r="D1761" t="str">
        <f>MID(C1761,1,4)</f>
        <v>2026</v>
      </c>
      <c r="E1761" t="str">
        <f>IF(Portfolio!$M$1=1,CONCATENATE(A1761,C1761),CONCATENATE(B1761,C1761))</f>
        <v>HOP HOP202601</v>
      </c>
      <c r="F1761" s="32">
        <v>0</v>
      </c>
      <c r="G1761" s="32">
        <v>2</v>
      </c>
      <c r="H1761" s="32">
        <v>1</v>
      </c>
      <c r="I1761" s="32">
        <v>108</v>
      </c>
      <c r="J1761" s="32">
        <v>1122</v>
      </c>
      <c r="K1761" s="32">
        <v>0</v>
      </c>
      <c r="L1761" s="32">
        <v>130000</v>
      </c>
      <c r="M1761" s="32">
        <v>47000</v>
      </c>
      <c r="N1761" s="32">
        <v>4810000</v>
      </c>
      <c r="O1761" s="32">
        <v>40297500</v>
      </c>
      <c r="P1761" s="32">
        <v>0</v>
      </c>
      <c r="Q1761" s="32">
        <v>1300</v>
      </c>
      <c r="R1761" s="32">
        <v>846</v>
      </c>
      <c r="S1761" s="32">
        <v>0</v>
      </c>
      <c r="T1761" s="32">
        <v>0</v>
      </c>
    </row>
    <row r="1762" spans="1:20" x14ac:dyDescent="0.25">
      <c r="A1762" t="s">
        <v>279</v>
      </c>
      <c r="B1762" t="s">
        <v>279</v>
      </c>
      <c r="C1762">
        <v>202601</v>
      </c>
      <c r="D1762" t="str">
        <f>MID(C1762,1,4)</f>
        <v>2026</v>
      </c>
      <c r="E1762" t="str">
        <f>IF(Portfolio!$M$1=1,CONCATENATE(A1762,C1762),CONCATENATE(B1762,C1762))</f>
        <v>OASISPAY202601</v>
      </c>
      <c r="F1762" s="32">
        <v>0</v>
      </c>
      <c r="G1762" s="32">
        <v>0</v>
      </c>
      <c r="H1762" s="32">
        <v>0</v>
      </c>
      <c r="I1762" s="32">
        <v>218</v>
      </c>
      <c r="J1762" s="32">
        <v>361031</v>
      </c>
      <c r="K1762" s="32">
        <v>0</v>
      </c>
      <c r="L1762" s="32">
        <v>0</v>
      </c>
      <c r="M1762" s="32">
        <v>0</v>
      </c>
      <c r="N1762" s="32">
        <v>29292015</v>
      </c>
      <c r="O1762" s="32">
        <v>35022584809</v>
      </c>
      <c r="P1762" s="32">
        <v>0</v>
      </c>
      <c r="Q1762" s="32">
        <v>0</v>
      </c>
      <c r="R1762" s="32">
        <v>0</v>
      </c>
      <c r="S1762" s="32">
        <v>147007</v>
      </c>
      <c r="T1762" s="32">
        <v>148020457</v>
      </c>
    </row>
    <row r="1763" spans="1:20" x14ac:dyDescent="0.25">
      <c r="A1763" t="s">
        <v>107</v>
      </c>
      <c r="B1763" t="s">
        <v>168</v>
      </c>
      <c r="C1763">
        <v>202601</v>
      </c>
      <c r="D1763" t="str">
        <f>MID(C1763,1,4)</f>
        <v>2026</v>
      </c>
      <c r="E1763" t="str">
        <f>IF(Portfolio!$M$1=1,CONCATENATE(A1763,C1763),CONCATENATE(B1763,C1763))</f>
        <v>MAP GROUP202601</v>
      </c>
      <c r="F1763" s="32">
        <v>95</v>
      </c>
      <c r="G1763" s="32">
        <v>1</v>
      </c>
      <c r="H1763" s="32">
        <v>1</v>
      </c>
      <c r="I1763" s="32">
        <v>0</v>
      </c>
      <c r="J1763" s="32">
        <v>0</v>
      </c>
      <c r="K1763" s="32">
        <v>13503000</v>
      </c>
      <c r="L1763" s="32">
        <v>89000</v>
      </c>
      <c r="M1763" s="32">
        <v>65000</v>
      </c>
      <c r="N1763" s="32">
        <v>0</v>
      </c>
      <c r="O1763" s="32">
        <v>0</v>
      </c>
      <c r="P1763" s="32">
        <v>20254</v>
      </c>
      <c r="Q1763" s="32">
        <v>890</v>
      </c>
      <c r="R1763" s="32">
        <v>845</v>
      </c>
      <c r="S1763" s="32">
        <v>0</v>
      </c>
      <c r="T1763" s="32">
        <v>0</v>
      </c>
    </row>
    <row r="1764" spans="1:20" x14ac:dyDescent="0.25">
      <c r="A1764" t="s">
        <v>107</v>
      </c>
      <c r="B1764" t="s">
        <v>164</v>
      </c>
      <c r="C1764">
        <v>202601</v>
      </c>
      <c r="D1764" t="str">
        <f>MID(C1764,1,4)</f>
        <v>2026</v>
      </c>
      <c r="E1764" t="str">
        <f>IF(Portfolio!$M$1=1,CONCATENATE(A1764,C1764),CONCATENATE(B1764,C1764))</f>
        <v>MAP GROUP202601</v>
      </c>
      <c r="F1764" s="32">
        <v>41</v>
      </c>
      <c r="G1764" s="32">
        <v>1</v>
      </c>
      <c r="H1764" s="32">
        <v>4</v>
      </c>
      <c r="I1764" s="32">
        <v>0</v>
      </c>
      <c r="J1764" s="32">
        <v>0</v>
      </c>
      <c r="K1764" s="32">
        <v>600842200</v>
      </c>
      <c r="L1764" s="32">
        <v>599000</v>
      </c>
      <c r="M1764" s="32">
        <v>54513000</v>
      </c>
      <c r="N1764" s="32">
        <v>0</v>
      </c>
      <c r="O1764" s="32">
        <v>0</v>
      </c>
      <c r="P1764" s="32">
        <v>901263</v>
      </c>
      <c r="Q1764" s="32">
        <v>5990</v>
      </c>
      <c r="R1764" s="32">
        <v>708669</v>
      </c>
      <c r="S1764" s="32">
        <v>0</v>
      </c>
      <c r="T1764" s="32">
        <v>0</v>
      </c>
    </row>
    <row r="1765" spans="1:20" x14ac:dyDescent="0.25">
      <c r="A1765" t="s">
        <v>107</v>
      </c>
      <c r="B1765" t="s">
        <v>170</v>
      </c>
      <c r="C1765">
        <v>202601</v>
      </c>
      <c r="D1765" t="str">
        <f>MID(C1765,1,4)</f>
        <v>2026</v>
      </c>
      <c r="E1765" t="str">
        <f>IF(Portfolio!$M$1=1,CONCATENATE(A1765,C1765),CONCATENATE(B1765,C1765))</f>
        <v>MAP GROUP202601</v>
      </c>
      <c r="F1765" s="32">
        <v>357</v>
      </c>
      <c r="G1765" s="32">
        <v>818</v>
      </c>
      <c r="H1765" s="32">
        <v>894</v>
      </c>
      <c r="I1765" s="32">
        <v>0</v>
      </c>
      <c r="J1765" s="32">
        <v>0</v>
      </c>
      <c r="K1765" s="32">
        <v>599698200</v>
      </c>
      <c r="L1765" s="32">
        <v>1326250400</v>
      </c>
      <c r="M1765" s="32">
        <v>1546464672</v>
      </c>
      <c r="N1765" s="32">
        <v>0</v>
      </c>
      <c r="O1765" s="32">
        <v>0</v>
      </c>
      <c r="P1765" s="32">
        <v>899547</v>
      </c>
      <c r="Q1765" s="32">
        <v>13262504</v>
      </c>
      <c r="R1765" s="32">
        <v>20104041</v>
      </c>
      <c r="S1765" s="32">
        <v>0</v>
      </c>
      <c r="T1765" s="32">
        <v>0</v>
      </c>
    </row>
    <row r="1766" spans="1:20" x14ac:dyDescent="0.25">
      <c r="A1766" t="s">
        <v>107</v>
      </c>
      <c r="B1766" t="s">
        <v>161</v>
      </c>
      <c r="C1766">
        <v>202601</v>
      </c>
      <c r="D1766" t="str">
        <f>MID(C1766,1,4)</f>
        <v>2026</v>
      </c>
      <c r="E1766" t="str">
        <f>IF(Portfolio!$M$1=1,CONCATENATE(A1766,C1766),CONCATENATE(B1766,C1766))</f>
        <v>MAP GROUP202601</v>
      </c>
      <c r="F1766" s="32">
        <v>8</v>
      </c>
      <c r="G1766" s="32">
        <v>43</v>
      </c>
      <c r="H1766" s="32">
        <v>81</v>
      </c>
      <c r="I1766" s="32">
        <v>0</v>
      </c>
      <c r="J1766" s="32">
        <v>0</v>
      </c>
      <c r="K1766" s="32">
        <v>22948000</v>
      </c>
      <c r="L1766" s="32">
        <v>84554599</v>
      </c>
      <c r="M1766" s="32">
        <v>149585640</v>
      </c>
      <c r="N1766" s="32">
        <v>0</v>
      </c>
      <c r="O1766" s="32">
        <v>0</v>
      </c>
      <c r="P1766" s="32">
        <v>34422</v>
      </c>
      <c r="Q1766" s="32">
        <v>822983</v>
      </c>
      <c r="R1766" s="32">
        <v>1944613</v>
      </c>
      <c r="S1766" s="32">
        <v>0</v>
      </c>
      <c r="T1766" s="32">
        <v>0</v>
      </c>
    </row>
    <row r="1767" spans="1:20" x14ac:dyDescent="0.25">
      <c r="A1767" t="s">
        <v>107</v>
      </c>
      <c r="B1767" t="s">
        <v>205</v>
      </c>
      <c r="C1767">
        <v>202601</v>
      </c>
      <c r="D1767" t="str">
        <f>MID(C1767,1,4)</f>
        <v>2026</v>
      </c>
      <c r="E1767" t="str">
        <f>IF(Portfolio!$M$1=1,CONCATENATE(A1767,C1767),CONCATENATE(B1767,C1767))</f>
        <v>MAP GROUP202601</v>
      </c>
      <c r="F1767" s="32">
        <v>1294</v>
      </c>
      <c r="G1767" s="32">
        <v>1718</v>
      </c>
      <c r="H1767" s="32">
        <v>8107</v>
      </c>
      <c r="I1767" s="32">
        <v>0</v>
      </c>
      <c r="J1767" s="32">
        <v>0</v>
      </c>
      <c r="K1767" s="32">
        <v>227658600</v>
      </c>
      <c r="L1767" s="32">
        <v>254024847</v>
      </c>
      <c r="M1767" s="32">
        <v>1075701092</v>
      </c>
      <c r="N1767" s="32">
        <v>0</v>
      </c>
      <c r="O1767" s="32">
        <v>0</v>
      </c>
      <c r="P1767" s="32">
        <v>341488</v>
      </c>
      <c r="Q1767" s="32">
        <v>2266489</v>
      </c>
      <c r="R1767" s="32">
        <v>13984114</v>
      </c>
      <c r="S1767" s="32">
        <v>0</v>
      </c>
      <c r="T1767" s="32">
        <v>0</v>
      </c>
    </row>
    <row r="1768" spans="1:20" x14ac:dyDescent="0.25">
      <c r="A1768" t="s">
        <v>102</v>
      </c>
      <c r="B1768" t="s">
        <v>131</v>
      </c>
      <c r="C1768">
        <v>202601</v>
      </c>
      <c r="D1768" t="str">
        <f>MID(C1768,1,4)</f>
        <v>2026</v>
      </c>
      <c r="E1768" t="str">
        <f>IF(Portfolio!$M$1=1,CONCATENATE(A1768,C1768),CONCATENATE(B1768,C1768))</f>
        <v>KAWAN LAMA202601</v>
      </c>
      <c r="F1768" s="32">
        <v>20</v>
      </c>
      <c r="G1768" s="32">
        <v>8</v>
      </c>
      <c r="H1768" s="32">
        <v>3</v>
      </c>
      <c r="I1768" s="32">
        <v>3</v>
      </c>
      <c r="J1768" s="32">
        <v>267</v>
      </c>
      <c r="K1768" s="32">
        <v>1119600</v>
      </c>
      <c r="L1768" s="32">
        <v>648000</v>
      </c>
      <c r="M1768" s="32">
        <v>402100</v>
      </c>
      <c r="N1768" s="32">
        <v>592000</v>
      </c>
      <c r="O1768" s="32">
        <v>6368000</v>
      </c>
      <c r="P1768" s="32">
        <v>1679</v>
      </c>
      <c r="Q1768" s="32">
        <v>6480</v>
      </c>
      <c r="R1768" s="32">
        <v>6635</v>
      </c>
      <c r="S1768" s="32">
        <v>0</v>
      </c>
      <c r="T1768" s="32">
        <v>2093</v>
      </c>
    </row>
    <row r="1769" spans="1:20" x14ac:dyDescent="0.25">
      <c r="A1769" t="s">
        <v>107</v>
      </c>
      <c r="B1769" t="s">
        <v>207</v>
      </c>
      <c r="C1769">
        <v>202601</v>
      </c>
      <c r="D1769" t="str">
        <f>MID(C1769,1,4)</f>
        <v>2026</v>
      </c>
      <c r="E1769" t="str">
        <f>IF(Portfolio!$M$1=1,CONCATENATE(A1769,C1769),CONCATENATE(B1769,C1769))</f>
        <v>MAP GROUP202601</v>
      </c>
      <c r="F1769" s="32">
        <v>321</v>
      </c>
      <c r="G1769" s="32">
        <v>364</v>
      </c>
      <c r="H1769" s="32">
        <v>943</v>
      </c>
      <c r="I1769" s="32">
        <v>0</v>
      </c>
      <c r="J1769" s="32">
        <v>0</v>
      </c>
      <c r="K1769" s="32">
        <v>28914900</v>
      </c>
      <c r="L1769" s="32">
        <v>41898950</v>
      </c>
      <c r="M1769" s="32">
        <v>107574425</v>
      </c>
      <c r="N1769" s="32">
        <v>0</v>
      </c>
      <c r="O1769" s="32">
        <v>0</v>
      </c>
      <c r="P1769" s="32">
        <v>43372</v>
      </c>
      <c r="Q1769" s="32">
        <v>408420</v>
      </c>
      <c r="R1769" s="32">
        <v>1398468</v>
      </c>
      <c r="S1769" s="32">
        <v>0</v>
      </c>
      <c r="T1769" s="32">
        <v>0</v>
      </c>
    </row>
    <row r="1770" spans="1:20" x14ac:dyDescent="0.25">
      <c r="A1770" t="s">
        <v>110</v>
      </c>
      <c r="B1770" t="s">
        <v>110</v>
      </c>
      <c r="C1770">
        <v>202601</v>
      </c>
      <c r="D1770" t="str">
        <f>MID(C1770,1,4)</f>
        <v>2026</v>
      </c>
      <c r="E1770" t="str">
        <f>IF(Portfolio!$M$1=1,CONCATENATE(A1770,C1770),CONCATENATE(B1770,C1770))</f>
        <v>OPTIK MELAWAI202601</v>
      </c>
      <c r="F1770" s="32">
        <v>188</v>
      </c>
      <c r="G1770" s="32">
        <v>0</v>
      </c>
      <c r="H1770" s="32">
        <v>0</v>
      </c>
      <c r="I1770" s="32">
        <v>0</v>
      </c>
      <c r="J1770" s="32">
        <v>0</v>
      </c>
      <c r="K1770" s="32">
        <v>336854000</v>
      </c>
      <c r="L1770" s="32">
        <v>0</v>
      </c>
      <c r="M1770" s="32">
        <v>0</v>
      </c>
      <c r="N1770" s="32">
        <v>0</v>
      </c>
      <c r="O1770" s="32">
        <v>0</v>
      </c>
      <c r="P1770" s="32">
        <v>505281</v>
      </c>
      <c r="Q1770" s="32">
        <v>0</v>
      </c>
      <c r="R1770" s="32">
        <v>0</v>
      </c>
      <c r="S1770" s="32">
        <v>0</v>
      </c>
      <c r="T1770" s="32">
        <v>0</v>
      </c>
    </row>
    <row r="1771" spans="1:20" x14ac:dyDescent="0.25">
      <c r="A1771" t="s">
        <v>75</v>
      </c>
      <c r="B1771" t="s">
        <v>85</v>
      </c>
      <c r="C1771">
        <v>202601</v>
      </c>
      <c r="D1771" t="str">
        <f>MID(C1771,1,4)</f>
        <v>2026</v>
      </c>
      <c r="E1771" t="str">
        <f>IF(Portfolio!$M$1=1,CONCATENATE(A1771,C1771),CONCATENATE(B1771,C1771))</f>
        <v>CHAMP RESTO202601</v>
      </c>
      <c r="F1771" s="32">
        <v>36</v>
      </c>
      <c r="G1771" s="32">
        <v>7</v>
      </c>
      <c r="H1771" s="32">
        <v>0</v>
      </c>
      <c r="I1771" s="32">
        <v>0</v>
      </c>
      <c r="J1771" s="32">
        <v>103</v>
      </c>
      <c r="K1771" s="32">
        <v>4757956</v>
      </c>
      <c r="L1771" s="32">
        <v>1119680</v>
      </c>
      <c r="M1771" s="32">
        <v>0</v>
      </c>
      <c r="N1771" s="32">
        <v>0</v>
      </c>
      <c r="O1771" s="32">
        <v>31813691</v>
      </c>
      <c r="P1771" s="32">
        <v>7137</v>
      </c>
      <c r="Q1771" s="32">
        <v>11197</v>
      </c>
      <c r="R1771" s="32">
        <v>0</v>
      </c>
      <c r="S1771" s="32">
        <v>0</v>
      </c>
      <c r="T1771" s="32">
        <v>222689</v>
      </c>
    </row>
    <row r="1772" spans="1:20" x14ac:dyDescent="0.25">
      <c r="A1772" t="s">
        <v>280</v>
      </c>
      <c r="B1772" t="s">
        <v>280</v>
      </c>
      <c r="C1772">
        <v>202601</v>
      </c>
      <c r="D1772" t="str">
        <f>MID(C1772,1,4)</f>
        <v>2026</v>
      </c>
      <c r="E1772" t="str">
        <f>IF(Portfolio!$M$1=1,CONCATENATE(A1772,C1772),CONCATENATE(B1772,C1772))</f>
        <v>MCT202601</v>
      </c>
      <c r="F1772" s="32">
        <v>0</v>
      </c>
      <c r="G1772" s="32">
        <v>0</v>
      </c>
      <c r="H1772" s="32">
        <v>0</v>
      </c>
      <c r="I1772" s="32">
        <v>1420</v>
      </c>
      <c r="J1772" s="32">
        <v>10939</v>
      </c>
      <c r="K1772" s="32">
        <v>0</v>
      </c>
      <c r="L1772" s="32">
        <v>0</v>
      </c>
      <c r="M1772" s="32">
        <v>0</v>
      </c>
      <c r="N1772" s="32">
        <v>9164318</v>
      </c>
      <c r="O1772" s="32">
        <v>805031454</v>
      </c>
      <c r="P1772" s="32">
        <v>0</v>
      </c>
      <c r="Q1772" s="32">
        <v>0</v>
      </c>
      <c r="R1772" s="32">
        <v>0</v>
      </c>
      <c r="S1772" s="32">
        <v>0</v>
      </c>
      <c r="T1772" s="32">
        <v>186263</v>
      </c>
    </row>
    <row r="1773" spans="1:20" x14ac:dyDescent="0.25">
      <c r="A1773" t="s">
        <v>112</v>
      </c>
      <c r="B1773" t="s">
        <v>215</v>
      </c>
      <c r="C1773">
        <v>202601</v>
      </c>
      <c r="D1773" t="str">
        <f>MID(C1773,1,4)</f>
        <v>2026</v>
      </c>
      <c r="E1773" t="str">
        <f>IF(Portfolio!$M$1=1,CONCATENATE(A1773,C1773),CONCATENATE(B1773,C1773))</f>
        <v>PERTAMINA RETAIL202601</v>
      </c>
      <c r="F1773" s="32">
        <v>28</v>
      </c>
      <c r="G1773" s="32">
        <v>180</v>
      </c>
      <c r="H1773" s="32">
        <v>30</v>
      </c>
      <c r="I1773" s="32">
        <v>0</v>
      </c>
      <c r="J1773" s="32">
        <v>72</v>
      </c>
      <c r="K1773" s="32">
        <v>3605600</v>
      </c>
      <c r="L1773" s="32">
        <v>16319575</v>
      </c>
      <c r="M1773" s="32">
        <v>5902000</v>
      </c>
      <c r="N1773" s="32">
        <v>0</v>
      </c>
      <c r="O1773" s="32">
        <v>1971102</v>
      </c>
      <c r="P1773" s="32">
        <v>5408</v>
      </c>
      <c r="Q1773" s="32">
        <v>163196</v>
      </c>
      <c r="R1773" s="32">
        <v>106236</v>
      </c>
      <c r="S1773" s="32">
        <v>0</v>
      </c>
      <c r="T1773" s="32">
        <v>13798</v>
      </c>
    </row>
    <row r="1774" spans="1:20" x14ac:dyDescent="0.25">
      <c r="A1774" t="s">
        <v>88</v>
      </c>
      <c r="B1774" t="s">
        <v>88</v>
      </c>
      <c r="C1774">
        <v>202601</v>
      </c>
      <c r="D1774" t="str">
        <f>MID(C1774,1,4)</f>
        <v>2026</v>
      </c>
      <c r="E1774" t="str">
        <f>IF(Portfolio!$M$1=1,CONCATENATE(A1774,C1774),CONCATENATE(B1774,C1774))</f>
        <v>HAUS202601</v>
      </c>
      <c r="F1774" s="32">
        <v>4</v>
      </c>
      <c r="G1774" s="32">
        <v>2</v>
      </c>
      <c r="H1774" s="32">
        <v>0</v>
      </c>
      <c r="I1774" s="32">
        <v>7</v>
      </c>
      <c r="J1774" s="32">
        <v>76</v>
      </c>
      <c r="K1774" s="32">
        <v>160000</v>
      </c>
      <c r="L1774" s="32">
        <v>28000</v>
      </c>
      <c r="M1774" s="32">
        <v>0</v>
      </c>
      <c r="N1774" s="32">
        <v>1090000</v>
      </c>
      <c r="O1774" s="32">
        <v>4905000</v>
      </c>
      <c r="P1774" s="32">
        <v>240</v>
      </c>
      <c r="Q1774" s="32">
        <v>280</v>
      </c>
      <c r="R1774" s="32">
        <v>0</v>
      </c>
      <c r="S1774" s="32">
        <v>1626</v>
      </c>
      <c r="T1774" s="32">
        <v>9000</v>
      </c>
    </row>
    <row r="1775" spans="1:20" x14ac:dyDescent="0.25">
      <c r="A1775" t="s">
        <v>105</v>
      </c>
      <c r="B1775" t="s">
        <v>148</v>
      </c>
      <c r="C1775">
        <v>202601</v>
      </c>
      <c r="D1775" t="str">
        <f>MID(C1775,1,4)</f>
        <v>2026</v>
      </c>
      <c r="E1775" t="str">
        <f>IF(Portfolio!$M$1=1,CONCATENATE(A1775,C1775),CONCATENATE(B1775,C1775))</f>
        <v>LOTTE GROUP202601</v>
      </c>
      <c r="F1775" s="32">
        <v>2636</v>
      </c>
      <c r="G1775" s="32">
        <v>3</v>
      </c>
      <c r="H1775" s="32">
        <v>0</v>
      </c>
      <c r="I1775" s="32">
        <v>0</v>
      </c>
      <c r="J1775" s="32">
        <v>15</v>
      </c>
      <c r="K1775" s="32">
        <v>2502560704</v>
      </c>
      <c r="L1775" s="32">
        <v>5275206</v>
      </c>
      <c r="M1775" s="32">
        <v>0</v>
      </c>
      <c r="N1775" s="32">
        <v>0</v>
      </c>
      <c r="O1775" s="32">
        <v>600328</v>
      </c>
      <c r="P1775" s="32">
        <v>3753834</v>
      </c>
      <c r="Q1775" s="32">
        <v>0</v>
      </c>
      <c r="R1775" s="32">
        <v>0</v>
      </c>
      <c r="S1775" s="32">
        <v>0</v>
      </c>
      <c r="T1775" s="32">
        <v>4202</v>
      </c>
    </row>
    <row r="1776" spans="1:20" x14ac:dyDescent="0.25">
      <c r="A1776" t="s">
        <v>107</v>
      </c>
      <c r="B1776" t="s">
        <v>162</v>
      </c>
      <c r="C1776">
        <v>202601</v>
      </c>
      <c r="D1776" t="str">
        <f>MID(C1776,1,4)</f>
        <v>2026</v>
      </c>
      <c r="E1776" t="str">
        <f>IF(Portfolio!$M$1=1,CONCATENATE(A1776,C1776),CONCATENATE(B1776,C1776))</f>
        <v>MAP GROUP202601</v>
      </c>
      <c r="F1776" s="32">
        <v>176</v>
      </c>
      <c r="G1776" s="32">
        <v>346</v>
      </c>
      <c r="H1776" s="32">
        <v>278</v>
      </c>
      <c r="I1776" s="32">
        <v>0</v>
      </c>
      <c r="J1776" s="32">
        <v>0</v>
      </c>
      <c r="K1776" s="32">
        <v>173727320</v>
      </c>
      <c r="L1776" s="32">
        <v>347087816</v>
      </c>
      <c r="M1776" s="32">
        <v>269019605</v>
      </c>
      <c r="N1776" s="32">
        <v>0</v>
      </c>
      <c r="O1776" s="32">
        <v>0</v>
      </c>
      <c r="P1776" s="32">
        <v>260591</v>
      </c>
      <c r="Q1776" s="32">
        <v>3467288</v>
      </c>
      <c r="R1776" s="32">
        <v>3497255</v>
      </c>
      <c r="S1776" s="32">
        <v>0</v>
      </c>
      <c r="T1776" s="32">
        <v>0</v>
      </c>
    </row>
    <row r="1777" spans="1:20" x14ac:dyDescent="0.25">
      <c r="A1777" t="s">
        <v>107</v>
      </c>
      <c r="B1777" t="s">
        <v>182</v>
      </c>
      <c r="C1777">
        <v>202601</v>
      </c>
      <c r="D1777" t="str">
        <f>MID(C1777,1,4)</f>
        <v>2026</v>
      </c>
      <c r="E1777" t="str">
        <f>IF(Portfolio!$M$1=1,CONCATENATE(A1777,C1777),CONCATENATE(B1777,C1777))</f>
        <v>MAP GROUP202601</v>
      </c>
      <c r="F1777" s="32">
        <v>141</v>
      </c>
      <c r="G1777" s="32">
        <v>402</v>
      </c>
      <c r="H1777" s="32">
        <v>492</v>
      </c>
      <c r="I1777" s="32">
        <v>0</v>
      </c>
      <c r="J1777" s="32">
        <v>0</v>
      </c>
      <c r="K1777" s="32">
        <v>253811040</v>
      </c>
      <c r="L1777" s="32">
        <v>597909890</v>
      </c>
      <c r="M1777" s="32">
        <v>778029639</v>
      </c>
      <c r="N1777" s="32">
        <v>0</v>
      </c>
      <c r="O1777" s="32">
        <v>0</v>
      </c>
      <c r="P1777" s="32">
        <v>380717</v>
      </c>
      <c r="Q1777" s="32">
        <v>5939213</v>
      </c>
      <c r="R1777" s="32">
        <v>10114385</v>
      </c>
      <c r="S1777" s="32">
        <v>0</v>
      </c>
      <c r="T1777" s="32">
        <v>0</v>
      </c>
    </row>
    <row r="1778" spans="1:20" x14ac:dyDescent="0.25">
      <c r="A1778" t="s">
        <v>107</v>
      </c>
      <c r="B1778" t="s">
        <v>186</v>
      </c>
      <c r="C1778">
        <v>202601</v>
      </c>
      <c r="D1778" t="str">
        <f>MID(C1778,1,4)</f>
        <v>2026</v>
      </c>
      <c r="E1778" t="str">
        <f>IF(Portfolio!$M$1=1,CONCATENATE(A1778,C1778),CONCATENATE(B1778,C1778))</f>
        <v>MAP GROUP202601</v>
      </c>
      <c r="F1778" s="32">
        <v>507</v>
      </c>
      <c r="G1778" s="32">
        <v>920</v>
      </c>
      <c r="H1778" s="32">
        <v>556</v>
      </c>
      <c r="I1778" s="32">
        <v>0</v>
      </c>
      <c r="J1778" s="32">
        <v>0</v>
      </c>
      <c r="K1778" s="32">
        <v>230368400</v>
      </c>
      <c r="L1778" s="32">
        <v>414469400</v>
      </c>
      <c r="M1778" s="32">
        <v>261118252</v>
      </c>
      <c r="N1778" s="32">
        <v>0</v>
      </c>
      <c r="O1778" s="32">
        <v>0</v>
      </c>
      <c r="P1778" s="32">
        <v>345553</v>
      </c>
      <c r="Q1778" s="32">
        <v>4142964</v>
      </c>
      <c r="R1778" s="32">
        <v>3394537</v>
      </c>
      <c r="S1778" s="32">
        <v>0</v>
      </c>
      <c r="T1778" s="32">
        <v>0</v>
      </c>
    </row>
    <row r="1779" spans="1:20" x14ac:dyDescent="0.25">
      <c r="A1779" t="s">
        <v>107</v>
      </c>
      <c r="B1779" t="s">
        <v>154</v>
      </c>
      <c r="C1779">
        <v>202601</v>
      </c>
      <c r="D1779" t="str">
        <f>MID(C1779,1,4)</f>
        <v>2026</v>
      </c>
      <c r="E1779" t="str">
        <f>IF(Portfolio!$M$1=1,CONCATENATE(A1779,C1779),CONCATENATE(B1779,C1779))</f>
        <v>MAP GROUP202601</v>
      </c>
      <c r="F1779" s="32">
        <v>37</v>
      </c>
      <c r="G1779" s="32">
        <v>125</v>
      </c>
      <c r="H1779" s="32">
        <v>239</v>
      </c>
      <c r="I1779" s="32">
        <v>0</v>
      </c>
      <c r="J1779" s="32">
        <v>0</v>
      </c>
      <c r="K1779" s="32">
        <v>115522800</v>
      </c>
      <c r="L1779" s="32">
        <v>266408000</v>
      </c>
      <c r="M1779" s="32">
        <v>537847943</v>
      </c>
      <c r="N1779" s="32">
        <v>0</v>
      </c>
      <c r="O1779" s="32">
        <v>0</v>
      </c>
      <c r="P1779" s="32">
        <v>173284</v>
      </c>
      <c r="Q1779" s="32">
        <v>2664080</v>
      </c>
      <c r="R1779" s="32">
        <v>6992023</v>
      </c>
      <c r="S1779" s="32">
        <v>0</v>
      </c>
      <c r="T1779" s="32">
        <v>0</v>
      </c>
    </row>
    <row r="1780" spans="1:20" x14ac:dyDescent="0.25">
      <c r="A1780" t="s">
        <v>107</v>
      </c>
      <c r="B1780" t="s">
        <v>203</v>
      </c>
      <c r="C1780">
        <v>202601</v>
      </c>
      <c r="D1780" t="str">
        <f>MID(C1780,1,4)</f>
        <v>2026</v>
      </c>
      <c r="E1780" t="str">
        <f>IF(Portfolio!$M$1=1,CONCATENATE(A1780,C1780),CONCATENATE(B1780,C1780))</f>
        <v>MAP GROUP202601</v>
      </c>
      <c r="F1780" s="32">
        <v>2398</v>
      </c>
      <c r="G1780" s="32">
        <v>6305</v>
      </c>
      <c r="H1780" s="32">
        <v>5135</v>
      </c>
      <c r="I1780" s="32">
        <v>0</v>
      </c>
      <c r="J1780" s="32">
        <v>0</v>
      </c>
      <c r="K1780" s="32">
        <v>1368065156</v>
      </c>
      <c r="L1780" s="32">
        <v>4222920629</v>
      </c>
      <c r="M1780" s="32">
        <v>3427048552</v>
      </c>
      <c r="N1780" s="32">
        <v>0</v>
      </c>
      <c r="O1780" s="32">
        <v>0</v>
      </c>
      <c r="P1780" s="32">
        <v>2052098</v>
      </c>
      <c r="Q1780" s="32">
        <v>42168982</v>
      </c>
      <c r="R1780" s="32">
        <v>44551631</v>
      </c>
      <c r="S1780" s="32">
        <v>0</v>
      </c>
      <c r="T1780" s="32">
        <v>0</v>
      </c>
    </row>
    <row r="1781" spans="1:20" x14ac:dyDescent="0.25">
      <c r="A1781" t="s">
        <v>118</v>
      </c>
      <c r="B1781" t="s">
        <v>118</v>
      </c>
      <c r="C1781">
        <v>202601</v>
      </c>
      <c r="D1781" t="str">
        <f>MID(C1781,1,4)</f>
        <v>2026</v>
      </c>
      <c r="E1781" t="str">
        <f>IF(Portfolio!$M$1=1,CONCATENATE(A1781,C1781),CONCATENATE(B1781,C1781))</f>
        <v>SARINAH202601</v>
      </c>
      <c r="F1781" s="32">
        <v>4</v>
      </c>
      <c r="G1781" s="32">
        <v>30</v>
      </c>
      <c r="H1781" s="32">
        <v>54</v>
      </c>
      <c r="I1781" s="32">
        <v>0</v>
      </c>
      <c r="J1781" s="32">
        <v>1</v>
      </c>
      <c r="K1781" s="32">
        <v>1260000</v>
      </c>
      <c r="L1781" s="32">
        <v>35589570</v>
      </c>
      <c r="M1781" s="32">
        <v>55548360</v>
      </c>
      <c r="N1781" s="32">
        <v>0</v>
      </c>
      <c r="O1781" s="32">
        <v>610170</v>
      </c>
      <c r="P1781" s="32">
        <v>1890</v>
      </c>
      <c r="Q1781" s="32">
        <v>352516</v>
      </c>
      <c r="R1781" s="32">
        <v>999870</v>
      </c>
      <c r="S1781" s="32">
        <v>0</v>
      </c>
      <c r="T1781" s="32">
        <v>4271</v>
      </c>
    </row>
    <row r="1782" spans="1:20" x14ac:dyDescent="0.25">
      <c r="A1782" t="s">
        <v>75</v>
      </c>
      <c r="B1782" t="s">
        <v>95</v>
      </c>
      <c r="C1782">
        <v>202601</v>
      </c>
      <c r="D1782" t="str">
        <f>MID(C1782,1,4)</f>
        <v>2026</v>
      </c>
      <c r="E1782" t="str">
        <f>IF(Portfolio!$M$1=1,CONCATENATE(A1782,C1782),CONCATENATE(B1782,C1782))</f>
        <v>CHAMP RESTO202601</v>
      </c>
      <c r="F1782" s="32">
        <v>28</v>
      </c>
      <c r="G1782" s="32">
        <v>0</v>
      </c>
      <c r="H1782" s="32">
        <v>0</v>
      </c>
      <c r="I1782" s="32">
        <v>0</v>
      </c>
      <c r="J1782" s="32">
        <v>8</v>
      </c>
      <c r="K1782" s="32">
        <v>9555976</v>
      </c>
      <c r="L1782" s="32">
        <v>0</v>
      </c>
      <c r="M1782" s="32">
        <v>0</v>
      </c>
      <c r="N1782" s="32">
        <v>0</v>
      </c>
      <c r="O1782" s="32">
        <v>41286940</v>
      </c>
      <c r="P1782" s="32">
        <v>14334</v>
      </c>
      <c r="Q1782" s="32">
        <v>0</v>
      </c>
      <c r="R1782" s="32">
        <v>0</v>
      </c>
      <c r="S1782" s="32">
        <v>0</v>
      </c>
      <c r="T1782" s="32">
        <v>288995</v>
      </c>
    </row>
    <row r="1783" spans="1:20" x14ac:dyDescent="0.25">
      <c r="A1783" t="s">
        <v>101</v>
      </c>
      <c r="B1783" t="s">
        <v>117</v>
      </c>
      <c r="C1783">
        <v>202601</v>
      </c>
      <c r="D1783" t="str">
        <f>MID(C1783,1,4)</f>
        <v>2026</v>
      </c>
      <c r="E1783" t="str">
        <f>IF(Portfolio!$M$1=1,CONCATENATE(A1783,C1783),CONCATENATE(B1783,C1783))</f>
        <v>INDOMARET202601</v>
      </c>
      <c r="F1783" s="32">
        <v>154</v>
      </c>
      <c r="G1783" s="32">
        <v>137</v>
      </c>
      <c r="H1783" s="32">
        <v>79</v>
      </c>
      <c r="I1783" s="32">
        <v>0</v>
      </c>
      <c r="J1783" s="32">
        <v>0</v>
      </c>
      <c r="K1783" s="32">
        <v>12354600</v>
      </c>
      <c r="L1783" s="32">
        <v>13072900</v>
      </c>
      <c r="M1783" s="32">
        <v>11662700</v>
      </c>
      <c r="N1783" s="32">
        <v>0</v>
      </c>
      <c r="O1783" s="32">
        <v>0</v>
      </c>
      <c r="P1783" s="32">
        <v>18532</v>
      </c>
      <c r="Q1783" s="32">
        <v>130029</v>
      </c>
      <c r="R1783" s="32">
        <v>192614</v>
      </c>
      <c r="S1783" s="32">
        <v>0</v>
      </c>
      <c r="T1783" s="32">
        <v>0</v>
      </c>
    </row>
    <row r="1784" spans="1:20" x14ac:dyDescent="0.25">
      <c r="A1784" t="s">
        <v>76</v>
      </c>
      <c r="B1784" t="s">
        <v>76</v>
      </c>
      <c r="C1784">
        <v>202601</v>
      </c>
      <c r="D1784" t="str">
        <f>MID(C1784,1,4)</f>
        <v>2026</v>
      </c>
      <c r="E1784" t="str">
        <f>IF(Portfolio!$M$1=1,CONCATENATE(A1784,C1784),CONCATENATE(B1784,C1784))</f>
        <v>DAMRI202601</v>
      </c>
      <c r="F1784" s="32">
        <v>0</v>
      </c>
      <c r="G1784" s="32">
        <v>7</v>
      </c>
      <c r="H1784" s="32">
        <v>0</v>
      </c>
      <c r="I1784" s="32">
        <v>0</v>
      </c>
      <c r="J1784" s="32">
        <v>11</v>
      </c>
      <c r="K1784" s="32">
        <v>0</v>
      </c>
      <c r="L1784" s="32">
        <v>2015000</v>
      </c>
      <c r="M1784" s="32">
        <v>0</v>
      </c>
      <c r="N1784" s="32">
        <v>0</v>
      </c>
      <c r="O1784" s="32">
        <v>3335000</v>
      </c>
      <c r="P1784" s="32">
        <v>0</v>
      </c>
      <c r="Q1784" s="32">
        <v>20150</v>
      </c>
      <c r="R1784" s="32">
        <v>0</v>
      </c>
      <c r="S1784" s="32">
        <v>0</v>
      </c>
      <c r="T1784" s="32">
        <v>23345</v>
      </c>
    </row>
    <row r="1785" spans="1:20" x14ac:dyDescent="0.25">
      <c r="A1785" t="s">
        <v>107</v>
      </c>
      <c r="B1785" t="s">
        <v>206</v>
      </c>
      <c r="C1785">
        <v>202601</v>
      </c>
      <c r="D1785" t="str">
        <f>MID(C1785,1,4)</f>
        <v>2026</v>
      </c>
      <c r="E1785" t="str">
        <f>IF(Portfolio!$M$1=1,CONCATENATE(A1785,C1785),CONCATENATE(B1785,C1785))</f>
        <v>MAP GROUP202601</v>
      </c>
      <c r="F1785" s="32">
        <v>24</v>
      </c>
      <c r="G1785" s="32">
        <v>75</v>
      </c>
      <c r="H1785" s="32">
        <v>177</v>
      </c>
      <c r="I1785" s="32">
        <v>0</v>
      </c>
      <c r="J1785" s="32">
        <v>0</v>
      </c>
      <c r="K1785" s="32">
        <v>30594560</v>
      </c>
      <c r="L1785" s="32">
        <v>113051100</v>
      </c>
      <c r="M1785" s="32">
        <v>273421412</v>
      </c>
      <c r="N1785" s="32">
        <v>0</v>
      </c>
      <c r="O1785" s="32">
        <v>0</v>
      </c>
      <c r="P1785" s="32">
        <v>45892</v>
      </c>
      <c r="Q1785" s="32">
        <v>1130511</v>
      </c>
      <c r="R1785" s="32">
        <v>3554478</v>
      </c>
      <c r="S1785" s="32">
        <v>0</v>
      </c>
      <c r="T1785" s="32">
        <v>0</v>
      </c>
    </row>
    <row r="1786" spans="1:20" x14ac:dyDescent="0.25">
      <c r="A1786" t="s">
        <v>107</v>
      </c>
      <c r="B1786" t="s">
        <v>188</v>
      </c>
      <c r="C1786">
        <v>202601</v>
      </c>
      <c r="D1786" t="str">
        <f>MID(C1786,1,4)</f>
        <v>2026</v>
      </c>
      <c r="E1786" t="str">
        <f>IF(Portfolio!$M$1=1,CONCATENATE(A1786,C1786),CONCATENATE(B1786,C1786))</f>
        <v>MAP GROUP202601</v>
      </c>
      <c r="F1786" s="32">
        <v>27</v>
      </c>
      <c r="G1786" s="32">
        <v>37</v>
      </c>
      <c r="H1786" s="32">
        <v>34</v>
      </c>
      <c r="I1786" s="32">
        <v>0</v>
      </c>
      <c r="J1786" s="32">
        <v>0</v>
      </c>
      <c r="K1786" s="32">
        <v>15236840</v>
      </c>
      <c r="L1786" s="32">
        <v>21800600</v>
      </c>
      <c r="M1786" s="32">
        <v>24613500</v>
      </c>
      <c r="N1786" s="32">
        <v>0</v>
      </c>
      <c r="O1786" s="32">
        <v>0</v>
      </c>
      <c r="P1786" s="32">
        <v>22855</v>
      </c>
      <c r="Q1786" s="32">
        <v>218006</v>
      </c>
      <c r="R1786" s="32">
        <v>319976</v>
      </c>
      <c r="S1786" s="32">
        <v>0</v>
      </c>
      <c r="T1786" s="32">
        <v>0</v>
      </c>
    </row>
    <row r="1787" spans="1:20" x14ac:dyDescent="0.25">
      <c r="A1787" t="s">
        <v>103</v>
      </c>
      <c r="B1787" t="s">
        <v>146</v>
      </c>
      <c r="C1787">
        <v>202601</v>
      </c>
      <c r="D1787" t="str">
        <f>MID(C1787,1,4)</f>
        <v>2026</v>
      </c>
      <c r="E1787" t="str">
        <f>IF(Portfolio!$M$1=1,CONCATENATE(A1787,C1787),CONCATENATE(B1787,C1787))</f>
        <v>KCIC202601</v>
      </c>
      <c r="F1787" s="32">
        <v>41</v>
      </c>
      <c r="G1787" s="32">
        <v>427</v>
      </c>
      <c r="H1787" s="32">
        <v>963</v>
      </c>
      <c r="I1787" s="32">
        <v>0</v>
      </c>
      <c r="J1787" s="32">
        <v>458</v>
      </c>
      <c r="K1787" s="32">
        <v>33325000</v>
      </c>
      <c r="L1787" s="32">
        <v>358350000</v>
      </c>
      <c r="M1787" s="32">
        <v>969020000</v>
      </c>
      <c r="N1787" s="32">
        <v>0</v>
      </c>
      <c r="O1787" s="32">
        <v>385650000</v>
      </c>
      <c r="P1787" s="32">
        <v>49988</v>
      </c>
      <c r="Q1787" s="32">
        <v>3113550</v>
      </c>
      <c r="R1787" s="32">
        <v>17448360</v>
      </c>
      <c r="S1787" s="32">
        <v>0</v>
      </c>
      <c r="T1787" s="32">
        <v>2699550</v>
      </c>
    </row>
    <row r="1788" spans="1:20" x14ac:dyDescent="0.25">
      <c r="A1788" t="s">
        <v>260</v>
      </c>
      <c r="B1788" t="s">
        <v>260</v>
      </c>
      <c r="C1788">
        <v>202601</v>
      </c>
      <c r="D1788" t="str">
        <f>MID(C1788,1,4)</f>
        <v>2026</v>
      </c>
      <c r="E1788" t="str">
        <f>IF(Portfolio!$M$1=1,CONCATENATE(A1788,C1788),CONCATENATE(B1788,C1788))</f>
        <v>MIXUE202601</v>
      </c>
      <c r="F1788" s="32">
        <v>0</v>
      </c>
      <c r="G1788" s="32">
        <v>71</v>
      </c>
      <c r="H1788" s="32">
        <v>9</v>
      </c>
      <c r="I1788" s="32">
        <v>38</v>
      </c>
      <c r="J1788" s="32">
        <v>4836</v>
      </c>
      <c r="K1788" s="32">
        <v>0</v>
      </c>
      <c r="L1788" s="32">
        <v>2664000</v>
      </c>
      <c r="M1788" s="32">
        <v>232000</v>
      </c>
      <c r="N1788" s="32">
        <v>1021000</v>
      </c>
      <c r="O1788" s="32">
        <v>156881066</v>
      </c>
      <c r="P1788" s="32">
        <v>0</v>
      </c>
      <c r="Q1788" s="32">
        <v>26640</v>
      </c>
      <c r="R1788" s="32">
        <v>4640</v>
      </c>
      <c r="S1788" s="32">
        <v>2009</v>
      </c>
      <c r="T1788" s="32">
        <v>323372</v>
      </c>
    </row>
    <row r="1789" spans="1:20" x14ac:dyDescent="0.25">
      <c r="A1789" t="s">
        <v>107</v>
      </c>
      <c r="B1789" t="s">
        <v>177</v>
      </c>
      <c r="C1789">
        <v>202601</v>
      </c>
      <c r="D1789" t="str">
        <f>MID(C1789,1,4)</f>
        <v>2026</v>
      </c>
      <c r="E1789" t="str">
        <f>IF(Portfolio!$M$1=1,CONCATENATE(A1789,C1789),CONCATENATE(B1789,C1789))</f>
        <v>MAP GROUP202601</v>
      </c>
      <c r="F1789" s="32">
        <v>56</v>
      </c>
      <c r="G1789" s="32">
        <v>0</v>
      </c>
      <c r="H1789" s="32">
        <v>1</v>
      </c>
      <c r="I1789" s="32">
        <v>0</v>
      </c>
      <c r="J1789" s="32">
        <v>0</v>
      </c>
      <c r="K1789" s="32">
        <v>121628800</v>
      </c>
      <c r="L1789" s="32">
        <v>0</v>
      </c>
      <c r="M1789" s="32">
        <v>1799100</v>
      </c>
      <c r="N1789" s="32">
        <v>0</v>
      </c>
      <c r="O1789" s="32">
        <v>0</v>
      </c>
      <c r="P1789" s="32">
        <v>182443</v>
      </c>
      <c r="Q1789" s="32">
        <v>0</v>
      </c>
      <c r="R1789" s="32">
        <v>23388</v>
      </c>
      <c r="S1789" s="32">
        <v>0</v>
      </c>
      <c r="T1789" s="32">
        <v>0</v>
      </c>
    </row>
    <row r="1790" spans="1:20" x14ac:dyDescent="0.25">
      <c r="A1790" t="s">
        <v>107</v>
      </c>
      <c r="B1790" t="s">
        <v>189</v>
      </c>
      <c r="C1790">
        <v>202601</v>
      </c>
      <c r="D1790" t="str">
        <f>MID(C1790,1,4)</f>
        <v>2026</v>
      </c>
      <c r="E1790" t="str">
        <f>IF(Portfolio!$M$1=1,CONCATENATE(A1790,C1790),CONCATENATE(B1790,C1790))</f>
        <v>MAP GROUP202601</v>
      </c>
      <c r="F1790" s="32">
        <v>174</v>
      </c>
      <c r="G1790" s="32">
        <v>631</v>
      </c>
      <c r="H1790" s="32">
        <v>1012</v>
      </c>
      <c r="I1790" s="32">
        <v>0</v>
      </c>
      <c r="J1790" s="32">
        <v>0</v>
      </c>
      <c r="K1790" s="32">
        <v>223677200</v>
      </c>
      <c r="L1790" s="32">
        <v>818556735</v>
      </c>
      <c r="M1790" s="32">
        <v>1386106753</v>
      </c>
      <c r="N1790" s="32">
        <v>0</v>
      </c>
      <c r="O1790" s="32">
        <v>0</v>
      </c>
      <c r="P1790" s="32">
        <v>335516</v>
      </c>
      <c r="Q1790" s="32">
        <v>8147634</v>
      </c>
      <c r="R1790" s="32">
        <v>18019388</v>
      </c>
      <c r="S1790" s="32">
        <v>0</v>
      </c>
      <c r="T1790" s="32">
        <v>0</v>
      </c>
    </row>
    <row r="1791" spans="1:20" x14ac:dyDescent="0.25">
      <c r="A1791" t="s">
        <v>107</v>
      </c>
      <c r="B1791" t="s">
        <v>192</v>
      </c>
      <c r="C1791">
        <v>202601</v>
      </c>
      <c r="D1791" t="str">
        <f>MID(C1791,1,4)</f>
        <v>2026</v>
      </c>
      <c r="E1791" t="str">
        <f>IF(Portfolio!$M$1=1,CONCATENATE(A1791,C1791),CONCATENATE(B1791,C1791))</f>
        <v>MAP GROUP202601</v>
      </c>
      <c r="F1791" s="32">
        <v>36</v>
      </c>
      <c r="G1791" s="32">
        <v>43</v>
      </c>
      <c r="H1791" s="32">
        <v>55</v>
      </c>
      <c r="I1791" s="32">
        <v>0</v>
      </c>
      <c r="J1791" s="32">
        <v>36</v>
      </c>
      <c r="K1791" s="32">
        <v>26441940</v>
      </c>
      <c r="L1791" s="32">
        <v>26206160</v>
      </c>
      <c r="M1791" s="32">
        <v>36037100</v>
      </c>
      <c r="N1791" s="32">
        <v>0</v>
      </c>
      <c r="O1791" s="32">
        <v>3010000</v>
      </c>
      <c r="P1791" s="32">
        <v>39663</v>
      </c>
      <c r="Q1791" s="32">
        <v>262062</v>
      </c>
      <c r="R1791" s="32">
        <v>468482</v>
      </c>
      <c r="S1791" s="32">
        <v>0</v>
      </c>
      <c r="T1791" s="32">
        <v>0</v>
      </c>
    </row>
    <row r="1792" spans="1:20" x14ac:dyDescent="0.25">
      <c r="A1792" t="s">
        <v>107</v>
      </c>
      <c r="B1792" t="s">
        <v>167</v>
      </c>
      <c r="C1792">
        <v>202601</v>
      </c>
      <c r="D1792" t="str">
        <f>MID(C1792,1,4)</f>
        <v>2026</v>
      </c>
      <c r="E1792" t="str">
        <f>IF(Portfolio!$M$1=1,CONCATENATE(A1792,C1792),CONCATENATE(B1792,C1792))</f>
        <v>MAP GROUP202601</v>
      </c>
      <c r="F1792" s="32">
        <v>16</v>
      </c>
      <c r="G1792" s="32">
        <v>40</v>
      </c>
      <c r="H1792" s="32">
        <v>98</v>
      </c>
      <c r="I1792" s="32">
        <v>0</v>
      </c>
      <c r="J1792" s="32">
        <v>0</v>
      </c>
      <c r="K1792" s="32">
        <v>16026000</v>
      </c>
      <c r="L1792" s="32">
        <v>65478030</v>
      </c>
      <c r="M1792" s="32">
        <v>145566989</v>
      </c>
      <c r="N1792" s="32">
        <v>0</v>
      </c>
      <c r="O1792" s="32">
        <v>0</v>
      </c>
      <c r="P1792" s="32">
        <v>24039</v>
      </c>
      <c r="Q1792" s="32">
        <v>654780</v>
      </c>
      <c r="R1792" s="32">
        <v>1892371</v>
      </c>
      <c r="S1792" s="32">
        <v>0</v>
      </c>
      <c r="T1792" s="32">
        <v>0</v>
      </c>
    </row>
    <row r="1793" spans="1:20" x14ac:dyDescent="0.25">
      <c r="A1793" t="s">
        <v>105</v>
      </c>
      <c r="B1793" t="s">
        <v>149</v>
      </c>
      <c r="C1793">
        <v>202601</v>
      </c>
      <c r="D1793" t="str">
        <f>MID(C1793,1,4)</f>
        <v>2026</v>
      </c>
      <c r="E1793" t="str">
        <f>IF(Portfolio!$M$1=1,CONCATENATE(A1793,C1793),CONCATENATE(B1793,C1793))</f>
        <v>LOTTE GROUP202601</v>
      </c>
      <c r="F1793" s="32">
        <v>1528</v>
      </c>
      <c r="G1793" s="32">
        <v>2</v>
      </c>
      <c r="H1793" s="32">
        <v>0</v>
      </c>
      <c r="I1793" s="32">
        <v>0</v>
      </c>
      <c r="J1793" s="32">
        <v>0</v>
      </c>
      <c r="K1793" s="32">
        <v>440338300</v>
      </c>
      <c r="L1793" s="32">
        <v>728600</v>
      </c>
      <c r="M1793" s="32">
        <v>0</v>
      </c>
      <c r="N1793" s="32">
        <v>0</v>
      </c>
      <c r="O1793" s="32">
        <v>0</v>
      </c>
      <c r="P1793" s="32">
        <v>660507</v>
      </c>
      <c r="Q1793" s="32">
        <v>0</v>
      </c>
      <c r="R1793" s="32">
        <v>0</v>
      </c>
      <c r="S1793" s="32">
        <v>0</v>
      </c>
      <c r="T1793" s="32">
        <v>0</v>
      </c>
    </row>
    <row r="1794" spans="1:20" x14ac:dyDescent="0.25">
      <c r="A1794" t="s">
        <v>112</v>
      </c>
      <c r="B1794" t="s">
        <v>216</v>
      </c>
      <c r="C1794">
        <v>202601</v>
      </c>
      <c r="D1794" t="str">
        <f>MID(C1794,1,4)</f>
        <v>2026</v>
      </c>
      <c r="E1794" t="str">
        <f>IF(Portfolio!$M$1=1,CONCATENATE(A1794,C1794),CONCATENATE(B1794,C1794))</f>
        <v>PERTAMINA RETAIL202601</v>
      </c>
      <c r="F1794" s="32">
        <v>220</v>
      </c>
      <c r="G1794" s="32">
        <v>2217</v>
      </c>
      <c r="H1794" s="32">
        <v>203</v>
      </c>
      <c r="I1794" s="32">
        <v>14</v>
      </c>
      <c r="J1794" s="32">
        <v>4500</v>
      </c>
      <c r="K1794" s="32">
        <v>35829856</v>
      </c>
      <c r="L1794" s="32">
        <v>410378028</v>
      </c>
      <c r="M1794" s="32">
        <v>50577995</v>
      </c>
      <c r="N1794" s="32">
        <v>1712900</v>
      </c>
      <c r="O1794" s="32">
        <v>857745617</v>
      </c>
      <c r="P1794" s="32">
        <v>53745</v>
      </c>
      <c r="Q1794" s="32">
        <v>3495854</v>
      </c>
      <c r="R1794" s="32">
        <v>914606</v>
      </c>
      <c r="S1794" s="32">
        <v>5652</v>
      </c>
      <c r="T1794" s="32">
        <v>967581</v>
      </c>
    </row>
    <row r="1795" spans="1:20" x14ac:dyDescent="0.25">
      <c r="A1795" t="s">
        <v>124</v>
      </c>
      <c r="B1795" t="s">
        <v>124</v>
      </c>
      <c r="C1795">
        <v>202601</v>
      </c>
      <c r="D1795" t="str">
        <f>MID(C1795,1,4)</f>
        <v>2026</v>
      </c>
      <c r="E1795" t="str">
        <f>IF(Portfolio!$M$1=1,CONCATENATE(A1795,C1795),CONCATENATE(B1795,C1795))</f>
        <v>SOUR SALLY202601</v>
      </c>
      <c r="F1795" s="32">
        <v>20</v>
      </c>
      <c r="G1795" s="32">
        <v>18</v>
      </c>
      <c r="H1795" s="32">
        <v>1</v>
      </c>
      <c r="I1795" s="32">
        <v>13</v>
      </c>
      <c r="J1795" s="32">
        <v>51</v>
      </c>
      <c r="K1795" s="32">
        <v>1584000</v>
      </c>
      <c r="L1795" s="32">
        <v>1653970</v>
      </c>
      <c r="M1795" s="32">
        <v>72000</v>
      </c>
      <c r="N1795" s="32">
        <v>793000</v>
      </c>
      <c r="O1795" s="32">
        <v>10082020</v>
      </c>
      <c r="P1795" s="32">
        <v>2376</v>
      </c>
      <c r="Q1795" s="32">
        <v>16540</v>
      </c>
      <c r="R1795" s="32">
        <v>1296</v>
      </c>
      <c r="S1795" s="32">
        <v>5551</v>
      </c>
      <c r="T1795" s="32">
        <v>70574</v>
      </c>
    </row>
    <row r="1796" spans="1:20" x14ac:dyDescent="0.25">
      <c r="A1796" t="s">
        <v>107</v>
      </c>
      <c r="B1796" t="s">
        <v>169</v>
      </c>
      <c r="C1796">
        <v>202601</v>
      </c>
      <c r="D1796" t="str">
        <f>MID(C1796,1,4)</f>
        <v>2026</v>
      </c>
      <c r="E1796" t="str">
        <f>IF(Portfolio!$M$1=1,CONCATENATE(A1796,C1796),CONCATENATE(B1796,C1796))</f>
        <v>MAP GROUP202601</v>
      </c>
      <c r="F1796" s="32">
        <v>643</v>
      </c>
      <c r="G1796" s="32">
        <v>399</v>
      </c>
      <c r="H1796" s="32">
        <v>1722</v>
      </c>
      <c r="I1796" s="32">
        <v>0</v>
      </c>
      <c r="J1796" s="32">
        <v>1</v>
      </c>
      <c r="K1796" s="32">
        <v>198715056</v>
      </c>
      <c r="L1796" s="32">
        <v>100509500</v>
      </c>
      <c r="M1796" s="32">
        <v>648794816</v>
      </c>
      <c r="N1796" s="32">
        <v>0</v>
      </c>
      <c r="O1796" s="32">
        <v>25000</v>
      </c>
      <c r="P1796" s="32">
        <v>298071</v>
      </c>
      <c r="Q1796" s="32">
        <v>1003680</v>
      </c>
      <c r="R1796" s="32">
        <v>8434328</v>
      </c>
      <c r="S1796" s="32">
        <v>0</v>
      </c>
      <c r="T1796" s="32">
        <v>0</v>
      </c>
    </row>
    <row r="1797" spans="1:20" x14ac:dyDescent="0.25">
      <c r="A1797" t="s">
        <v>107</v>
      </c>
      <c r="B1797" t="s">
        <v>208</v>
      </c>
      <c r="C1797">
        <v>202601</v>
      </c>
      <c r="D1797" t="str">
        <f>MID(C1797,1,4)</f>
        <v>2026</v>
      </c>
      <c r="E1797" t="str">
        <f>IF(Portfolio!$M$1=1,CONCATENATE(A1797,C1797),CONCATENATE(B1797,C1797))</f>
        <v>MAP GROUP202601</v>
      </c>
      <c r="F1797" s="32">
        <v>4</v>
      </c>
      <c r="G1797" s="32">
        <v>1</v>
      </c>
      <c r="H1797" s="32">
        <v>1</v>
      </c>
      <c r="I1797" s="32">
        <v>0</v>
      </c>
      <c r="J1797" s="32">
        <v>0</v>
      </c>
      <c r="K1797" s="32">
        <v>6144000</v>
      </c>
      <c r="L1797" s="32">
        <v>562000</v>
      </c>
      <c r="M1797" s="32">
        <v>3384600</v>
      </c>
      <c r="N1797" s="32">
        <v>0</v>
      </c>
      <c r="O1797" s="32">
        <v>0</v>
      </c>
      <c r="P1797" s="32">
        <v>9216</v>
      </c>
      <c r="Q1797" s="32">
        <v>5620</v>
      </c>
      <c r="R1797" s="32">
        <v>44000</v>
      </c>
      <c r="S1797" s="32">
        <v>0</v>
      </c>
      <c r="T1797" s="32">
        <v>0</v>
      </c>
    </row>
    <row r="1798" spans="1:20" x14ac:dyDescent="0.25">
      <c r="A1798" t="s">
        <v>75</v>
      </c>
      <c r="B1798" t="s">
        <v>93</v>
      </c>
      <c r="C1798">
        <v>202601</v>
      </c>
      <c r="D1798" t="str">
        <f>MID(C1798,1,4)</f>
        <v>2026</v>
      </c>
      <c r="E1798" t="str">
        <f>IF(Portfolio!$M$1=1,CONCATENATE(A1798,C1798),CONCATENATE(B1798,C1798))</f>
        <v>CHAMP RESTO202601</v>
      </c>
      <c r="F1798" s="32">
        <v>20</v>
      </c>
      <c r="G1798" s="32">
        <v>0</v>
      </c>
      <c r="H1798" s="32">
        <v>0</v>
      </c>
      <c r="I1798" s="32">
        <v>0</v>
      </c>
      <c r="J1798" s="32">
        <v>37</v>
      </c>
      <c r="K1798" s="32">
        <v>3860480</v>
      </c>
      <c r="L1798" s="32">
        <v>0</v>
      </c>
      <c r="M1798" s="32">
        <v>0</v>
      </c>
      <c r="N1798" s="32">
        <v>0</v>
      </c>
      <c r="O1798" s="32">
        <v>7945760</v>
      </c>
      <c r="P1798" s="32">
        <v>5791</v>
      </c>
      <c r="Q1798" s="32">
        <v>0</v>
      </c>
      <c r="R1798" s="32">
        <v>0</v>
      </c>
      <c r="S1798" s="32">
        <v>0</v>
      </c>
      <c r="T1798" s="32">
        <v>4853</v>
      </c>
    </row>
    <row r="1799" spans="1:20" x14ac:dyDescent="0.25">
      <c r="A1799" t="s">
        <v>67</v>
      </c>
      <c r="B1799" t="s">
        <v>69</v>
      </c>
      <c r="C1799">
        <v>202601</v>
      </c>
      <c r="D1799" t="str">
        <f>MID(C1799,1,4)</f>
        <v>2026</v>
      </c>
      <c r="E1799" t="str">
        <f>IF(Portfolio!$M$1=1,CONCATENATE(A1799,C1799),CONCATENATE(B1799,C1799))</f>
        <v>ALFA GROUP202601</v>
      </c>
      <c r="F1799" s="32">
        <v>40</v>
      </c>
      <c r="G1799" s="32">
        <v>22</v>
      </c>
      <c r="H1799" s="32">
        <v>2</v>
      </c>
      <c r="I1799" s="32">
        <v>0</v>
      </c>
      <c r="J1799" s="32">
        <v>0</v>
      </c>
      <c r="K1799" s="32">
        <v>7237180</v>
      </c>
      <c r="L1799" s="32">
        <v>2316522</v>
      </c>
      <c r="M1799" s="32">
        <v>232500</v>
      </c>
      <c r="N1799" s="32">
        <v>0</v>
      </c>
      <c r="O1799" s="32">
        <v>0</v>
      </c>
      <c r="P1799" s="32">
        <v>10856</v>
      </c>
      <c r="Q1799" s="32">
        <v>23165</v>
      </c>
      <c r="R1799" s="32">
        <v>4185</v>
      </c>
      <c r="S1799" s="32">
        <v>0</v>
      </c>
      <c r="T1799" s="32">
        <v>0</v>
      </c>
    </row>
    <row r="1800" spans="1:20" x14ac:dyDescent="0.25">
      <c r="A1800" t="s">
        <v>107</v>
      </c>
      <c r="B1800" t="s">
        <v>193</v>
      </c>
      <c r="C1800">
        <v>202601</v>
      </c>
      <c r="D1800" t="str">
        <f>MID(C1800,1,4)</f>
        <v>2026</v>
      </c>
      <c r="E1800" t="str">
        <f>IF(Portfolio!$M$1=1,CONCATENATE(A1800,C1800),CONCATENATE(B1800,C1800))</f>
        <v>MAP GROUP202601</v>
      </c>
      <c r="F1800" s="32">
        <v>4</v>
      </c>
      <c r="G1800" s="32">
        <v>2</v>
      </c>
      <c r="H1800" s="32">
        <v>12</v>
      </c>
      <c r="I1800" s="32">
        <v>0</v>
      </c>
      <c r="J1800" s="32">
        <v>0</v>
      </c>
      <c r="K1800" s="32">
        <v>3216800</v>
      </c>
      <c r="L1800" s="32">
        <v>2742600</v>
      </c>
      <c r="M1800" s="32">
        <v>11886600</v>
      </c>
      <c r="N1800" s="32">
        <v>0</v>
      </c>
      <c r="O1800" s="32">
        <v>0</v>
      </c>
      <c r="P1800" s="32">
        <v>4825</v>
      </c>
      <c r="Q1800" s="32">
        <v>27426</v>
      </c>
      <c r="R1800" s="32">
        <v>154526</v>
      </c>
      <c r="S1800" s="32">
        <v>0</v>
      </c>
      <c r="T1800" s="32">
        <v>0</v>
      </c>
    </row>
    <row r="1801" spans="1:20" x14ac:dyDescent="0.25">
      <c r="A1801" t="s">
        <v>74</v>
      </c>
      <c r="B1801" t="s">
        <v>74</v>
      </c>
      <c r="C1801">
        <v>202601</v>
      </c>
      <c r="D1801" t="str">
        <f>MID(C1801,1,4)</f>
        <v>2026</v>
      </c>
      <c r="E1801" t="str">
        <f>IF(Portfolio!$M$1=1,CONCATENATE(A1801,C1801),CONCATENATE(B1801,C1801))</f>
        <v>BEARD PAPA202601</v>
      </c>
      <c r="F1801" s="32">
        <v>60</v>
      </c>
      <c r="G1801" s="32">
        <v>0</v>
      </c>
      <c r="H1801" s="32">
        <v>0</v>
      </c>
      <c r="I1801" s="32">
        <v>0</v>
      </c>
      <c r="J1801" s="32">
        <v>5</v>
      </c>
      <c r="K1801" s="32">
        <v>5965000</v>
      </c>
      <c r="L1801" s="32">
        <v>0</v>
      </c>
      <c r="M1801" s="32">
        <v>0</v>
      </c>
      <c r="N1801" s="32">
        <v>0</v>
      </c>
      <c r="O1801" s="32">
        <v>12136004</v>
      </c>
      <c r="P1801" s="32">
        <v>8948</v>
      </c>
      <c r="Q1801" s="32">
        <v>0</v>
      </c>
      <c r="R1801" s="32">
        <v>0</v>
      </c>
      <c r="S1801" s="32">
        <v>0</v>
      </c>
      <c r="T1801" s="32">
        <v>84952</v>
      </c>
    </row>
    <row r="1802" spans="1:20" x14ac:dyDescent="0.25">
      <c r="A1802" t="s">
        <v>281</v>
      </c>
      <c r="B1802" t="s">
        <v>281</v>
      </c>
      <c r="C1802">
        <v>202601</v>
      </c>
      <c r="D1802" t="str">
        <f>MID(C1802,1,4)</f>
        <v>2026</v>
      </c>
      <c r="E1802" t="str">
        <f>IF(Portfolio!$M$1=1,CONCATENATE(A1802,C1802),CONCATENATE(B1802,C1802))</f>
        <v>YOUTAP202601</v>
      </c>
      <c r="F1802" s="32">
        <v>0</v>
      </c>
      <c r="G1802" s="32">
        <v>0</v>
      </c>
      <c r="H1802" s="32">
        <v>0</v>
      </c>
      <c r="I1802" s="32">
        <v>1</v>
      </c>
      <c r="J1802" s="32">
        <v>35</v>
      </c>
      <c r="K1802" s="32">
        <v>0</v>
      </c>
      <c r="L1802" s="32">
        <v>0</v>
      </c>
      <c r="M1802" s="32">
        <v>0</v>
      </c>
      <c r="N1802" s="32">
        <v>40000</v>
      </c>
      <c r="O1802" s="32">
        <v>2020525</v>
      </c>
      <c r="P1802" s="32">
        <v>0</v>
      </c>
      <c r="Q1802" s="32">
        <v>0</v>
      </c>
      <c r="R1802" s="32">
        <v>0</v>
      </c>
      <c r="S1802" s="32">
        <v>280</v>
      </c>
      <c r="T1802" s="32">
        <v>2787</v>
      </c>
    </row>
    <row r="1803" spans="1:20" x14ac:dyDescent="0.25">
      <c r="A1803" t="s">
        <v>106</v>
      </c>
      <c r="B1803" t="s">
        <v>106</v>
      </c>
      <c r="C1803">
        <v>202601</v>
      </c>
      <c r="D1803" t="str">
        <f>MID(C1803,1,4)</f>
        <v>2026</v>
      </c>
      <c r="E1803" t="str">
        <f>IF(Portfolio!$M$1=1,CONCATENATE(A1803,C1803),CONCATENATE(B1803,C1803))</f>
        <v>MAMA ROZ202601</v>
      </c>
      <c r="F1803" s="32">
        <v>0</v>
      </c>
      <c r="G1803" s="32">
        <v>8</v>
      </c>
      <c r="H1803" s="32">
        <v>1</v>
      </c>
      <c r="I1803" s="32">
        <v>0</v>
      </c>
      <c r="J1803" s="32">
        <v>60</v>
      </c>
      <c r="K1803" s="32">
        <v>0</v>
      </c>
      <c r="L1803" s="32">
        <v>702320</v>
      </c>
      <c r="M1803" s="32">
        <v>230000</v>
      </c>
      <c r="N1803" s="32">
        <v>0</v>
      </c>
      <c r="O1803" s="32">
        <v>12491520</v>
      </c>
      <c r="P1803" s="32">
        <v>0</v>
      </c>
      <c r="Q1803" s="32">
        <v>7023</v>
      </c>
      <c r="R1803" s="32">
        <v>3450</v>
      </c>
      <c r="S1803" s="32">
        <v>0</v>
      </c>
      <c r="T1803" s="32">
        <v>87443</v>
      </c>
    </row>
    <row r="1804" spans="1:20" x14ac:dyDescent="0.25">
      <c r="A1804" t="s">
        <v>114</v>
      </c>
      <c r="B1804" t="s">
        <v>218</v>
      </c>
      <c r="C1804">
        <v>202601</v>
      </c>
      <c r="D1804" t="str">
        <f>MID(C1804,1,4)</f>
        <v>2026</v>
      </c>
      <c r="E1804" t="str">
        <f>IF(Portfolio!$M$1=1,CONCATENATE(A1804,C1804),CONCATENATE(B1804,C1804))</f>
        <v>PIZZA HUT202601</v>
      </c>
      <c r="F1804" s="32">
        <v>661</v>
      </c>
      <c r="G1804" s="32">
        <v>0</v>
      </c>
      <c r="H1804" s="32">
        <v>0</v>
      </c>
      <c r="I1804" s="32">
        <v>0</v>
      </c>
      <c r="J1804" s="32">
        <v>24</v>
      </c>
      <c r="K1804" s="32">
        <v>173945926</v>
      </c>
      <c r="L1804" s="32">
        <v>0</v>
      </c>
      <c r="M1804" s="32">
        <v>0</v>
      </c>
      <c r="N1804" s="32">
        <v>0</v>
      </c>
      <c r="O1804" s="32">
        <v>1065000</v>
      </c>
      <c r="P1804" s="32">
        <v>260918</v>
      </c>
      <c r="Q1804" s="32">
        <v>0</v>
      </c>
      <c r="R1804" s="32">
        <v>0</v>
      </c>
      <c r="S1804" s="32">
        <v>0</v>
      </c>
      <c r="T1804" s="32">
        <v>0</v>
      </c>
    </row>
    <row r="1805" spans="1:20" x14ac:dyDescent="0.25">
      <c r="A1805" t="s">
        <v>107</v>
      </c>
      <c r="B1805" t="s">
        <v>204</v>
      </c>
      <c r="C1805">
        <v>202601</v>
      </c>
      <c r="D1805" t="str">
        <f>MID(C1805,1,4)</f>
        <v>2026</v>
      </c>
      <c r="E1805" t="str">
        <f>IF(Portfolio!$M$1=1,CONCATENATE(A1805,C1805),CONCATENATE(B1805,C1805))</f>
        <v>MAP GROUP202601</v>
      </c>
      <c r="F1805" s="32">
        <v>47</v>
      </c>
      <c r="G1805" s="32">
        <v>107</v>
      </c>
      <c r="H1805" s="32">
        <v>219</v>
      </c>
      <c r="I1805" s="32">
        <v>0</v>
      </c>
      <c r="J1805" s="32">
        <v>0</v>
      </c>
      <c r="K1805" s="32">
        <v>96352400</v>
      </c>
      <c r="L1805" s="32">
        <v>206373200</v>
      </c>
      <c r="M1805" s="32">
        <v>446358707</v>
      </c>
      <c r="N1805" s="32">
        <v>0</v>
      </c>
      <c r="O1805" s="32">
        <v>0</v>
      </c>
      <c r="P1805" s="32">
        <v>144529</v>
      </c>
      <c r="Q1805" s="32">
        <v>2063732</v>
      </c>
      <c r="R1805" s="32">
        <v>5802663</v>
      </c>
      <c r="S1805" s="32">
        <v>0</v>
      </c>
      <c r="T1805" s="32">
        <v>0</v>
      </c>
    </row>
    <row r="1806" spans="1:20" x14ac:dyDescent="0.25">
      <c r="A1806" t="s">
        <v>102</v>
      </c>
      <c r="B1806" t="s">
        <v>137</v>
      </c>
      <c r="C1806">
        <v>202601</v>
      </c>
      <c r="D1806" t="str">
        <f>MID(C1806,1,4)</f>
        <v>2026</v>
      </c>
      <c r="E1806" t="str">
        <f>IF(Portfolio!$M$1=1,CONCATENATE(A1806,C1806),CONCATENATE(B1806,C1806))</f>
        <v>KAWAN LAMA202601</v>
      </c>
      <c r="F1806" s="32">
        <v>151</v>
      </c>
      <c r="G1806" s="32">
        <v>0</v>
      </c>
      <c r="H1806" s="32">
        <v>0</v>
      </c>
      <c r="I1806" s="32">
        <v>0</v>
      </c>
      <c r="J1806" s="32">
        <v>0</v>
      </c>
      <c r="K1806" s="32">
        <v>839273376</v>
      </c>
      <c r="L1806" s="32">
        <v>0</v>
      </c>
      <c r="M1806" s="32">
        <v>0</v>
      </c>
      <c r="N1806" s="32">
        <v>0</v>
      </c>
      <c r="O1806" s="32">
        <v>24643950</v>
      </c>
      <c r="P1806" s="32">
        <v>1258910</v>
      </c>
      <c r="Q1806" s="32">
        <v>0</v>
      </c>
      <c r="R1806" s="32">
        <v>0</v>
      </c>
      <c r="S1806" s="32">
        <v>0</v>
      </c>
      <c r="T1806" s="32">
        <v>172508</v>
      </c>
    </row>
    <row r="1807" spans="1:20" x14ac:dyDescent="0.25">
      <c r="A1807" t="s">
        <v>99</v>
      </c>
      <c r="B1807" t="s">
        <v>99</v>
      </c>
      <c r="C1807">
        <v>202601</v>
      </c>
      <c r="D1807" t="str">
        <f>MID(C1807,1,4)</f>
        <v>2026</v>
      </c>
      <c r="E1807" t="str">
        <f>IF(Portfolio!$M$1=1,CONCATENATE(A1807,C1807),CONCATENATE(B1807,C1807))</f>
        <v>IKEA202601</v>
      </c>
      <c r="F1807" s="32">
        <v>65</v>
      </c>
      <c r="G1807" s="32">
        <v>0</v>
      </c>
      <c r="H1807" s="32">
        <v>0</v>
      </c>
      <c r="I1807" s="32">
        <v>0</v>
      </c>
      <c r="J1807" s="32">
        <v>0</v>
      </c>
      <c r="K1807" s="32">
        <v>162417800</v>
      </c>
      <c r="L1807" s="32">
        <v>0</v>
      </c>
      <c r="M1807" s="32">
        <v>0</v>
      </c>
      <c r="N1807" s="32">
        <v>0</v>
      </c>
      <c r="O1807" s="32">
        <v>0</v>
      </c>
      <c r="P1807" s="32">
        <v>243627</v>
      </c>
      <c r="Q1807" s="32">
        <v>0</v>
      </c>
      <c r="R1807" s="32">
        <v>0</v>
      </c>
      <c r="S1807" s="32">
        <v>0</v>
      </c>
      <c r="T1807" s="32">
        <v>0</v>
      </c>
    </row>
    <row r="1808" spans="1:20" x14ac:dyDescent="0.25">
      <c r="A1808" t="s">
        <v>107</v>
      </c>
      <c r="B1808" t="s">
        <v>151</v>
      </c>
      <c r="C1808">
        <v>202601</v>
      </c>
      <c r="D1808" t="str">
        <f>MID(C1808,1,4)</f>
        <v>2026</v>
      </c>
      <c r="E1808" t="str">
        <f>IF(Portfolio!$M$1=1,CONCATENATE(A1808,C1808),CONCATENATE(B1808,C1808))</f>
        <v>MAP GROUP202601</v>
      </c>
      <c r="F1808" s="32">
        <v>67</v>
      </c>
      <c r="G1808" s="32">
        <v>190</v>
      </c>
      <c r="H1808" s="32">
        <v>245</v>
      </c>
      <c r="I1808" s="32">
        <v>0</v>
      </c>
      <c r="J1808" s="32">
        <v>0</v>
      </c>
      <c r="K1808" s="32">
        <v>111486000</v>
      </c>
      <c r="L1808" s="32">
        <v>309466000</v>
      </c>
      <c r="M1808" s="32">
        <v>402455200</v>
      </c>
      <c r="N1808" s="32">
        <v>0</v>
      </c>
      <c r="O1808" s="32">
        <v>0</v>
      </c>
      <c r="P1808" s="32">
        <v>167229</v>
      </c>
      <c r="Q1808" s="32">
        <v>3070110</v>
      </c>
      <c r="R1808" s="32">
        <v>5231918</v>
      </c>
      <c r="S1808" s="32">
        <v>0</v>
      </c>
      <c r="T1808" s="32">
        <v>0</v>
      </c>
    </row>
    <row r="1809" spans="1:20" x14ac:dyDescent="0.25">
      <c r="A1809" t="s">
        <v>75</v>
      </c>
      <c r="B1809" t="s">
        <v>91</v>
      </c>
      <c r="C1809">
        <v>202601</v>
      </c>
      <c r="D1809" t="str">
        <f>MID(C1809,1,4)</f>
        <v>2026</v>
      </c>
      <c r="E1809" t="str">
        <f>IF(Portfolio!$M$1=1,CONCATENATE(A1809,C1809),CONCATENATE(B1809,C1809))</f>
        <v>CHAMP RESTO202601</v>
      </c>
      <c r="F1809" s="32">
        <v>19</v>
      </c>
      <c r="G1809" s="32">
        <v>7</v>
      </c>
      <c r="H1809" s="32">
        <v>0</v>
      </c>
      <c r="I1809" s="32">
        <v>0</v>
      </c>
      <c r="J1809" s="32">
        <v>11</v>
      </c>
      <c r="K1809" s="32">
        <v>10203994</v>
      </c>
      <c r="L1809" s="32">
        <v>3028382</v>
      </c>
      <c r="M1809" s="32">
        <v>0</v>
      </c>
      <c r="N1809" s="32">
        <v>0</v>
      </c>
      <c r="O1809" s="32">
        <v>21894926</v>
      </c>
      <c r="P1809" s="32">
        <v>15306</v>
      </c>
      <c r="Q1809" s="32">
        <v>30284</v>
      </c>
      <c r="R1809" s="32">
        <v>0</v>
      </c>
      <c r="S1809" s="32">
        <v>0</v>
      </c>
      <c r="T1809" s="32">
        <v>153263</v>
      </c>
    </row>
    <row r="1810" spans="1:20" x14ac:dyDescent="0.25">
      <c r="A1810" t="s">
        <v>107</v>
      </c>
      <c r="B1810" t="s">
        <v>191</v>
      </c>
      <c r="C1810">
        <v>202601</v>
      </c>
      <c r="D1810" t="str">
        <f>MID(C1810,1,4)</f>
        <v>2026</v>
      </c>
      <c r="E1810" t="str">
        <f>IF(Portfolio!$M$1=1,CONCATENATE(A1810,C1810),CONCATENATE(B1810,C1810))</f>
        <v>MAP GROUP202601</v>
      </c>
      <c r="F1810" s="32">
        <v>53</v>
      </c>
      <c r="G1810" s="32">
        <v>124</v>
      </c>
      <c r="H1810" s="32">
        <v>170</v>
      </c>
      <c r="I1810" s="32">
        <v>0</v>
      </c>
      <c r="J1810" s="32">
        <v>0</v>
      </c>
      <c r="K1810" s="32">
        <v>58344400</v>
      </c>
      <c r="L1810" s="32">
        <v>163633600</v>
      </c>
      <c r="M1810" s="32">
        <v>213866072</v>
      </c>
      <c r="N1810" s="32">
        <v>0</v>
      </c>
      <c r="O1810" s="32">
        <v>0</v>
      </c>
      <c r="P1810" s="32">
        <v>87517</v>
      </c>
      <c r="Q1810" s="32">
        <v>1636336</v>
      </c>
      <c r="R1810" s="32">
        <v>2780259</v>
      </c>
      <c r="S1810" s="32">
        <v>0</v>
      </c>
      <c r="T1810" s="32">
        <v>0</v>
      </c>
    </row>
    <row r="1811" spans="1:20" x14ac:dyDescent="0.25">
      <c r="A1811" t="s">
        <v>107</v>
      </c>
      <c r="B1811" t="s">
        <v>178</v>
      </c>
      <c r="C1811">
        <v>202601</v>
      </c>
      <c r="D1811" t="str">
        <f>MID(C1811,1,4)</f>
        <v>2026</v>
      </c>
      <c r="E1811" t="str">
        <f>IF(Portfolio!$M$1=1,CONCATENATE(A1811,C1811),CONCATENATE(B1811,C1811))</f>
        <v>MAP GROUP202601</v>
      </c>
      <c r="F1811" s="32">
        <v>49</v>
      </c>
      <c r="G1811" s="32">
        <v>275</v>
      </c>
      <c r="H1811" s="32">
        <v>459</v>
      </c>
      <c r="I1811" s="32">
        <v>0</v>
      </c>
      <c r="J1811" s="32">
        <v>46</v>
      </c>
      <c r="K1811" s="32">
        <v>34179900</v>
      </c>
      <c r="L1811" s="32">
        <v>231224101</v>
      </c>
      <c r="M1811" s="32">
        <v>635032083</v>
      </c>
      <c r="N1811" s="32">
        <v>0</v>
      </c>
      <c r="O1811" s="32">
        <v>371000</v>
      </c>
      <c r="P1811" s="32">
        <v>51270</v>
      </c>
      <c r="Q1811" s="32">
        <v>2312241</v>
      </c>
      <c r="R1811" s="32">
        <v>8256587</v>
      </c>
      <c r="S1811" s="32">
        <v>0</v>
      </c>
      <c r="T1811" s="32">
        <v>0</v>
      </c>
    </row>
    <row r="1812" spans="1:20" x14ac:dyDescent="0.25">
      <c r="A1812" t="s">
        <v>107</v>
      </c>
      <c r="B1812" t="s">
        <v>194</v>
      </c>
      <c r="C1812">
        <v>202601</v>
      </c>
      <c r="D1812" t="str">
        <f>MID(C1812,1,4)</f>
        <v>2026</v>
      </c>
      <c r="E1812" t="str">
        <f>IF(Portfolio!$M$1=1,CONCATENATE(A1812,C1812),CONCATENATE(B1812,C1812))</f>
        <v>MAP GROUP202601</v>
      </c>
      <c r="F1812" s="32">
        <v>0</v>
      </c>
      <c r="G1812" s="32">
        <v>0</v>
      </c>
      <c r="H1812" s="32">
        <v>19</v>
      </c>
      <c r="I1812" s="32">
        <v>0</v>
      </c>
      <c r="J1812" s="32">
        <v>0</v>
      </c>
      <c r="K1812" s="32">
        <v>0</v>
      </c>
      <c r="L1812" s="32">
        <v>0</v>
      </c>
      <c r="M1812" s="32">
        <v>20160560</v>
      </c>
      <c r="N1812" s="32">
        <v>0</v>
      </c>
      <c r="O1812" s="32">
        <v>0</v>
      </c>
      <c r="P1812" s="32">
        <v>0</v>
      </c>
      <c r="Q1812" s="32">
        <v>0</v>
      </c>
      <c r="R1812" s="32">
        <v>262087</v>
      </c>
      <c r="S1812" s="32">
        <v>0</v>
      </c>
      <c r="T1812" s="32">
        <v>0</v>
      </c>
    </row>
    <row r="1813" spans="1:20" x14ac:dyDescent="0.25">
      <c r="A1813" t="s">
        <v>107</v>
      </c>
      <c r="B1813" t="s">
        <v>201</v>
      </c>
      <c r="C1813">
        <v>202601</v>
      </c>
      <c r="D1813" t="str">
        <f>MID(C1813,1,4)</f>
        <v>2026</v>
      </c>
      <c r="E1813" t="str">
        <f>IF(Portfolio!$M$1=1,CONCATENATE(A1813,C1813),CONCATENATE(B1813,C1813))</f>
        <v>MAP GROUP202601</v>
      </c>
      <c r="F1813" s="32">
        <v>106</v>
      </c>
      <c r="G1813" s="32">
        <v>251</v>
      </c>
      <c r="H1813" s="32">
        <v>417</v>
      </c>
      <c r="I1813" s="32">
        <v>0</v>
      </c>
      <c r="J1813" s="32">
        <v>0</v>
      </c>
      <c r="K1813" s="32">
        <v>88259600</v>
      </c>
      <c r="L1813" s="32">
        <v>140194355</v>
      </c>
      <c r="M1813" s="32">
        <v>276577358</v>
      </c>
      <c r="N1813" s="32">
        <v>0</v>
      </c>
      <c r="O1813" s="32">
        <v>0</v>
      </c>
      <c r="P1813" s="32">
        <v>132389</v>
      </c>
      <c r="Q1813" s="32">
        <v>1401508</v>
      </c>
      <c r="R1813" s="32">
        <v>3595506</v>
      </c>
      <c r="S1813" s="32">
        <v>0</v>
      </c>
      <c r="T1813" s="32">
        <v>0</v>
      </c>
    </row>
    <row r="1814" spans="1:20" x14ac:dyDescent="0.25">
      <c r="A1814" t="s">
        <v>107</v>
      </c>
      <c r="B1814" t="s">
        <v>152</v>
      </c>
      <c r="C1814">
        <v>202601</v>
      </c>
      <c r="D1814" t="str">
        <f>MID(C1814,1,4)</f>
        <v>2026</v>
      </c>
      <c r="E1814" t="str">
        <f>IF(Portfolio!$M$1=1,CONCATENATE(A1814,C1814),CONCATENATE(B1814,C1814))</f>
        <v>MAP GROUP202601</v>
      </c>
      <c r="F1814" s="32">
        <v>44</v>
      </c>
      <c r="G1814" s="32">
        <v>80</v>
      </c>
      <c r="H1814" s="32">
        <v>152</v>
      </c>
      <c r="I1814" s="32">
        <v>0</v>
      </c>
      <c r="J1814" s="32">
        <v>0</v>
      </c>
      <c r="K1814" s="32">
        <v>48382720</v>
      </c>
      <c r="L1814" s="32">
        <v>111711450</v>
      </c>
      <c r="M1814" s="32">
        <v>210836641</v>
      </c>
      <c r="N1814" s="32">
        <v>0</v>
      </c>
      <c r="O1814" s="32">
        <v>0</v>
      </c>
      <c r="P1814" s="32">
        <v>72574</v>
      </c>
      <c r="Q1814" s="32">
        <v>1097507</v>
      </c>
      <c r="R1814" s="32">
        <v>2740876</v>
      </c>
      <c r="S1814" s="32">
        <v>0</v>
      </c>
      <c r="T1814" s="32">
        <v>0</v>
      </c>
    </row>
    <row r="1815" spans="1:20" x14ac:dyDescent="0.25">
      <c r="A1815" t="s">
        <v>107</v>
      </c>
      <c r="B1815" t="s">
        <v>174</v>
      </c>
      <c r="C1815">
        <v>202601</v>
      </c>
      <c r="D1815" t="str">
        <f>MID(C1815,1,4)</f>
        <v>2026</v>
      </c>
      <c r="E1815" t="str">
        <f>IF(Portfolio!$M$1=1,CONCATENATE(A1815,C1815),CONCATENATE(B1815,C1815))</f>
        <v>MAP GROUP202601</v>
      </c>
      <c r="F1815" s="32">
        <v>32</v>
      </c>
      <c r="G1815" s="32">
        <v>69</v>
      </c>
      <c r="H1815" s="32">
        <v>189</v>
      </c>
      <c r="I1815" s="32">
        <v>0</v>
      </c>
      <c r="J1815" s="32">
        <v>0</v>
      </c>
      <c r="K1815" s="32">
        <v>44196080</v>
      </c>
      <c r="L1815" s="32">
        <v>179158760</v>
      </c>
      <c r="M1815" s="32">
        <v>455874229</v>
      </c>
      <c r="N1815" s="32">
        <v>0</v>
      </c>
      <c r="O1815" s="32">
        <v>0</v>
      </c>
      <c r="P1815" s="32">
        <v>66294</v>
      </c>
      <c r="Q1815" s="32">
        <v>1791588</v>
      </c>
      <c r="R1815" s="32">
        <v>5926365</v>
      </c>
      <c r="S1815" s="32">
        <v>0</v>
      </c>
      <c r="T1815" s="32">
        <v>0</v>
      </c>
    </row>
    <row r="1816" spans="1:20" x14ac:dyDescent="0.25">
      <c r="A1816" t="s">
        <v>73</v>
      </c>
      <c r="B1816" t="s">
        <v>73</v>
      </c>
      <c r="C1816">
        <v>202601</v>
      </c>
      <c r="D1816" t="str">
        <f>MID(C1816,1,4)</f>
        <v>2026</v>
      </c>
      <c r="E1816" t="str">
        <f>IF(Portfolio!$M$1=1,CONCATENATE(A1816,C1816),CONCATENATE(B1816,C1816))</f>
        <v>BANBAN TEA202601</v>
      </c>
      <c r="F1816" s="32">
        <v>4</v>
      </c>
      <c r="G1816" s="32">
        <v>10</v>
      </c>
      <c r="H1816" s="32">
        <v>0</v>
      </c>
      <c r="I1816" s="32">
        <v>11</v>
      </c>
      <c r="J1816" s="32">
        <v>4</v>
      </c>
      <c r="K1816" s="32">
        <v>391600</v>
      </c>
      <c r="L1816" s="32">
        <v>961798</v>
      </c>
      <c r="M1816" s="32">
        <v>0</v>
      </c>
      <c r="N1816" s="32">
        <v>902000</v>
      </c>
      <c r="O1816" s="32">
        <v>162800</v>
      </c>
      <c r="P1816" s="32">
        <v>587</v>
      </c>
      <c r="Q1816" s="32">
        <v>9618</v>
      </c>
      <c r="R1816" s="32">
        <v>0</v>
      </c>
      <c r="S1816" s="32">
        <v>6313</v>
      </c>
      <c r="T1816" s="32">
        <v>1139</v>
      </c>
    </row>
    <row r="1817" spans="1:20" x14ac:dyDescent="0.25">
      <c r="A1817" t="s">
        <v>107</v>
      </c>
      <c r="B1817" t="s">
        <v>155</v>
      </c>
      <c r="C1817">
        <v>202601</v>
      </c>
      <c r="D1817" t="str">
        <f>MID(C1817,1,4)</f>
        <v>2026</v>
      </c>
      <c r="E1817" t="str">
        <f>IF(Portfolio!$M$1=1,CONCATENATE(A1817,C1817),CONCATENATE(B1817,C1817))</f>
        <v>MAP GROUP202601</v>
      </c>
      <c r="F1817" s="32">
        <v>0</v>
      </c>
      <c r="G1817" s="32">
        <v>1</v>
      </c>
      <c r="H1817" s="32">
        <v>3</v>
      </c>
      <c r="I1817" s="32">
        <v>0</v>
      </c>
      <c r="J1817" s="32">
        <v>0</v>
      </c>
      <c r="K1817" s="32">
        <v>0</v>
      </c>
      <c r="L1817" s="32">
        <v>199000</v>
      </c>
      <c r="M1817" s="32">
        <v>1138400</v>
      </c>
      <c r="N1817" s="32">
        <v>0</v>
      </c>
      <c r="O1817" s="32">
        <v>0</v>
      </c>
      <c r="P1817" s="32">
        <v>0</v>
      </c>
      <c r="Q1817" s="32">
        <v>1990</v>
      </c>
      <c r="R1817" s="32">
        <v>14799</v>
      </c>
      <c r="S1817" s="32">
        <v>0</v>
      </c>
      <c r="T1817" s="32">
        <v>0</v>
      </c>
    </row>
    <row r="1818" spans="1:20" x14ac:dyDescent="0.25">
      <c r="A1818" t="s">
        <v>107</v>
      </c>
      <c r="B1818" t="s">
        <v>198</v>
      </c>
      <c r="C1818">
        <v>202601</v>
      </c>
      <c r="D1818" t="str">
        <f>MID(C1818,1,4)</f>
        <v>2026</v>
      </c>
      <c r="E1818" t="str">
        <f>IF(Portfolio!$M$1=1,CONCATENATE(A1818,C1818),CONCATENATE(B1818,C1818))</f>
        <v>MAP GROUP202601</v>
      </c>
      <c r="F1818" s="32">
        <v>234</v>
      </c>
      <c r="G1818" s="32">
        <v>0</v>
      </c>
      <c r="H1818" s="32">
        <v>0</v>
      </c>
      <c r="I1818" s="32">
        <v>0</v>
      </c>
      <c r="J1818" s="32">
        <v>0</v>
      </c>
      <c r="K1818" s="32">
        <v>360465300</v>
      </c>
      <c r="L1818" s="32">
        <v>0</v>
      </c>
      <c r="M1818" s="32">
        <v>0</v>
      </c>
      <c r="N1818" s="32">
        <v>0</v>
      </c>
      <c r="O1818" s="32">
        <v>0</v>
      </c>
      <c r="P1818" s="32">
        <v>540698</v>
      </c>
      <c r="Q1818" s="32">
        <v>0</v>
      </c>
      <c r="R1818" s="32">
        <v>0</v>
      </c>
      <c r="S1818" s="32">
        <v>0</v>
      </c>
      <c r="T1818" s="32">
        <v>0</v>
      </c>
    </row>
    <row r="1819" spans="1:20" x14ac:dyDescent="0.25">
      <c r="A1819" t="s">
        <v>107</v>
      </c>
      <c r="B1819" t="s">
        <v>180</v>
      </c>
      <c r="C1819">
        <v>202601</v>
      </c>
      <c r="D1819" t="str">
        <f>MID(C1819,1,4)</f>
        <v>2026</v>
      </c>
      <c r="E1819" t="str">
        <f>IF(Portfolio!$M$1=1,CONCATENATE(A1819,C1819),CONCATENATE(B1819,C1819))</f>
        <v>MAP GROUP202601</v>
      </c>
      <c r="F1819" s="32">
        <v>16</v>
      </c>
      <c r="G1819" s="32">
        <v>7</v>
      </c>
      <c r="H1819" s="32">
        <v>58</v>
      </c>
      <c r="I1819" s="32">
        <v>0</v>
      </c>
      <c r="J1819" s="32">
        <v>0</v>
      </c>
      <c r="K1819" s="32">
        <v>5890160</v>
      </c>
      <c r="L1819" s="32">
        <v>1703174</v>
      </c>
      <c r="M1819" s="32">
        <v>29245540</v>
      </c>
      <c r="N1819" s="32">
        <v>0</v>
      </c>
      <c r="O1819" s="32">
        <v>0</v>
      </c>
      <c r="P1819" s="32">
        <v>8835</v>
      </c>
      <c r="Q1819" s="32">
        <v>17032</v>
      </c>
      <c r="R1819" s="32">
        <v>380192</v>
      </c>
      <c r="S1819" s="32">
        <v>0</v>
      </c>
      <c r="T1819" s="32">
        <v>0</v>
      </c>
    </row>
    <row r="1820" spans="1:20" x14ac:dyDescent="0.25">
      <c r="A1820" t="s">
        <v>102</v>
      </c>
      <c r="B1820" t="s">
        <v>142</v>
      </c>
      <c r="C1820">
        <v>202601</v>
      </c>
      <c r="D1820" t="str">
        <f>MID(C1820,1,4)</f>
        <v>2026</v>
      </c>
      <c r="E1820" t="str">
        <f>IF(Portfolio!$M$1=1,CONCATENATE(A1820,C1820),CONCATENATE(B1820,C1820))</f>
        <v>KAWAN LAMA202601</v>
      </c>
      <c r="F1820" s="32">
        <v>106</v>
      </c>
      <c r="G1820" s="32">
        <v>0</v>
      </c>
      <c r="H1820" s="32">
        <v>0</v>
      </c>
      <c r="I1820" s="32">
        <v>1</v>
      </c>
      <c r="J1820" s="32">
        <v>6</v>
      </c>
      <c r="K1820" s="32">
        <v>115704300</v>
      </c>
      <c r="L1820" s="32">
        <v>0</v>
      </c>
      <c r="M1820" s="32">
        <v>0</v>
      </c>
      <c r="N1820" s="32">
        <v>95000</v>
      </c>
      <c r="O1820" s="32">
        <v>5430382</v>
      </c>
      <c r="P1820" s="32">
        <v>173556</v>
      </c>
      <c r="Q1820" s="32">
        <v>0</v>
      </c>
      <c r="R1820" s="32">
        <v>0</v>
      </c>
      <c r="S1820" s="32">
        <v>0</v>
      </c>
      <c r="T1820" s="32">
        <v>33696</v>
      </c>
    </row>
    <row r="1821" spans="1:20" x14ac:dyDescent="0.25">
      <c r="A1821" t="s">
        <v>102</v>
      </c>
      <c r="B1821" t="s">
        <v>121</v>
      </c>
      <c r="C1821">
        <v>202601</v>
      </c>
      <c r="D1821" t="str">
        <f>MID(C1821,1,4)</f>
        <v>2026</v>
      </c>
      <c r="E1821" t="str">
        <f>IF(Portfolio!$M$1=1,CONCATENATE(A1821,C1821),CONCATENATE(B1821,C1821))</f>
        <v>KAWAN LAMA202601</v>
      </c>
      <c r="F1821" s="32">
        <v>11</v>
      </c>
      <c r="G1821" s="32">
        <v>0</v>
      </c>
      <c r="H1821" s="32">
        <v>0</v>
      </c>
      <c r="I1821" s="32">
        <v>0</v>
      </c>
      <c r="J1821" s="32">
        <v>0</v>
      </c>
      <c r="K1821" s="32">
        <v>1588500</v>
      </c>
      <c r="L1821" s="32">
        <v>0</v>
      </c>
      <c r="M1821" s="32">
        <v>0</v>
      </c>
      <c r="N1821" s="32">
        <v>0</v>
      </c>
      <c r="O1821" s="32">
        <v>0</v>
      </c>
      <c r="P1821" s="32">
        <v>2383</v>
      </c>
      <c r="Q1821" s="32">
        <v>0</v>
      </c>
      <c r="R1821" s="32">
        <v>0</v>
      </c>
      <c r="S1821" s="32">
        <v>0</v>
      </c>
      <c r="T1821" s="32">
        <v>0</v>
      </c>
    </row>
    <row r="1822" spans="1:20" x14ac:dyDescent="0.25">
      <c r="A1822" t="s">
        <v>107</v>
      </c>
      <c r="B1822" t="s">
        <v>172</v>
      </c>
      <c r="C1822">
        <v>202601</v>
      </c>
      <c r="D1822" t="str">
        <f>MID(C1822,1,4)</f>
        <v>2026</v>
      </c>
      <c r="E1822" t="str">
        <f>IF(Portfolio!$M$1=1,CONCATENATE(A1822,C1822),CONCATENATE(B1822,C1822))</f>
        <v>MAP GROUP202601</v>
      </c>
      <c r="F1822" s="32">
        <v>7</v>
      </c>
      <c r="G1822" s="32">
        <v>56</v>
      </c>
      <c r="H1822" s="32">
        <v>117</v>
      </c>
      <c r="I1822" s="32">
        <v>0</v>
      </c>
      <c r="J1822" s="32">
        <v>0</v>
      </c>
      <c r="K1822" s="32">
        <v>10280600</v>
      </c>
      <c r="L1822" s="32">
        <v>101927213</v>
      </c>
      <c r="M1822" s="32">
        <v>230532474</v>
      </c>
      <c r="N1822" s="32">
        <v>0</v>
      </c>
      <c r="O1822" s="32">
        <v>0</v>
      </c>
      <c r="P1822" s="32">
        <v>15421</v>
      </c>
      <c r="Q1822" s="32">
        <v>1000212</v>
      </c>
      <c r="R1822" s="32">
        <v>2996922</v>
      </c>
      <c r="S1822" s="32">
        <v>0</v>
      </c>
      <c r="T1822" s="32">
        <v>0</v>
      </c>
    </row>
    <row r="1823" spans="1:20" x14ac:dyDescent="0.25">
      <c r="A1823" t="s">
        <v>78</v>
      </c>
      <c r="B1823" t="s">
        <v>100</v>
      </c>
      <c r="C1823">
        <v>202601</v>
      </c>
      <c r="D1823" t="str">
        <f>MID(C1823,1,4)</f>
        <v>2026</v>
      </c>
      <c r="E1823" t="str">
        <f>IF(Portfolio!$M$1=1,CONCATENATE(A1823,C1823),CONCATENATE(B1823,C1823))</f>
        <v>DELTA WIBAWA BERSAMA202601</v>
      </c>
      <c r="F1823" s="32">
        <v>0</v>
      </c>
      <c r="G1823" s="32">
        <v>6</v>
      </c>
      <c r="H1823" s="32">
        <v>9</v>
      </c>
      <c r="I1823" s="32">
        <v>1</v>
      </c>
      <c r="J1823" s="32">
        <v>0</v>
      </c>
      <c r="K1823" s="32">
        <v>0</v>
      </c>
      <c r="L1823" s="32">
        <v>828135</v>
      </c>
      <c r="M1823" s="32">
        <v>3106950</v>
      </c>
      <c r="N1823" s="32">
        <v>225225</v>
      </c>
      <c r="O1823" s="32">
        <v>0</v>
      </c>
      <c r="P1823" s="32">
        <v>0</v>
      </c>
      <c r="Q1823" s="32">
        <v>7681</v>
      </c>
      <c r="R1823" s="32">
        <v>62139</v>
      </c>
      <c r="S1823" s="32">
        <v>1577</v>
      </c>
      <c r="T1823" s="32">
        <v>0</v>
      </c>
    </row>
    <row r="1824" spans="1:20" x14ac:dyDescent="0.25">
      <c r="A1824" t="s">
        <v>107</v>
      </c>
      <c r="B1824" t="s">
        <v>156</v>
      </c>
      <c r="C1824">
        <v>202601</v>
      </c>
      <c r="D1824" t="str">
        <f>MID(C1824,1,4)</f>
        <v>2026</v>
      </c>
      <c r="E1824" t="str">
        <f>IF(Portfolio!$M$1=1,CONCATENATE(A1824,C1824),CONCATENATE(B1824,C1824))</f>
        <v>MAP GROUP202601</v>
      </c>
      <c r="F1824" s="32">
        <v>4</v>
      </c>
      <c r="G1824" s="32">
        <v>11</v>
      </c>
      <c r="H1824" s="32">
        <v>18</v>
      </c>
      <c r="I1824" s="32">
        <v>0</v>
      </c>
      <c r="J1824" s="32">
        <v>0</v>
      </c>
      <c r="K1824" s="32">
        <v>6026000</v>
      </c>
      <c r="L1824" s="32">
        <v>18395560</v>
      </c>
      <c r="M1824" s="32">
        <v>35966800</v>
      </c>
      <c r="N1824" s="32">
        <v>0</v>
      </c>
      <c r="O1824" s="32">
        <v>0</v>
      </c>
      <c r="P1824" s="32">
        <v>9039</v>
      </c>
      <c r="Q1824" s="32">
        <v>183956</v>
      </c>
      <c r="R1824" s="32">
        <v>467568</v>
      </c>
      <c r="S1824" s="32">
        <v>0</v>
      </c>
      <c r="T1824" s="32">
        <v>0</v>
      </c>
    </row>
    <row r="1825" spans="1:20" x14ac:dyDescent="0.25">
      <c r="A1825" t="s">
        <v>126</v>
      </c>
      <c r="B1825" t="s">
        <v>221</v>
      </c>
      <c r="C1825">
        <v>202601</v>
      </c>
      <c r="D1825" t="str">
        <f>MID(C1825,1,4)</f>
        <v>2026</v>
      </c>
      <c r="E1825" t="str">
        <f>IF(Portfolio!$M$1=1,CONCATENATE(A1825,C1825),CONCATENATE(B1825,C1825))</f>
        <v>STEVEN GROUP202601</v>
      </c>
      <c r="F1825" s="32">
        <v>0</v>
      </c>
      <c r="G1825" s="32">
        <v>0</v>
      </c>
      <c r="H1825" s="32">
        <v>0</v>
      </c>
      <c r="I1825" s="32">
        <v>0</v>
      </c>
      <c r="J1825" s="32">
        <v>71</v>
      </c>
      <c r="K1825" s="32">
        <v>0</v>
      </c>
      <c r="L1825" s="32">
        <v>0</v>
      </c>
      <c r="M1825" s="32">
        <v>0</v>
      </c>
      <c r="N1825" s="32">
        <v>0</v>
      </c>
      <c r="O1825" s="32">
        <v>2278000</v>
      </c>
      <c r="P1825" s="32">
        <v>0</v>
      </c>
      <c r="Q1825" s="32">
        <v>0</v>
      </c>
      <c r="R1825" s="32">
        <v>0</v>
      </c>
      <c r="S1825" s="32">
        <v>0</v>
      </c>
      <c r="T1825" s="32">
        <v>0</v>
      </c>
    </row>
    <row r="1826" spans="1:20" x14ac:dyDescent="0.25">
      <c r="A1826" t="s">
        <v>107</v>
      </c>
      <c r="B1826" t="s">
        <v>150</v>
      </c>
      <c r="C1826">
        <v>202601</v>
      </c>
      <c r="D1826" t="str">
        <f>MID(C1826,1,4)</f>
        <v>2026</v>
      </c>
      <c r="E1826" t="str">
        <f>IF(Portfolio!$M$1=1,CONCATENATE(A1826,C1826),CONCATENATE(B1826,C1826))</f>
        <v>MAP GROUP202601</v>
      </c>
      <c r="F1826" s="32">
        <v>4</v>
      </c>
      <c r="G1826" s="32">
        <v>11</v>
      </c>
      <c r="H1826" s="32">
        <v>20</v>
      </c>
      <c r="I1826" s="32">
        <v>0</v>
      </c>
      <c r="J1826" s="32">
        <v>0</v>
      </c>
      <c r="K1826" s="32">
        <v>6234000</v>
      </c>
      <c r="L1826" s="32">
        <v>18837060</v>
      </c>
      <c r="M1826" s="32">
        <v>34081140</v>
      </c>
      <c r="N1826" s="32">
        <v>0</v>
      </c>
      <c r="O1826" s="32">
        <v>0</v>
      </c>
      <c r="P1826" s="32">
        <v>9351</v>
      </c>
      <c r="Q1826" s="32">
        <v>188371</v>
      </c>
      <c r="R1826" s="32">
        <v>443055</v>
      </c>
      <c r="S1826" s="32">
        <v>0</v>
      </c>
      <c r="T1826" s="32">
        <v>0</v>
      </c>
    </row>
    <row r="1827" spans="1:20" x14ac:dyDescent="0.25">
      <c r="A1827" t="s">
        <v>82</v>
      </c>
      <c r="B1827" t="s">
        <v>82</v>
      </c>
      <c r="C1827">
        <v>202601</v>
      </c>
      <c r="D1827" t="str">
        <f>MID(C1827,1,4)</f>
        <v>2026</v>
      </c>
      <c r="E1827" t="str">
        <f>IF(Portfolio!$M$1=1,CONCATENATE(A1827,C1827),CONCATENATE(B1827,C1827))</f>
        <v>EKA HOSPITAL202601</v>
      </c>
      <c r="F1827" s="32">
        <v>20</v>
      </c>
      <c r="G1827" s="32">
        <v>9</v>
      </c>
      <c r="H1827" s="32">
        <v>22</v>
      </c>
      <c r="I1827" s="32">
        <v>0</v>
      </c>
      <c r="J1827" s="32">
        <v>0</v>
      </c>
      <c r="K1827" s="32">
        <v>18497880</v>
      </c>
      <c r="L1827" s="32">
        <v>7927500</v>
      </c>
      <c r="M1827" s="32">
        <v>18519794</v>
      </c>
      <c r="N1827" s="32">
        <v>0</v>
      </c>
      <c r="O1827" s="32">
        <v>3067436</v>
      </c>
      <c r="P1827" s="32">
        <v>27747</v>
      </c>
      <c r="Q1827" s="32">
        <v>79275</v>
      </c>
      <c r="R1827" s="32">
        <v>240757</v>
      </c>
      <c r="S1827" s="32">
        <v>0</v>
      </c>
      <c r="T1827" s="32">
        <v>21472</v>
      </c>
    </row>
    <row r="1828" spans="1:20" x14ac:dyDescent="0.25">
      <c r="A1828" t="s">
        <v>92</v>
      </c>
      <c r="B1828" t="s">
        <v>108</v>
      </c>
      <c r="C1828">
        <v>202601</v>
      </c>
      <c r="D1828" t="str">
        <f>MID(C1828,1,4)</f>
        <v>2026</v>
      </c>
      <c r="E1828" t="str">
        <f>IF(Portfolio!$M$1=1,CONCATENATE(A1828,C1828),CONCATENATE(B1828,C1828))</f>
        <v>HERO GROUP202601</v>
      </c>
      <c r="F1828" s="32">
        <v>234</v>
      </c>
      <c r="G1828" s="32">
        <v>1</v>
      </c>
      <c r="H1828" s="32">
        <v>2</v>
      </c>
      <c r="I1828" s="32">
        <v>47</v>
      </c>
      <c r="J1828" s="32">
        <v>23</v>
      </c>
      <c r="K1828" s="32">
        <v>124582810</v>
      </c>
      <c r="L1828" s="32">
        <v>711141</v>
      </c>
      <c r="M1828" s="32">
        <v>607948</v>
      </c>
      <c r="N1828" s="32">
        <v>20740151</v>
      </c>
      <c r="O1828" s="32">
        <v>1042630</v>
      </c>
      <c r="P1828" s="32">
        <v>186874</v>
      </c>
      <c r="Q1828" s="32">
        <v>7111</v>
      </c>
      <c r="R1828" s="32">
        <v>12159</v>
      </c>
      <c r="S1828" s="32">
        <v>38838</v>
      </c>
      <c r="T1828" s="32">
        <v>0</v>
      </c>
    </row>
    <row r="1829" spans="1:20" x14ac:dyDescent="0.25">
      <c r="A1829" t="s">
        <v>102</v>
      </c>
      <c r="B1829" t="s">
        <v>145</v>
      </c>
      <c r="C1829">
        <v>202601</v>
      </c>
      <c r="D1829" t="str">
        <f>MID(C1829,1,4)</f>
        <v>2026</v>
      </c>
      <c r="E1829" t="str">
        <f>IF(Portfolio!$M$1=1,CONCATENATE(A1829,C1829),CONCATENATE(B1829,C1829))</f>
        <v>KAWAN LAMA202601</v>
      </c>
      <c r="F1829" s="32">
        <v>55</v>
      </c>
      <c r="G1829" s="32">
        <v>0</v>
      </c>
      <c r="H1829" s="32">
        <v>0</v>
      </c>
      <c r="I1829" s="32">
        <v>7</v>
      </c>
      <c r="J1829" s="32">
        <v>0</v>
      </c>
      <c r="K1829" s="32">
        <v>29066144</v>
      </c>
      <c r="L1829" s="32">
        <v>0</v>
      </c>
      <c r="M1829" s="32">
        <v>0</v>
      </c>
      <c r="N1829" s="32">
        <v>1058865</v>
      </c>
      <c r="O1829" s="32">
        <v>0</v>
      </c>
      <c r="P1829" s="32">
        <v>43599</v>
      </c>
      <c r="Q1829" s="32">
        <v>0</v>
      </c>
      <c r="R1829" s="32">
        <v>0</v>
      </c>
      <c r="S1829" s="32">
        <v>7412</v>
      </c>
      <c r="T1829" s="32">
        <v>0</v>
      </c>
    </row>
    <row r="1830" spans="1:20" x14ac:dyDescent="0.25">
      <c r="A1830" t="s">
        <v>80</v>
      </c>
      <c r="B1830" t="s">
        <v>80</v>
      </c>
      <c r="C1830">
        <v>202601</v>
      </c>
      <c r="D1830" t="str">
        <f>MID(C1830,1,4)</f>
        <v>2026</v>
      </c>
      <c r="E1830" t="str">
        <f>IF(Portfolio!$M$1=1,CONCATENATE(A1830,C1830),CONCATENATE(B1830,C1830))</f>
        <v>DWIDAYA202601</v>
      </c>
      <c r="F1830" s="32">
        <v>45</v>
      </c>
      <c r="G1830" s="32">
        <v>11</v>
      </c>
      <c r="H1830" s="32">
        <v>0</v>
      </c>
      <c r="I1830" s="32">
        <v>0</v>
      </c>
      <c r="J1830" s="32">
        <v>28</v>
      </c>
      <c r="K1830" s="32">
        <v>1212705000</v>
      </c>
      <c r="L1830" s="32">
        <v>280121081</v>
      </c>
      <c r="M1830" s="32">
        <v>0</v>
      </c>
      <c r="N1830" s="32">
        <v>0</v>
      </c>
      <c r="O1830" s="32">
        <v>174645000</v>
      </c>
      <c r="P1830" s="32">
        <v>1819058</v>
      </c>
      <c r="Q1830" s="32">
        <v>2801211</v>
      </c>
      <c r="R1830" s="32">
        <v>0</v>
      </c>
      <c r="S1830" s="32">
        <v>0</v>
      </c>
      <c r="T1830" s="32">
        <v>1222515</v>
      </c>
    </row>
    <row r="1831" spans="1:20" x14ac:dyDescent="0.25">
      <c r="A1831" t="s">
        <v>107</v>
      </c>
      <c r="B1831" t="s">
        <v>166</v>
      </c>
      <c r="C1831">
        <v>202601</v>
      </c>
      <c r="D1831" t="str">
        <f>MID(C1831,1,4)</f>
        <v>2026</v>
      </c>
      <c r="E1831" t="str">
        <f>IF(Portfolio!$M$1=1,CONCATENATE(A1831,C1831),CONCATENATE(B1831,C1831))</f>
        <v>MAP GROUP202601</v>
      </c>
      <c r="F1831" s="32">
        <v>12</v>
      </c>
      <c r="G1831" s="32">
        <v>22</v>
      </c>
      <c r="H1831" s="32">
        <v>44</v>
      </c>
      <c r="I1831" s="32">
        <v>0</v>
      </c>
      <c r="J1831" s="32">
        <v>0</v>
      </c>
      <c r="K1831" s="32">
        <v>53628000</v>
      </c>
      <c r="L1831" s="32">
        <v>48375550</v>
      </c>
      <c r="M1831" s="32">
        <v>131683019</v>
      </c>
      <c r="N1831" s="32">
        <v>0</v>
      </c>
      <c r="O1831" s="32">
        <v>0</v>
      </c>
      <c r="P1831" s="32">
        <v>80442</v>
      </c>
      <c r="Q1831" s="32">
        <v>483756</v>
      </c>
      <c r="R1831" s="32">
        <v>1711879</v>
      </c>
      <c r="S1831" s="32">
        <v>0</v>
      </c>
      <c r="T1831" s="32">
        <v>0</v>
      </c>
    </row>
    <row r="1832" spans="1:20" x14ac:dyDescent="0.25">
      <c r="A1832" t="s">
        <v>107</v>
      </c>
      <c r="B1832" t="s">
        <v>179</v>
      </c>
      <c r="C1832">
        <v>202601</v>
      </c>
      <c r="D1832" t="str">
        <f>MID(C1832,1,4)</f>
        <v>2026</v>
      </c>
      <c r="E1832" t="str">
        <f>IF(Portfolio!$M$1=1,CONCATENATE(A1832,C1832),CONCATENATE(B1832,C1832))</f>
        <v>MAP GROUP202601</v>
      </c>
      <c r="F1832" s="32">
        <v>8</v>
      </c>
      <c r="G1832" s="32">
        <v>9</v>
      </c>
      <c r="H1832" s="32">
        <v>30</v>
      </c>
      <c r="I1832" s="32">
        <v>0</v>
      </c>
      <c r="J1832" s="32">
        <v>0</v>
      </c>
      <c r="K1832" s="32">
        <v>4654000</v>
      </c>
      <c r="L1832" s="32">
        <v>7657178</v>
      </c>
      <c r="M1832" s="32">
        <v>36856444</v>
      </c>
      <c r="N1832" s="32">
        <v>0</v>
      </c>
      <c r="O1832" s="32">
        <v>0</v>
      </c>
      <c r="P1832" s="32">
        <v>6981</v>
      </c>
      <c r="Q1832" s="32">
        <v>76572</v>
      </c>
      <c r="R1832" s="32">
        <v>479134</v>
      </c>
      <c r="S1832" s="32">
        <v>0</v>
      </c>
      <c r="T1832" s="32">
        <v>0</v>
      </c>
    </row>
    <row r="1833" spans="1:20" x14ac:dyDescent="0.25">
      <c r="A1833" t="s">
        <v>75</v>
      </c>
      <c r="B1833" t="s">
        <v>77</v>
      </c>
      <c r="C1833">
        <v>202601</v>
      </c>
      <c r="D1833" t="str">
        <f>MID(C1833,1,4)</f>
        <v>2026</v>
      </c>
      <c r="E1833" t="str">
        <f>IF(Portfolio!$M$1=1,CONCATENATE(A1833,C1833),CONCATENATE(B1833,C1833))</f>
        <v>CHAMP RESTO202601</v>
      </c>
      <c r="F1833" s="32">
        <v>0</v>
      </c>
      <c r="G1833" s="32">
        <v>0</v>
      </c>
      <c r="H1833" s="32">
        <v>0</v>
      </c>
      <c r="I1833" s="32">
        <v>0</v>
      </c>
      <c r="J1833" s="32">
        <v>3</v>
      </c>
      <c r="K1833" s="32">
        <v>0</v>
      </c>
      <c r="L1833" s="32">
        <v>0</v>
      </c>
      <c r="M1833" s="32">
        <v>0</v>
      </c>
      <c r="N1833" s="32">
        <v>0</v>
      </c>
      <c r="O1833" s="32">
        <v>393300</v>
      </c>
      <c r="P1833" s="32">
        <v>0</v>
      </c>
      <c r="Q1833" s="32">
        <v>0</v>
      </c>
      <c r="R1833" s="32">
        <v>0</v>
      </c>
      <c r="S1833" s="32">
        <v>0</v>
      </c>
      <c r="T1833" s="32">
        <v>2753</v>
      </c>
    </row>
    <row r="1834" spans="1:20" x14ac:dyDescent="0.25">
      <c r="A1834" t="s">
        <v>102</v>
      </c>
      <c r="B1834" t="s">
        <v>263</v>
      </c>
      <c r="C1834">
        <v>202601</v>
      </c>
      <c r="D1834" t="str">
        <f>MID(C1834,1,4)</f>
        <v>2026</v>
      </c>
      <c r="E1834" t="str">
        <f>IF(Portfolio!$M$1=1,CONCATENATE(A1834,C1834),CONCATENATE(B1834,C1834))</f>
        <v>KAWAN LAMA202601</v>
      </c>
      <c r="F1834" s="32">
        <v>79</v>
      </c>
      <c r="G1834" s="32">
        <v>0</v>
      </c>
      <c r="H1834" s="32">
        <v>0</v>
      </c>
      <c r="I1834" s="32">
        <v>0</v>
      </c>
      <c r="J1834" s="32">
        <v>0</v>
      </c>
      <c r="K1834" s="32">
        <v>13937000</v>
      </c>
      <c r="L1834" s="32">
        <v>0</v>
      </c>
      <c r="M1834" s="32">
        <v>0</v>
      </c>
      <c r="N1834" s="32">
        <v>0</v>
      </c>
      <c r="O1834" s="32">
        <v>409000</v>
      </c>
      <c r="P1834" s="32">
        <v>20906</v>
      </c>
      <c r="Q1834" s="32">
        <v>0</v>
      </c>
      <c r="R1834" s="32">
        <v>0</v>
      </c>
      <c r="S1834" s="32">
        <v>0</v>
      </c>
      <c r="T1834" s="32">
        <v>2863</v>
      </c>
    </row>
    <row r="1835" spans="1:20" x14ac:dyDescent="0.25">
      <c r="A1835" t="s">
        <v>75</v>
      </c>
      <c r="B1835" t="s">
        <v>83</v>
      </c>
      <c r="C1835">
        <v>202601</v>
      </c>
      <c r="D1835" t="str">
        <f>MID(C1835,1,4)</f>
        <v>2026</v>
      </c>
      <c r="E1835" t="str">
        <f>IF(Portfolio!$M$1=1,CONCATENATE(A1835,C1835),CONCATENATE(B1835,C1835))</f>
        <v>CHAMP RESTO202601</v>
      </c>
      <c r="F1835" s="32">
        <v>4</v>
      </c>
      <c r="G1835" s="32">
        <v>0</v>
      </c>
      <c r="H1835" s="32">
        <v>0</v>
      </c>
      <c r="I1835" s="32">
        <v>0</v>
      </c>
      <c r="J1835" s="32">
        <v>92</v>
      </c>
      <c r="K1835" s="32">
        <v>7053140</v>
      </c>
      <c r="L1835" s="32">
        <v>0</v>
      </c>
      <c r="M1835" s="32">
        <v>0</v>
      </c>
      <c r="N1835" s="32">
        <v>0</v>
      </c>
      <c r="O1835" s="32">
        <v>4419580</v>
      </c>
      <c r="P1835" s="32">
        <v>10580</v>
      </c>
      <c r="Q1835" s="32">
        <v>0</v>
      </c>
      <c r="R1835" s="32">
        <v>0</v>
      </c>
      <c r="S1835" s="32">
        <v>0</v>
      </c>
      <c r="T1835" s="32">
        <v>861</v>
      </c>
    </row>
    <row r="1836" spans="1:20" x14ac:dyDescent="0.25">
      <c r="A1836" t="s">
        <v>115</v>
      </c>
      <c r="B1836" t="s">
        <v>115</v>
      </c>
      <c r="C1836">
        <v>202601</v>
      </c>
      <c r="D1836" t="str">
        <f>MID(C1836,1,4)</f>
        <v>2026</v>
      </c>
      <c r="E1836" t="str">
        <f>IF(Portfolio!$M$1=1,CONCATENATE(A1836,C1836),CONCATENATE(B1836,C1836))</f>
        <v>PLATINUM CINEPLEX202601</v>
      </c>
      <c r="F1836" s="32">
        <v>0</v>
      </c>
      <c r="G1836" s="32">
        <v>10</v>
      </c>
      <c r="H1836" s="32">
        <v>0</v>
      </c>
      <c r="I1836" s="32">
        <v>0</v>
      </c>
      <c r="J1836" s="32">
        <v>11</v>
      </c>
      <c r="K1836" s="32">
        <v>0</v>
      </c>
      <c r="L1836" s="32">
        <v>1170000</v>
      </c>
      <c r="M1836" s="32">
        <v>0</v>
      </c>
      <c r="N1836" s="32">
        <v>0</v>
      </c>
      <c r="O1836" s="32">
        <v>830000</v>
      </c>
      <c r="P1836" s="32">
        <v>0</v>
      </c>
      <c r="Q1836" s="32">
        <v>11700</v>
      </c>
      <c r="R1836" s="32">
        <v>0</v>
      </c>
      <c r="S1836" s="32">
        <v>0</v>
      </c>
      <c r="T1836" s="32">
        <v>5810</v>
      </c>
    </row>
    <row r="1837" spans="1:20" x14ac:dyDescent="0.25">
      <c r="A1837" t="s">
        <v>107</v>
      </c>
      <c r="B1837" t="s">
        <v>153</v>
      </c>
      <c r="C1837">
        <v>202601</v>
      </c>
      <c r="D1837" t="str">
        <f>MID(C1837,1,4)</f>
        <v>2026</v>
      </c>
      <c r="E1837" t="str">
        <f>IF(Portfolio!$M$1=1,CONCATENATE(A1837,C1837),CONCATENATE(B1837,C1837))</f>
        <v>MAP GROUP202601</v>
      </c>
      <c r="F1837" s="32">
        <v>0</v>
      </c>
      <c r="G1837" s="32">
        <v>14</v>
      </c>
      <c r="H1837" s="32">
        <v>21</v>
      </c>
      <c r="I1837" s="32">
        <v>0</v>
      </c>
      <c r="J1837" s="32">
        <v>0</v>
      </c>
      <c r="K1837" s="32">
        <v>0</v>
      </c>
      <c r="L1837" s="32">
        <v>17904700</v>
      </c>
      <c r="M1837" s="32">
        <v>25178620</v>
      </c>
      <c r="N1837" s="32">
        <v>0</v>
      </c>
      <c r="O1837" s="32">
        <v>0</v>
      </c>
      <c r="P1837" s="32">
        <v>0</v>
      </c>
      <c r="Q1837" s="32">
        <v>179047</v>
      </c>
      <c r="R1837" s="32">
        <v>327322</v>
      </c>
      <c r="S1837" s="32">
        <v>0</v>
      </c>
      <c r="T1837" s="32">
        <v>0</v>
      </c>
    </row>
    <row r="1838" spans="1:20" x14ac:dyDescent="0.25">
      <c r="A1838" t="s">
        <v>107</v>
      </c>
      <c r="B1838" t="s">
        <v>158</v>
      </c>
      <c r="C1838">
        <v>202601</v>
      </c>
      <c r="D1838" t="str">
        <f>MID(C1838,1,4)</f>
        <v>2026</v>
      </c>
      <c r="E1838" t="str">
        <f>IF(Portfolio!$M$1=1,CONCATENATE(A1838,C1838),CONCATENATE(B1838,C1838))</f>
        <v>MAP GROUP202601</v>
      </c>
      <c r="F1838" s="32">
        <v>4</v>
      </c>
      <c r="G1838" s="32">
        <v>10</v>
      </c>
      <c r="H1838" s="32">
        <v>7</v>
      </c>
      <c r="I1838" s="32">
        <v>0</v>
      </c>
      <c r="J1838" s="32">
        <v>0</v>
      </c>
      <c r="K1838" s="32">
        <v>1598000</v>
      </c>
      <c r="L1838" s="32">
        <v>4264565</v>
      </c>
      <c r="M1838" s="32">
        <v>2550610</v>
      </c>
      <c r="N1838" s="32">
        <v>0</v>
      </c>
      <c r="O1838" s="32">
        <v>0</v>
      </c>
      <c r="P1838" s="32">
        <v>2397</v>
      </c>
      <c r="Q1838" s="32">
        <v>42646</v>
      </c>
      <c r="R1838" s="32">
        <v>33158</v>
      </c>
      <c r="S1838" s="32">
        <v>0</v>
      </c>
      <c r="T1838" s="32">
        <v>0</v>
      </c>
    </row>
    <row r="1839" spans="1:20" x14ac:dyDescent="0.25">
      <c r="A1839" t="s">
        <v>107</v>
      </c>
      <c r="B1839" t="s">
        <v>196</v>
      </c>
      <c r="C1839">
        <v>202601</v>
      </c>
      <c r="D1839" t="str">
        <f>MID(C1839,1,4)</f>
        <v>2026</v>
      </c>
      <c r="E1839" t="str">
        <f>IF(Portfolio!$M$1=1,CONCATENATE(A1839,C1839),CONCATENATE(B1839,C1839))</f>
        <v>MAP GROUP202601</v>
      </c>
      <c r="F1839" s="32">
        <v>7</v>
      </c>
      <c r="G1839" s="32">
        <v>2</v>
      </c>
      <c r="H1839" s="32">
        <v>0</v>
      </c>
      <c r="I1839" s="32">
        <v>0</v>
      </c>
      <c r="J1839" s="32">
        <v>0</v>
      </c>
      <c r="K1839" s="32">
        <v>3322200</v>
      </c>
      <c r="L1839" s="32">
        <v>321400</v>
      </c>
      <c r="M1839" s="32">
        <v>0</v>
      </c>
      <c r="N1839" s="32">
        <v>0</v>
      </c>
      <c r="O1839" s="32">
        <v>0</v>
      </c>
      <c r="P1839" s="32">
        <v>4983</v>
      </c>
      <c r="Q1839" s="32">
        <v>3214</v>
      </c>
      <c r="R1839" s="32">
        <v>0</v>
      </c>
      <c r="S1839" s="32">
        <v>0</v>
      </c>
      <c r="T1839" s="32">
        <v>0</v>
      </c>
    </row>
    <row r="1840" spans="1:20" x14ac:dyDescent="0.25">
      <c r="A1840" t="s">
        <v>75</v>
      </c>
      <c r="B1840" t="s">
        <v>81</v>
      </c>
      <c r="C1840">
        <v>202601</v>
      </c>
      <c r="D1840" t="str">
        <f>MID(C1840,1,4)</f>
        <v>2026</v>
      </c>
      <c r="E1840" t="str">
        <f>IF(Portfolio!$M$1=1,CONCATENATE(A1840,C1840),CONCATENATE(B1840,C1840))</f>
        <v>CHAMP RESTO202601</v>
      </c>
      <c r="F1840" s="32">
        <v>8</v>
      </c>
      <c r="G1840" s="32">
        <v>0</v>
      </c>
      <c r="H1840" s="32">
        <v>0</v>
      </c>
      <c r="I1840" s="32">
        <v>0</v>
      </c>
      <c r="J1840" s="32">
        <v>2</v>
      </c>
      <c r="K1840" s="32">
        <v>2684800</v>
      </c>
      <c r="L1840" s="32">
        <v>0</v>
      </c>
      <c r="M1840" s="32">
        <v>0</v>
      </c>
      <c r="N1840" s="32">
        <v>0</v>
      </c>
      <c r="O1840" s="32">
        <v>1997700</v>
      </c>
      <c r="P1840" s="32">
        <v>4027</v>
      </c>
      <c r="Q1840" s="32">
        <v>0</v>
      </c>
      <c r="R1840" s="32">
        <v>0</v>
      </c>
      <c r="S1840" s="32">
        <v>0</v>
      </c>
      <c r="T1840" s="32">
        <v>13984</v>
      </c>
    </row>
    <row r="1841" spans="1:20" x14ac:dyDescent="0.25">
      <c r="A1841" t="s">
        <v>107</v>
      </c>
      <c r="B1841" t="s">
        <v>160</v>
      </c>
      <c r="C1841">
        <v>202601</v>
      </c>
      <c r="D1841" t="str">
        <f>MID(C1841,1,4)</f>
        <v>2026</v>
      </c>
      <c r="E1841" t="str">
        <f>IF(Portfolio!$M$1=1,CONCATENATE(A1841,C1841),CONCATENATE(B1841,C1841))</f>
        <v>MAP GROUP202601</v>
      </c>
      <c r="F1841" s="32">
        <v>8</v>
      </c>
      <c r="G1841" s="32">
        <v>0</v>
      </c>
      <c r="H1841" s="32">
        <v>0</v>
      </c>
      <c r="I1841" s="32">
        <v>0</v>
      </c>
      <c r="J1841" s="32">
        <v>0</v>
      </c>
      <c r="K1841" s="32">
        <v>24252000</v>
      </c>
      <c r="L1841" s="32">
        <v>0</v>
      </c>
      <c r="M1841" s="32">
        <v>0</v>
      </c>
      <c r="N1841" s="32">
        <v>0</v>
      </c>
      <c r="O1841" s="32">
        <v>0</v>
      </c>
      <c r="P1841" s="32">
        <v>36378</v>
      </c>
      <c r="Q1841" s="32">
        <v>0</v>
      </c>
      <c r="R1841" s="32">
        <v>0</v>
      </c>
      <c r="S1841" s="32">
        <v>0</v>
      </c>
      <c r="T1841" s="32">
        <v>0</v>
      </c>
    </row>
    <row r="1842" spans="1:20" x14ac:dyDescent="0.25">
      <c r="A1842" t="s">
        <v>107</v>
      </c>
      <c r="B1842" t="s">
        <v>187</v>
      </c>
      <c r="C1842">
        <v>202601</v>
      </c>
      <c r="D1842" t="str">
        <f>MID(C1842,1,4)</f>
        <v>2026</v>
      </c>
      <c r="E1842" t="str">
        <f>IF(Portfolio!$M$1=1,CONCATENATE(A1842,C1842),CONCATENATE(B1842,C1842))</f>
        <v>MAP GROUP202601</v>
      </c>
      <c r="F1842" s="32">
        <v>6</v>
      </c>
      <c r="G1842" s="32">
        <v>8</v>
      </c>
      <c r="H1842" s="32">
        <v>16</v>
      </c>
      <c r="I1842" s="32">
        <v>0</v>
      </c>
      <c r="J1842" s="32">
        <v>0</v>
      </c>
      <c r="K1842" s="32">
        <v>8832000</v>
      </c>
      <c r="L1842" s="32">
        <v>11797400</v>
      </c>
      <c r="M1842" s="32">
        <v>24590820</v>
      </c>
      <c r="N1842" s="32">
        <v>0</v>
      </c>
      <c r="O1842" s="32">
        <v>0</v>
      </c>
      <c r="P1842" s="32">
        <v>13248</v>
      </c>
      <c r="Q1842" s="32">
        <v>117974</v>
      </c>
      <c r="R1842" s="32">
        <v>319681</v>
      </c>
      <c r="S1842" s="32">
        <v>0</v>
      </c>
      <c r="T1842" s="32">
        <v>0</v>
      </c>
    </row>
    <row r="1843" spans="1:20" x14ac:dyDescent="0.25">
      <c r="A1843" t="s">
        <v>78</v>
      </c>
      <c r="B1843" t="s">
        <v>98</v>
      </c>
      <c r="C1843">
        <v>202601</v>
      </c>
      <c r="D1843" t="str">
        <f>MID(C1843,1,4)</f>
        <v>2026</v>
      </c>
      <c r="E1843" t="str">
        <f>IF(Portfolio!$M$1=1,CONCATENATE(A1843,C1843),CONCATENATE(B1843,C1843))</f>
        <v>DELTA WIBAWA BERSAMA202601</v>
      </c>
      <c r="F1843" s="32">
        <v>0</v>
      </c>
      <c r="G1843" s="32">
        <v>0</v>
      </c>
      <c r="H1843" s="32">
        <v>0</v>
      </c>
      <c r="I1843" s="32">
        <v>1</v>
      </c>
      <c r="J1843" s="32">
        <v>130</v>
      </c>
      <c r="K1843" s="32">
        <v>0</v>
      </c>
      <c r="L1843" s="32">
        <v>0</v>
      </c>
      <c r="M1843" s="32">
        <v>0</v>
      </c>
      <c r="N1843" s="32">
        <v>190000</v>
      </c>
      <c r="O1843" s="32">
        <v>26631249</v>
      </c>
      <c r="P1843" s="32">
        <v>0</v>
      </c>
      <c r="Q1843" s="32">
        <v>0</v>
      </c>
      <c r="R1843" s="32">
        <v>0</v>
      </c>
      <c r="S1843" s="32">
        <v>1330</v>
      </c>
      <c r="T1843" s="32">
        <v>186419</v>
      </c>
    </row>
    <row r="1844" spans="1:20" x14ac:dyDescent="0.25">
      <c r="A1844" t="s">
        <v>107</v>
      </c>
      <c r="B1844" t="s">
        <v>202</v>
      </c>
      <c r="C1844">
        <v>202601</v>
      </c>
      <c r="D1844" t="str">
        <f>MID(C1844,1,4)</f>
        <v>2026</v>
      </c>
      <c r="E1844" t="str">
        <f>IF(Portfolio!$M$1=1,CONCATENATE(A1844,C1844),CONCATENATE(B1844,C1844))</f>
        <v>MAP GROUP202601</v>
      </c>
      <c r="F1844" s="32">
        <v>7</v>
      </c>
      <c r="G1844" s="32">
        <v>10</v>
      </c>
      <c r="H1844" s="32">
        <v>16</v>
      </c>
      <c r="I1844" s="32">
        <v>0</v>
      </c>
      <c r="J1844" s="32">
        <v>0</v>
      </c>
      <c r="K1844" s="32">
        <v>1751900</v>
      </c>
      <c r="L1844" s="32">
        <v>8974100</v>
      </c>
      <c r="M1844" s="32">
        <v>17524200</v>
      </c>
      <c r="N1844" s="32">
        <v>0</v>
      </c>
      <c r="O1844" s="32">
        <v>0</v>
      </c>
      <c r="P1844" s="32">
        <v>2628</v>
      </c>
      <c r="Q1844" s="32">
        <v>89741</v>
      </c>
      <c r="R1844" s="32">
        <v>227815</v>
      </c>
      <c r="S1844" s="32">
        <v>0</v>
      </c>
      <c r="T1844" s="32">
        <v>0</v>
      </c>
    </row>
    <row r="1845" spans="1:20" x14ac:dyDescent="0.25">
      <c r="A1845" t="s">
        <v>107</v>
      </c>
      <c r="B1845" t="s">
        <v>175</v>
      </c>
      <c r="C1845">
        <v>202601</v>
      </c>
      <c r="D1845" t="str">
        <f>MID(C1845,1,4)</f>
        <v>2026</v>
      </c>
      <c r="E1845" t="str">
        <f>IF(Portfolio!$M$1=1,CONCATENATE(A1845,C1845),CONCATENATE(B1845,C1845))</f>
        <v>MAP GROUP202601</v>
      </c>
      <c r="F1845" s="32">
        <v>0</v>
      </c>
      <c r="G1845" s="32">
        <v>0</v>
      </c>
      <c r="H1845" s="32">
        <v>2</v>
      </c>
      <c r="I1845" s="32">
        <v>0</v>
      </c>
      <c r="J1845" s="32">
        <v>0</v>
      </c>
      <c r="K1845" s="32">
        <v>0</v>
      </c>
      <c r="L1845" s="32">
        <v>0</v>
      </c>
      <c r="M1845" s="32">
        <v>1144000</v>
      </c>
      <c r="N1845" s="32">
        <v>0</v>
      </c>
      <c r="O1845" s="32">
        <v>0</v>
      </c>
      <c r="P1845" s="32">
        <v>0</v>
      </c>
      <c r="Q1845" s="32">
        <v>0</v>
      </c>
      <c r="R1845" s="32">
        <v>14872</v>
      </c>
      <c r="S1845" s="32">
        <v>0</v>
      </c>
      <c r="T1845" s="32">
        <v>0</v>
      </c>
    </row>
    <row r="1846" spans="1:20" x14ac:dyDescent="0.25">
      <c r="A1846" t="s">
        <v>107</v>
      </c>
      <c r="B1846" t="s">
        <v>171</v>
      </c>
      <c r="C1846">
        <v>202601</v>
      </c>
      <c r="D1846" t="str">
        <f>MID(C1846,1,4)</f>
        <v>2026</v>
      </c>
      <c r="E1846" t="str">
        <f>IF(Portfolio!$M$1=1,CONCATENATE(A1846,C1846),CONCATENATE(B1846,C1846))</f>
        <v>MAP GROUP202601</v>
      </c>
      <c r="F1846" s="32">
        <v>0</v>
      </c>
      <c r="G1846" s="32">
        <v>6</v>
      </c>
      <c r="H1846" s="32">
        <v>5</v>
      </c>
      <c r="I1846" s="32">
        <v>0</v>
      </c>
      <c r="J1846" s="32">
        <v>0</v>
      </c>
      <c r="K1846" s="32">
        <v>0</v>
      </c>
      <c r="L1846" s="32">
        <v>1377000</v>
      </c>
      <c r="M1846" s="32">
        <v>2495000</v>
      </c>
      <c r="N1846" s="32">
        <v>0</v>
      </c>
      <c r="O1846" s="32">
        <v>0</v>
      </c>
      <c r="P1846" s="32">
        <v>0</v>
      </c>
      <c r="Q1846" s="32">
        <v>13770</v>
      </c>
      <c r="R1846" s="32">
        <v>32435</v>
      </c>
      <c r="S1846" s="32">
        <v>0</v>
      </c>
      <c r="T1846" s="32">
        <v>0</v>
      </c>
    </row>
    <row r="1847" spans="1:20" x14ac:dyDescent="0.25">
      <c r="A1847" t="s">
        <v>104</v>
      </c>
      <c r="B1847" t="s">
        <v>147</v>
      </c>
      <c r="C1847">
        <v>202601</v>
      </c>
      <c r="D1847" t="str">
        <f>MID(C1847,1,4)</f>
        <v>2026</v>
      </c>
      <c r="E1847" t="str">
        <f>IF(Portfolio!$M$1=1,CONCATENATE(A1847,C1847),CONCATENATE(B1847,C1847))</f>
        <v>KIMIA FARMA202601</v>
      </c>
      <c r="F1847" s="32">
        <v>0</v>
      </c>
      <c r="G1847" s="32">
        <v>0</v>
      </c>
      <c r="H1847" s="32">
        <v>0</v>
      </c>
      <c r="I1847" s="32">
        <v>0</v>
      </c>
      <c r="J1847" s="32">
        <v>1</v>
      </c>
      <c r="K1847" s="32">
        <v>0</v>
      </c>
      <c r="L1847" s="32">
        <v>0</v>
      </c>
      <c r="M1847" s="32">
        <v>0</v>
      </c>
      <c r="N1847" s="32">
        <v>0</v>
      </c>
      <c r="O1847" s="32">
        <v>217200</v>
      </c>
      <c r="P1847" s="32">
        <v>0</v>
      </c>
      <c r="Q1847" s="32">
        <v>0</v>
      </c>
      <c r="R1847" s="32">
        <v>0</v>
      </c>
      <c r="S1847" s="32">
        <v>0</v>
      </c>
      <c r="T1847" s="32">
        <v>1520</v>
      </c>
    </row>
    <row r="1848" spans="1:20" x14ac:dyDescent="0.25">
      <c r="A1848" t="s">
        <v>114</v>
      </c>
      <c r="B1848" t="s">
        <v>217</v>
      </c>
      <c r="C1848">
        <v>202601</v>
      </c>
      <c r="D1848" t="str">
        <f>MID(C1848,1,4)</f>
        <v>2026</v>
      </c>
      <c r="E1848" t="str">
        <f>IF(Portfolio!$M$1=1,CONCATENATE(A1848,C1848),CONCATENATE(B1848,C1848))</f>
        <v>PIZZA HUT202601</v>
      </c>
      <c r="F1848" s="32">
        <v>3</v>
      </c>
      <c r="G1848" s="32">
        <v>0</v>
      </c>
      <c r="H1848" s="32">
        <v>0</v>
      </c>
      <c r="I1848" s="32">
        <v>0</v>
      </c>
      <c r="J1848" s="32">
        <v>104</v>
      </c>
      <c r="K1848" s="32">
        <v>438000</v>
      </c>
      <c r="L1848" s="32">
        <v>0</v>
      </c>
      <c r="M1848" s="32">
        <v>0</v>
      </c>
      <c r="N1848" s="32">
        <v>0</v>
      </c>
      <c r="O1848" s="32">
        <v>1136000</v>
      </c>
      <c r="P1848" s="32">
        <v>657</v>
      </c>
      <c r="Q1848" s="32">
        <v>0</v>
      </c>
      <c r="R1848" s="32">
        <v>0</v>
      </c>
      <c r="S1848" s="32">
        <v>0</v>
      </c>
      <c r="T1848" s="32">
        <v>0</v>
      </c>
    </row>
    <row r="1849" spans="1:20" x14ac:dyDescent="0.25">
      <c r="A1849" t="s">
        <v>107</v>
      </c>
      <c r="B1849" t="s">
        <v>209</v>
      </c>
      <c r="C1849">
        <v>202601</v>
      </c>
      <c r="D1849" t="str">
        <f>MID(C1849,1,4)</f>
        <v>2026</v>
      </c>
      <c r="E1849" t="str">
        <f>IF(Portfolio!$M$1=1,CONCATENATE(A1849,C1849),CONCATENATE(B1849,C1849))</f>
        <v>MAP GROUP202601</v>
      </c>
      <c r="F1849" s="32">
        <v>0</v>
      </c>
      <c r="G1849" s="32">
        <v>4</v>
      </c>
      <c r="H1849" s="32">
        <v>11</v>
      </c>
      <c r="I1849" s="32">
        <v>0</v>
      </c>
      <c r="J1849" s="32">
        <v>0</v>
      </c>
      <c r="K1849" s="32">
        <v>0</v>
      </c>
      <c r="L1849" s="32">
        <v>4802200</v>
      </c>
      <c r="M1849" s="32">
        <v>11852700</v>
      </c>
      <c r="N1849" s="32">
        <v>0</v>
      </c>
      <c r="O1849" s="32">
        <v>0</v>
      </c>
      <c r="P1849" s="32">
        <v>0</v>
      </c>
      <c r="Q1849" s="32">
        <v>48022</v>
      </c>
      <c r="R1849" s="32">
        <v>154085</v>
      </c>
      <c r="S1849" s="32">
        <v>0</v>
      </c>
      <c r="T1849" s="32">
        <v>0</v>
      </c>
    </row>
    <row r="1850" spans="1:20" x14ac:dyDescent="0.25">
      <c r="A1850" t="s">
        <v>107</v>
      </c>
      <c r="B1850" t="s">
        <v>195</v>
      </c>
      <c r="C1850">
        <v>202601</v>
      </c>
      <c r="D1850" t="str">
        <f>MID(C1850,1,4)</f>
        <v>2026</v>
      </c>
      <c r="E1850" t="str">
        <f>IF(Portfolio!$M$1=1,CONCATENATE(A1850,C1850),CONCATENATE(B1850,C1850))</f>
        <v>MAP GROUP202601</v>
      </c>
      <c r="F1850" s="32">
        <v>0</v>
      </c>
      <c r="G1850" s="32">
        <v>9</v>
      </c>
      <c r="H1850" s="32">
        <v>26</v>
      </c>
      <c r="I1850" s="32">
        <v>0</v>
      </c>
      <c r="J1850" s="32">
        <v>0</v>
      </c>
      <c r="K1850" s="32">
        <v>0</v>
      </c>
      <c r="L1850" s="32">
        <v>4142200</v>
      </c>
      <c r="M1850" s="32">
        <v>19179360</v>
      </c>
      <c r="N1850" s="32">
        <v>0</v>
      </c>
      <c r="O1850" s="32">
        <v>0</v>
      </c>
      <c r="P1850" s="32">
        <v>0</v>
      </c>
      <c r="Q1850" s="32">
        <v>41422</v>
      </c>
      <c r="R1850" s="32">
        <v>249332</v>
      </c>
      <c r="S1850" s="32">
        <v>0</v>
      </c>
      <c r="T1850" s="32">
        <v>0</v>
      </c>
    </row>
    <row r="1851" spans="1:20" x14ac:dyDescent="0.25">
      <c r="A1851" t="s">
        <v>75</v>
      </c>
      <c r="B1851" t="s">
        <v>79</v>
      </c>
      <c r="C1851">
        <v>202601</v>
      </c>
      <c r="D1851" t="str">
        <f>MID(C1851,1,4)</f>
        <v>2026</v>
      </c>
      <c r="E1851" t="str">
        <f>IF(Portfolio!$M$1=1,CONCATENATE(A1851,C1851),CONCATENATE(B1851,C1851))</f>
        <v>CHAMP RESTO202601</v>
      </c>
      <c r="F1851" s="32">
        <v>0</v>
      </c>
      <c r="G1851" s="32">
        <v>0</v>
      </c>
      <c r="H1851" s="32">
        <v>0</v>
      </c>
      <c r="I1851" s="32">
        <v>0</v>
      </c>
      <c r="J1851" s="32">
        <v>0</v>
      </c>
      <c r="K1851" s="32">
        <v>0</v>
      </c>
      <c r="L1851" s="32">
        <v>0</v>
      </c>
      <c r="M1851" s="32">
        <v>0</v>
      </c>
      <c r="N1851" s="32">
        <v>0</v>
      </c>
      <c r="O1851" s="32">
        <v>353804</v>
      </c>
      <c r="P1851" s="32">
        <v>0</v>
      </c>
      <c r="Q1851" s="32">
        <v>0</v>
      </c>
      <c r="R1851" s="32">
        <v>0</v>
      </c>
      <c r="S1851" s="32">
        <v>0</v>
      </c>
      <c r="T1851" s="32">
        <v>2477</v>
      </c>
    </row>
    <row r="1852" spans="1:20" x14ac:dyDescent="0.25">
      <c r="A1852" t="s">
        <v>126</v>
      </c>
      <c r="B1852" t="s">
        <v>228</v>
      </c>
      <c r="C1852">
        <v>202601</v>
      </c>
      <c r="D1852" t="str">
        <f>MID(C1852,1,4)</f>
        <v>2026</v>
      </c>
      <c r="E1852" t="str">
        <f>IF(Portfolio!$M$1=1,CONCATENATE(A1852,C1852),CONCATENATE(B1852,C1852))</f>
        <v>STEVEN GROUP202601</v>
      </c>
      <c r="F1852" s="32">
        <v>0</v>
      </c>
      <c r="G1852" s="32">
        <v>0</v>
      </c>
      <c r="H1852" s="32">
        <v>0</v>
      </c>
      <c r="I1852" s="32">
        <v>0</v>
      </c>
      <c r="J1852" s="32">
        <v>603</v>
      </c>
      <c r="K1852" s="32">
        <v>0</v>
      </c>
      <c r="L1852" s="32">
        <v>0</v>
      </c>
      <c r="M1852" s="32">
        <v>0</v>
      </c>
      <c r="N1852" s="32">
        <v>0</v>
      </c>
      <c r="O1852" s="32">
        <v>128108800</v>
      </c>
      <c r="P1852" s="32">
        <v>0</v>
      </c>
      <c r="Q1852" s="32">
        <v>0</v>
      </c>
      <c r="R1852" s="32">
        <v>0</v>
      </c>
      <c r="S1852" s="32">
        <v>0</v>
      </c>
      <c r="T1852" s="32">
        <v>0</v>
      </c>
    </row>
    <row r="1853" spans="1:20" x14ac:dyDescent="0.25">
      <c r="A1853" t="s">
        <v>102</v>
      </c>
      <c r="B1853" t="s">
        <v>141</v>
      </c>
      <c r="C1853">
        <v>202601</v>
      </c>
      <c r="D1853" t="str">
        <f>MID(C1853,1,4)</f>
        <v>2026</v>
      </c>
      <c r="E1853" t="str">
        <f>IF(Portfolio!$M$1=1,CONCATENATE(A1853,C1853),CONCATENATE(B1853,C1853))</f>
        <v>KAWAN LAMA202601</v>
      </c>
      <c r="F1853" s="32">
        <v>4</v>
      </c>
      <c r="G1853" s="32">
        <v>0</v>
      </c>
      <c r="H1853" s="32">
        <v>0</v>
      </c>
      <c r="I1853" s="32">
        <v>0</v>
      </c>
      <c r="J1853" s="32">
        <v>0</v>
      </c>
      <c r="K1853" s="32">
        <v>11668584</v>
      </c>
      <c r="L1853" s="32">
        <v>0</v>
      </c>
      <c r="M1853" s="32">
        <v>0</v>
      </c>
      <c r="N1853" s="32">
        <v>0</v>
      </c>
      <c r="O1853" s="32">
        <v>0</v>
      </c>
      <c r="P1853" s="32">
        <v>17503</v>
      </c>
      <c r="Q1853" s="32">
        <v>0</v>
      </c>
      <c r="R1853" s="32">
        <v>0</v>
      </c>
      <c r="S1853" s="32">
        <v>0</v>
      </c>
      <c r="T1853" s="32">
        <v>0</v>
      </c>
    </row>
    <row r="1854" spans="1:20" x14ac:dyDescent="0.25">
      <c r="A1854" t="s">
        <v>126</v>
      </c>
      <c r="B1854" t="s">
        <v>132</v>
      </c>
      <c r="C1854">
        <v>202601</v>
      </c>
      <c r="D1854" t="str">
        <f>MID(C1854,1,4)</f>
        <v>2026</v>
      </c>
      <c r="E1854" t="str">
        <f>IF(Portfolio!$M$1=1,CONCATENATE(A1854,C1854),CONCATENATE(B1854,C1854))</f>
        <v>STEVEN GROUP202601</v>
      </c>
      <c r="F1854" s="32">
        <v>0</v>
      </c>
      <c r="G1854" s="32">
        <v>0</v>
      </c>
      <c r="H1854" s="32">
        <v>0</v>
      </c>
      <c r="I1854" s="32">
        <v>0</v>
      </c>
      <c r="J1854" s="32">
        <v>0</v>
      </c>
      <c r="K1854" s="32">
        <v>0</v>
      </c>
      <c r="L1854" s="32">
        <v>0</v>
      </c>
      <c r="M1854" s="32">
        <v>0</v>
      </c>
      <c r="N1854" s="32">
        <v>0</v>
      </c>
      <c r="O1854" s="32">
        <v>1</v>
      </c>
      <c r="P1854" s="32">
        <v>0</v>
      </c>
      <c r="Q1854" s="32">
        <v>0</v>
      </c>
      <c r="R1854" s="32">
        <v>0</v>
      </c>
      <c r="S1854" s="32">
        <v>0</v>
      </c>
      <c r="T1854" s="32">
        <v>0</v>
      </c>
    </row>
    <row r="1855" spans="1:20" x14ac:dyDescent="0.25">
      <c r="A1855" t="s">
        <v>111</v>
      </c>
      <c r="B1855" t="s">
        <v>212</v>
      </c>
      <c r="C1855">
        <v>202601</v>
      </c>
      <c r="D1855" t="str">
        <f>MID(C1855,1,4)</f>
        <v>2026</v>
      </c>
      <c r="E1855" t="str">
        <f>IF(Portfolio!$M$1=1,CONCATENATE(A1855,C1855),CONCATENATE(B1855,C1855))</f>
        <v>PATRA JASA202601</v>
      </c>
      <c r="F1855" s="32">
        <v>0</v>
      </c>
      <c r="G1855" s="32">
        <v>1</v>
      </c>
      <c r="H1855" s="32">
        <v>0</v>
      </c>
      <c r="I1855" s="32">
        <v>0</v>
      </c>
      <c r="J1855" s="32">
        <v>0</v>
      </c>
      <c r="K1855" s="32">
        <v>0</v>
      </c>
      <c r="L1855" s="32">
        <v>150000</v>
      </c>
      <c r="M1855" s="32">
        <v>0</v>
      </c>
      <c r="N1855" s="32">
        <v>0</v>
      </c>
      <c r="O1855" s="32">
        <v>0</v>
      </c>
      <c r="P1855" s="32">
        <v>0</v>
      </c>
      <c r="Q1855" s="32">
        <v>1500</v>
      </c>
      <c r="R1855" s="32">
        <v>0</v>
      </c>
      <c r="S1855" s="32">
        <v>0</v>
      </c>
      <c r="T1855" s="32">
        <v>0</v>
      </c>
    </row>
    <row r="1856" spans="1:20" x14ac:dyDescent="0.25">
      <c r="A1856" t="s">
        <v>86</v>
      </c>
      <c r="B1856" t="s">
        <v>86</v>
      </c>
      <c r="C1856">
        <v>202601</v>
      </c>
      <c r="D1856" t="str">
        <f>MID(C1856,1,4)</f>
        <v>2026</v>
      </c>
      <c r="E1856" t="str">
        <f>IF(Portfolio!$M$1=1,CONCATENATE(A1856,C1856),CONCATENATE(B1856,C1856))</f>
        <v>GRAMEDIA202601</v>
      </c>
      <c r="F1856" s="32">
        <v>8</v>
      </c>
      <c r="G1856" s="32">
        <v>0</v>
      </c>
      <c r="H1856" s="32">
        <v>0</v>
      </c>
      <c r="I1856" s="32">
        <v>0</v>
      </c>
      <c r="J1856" s="32">
        <v>0</v>
      </c>
      <c r="K1856" s="32">
        <v>2155600</v>
      </c>
      <c r="L1856" s="32">
        <v>0</v>
      </c>
      <c r="M1856" s="32">
        <v>0</v>
      </c>
      <c r="N1856" s="32">
        <v>0</v>
      </c>
      <c r="O1856" s="32">
        <v>0</v>
      </c>
      <c r="P1856" s="32">
        <v>3233</v>
      </c>
      <c r="Q1856" s="32">
        <v>0</v>
      </c>
      <c r="R1856" s="32">
        <v>0</v>
      </c>
      <c r="S1856" s="32">
        <v>0</v>
      </c>
      <c r="T1856" s="32">
        <v>0</v>
      </c>
    </row>
    <row r="1857" spans="1:20" x14ac:dyDescent="0.25">
      <c r="A1857" t="s">
        <v>107</v>
      </c>
      <c r="B1857" t="s">
        <v>197</v>
      </c>
      <c r="C1857">
        <v>202601</v>
      </c>
      <c r="D1857" t="str">
        <f>MID(C1857,1,4)</f>
        <v>2026</v>
      </c>
      <c r="E1857" t="str">
        <f>IF(Portfolio!$M$1=1,CONCATENATE(A1857,C1857),CONCATENATE(B1857,C1857))</f>
        <v>MAP GROUP202601</v>
      </c>
      <c r="F1857" s="32">
        <v>4</v>
      </c>
      <c r="G1857" s="32">
        <v>10</v>
      </c>
      <c r="H1857" s="32">
        <v>22</v>
      </c>
      <c r="I1857" s="32">
        <v>0</v>
      </c>
      <c r="J1857" s="32">
        <v>0</v>
      </c>
      <c r="K1857" s="32">
        <v>13624000</v>
      </c>
      <c r="L1857" s="32">
        <v>27614600</v>
      </c>
      <c r="M1857" s="32">
        <v>62753600</v>
      </c>
      <c r="N1857" s="32">
        <v>0</v>
      </c>
      <c r="O1857" s="32">
        <v>0</v>
      </c>
      <c r="P1857" s="32">
        <v>20436</v>
      </c>
      <c r="Q1857" s="32">
        <v>276146</v>
      </c>
      <c r="R1857" s="32">
        <v>815797</v>
      </c>
      <c r="S1857" s="32">
        <v>0</v>
      </c>
      <c r="T1857" s="32">
        <v>0</v>
      </c>
    </row>
    <row r="1858" spans="1:20" x14ac:dyDescent="0.25">
      <c r="A1858" t="s">
        <v>111</v>
      </c>
      <c r="B1858" t="s">
        <v>213</v>
      </c>
      <c r="C1858">
        <v>202601</v>
      </c>
      <c r="D1858" t="str">
        <f>MID(C1858,1,4)</f>
        <v>2026</v>
      </c>
      <c r="E1858" t="str">
        <f>IF(Portfolio!$M$1=1,CONCATENATE(A1858,C1858),CONCATENATE(B1858,C1858))</f>
        <v>PATRA JASA202601</v>
      </c>
      <c r="F1858" s="32">
        <v>0</v>
      </c>
      <c r="G1858" s="32">
        <v>0</v>
      </c>
      <c r="H1858" s="32">
        <v>0</v>
      </c>
      <c r="I1858" s="32">
        <v>0</v>
      </c>
      <c r="J1858" s="32">
        <v>4</v>
      </c>
      <c r="K1858" s="32">
        <v>0</v>
      </c>
      <c r="L1858" s="32">
        <v>0</v>
      </c>
      <c r="M1858" s="32">
        <v>0</v>
      </c>
      <c r="N1858" s="32">
        <v>0</v>
      </c>
      <c r="O1858" s="32">
        <v>734700</v>
      </c>
      <c r="P1858" s="32">
        <v>0</v>
      </c>
      <c r="Q1858" s="32">
        <v>0</v>
      </c>
      <c r="R1858" s="32">
        <v>0</v>
      </c>
      <c r="S1858" s="32">
        <v>0</v>
      </c>
      <c r="T1858" s="32">
        <v>5143</v>
      </c>
    </row>
    <row r="1859" spans="1:20" x14ac:dyDescent="0.25">
      <c r="A1859" t="s">
        <v>107</v>
      </c>
      <c r="B1859" t="s">
        <v>184</v>
      </c>
      <c r="C1859">
        <v>202601</v>
      </c>
      <c r="D1859" t="str">
        <f>MID(C1859,1,4)</f>
        <v>2026</v>
      </c>
      <c r="E1859" t="str">
        <f>IF(Portfolio!$M$1=1,CONCATENATE(A1859,C1859),CONCATENATE(B1859,C1859))</f>
        <v>MAP GROUP202601</v>
      </c>
      <c r="F1859" s="32">
        <v>0</v>
      </c>
      <c r="G1859" s="32">
        <v>0</v>
      </c>
      <c r="H1859" s="32">
        <v>1</v>
      </c>
      <c r="I1859" s="32">
        <v>0</v>
      </c>
      <c r="J1859" s="32">
        <v>0</v>
      </c>
      <c r="K1859" s="32">
        <v>0</v>
      </c>
      <c r="L1859" s="32">
        <v>0</v>
      </c>
      <c r="M1859" s="32">
        <v>507000</v>
      </c>
      <c r="N1859" s="32">
        <v>0</v>
      </c>
      <c r="O1859" s="32">
        <v>0</v>
      </c>
      <c r="P1859" s="32">
        <v>0</v>
      </c>
      <c r="Q1859" s="32">
        <v>0</v>
      </c>
      <c r="R1859" s="32">
        <v>6591</v>
      </c>
      <c r="S1859" s="32">
        <v>0</v>
      </c>
      <c r="T1859" s="32">
        <v>0</v>
      </c>
    </row>
    <row r="1860" spans="1:20" x14ac:dyDescent="0.25">
      <c r="A1860" t="s">
        <v>102</v>
      </c>
      <c r="B1860" t="s">
        <v>129</v>
      </c>
      <c r="C1860">
        <v>202601</v>
      </c>
      <c r="D1860" t="str">
        <f>MID(C1860,1,4)</f>
        <v>2026</v>
      </c>
      <c r="E1860" t="str">
        <f>IF(Portfolio!$M$1=1,CONCATENATE(A1860,C1860),CONCATENATE(B1860,C1860))</f>
        <v>KAWAN LAMA202601</v>
      </c>
      <c r="F1860" s="32">
        <v>4</v>
      </c>
      <c r="G1860" s="32">
        <v>0</v>
      </c>
      <c r="H1860" s="32">
        <v>0</v>
      </c>
      <c r="I1860" s="32">
        <v>0</v>
      </c>
      <c r="J1860" s="32">
        <v>0</v>
      </c>
      <c r="K1860" s="32">
        <v>896004</v>
      </c>
      <c r="L1860" s="32">
        <v>0</v>
      </c>
      <c r="M1860" s="32">
        <v>0</v>
      </c>
      <c r="N1860" s="32">
        <v>0</v>
      </c>
      <c r="O1860" s="32">
        <v>0</v>
      </c>
      <c r="P1860" s="32">
        <v>1344</v>
      </c>
      <c r="Q1860" s="32">
        <v>0</v>
      </c>
      <c r="R1860" s="32">
        <v>0</v>
      </c>
      <c r="S1860" s="32">
        <v>0</v>
      </c>
      <c r="T1860" s="32">
        <v>0</v>
      </c>
    </row>
    <row r="1861" spans="1:20" x14ac:dyDescent="0.25">
      <c r="A1861" t="s">
        <v>126</v>
      </c>
      <c r="B1861" t="s">
        <v>222</v>
      </c>
      <c r="C1861">
        <v>202601</v>
      </c>
      <c r="D1861" t="str">
        <f>MID(C1861,1,4)</f>
        <v>2026</v>
      </c>
      <c r="E1861" t="str">
        <f>IF(Portfolio!$M$1=1,CONCATENATE(A1861,C1861),CONCATENATE(B1861,C1861))</f>
        <v>STEVEN GROUP202601</v>
      </c>
      <c r="F1861" s="32">
        <v>0</v>
      </c>
      <c r="G1861" s="32">
        <v>0</v>
      </c>
      <c r="H1861" s="32">
        <v>0</v>
      </c>
      <c r="I1861" s="32">
        <v>0</v>
      </c>
      <c r="J1861" s="32">
        <v>0</v>
      </c>
      <c r="K1861" s="32">
        <v>0</v>
      </c>
      <c r="L1861" s="32">
        <v>0</v>
      </c>
      <c r="M1861" s="32">
        <v>0</v>
      </c>
      <c r="N1861" s="32">
        <v>0</v>
      </c>
      <c r="O1861" s="32">
        <v>1</v>
      </c>
      <c r="P1861" s="32">
        <v>0</v>
      </c>
      <c r="Q1861" s="32">
        <v>0</v>
      </c>
      <c r="R1861" s="32">
        <v>0</v>
      </c>
      <c r="S1861" s="32">
        <v>0</v>
      </c>
      <c r="T1861" s="32">
        <v>0</v>
      </c>
    </row>
    <row r="1862" spans="1:20" x14ac:dyDescent="0.25">
      <c r="A1862" t="s">
        <v>75</v>
      </c>
      <c r="B1862" t="s">
        <v>87</v>
      </c>
      <c r="C1862">
        <v>202601</v>
      </c>
      <c r="D1862" t="str">
        <f>MID(C1862,1,4)</f>
        <v>2026</v>
      </c>
      <c r="E1862" t="str">
        <f>IF(Portfolio!$M$1=1,CONCATENATE(A1862,C1862),CONCATENATE(B1862,C1862))</f>
        <v>CHAMP RESTO202601</v>
      </c>
      <c r="F1862" s="32">
        <v>4</v>
      </c>
      <c r="G1862" s="32">
        <v>0</v>
      </c>
      <c r="H1862" s="32">
        <v>0</v>
      </c>
      <c r="I1862" s="32">
        <v>0</v>
      </c>
      <c r="J1862" s="32">
        <v>0</v>
      </c>
      <c r="K1862" s="32">
        <v>462000</v>
      </c>
      <c r="L1862" s="32">
        <v>0</v>
      </c>
      <c r="M1862" s="32">
        <v>0</v>
      </c>
      <c r="N1862" s="32">
        <v>0</v>
      </c>
      <c r="O1862" s="32">
        <v>0</v>
      </c>
      <c r="P1862" s="32">
        <v>693</v>
      </c>
      <c r="Q1862" s="32">
        <v>0</v>
      </c>
      <c r="R1862" s="32">
        <v>0</v>
      </c>
      <c r="S1862" s="32">
        <v>0</v>
      </c>
      <c r="T1862" s="32">
        <v>0</v>
      </c>
    </row>
    <row r="1863" spans="1:20" x14ac:dyDescent="0.25">
      <c r="A1863" t="s">
        <v>94</v>
      </c>
      <c r="B1863" t="s">
        <v>94</v>
      </c>
      <c r="C1863">
        <v>202601</v>
      </c>
      <c r="D1863" t="str">
        <f>MID(C1863,1,4)</f>
        <v>2026</v>
      </c>
      <c r="E1863" t="str">
        <f>IF(Portfolio!$M$1=1,CONCATENATE(A1863,C1863),CONCATENATE(B1863,C1863))</f>
        <v>HOKBEN202601</v>
      </c>
      <c r="F1863" s="32">
        <v>0</v>
      </c>
      <c r="G1863" s="32">
        <v>0</v>
      </c>
      <c r="H1863" s="32">
        <v>0</v>
      </c>
      <c r="I1863" s="32">
        <v>0</v>
      </c>
      <c r="J1863" s="32">
        <v>9</v>
      </c>
      <c r="K1863" s="32">
        <v>0</v>
      </c>
      <c r="L1863" s="32">
        <v>0</v>
      </c>
      <c r="M1863" s="32">
        <v>0</v>
      </c>
      <c r="N1863" s="32">
        <v>0</v>
      </c>
      <c r="O1863" s="32">
        <v>699000</v>
      </c>
      <c r="P1863" s="32">
        <v>0</v>
      </c>
      <c r="Q1863" s="32">
        <v>0</v>
      </c>
      <c r="R1863" s="32">
        <v>0</v>
      </c>
      <c r="S1863" s="32">
        <v>0</v>
      </c>
      <c r="T1863" s="32">
        <v>0</v>
      </c>
    </row>
    <row r="1864" spans="1:20" x14ac:dyDescent="0.25">
      <c r="A1864" t="s">
        <v>111</v>
      </c>
      <c r="B1864" t="s">
        <v>211</v>
      </c>
      <c r="C1864">
        <v>202601</v>
      </c>
      <c r="D1864" t="str">
        <f>MID(C1864,1,4)</f>
        <v>2026</v>
      </c>
      <c r="E1864" t="str">
        <f>IF(Portfolio!$M$1=1,CONCATENATE(A1864,C1864),CONCATENATE(B1864,C1864))</f>
        <v>PATRA JASA202601</v>
      </c>
      <c r="F1864" s="32">
        <v>0</v>
      </c>
      <c r="G1864" s="32">
        <v>2</v>
      </c>
      <c r="H1864" s="32">
        <v>7</v>
      </c>
      <c r="I1864" s="32">
        <v>0</v>
      </c>
      <c r="J1864" s="32">
        <v>0</v>
      </c>
      <c r="K1864" s="32">
        <v>0</v>
      </c>
      <c r="L1864" s="32">
        <v>3193680</v>
      </c>
      <c r="M1864" s="32">
        <v>7549590</v>
      </c>
      <c r="N1864" s="32">
        <v>0</v>
      </c>
      <c r="O1864" s="32">
        <v>0</v>
      </c>
      <c r="P1864" s="32">
        <v>0</v>
      </c>
      <c r="Q1864" s="32">
        <v>31937</v>
      </c>
      <c r="R1864" s="32">
        <v>135893</v>
      </c>
      <c r="S1864" s="32">
        <v>0</v>
      </c>
      <c r="T1864" s="32">
        <v>0</v>
      </c>
    </row>
    <row r="1865" spans="1:20" x14ac:dyDescent="0.25">
      <c r="A1865" t="s">
        <v>107</v>
      </c>
      <c r="B1865" t="s">
        <v>157</v>
      </c>
      <c r="C1865">
        <v>202601</v>
      </c>
      <c r="D1865" t="str">
        <f>MID(C1865,1,4)</f>
        <v>2026</v>
      </c>
      <c r="E1865" t="str">
        <f>IF(Portfolio!$M$1=1,CONCATENATE(A1865,C1865),CONCATENATE(B1865,C1865))</f>
        <v>MAP GROUP202601</v>
      </c>
      <c r="F1865" s="32">
        <v>0</v>
      </c>
      <c r="G1865" s="32">
        <v>17</v>
      </c>
      <c r="H1865" s="32">
        <v>34</v>
      </c>
      <c r="I1865" s="32">
        <v>0</v>
      </c>
      <c r="J1865" s="32">
        <v>0</v>
      </c>
      <c r="K1865" s="32">
        <v>0</v>
      </c>
      <c r="L1865" s="32">
        <v>19929095</v>
      </c>
      <c r="M1865" s="32">
        <v>18831706</v>
      </c>
      <c r="N1865" s="32">
        <v>0</v>
      </c>
      <c r="O1865" s="32">
        <v>0</v>
      </c>
      <c r="P1865" s="32">
        <v>0</v>
      </c>
      <c r="Q1865" s="32">
        <v>199291</v>
      </c>
      <c r="R1865" s="32">
        <v>244812</v>
      </c>
      <c r="S1865" s="32">
        <v>0</v>
      </c>
      <c r="T1865" s="32">
        <v>0</v>
      </c>
    </row>
    <row r="1866" spans="1:20" x14ac:dyDescent="0.25">
      <c r="A1866" t="s">
        <v>67</v>
      </c>
      <c r="B1866" t="s">
        <v>68</v>
      </c>
      <c r="C1866">
        <v>202602</v>
      </c>
      <c r="D1866" s="47" t="str">
        <f>MID(C1866,1,4)</f>
        <v>2026</v>
      </c>
      <c r="E1866" t="str">
        <f>IF(Portfolio!$M$1=1,CONCATENATE(A1866,C1866),CONCATENATE(B1866,C1866))</f>
        <v>ALFA GROUP202602</v>
      </c>
      <c r="F1866">
        <v>124056</v>
      </c>
      <c r="G1866">
        <v>146620</v>
      </c>
      <c r="H1866">
        <v>34202</v>
      </c>
      <c r="I1866">
        <v>42</v>
      </c>
      <c r="J1866">
        <v>489</v>
      </c>
      <c r="K1866">
        <v>13953316470</v>
      </c>
      <c r="L1866">
        <v>16351575344</v>
      </c>
      <c r="M1866">
        <v>5063038898</v>
      </c>
      <c r="N1866">
        <v>1561500</v>
      </c>
      <c r="O1866">
        <v>24244090</v>
      </c>
      <c r="P1866">
        <v>20929959</v>
      </c>
      <c r="Q1866">
        <v>162980338</v>
      </c>
      <c r="R1866">
        <v>89966272</v>
      </c>
      <c r="S1866">
        <v>1570</v>
      </c>
      <c r="T1866">
        <v>3171</v>
      </c>
    </row>
    <row r="1867" spans="1:20" x14ac:dyDescent="0.25">
      <c r="A1867" t="s">
        <v>107</v>
      </c>
      <c r="B1867" t="s">
        <v>169</v>
      </c>
      <c r="C1867">
        <v>202602</v>
      </c>
      <c r="D1867" s="47" t="str">
        <f>MID(C1867,1,4)</f>
        <v>2026</v>
      </c>
      <c r="E1867" t="str">
        <f>IF(Portfolio!$M$1=1,CONCATENATE(A1867,C1867),CONCATENATE(B1867,C1867))</f>
        <v>MAP GROUP202602</v>
      </c>
      <c r="F1867">
        <v>1078</v>
      </c>
      <c r="G1867">
        <v>680</v>
      </c>
      <c r="H1867">
        <v>3058</v>
      </c>
      <c r="I1867">
        <v>0</v>
      </c>
      <c r="J1867">
        <v>0</v>
      </c>
      <c r="K1867">
        <v>313915834</v>
      </c>
      <c r="L1867">
        <v>165851366</v>
      </c>
      <c r="M1867">
        <v>1087521216</v>
      </c>
      <c r="N1867">
        <v>0</v>
      </c>
      <c r="O1867">
        <v>0</v>
      </c>
      <c r="P1867">
        <v>470871</v>
      </c>
      <c r="Q1867">
        <v>1651340</v>
      </c>
      <c r="R1867">
        <v>14137769</v>
      </c>
      <c r="S1867">
        <v>0</v>
      </c>
      <c r="T1867">
        <v>0</v>
      </c>
    </row>
    <row r="1868" spans="1:20" x14ac:dyDescent="0.25">
      <c r="A1868" t="s">
        <v>130</v>
      </c>
      <c r="B1868" t="s">
        <v>227</v>
      </c>
      <c r="C1868">
        <v>202602</v>
      </c>
      <c r="D1868" s="47" t="str">
        <f>MID(C1868,1,4)</f>
        <v>2026</v>
      </c>
      <c r="E1868" t="str">
        <f>IF(Portfolio!$M$1=1,CONCATENATE(A1868,C1868),CONCATENATE(B1868,C1868))</f>
        <v>SURYA BUMI RETAILINDO202602</v>
      </c>
      <c r="F1868">
        <v>8</v>
      </c>
      <c r="G1868">
        <v>0</v>
      </c>
      <c r="H1868">
        <v>0</v>
      </c>
      <c r="I1868">
        <v>0</v>
      </c>
      <c r="J1868">
        <v>0</v>
      </c>
      <c r="K1868">
        <v>4320000</v>
      </c>
      <c r="L1868">
        <v>0</v>
      </c>
      <c r="M1868">
        <v>0</v>
      </c>
      <c r="N1868">
        <v>0</v>
      </c>
      <c r="O1868">
        <v>0</v>
      </c>
      <c r="P1868">
        <v>6480</v>
      </c>
      <c r="Q1868">
        <v>0</v>
      </c>
      <c r="R1868">
        <v>0</v>
      </c>
      <c r="S1868">
        <v>0</v>
      </c>
      <c r="T1868">
        <v>0</v>
      </c>
    </row>
    <row r="1869" spans="1:20" x14ac:dyDescent="0.25">
      <c r="A1869" t="s">
        <v>102</v>
      </c>
      <c r="B1869" t="s">
        <v>123</v>
      </c>
      <c r="C1869">
        <v>202602</v>
      </c>
      <c r="D1869" s="47" t="str">
        <f>MID(C1869,1,4)</f>
        <v>2026</v>
      </c>
      <c r="E1869" t="str">
        <f>IF(Portfolio!$M$1=1,CONCATENATE(A1869,C1869),CONCATENATE(B1869,C1869))</f>
        <v>KAWAN LAMA202602</v>
      </c>
      <c r="F1869">
        <v>7172</v>
      </c>
      <c r="G1869">
        <v>0</v>
      </c>
      <c r="H1869">
        <v>0</v>
      </c>
      <c r="I1869">
        <v>107</v>
      </c>
      <c r="J1869">
        <v>58</v>
      </c>
      <c r="K1869">
        <v>5793766382</v>
      </c>
      <c r="L1869">
        <v>0</v>
      </c>
      <c r="M1869">
        <v>0</v>
      </c>
      <c r="N1869">
        <v>75256388</v>
      </c>
      <c r="O1869">
        <v>383721131</v>
      </c>
      <c r="P1869">
        <v>8690641</v>
      </c>
      <c r="Q1869">
        <v>0</v>
      </c>
      <c r="R1869">
        <v>0</v>
      </c>
      <c r="S1869">
        <v>526800</v>
      </c>
      <c r="T1869">
        <v>2686040</v>
      </c>
    </row>
    <row r="1870" spans="1:20" x14ac:dyDescent="0.25">
      <c r="A1870" t="s">
        <v>102</v>
      </c>
      <c r="B1870" t="s">
        <v>137</v>
      </c>
      <c r="C1870">
        <v>202602</v>
      </c>
      <c r="D1870" s="47" t="str">
        <f>MID(C1870,1,4)</f>
        <v>2026</v>
      </c>
      <c r="E1870" t="str">
        <f>IF(Portfolio!$M$1=1,CONCATENATE(A1870,C1870),CONCATENATE(B1870,C1870))</f>
        <v>KAWAN LAMA202602</v>
      </c>
      <c r="F1870">
        <v>144</v>
      </c>
      <c r="G1870">
        <v>0</v>
      </c>
      <c r="H1870">
        <v>0</v>
      </c>
      <c r="I1870">
        <v>0</v>
      </c>
      <c r="J1870">
        <v>1</v>
      </c>
      <c r="K1870">
        <v>696751200</v>
      </c>
      <c r="L1870">
        <v>0</v>
      </c>
      <c r="M1870">
        <v>0</v>
      </c>
      <c r="N1870">
        <v>0</v>
      </c>
      <c r="O1870">
        <v>51524450</v>
      </c>
      <c r="P1870">
        <v>1045126</v>
      </c>
      <c r="Q1870">
        <v>0</v>
      </c>
      <c r="R1870">
        <v>0</v>
      </c>
      <c r="S1870">
        <v>0</v>
      </c>
      <c r="T1870">
        <v>360670</v>
      </c>
    </row>
    <row r="1871" spans="1:20" x14ac:dyDescent="0.25">
      <c r="A1871" t="s">
        <v>101</v>
      </c>
      <c r="B1871" t="s">
        <v>101</v>
      </c>
      <c r="C1871">
        <v>202602</v>
      </c>
      <c r="D1871" s="47" t="str">
        <f>MID(C1871,1,4)</f>
        <v>2026</v>
      </c>
      <c r="E1871" t="str">
        <f>IF(Portfolio!$M$1=1,CONCATENATE(A1871,C1871),CONCATENATE(B1871,C1871))</f>
        <v>INDOMARET202602</v>
      </c>
      <c r="F1871">
        <v>148646</v>
      </c>
      <c r="G1871">
        <v>110348</v>
      </c>
      <c r="H1871">
        <v>52902</v>
      </c>
      <c r="I1871">
        <v>1</v>
      </c>
      <c r="J1871">
        <v>195</v>
      </c>
      <c r="K1871">
        <v>17525917174</v>
      </c>
      <c r="L1871">
        <v>10978708194</v>
      </c>
      <c r="M1871">
        <v>8661049942</v>
      </c>
      <c r="N1871">
        <v>23000</v>
      </c>
      <c r="O1871">
        <v>12865400</v>
      </c>
      <c r="P1871">
        <v>26288860</v>
      </c>
      <c r="Q1871">
        <v>109007692</v>
      </c>
      <c r="R1871">
        <v>144802905</v>
      </c>
      <c r="S1871">
        <v>161</v>
      </c>
      <c r="T1871">
        <v>13387</v>
      </c>
    </row>
    <row r="1872" spans="1:20" x14ac:dyDescent="0.25">
      <c r="A1872" t="s">
        <v>107</v>
      </c>
      <c r="B1872" t="s">
        <v>206</v>
      </c>
      <c r="C1872">
        <v>202602</v>
      </c>
      <c r="D1872" s="47" t="str">
        <f>MID(C1872,1,4)</f>
        <v>2026</v>
      </c>
      <c r="E1872" t="str">
        <f>IF(Portfolio!$M$1=1,CONCATENATE(A1872,C1872),CONCATENATE(B1872,C1872))</f>
        <v>MAP GROUP202602</v>
      </c>
      <c r="F1872">
        <v>40</v>
      </c>
      <c r="G1872">
        <v>146</v>
      </c>
      <c r="H1872">
        <v>236</v>
      </c>
      <c r="I1872">
        <v>0</v>
      </c>
      <c r="J1872">
        <v>0</v>
      </c>
      <c r="K1872">
        <v>56433824</v>
      </c>
      <c r="L1872">
        <v>219426848</v>
      </c>
      <c r="M1872">
        <v>387291730</v>
      </c>
      <c r="N1872">
        <v>0</v>
      </c>
      <c r="O1872">
        <v>0</v>
      </c>
      <c r="P1872">
        <v>84651</v>
      </c>
      <c r="Q1872">
        <v>2194268</v>
      </c>
      <c r="R1872">
        <v>5034792</v>
      </c>
      <c r="S1872">
        <v>0</v>
      </c>
      <c r="T1872">
        <v>0</v>
      </c>
    </row>
    <row r="1873" spans="1:20" x14ac:dyDescent="0.25">
      <c r="A1873" t="s">
        <v>107</v>
      </c>
      <c r="B1873" t="s">
        <v>176</v>
      </c>
      <c r="C1873">
        <v>202602</v>
      </c>
      <c r="D1873" s="47" t="str">
        <f>MID(C1873,1,4)</f>
        <v>2026</v>
      </c>
      <c r="E1873" t="str">
        <f>IF(Portfolio!$M$1=1,CONCATENATE(A1873,C1873),CONCATENATE(B1873,C1873))</f>
        <v>MAP GROUP202602</v>
      </c>
      <c r="F1873">
        <v>546</v>
      </c>
      <c r="G1873">
        <v>2438</v>
      </c>
      <c r="H1873">
        <v>3748</v>
      </c>
      <c r="I1873">
        <v>0</v>
      </c>
      <c r="J1873">
        <v>0</v>
      </c>
      <c r="K1873">
        <v>314846440</v>
      </c>
      <c r="L1873">
        <v>1561836006</v>
      </c>
      <c r="M1873">
        <v>2396164244</v>
      </c>
      <c r="N1873">
        <v>0</v>
      </c>
      <c r="O1873">
        <v>0</v>
      </c>
      <c r="P1873">
        <v>472269</v>
      </c>
      <c r="Q1873">
        <v>15614360</v>
      </c>
      <c r="R1873">
        <v>31150134</v>
      </c>
      <c r="S1873">
        <v>0</v>
      </c>
      <c r="T1873">
        <v>0</v>
      </c>
    </row>
    <row r="1874" spans="1:20" x14ac:dyDescent="0.25">
      <c r="A1874" t="s">
        <v>107</v>
      </c>
      <c r="B1874" t="s">
        <v>162</v>
      </c>
      <c r="C1874">
        <v>202602</v>
      </c>
      <c r="D1874" s="47" t="str">
        <f>MID(C1874,1,4)</f>
        <v>2026</v>
      </c>
      <c r="E1874" t="str">
        <f>IF(Portfolio!$M$1=1,CONCATENATE(A1874,C1874),CONCATENATE(B1874,C1874))</f>
        <v>MAP GROUP202602</v>
      </c>
      <c r="F1874">
        <v>164</v>
      </c>
      <c r="G1874">
        <v>514</v>
      </c>
      <c r="H1874">
        <v>508</v>
      </c>
      <c r="I1874">
        <v>0</v>
      </c>
      <c r="J1874">
        <v>0</v>
      </c>
      <c r="K1874">
        <v>153538960</v>
      </c>
      <c r="L1874">
        <v>494790240</v>
      </c>
      <c r="M1874">
        <v>473826528</v>
      </c>
      <c r="N1874">
        <v>0</v>
      </c>
      <c r="O1874">
        <v>0</v>
      </c>
      <c r="P1874">
        <v>230308</v>
      </c>
      <c r="Q1874">
        <v>4947902</v>
      </c>
      <c r="R1874">
        <v>6159745</v>
      </c>
      <c r="S1874">
        <v>0</v>
      </c>
      <c r="T1874">
        <v>0</v>
      </c>
    </row>
    <row r="1875" spans="1:20" x14ac:dyDescent="0.25">
      <c r="A1875" t="s">
        <v>107</v>
      </c>
      <c r="B1875" t="s">
        <v>199</v>
      </c>
      <c r="C1875">
        <v>202602</v>
      </c>
      <c r="D1875" s="47" t="str">
        <f>MID(C1875,1,4)</f>
        <v>2026</v>
      </c>
      <c r="E1875" t="str">
        <f>IF(Portfolio!$M$1=1,CONCATENATE(A1875,C1875),CONCATENATE(B1875,C1875))</f>
        <v>MAP GROUP202602</v>
      </c>
      <c r="F1875">
        <v>1030</v>
      </c>
      <c r="G1875">
        <v>2786</v>
      </c>
      <c r="H1875">
        <v>3662</v>
      </c>
      <c r="I1875">
        <v>0</v>
      </c>
      <c r="J1875">
        <v>0</v>
      </c>
      <c r="K1875">
        <v>1268416560</v>
      </c>
      <c r="L1875">
        <v>3659673612</v>
      </c>
      <c r="M1875">
        <v>4807708892</v>
      </c>
      <c r="N1875">
        <v>0</v>
      </c>
      <c r="O1875">
        <v>0</v>
      </c>
      <c r="P1875">
        <v>1902625</v>
      </c>
      <c r="Q1875">
        <v>36516282</v>
      </c>
      <c r="R1875">
        <v>62500215</v>
      </c>
      <c r="S1875">
        <v>0</v>
      </c>
      <c r="T1875">
        <v>0</v>
      </c>
    </row>
    <row r="1876" spans="1:20" x14ac:dyDescent="0.25">
      <c r="A1876" t="s">
        <v>107</v>
      </c>
      <c r="B1876" t="s">
        <v>170</v>
      </c>
      <c r="C1876">
        <v>202602</v>
      </c>
      <c r="D1876" s="47" t="str">
        <f>MID(C1876,1,4)</f>
        <v>2026</v>
      </c>
      <c r="E1876" t="str">
        <f>IF(Portfolio!$M$1=1,CONCATENATE(A1876,C1876),CONCATENATE(B1876,C1876))</f>
        <v>MAP GROUP202602</v>
      </c>
      <c r="F1876">
        <v>548</v>
      </c>
      <c r="G1876">
        <v>1578</v>
      </c>
      <c r="H1876">
        <v>1904</v>
      </c>
      <c r="I1876">
        <v>0</v>
      </c>
      <c r="J1876">
        <v>0</v>
      </c>
      <c r="K1876">
        <v>922438000</v>
      </c>
      <c r="L1876">
        <v>2659831026</v>
      </c>
      <c r="M1876">
        <v>3231677416</v>
      </c>
      <c r="N1876">
        <v>0</v>
      </c>
      <c r="O1876">
        <v>0</v>
      </c>
      <c r="P1876">
        <v>1383657</v>
      </c>
      <c r="Q1876">
        <v>26564330</v>
      </c>
      <c r="R1876">
        <v>42011806</v>
      </c>
      <c r="S1876">
        <v>0</v>
      </c>
      <c r="T1876">
        <v>0</v>
      </c>
    </row>
    <row r="1877" spans="1:20" x14ac:dyDescent="0.25">
      <c r="A1877" t="s">
        <v>107</v>
      </c>
      <c r="B1877" t="s">
        <v>186</v>
      </c>
      <c r="C1877">
        <v>202602</v>
      </c>
      <c r="D1877" s="47" t="str">
        <f>MID(C1877,1,4)</f>
        <v>2026</v>
      </c>
      <c r="E1877" t="str">
        <f>IF(Portfolio!$M$1=1,CONCATENATE(A1877,C1877),CONCATENATE(B1877,C1877))</f>
        <v>MAP GROUP202602</v>
      </c>
      <c r="F1877">
        <v>800</v>
      </c>
      <c r="G1877">
        <v>1676</v>
      </c>
      <c r="H1877">
        <v>1228</v>
      </c>
      <c r="I1877">
        <v>0</v>
      </c>
      <c r="J1877">
        <v>0</v>
      </c>
      <c r="K1877">
        <v>360016800</v>
      </c>
      <c r="L1877">
        <v>760440484</v>
      </c>
      <c r="M1877">
        <v>587249114</v>
      </c>
      <c r="N1877">
        <v>0</v>
      </c>
      <c r="O1877">
        <v>0</v>
      </c>
      <c r="P1877">
        <v>540025</v>
      </c>
      <c r="Q1877">
        <v>7557555</v>
      </c>
      <c r="R1877">
        <v>7634238</v>
      </c>
      <c r="S1877">
        <v>0</v>
      </c>
      <c r="T1877">
        <v>0</v>
      </c>
    </row>
    <row r="1878" spans="1:20" x14ac:dyDescent="0.25">
      <c r="A1878" t="s">
        <v>107</v>
      </c>
      <c r="B1878" t="s">
        <v>154</v>
      </c>
      <c r="C1878">
        <v>202602</v>
      </c>
      <c r="D1878" s="47" t="str">
        <f>MID(C1878,1,4)</f>
        <v>2026</v>
      </c>
      <c r="E1878" t="str">
        <f>IF(Portfolio!$M$1=1,CONCATENATE(A1878,C1878),CONCATENATE(B1878,C1878))</f>
        <v>MAP GROUP202602</v>
      </c>
      <c r="F1878">
        <v>72</v>
      </c>
      <c r="G1878">
        <v>208</v>
      </c>
      <c r="H1878">
        <v>508</v>
      </c>
      <c r="I1878">
        <v>0</v>
      </c>
      <c r="J1878">
        <v>0</v>
      </c>
      <c r="K1878">
        <v>185862400</v>
      </c>
      <c r="L1878">
        <v>499141000</v>
      </c>
      <c r="M1878">
        <v>1137552200</v>
      </c>
      <c r="N1878">
        <v>0</v>
      </c>
      <c r="O1878">
        <v>0</v>
      </c>
      <c r="P1878">
        <v>278794</v>
      </c>
      <c r="Q1878">
        <v>4991410</v>
      </c>
      <c r="R1878">
        <v>14788179</v>
      </c>
      <c r="S1878">
        <v>0</v>
      </c>
      <c r="T1878">
        <v>0</v>
      </c>
    </row>
    <row r="1879" spans="1:20" x14ac:dyDescent="0.25">
      <c r="A1879" t="s">
        <v>107</v>
      </c>
      <c r="B1879" t="s">
        <v>151</v>
      </c>
      <c r="C1879">
        <v>202602</v>
      </c>
      <c r="D1879" s="47" t="str">
        <f>MID(C1879,1,4)</f>
        <v>2026</v>
      </c>
      <c r="E1879" t="str">
        <f>IF(Portfolio!$M$1=1,CONCATENATE(A1879,C1879),CONCATENATE(B1879,C1879))</f>
        <v>MAP GROUP202602</v>
      </c>
      <c r="F1879">
        <v>78</v>
      </c>
      <c r="G1879">
        <v>430</v>
      </c>
      <c r="H1879">
        <v>544</v>
      </c>
      <c r="I1879">
        <v>0</v>
      </c>
      <c r="J1879">
        <v>0</v>
      </c>
      <c r="K1879">
        <v>184166000</v>
      </c>
      <c r="L1879">
        <v>706775400</v>
      </c>
      <c r="M1879">
        <v>859040076</v>
      </c>
      <c r="N1879">
        <v>0</v>
      </c>
      <c r="O1879">
        <v>0</v>
      </c>
      <c r="P1879">
        <v>276249</v>
      </c>
      <c r="Q1879">
        <v>6991554</v>
      </c>
      <c r="R1879">
        <v>11167521</v>
      </c>
      <c r="S1879">
        <v>0</v>
      </c>
      <c r="T1879">
        <v>0</v>
      </c>
    </row>
    <row r="1880" spans="1:20" x14ac:dyDescent="0.25">
      <c r="A1880" t="s">
        <v>107</v>
      </c>
      <c r="B1880" t="s">
        <v>189</v>
      </c>
      <c r="C1880">
        <v>202602</v>
      </c>
      <c r="D1880" s="47" t="str">
        <f>MID(C1880,1,4)</f>
        <v>2026</v>
      </c>
      <c r="E1880" t="str">
        <f>IF(Portfolio!$M$1=1,CONCATENATE(A1880,C1880),CONCATENATE(B1880,C1880))</f>
        <v>MAP GROUP202602</v>
      </c>
      <c r="F1880">
        <v>294</v>
      </c>
      <c r="G1880">
        <v>1044</v>
      </c>
      <c r="H1880">
        <v>2044</v>
      </c>
      <c r="I1880">
        <v>0</v>
      </c>
      <c r="J1880">
        <v>0</v>
      </c>
      <c r="K1880">
        <v>323965760</v>
      </c>
      <c r="L1880">
        <v>1404354564</v>
      </c>
      <c r="M1880">
        <v>2670872116</v>
      </c>
      <c r="N1880">
        <v>0</v>
      </c>
      <c r="O1880">
        <v>0</v>
      </c>
      <c r="P1880">
        <v>485949</v>
      </c>
      <c r="Q1880">
        <v>14008510</v>
      </c>
      <c r="R1880">
        <v>34721337</v>
      </c>
      <c r="S1880">
        <v>0</v>
      </c>
      <c r="T1880">
        <v>0</v>
      </c>
    </row>
    <row r="1881" spans="1:20" x14ac:dyDescent="0.25">
      <c r="A1881" t="s">
        <v>107</v>
      </c>
      <c r="B1881" t="s">
        <v>203</v>
      </c>
      <c r="C1881">
        <v>202602</v>
      </c>
      <c r="D1881" s="47" t="str">
        <f>MID(C1881,1,4)</f>
        <v>2026</v>
      </c>
      <c r="E1881" t="str">
        <f>IF(Portfolio!$M$1=1,CONCATENATE(A1881,C1881),CONCATENATE(B1881,C1881))</f>
        <v>MAP GROUP202602</v>
      </c>
      <c r="F1881">
        <v>3560</v>
      </c>
      <c r="G1881">
        <v>10472</v>
      </c>
      <c r="H1881">
        <v>10214</v>
      </c>
      <c r="I1881">
        <v>0</v>
      </c>
      <c r="J1881">
        <v>0</v>
      </c>
      <c r="K1881">
        <v>1992989352</v>
      </c>
      <c r="L1881">
        <v>6993362756</v>
      </c>
      <c r="M1881">
        <v>7377328968</v>
      </c>
      <c r="N1881">
        <v>0</v>
      </c>
      <c r="O1881">
        <v>0</v>
      </c>
      <c r="P1881">
        <v>2989484</v>
      </c>
      <c r="Q1881">
        <v>69736720</v>
      </c>
      <c r="R1881">
        <v>95905276</v>
      </c>
      <c r="S1881">
        <v>0</v>
      </c>
      <c r="T1881">
        <v>0</v>
      </c>
    </row>
    <row r="1882" spans="1:20" x14ac:dyDescent="0.25">
      <c r="A1882" t="s">
        <v>114</v>
      </c>
      <c r="B1882" t="s">
        <v>218</v>
      </c>
      <c r="C1882">
        <v>202602</v>
      </c>
      <c r="D1882" s="47" t="str">
        <f>MID(C1882,1,4)</f>
        <v>2026</v>
      </c>
      <c r="E1882" t="str">
        <f>IF(Portfolio!$M$1=1,CONCATENATE(A1882,C1882),CONCATENATE(B1882,C1882))</f>
        <v>PIZZA HUT202602</v>
      </c>
      <c r="F1882">
        <v>712</v>
      </c>
      <c r="G1882">
        <v>0</v>
      </c>
      <c r="H1882">
        <v>0</v>
      </c>
      <c r="I1882">
        <v>0</v>
      </c>
      <c r="J1882">
        <v>37</v>
      </c>
      <c r="K1882">
        <v>193588584</v>
      </c>
      <c r="L1882">
        <v>0</v>
      </c>
      <c r="M1882">
        <v>0</v>
      </c>
      <c r="N1882">
        <v>0</v>
      </c>
      <c r="O1882">
        <v>1425000</v>
      </c>
      <c r="P1882">
        <v>290381</v>
      </c>
      <c r="Q1882">
        <v>0</v>
      </c>
      <c r="R1882">
        <v>0</v>
      </c>
      <c r="S1882">
        <v>0</v>
      </c>
      <c r="T1882">
        <v>0</v>
      </c>
    </row>
    <row r="1883" spans="1:20" x14ac:dyDescent="0.25">
      <c r="A1883" t="s">
        <v>112</v>
      </c>
      <c r="B1883" t="s">
        <v>216</v>
      </c>
      <c r="C1883">
        <v>202602</v>
      </c>
      <c r="D1883" s="47" t="str">
        <f>MID(C1883,1,4)</f>
        <v>2026</v>
      </c>
      <c r="E1883" t="str">
        <f>IF(Portfolio!$M$1=1,CONCATENATE(A1883,C1883),CONCATENATE(B1883,C1883))</f>
        <v>PERTAMINA RETAIL202602</v>
      </c>
      <c r="F1883">
        <v>584</v>
      </c>
      <c r="G1883">
        <v>5812</v>
      </c>
      <c r="H1883">
        <v>1118</v>
      </c>
      <c r="I1883">
        <v>68</v>
      </c>
      <c r="J1883">
        <v>14847</v>
      </c>
      <c r="K1883">
        <v>154327912</v>
      </c>
      <c r="L1883">
        <v>1138326030</v>
      </c>
      <c r="M1883">
        <v>331687002</v>
      </c>
      <c r="N1883">
        <v>10481942</v>
      </c>
      <c r="O1883">
        <v>1797130013</v>
      </c>
      <c r="P1883">
        <v>231492</v>
      </c>
      <c r="Q1883">
        <v>10407121</v>
      </c>
      <c r="R1883">
        <v>5970365</v>
      </c>
      <c r="S1883">
        <v>41840</v>
      </c>
      <c r="T1883">
        <v>4367248</v>
      </c>
    </row>
    <row r="1884" spans="1:20" x14ac:dyDescent="0.25">
      <c r="A1884" t="s">
        <v>107</v>
      </c>
      <c r="B1884" t="s">
        <v>205</v>
      </c>
      <c r="C1884">
        <v>202602</v>
      </c>
      <c r="D1884" s="47" t="str">
        <f>MID(C1884,1,4)</f>
        <v>2026</v>
      </c>
      <c r="E1884" t="str">
        <f>IF(Portfolio!$M$1=1,CONCATENATE(A1884,C1884),CONCATENATE(B1884,C1884))</f>
        <v>MAP GROUP202602</v>
      </c>
      <c r="F1884">
        <v>2366</v>
      </c>
      <c r="G1884">
        <v>3222</v>
      </c>
      <c r="H1884">
        <v>21250</v>
      </c>
      <c r="I1884">
        <v>0</v>
      </c>
      <c r="J1884">
        <v>0</v>
      </c>
      <c r="K1884">
        <v>412556400</v>
      </c>
      <c r="L1884">
        <v>450885212</v>
      </c>
      <c r="M1884">
        <v>2790333560</v>
      </c>
      <c r="N1884">
        <v>0</v>
      </c>
      <c r="O1884">
        <v>0</v>
      </c>
      <c r="P1884">
        <v>618835</v>
      </c>
      <c r="Q1884">
        <v>3883778</v>
      </c>
      <c r="R1884">
        <v>36274336</v>
      </c>
      <c r="S1884">
        <v>0</v>
      </c>
      <c r="T1884">
        <v>0</v>
      </c>
    </row>
    <row r="1885" spans="1:20" x14ac:dyDescent="0.25">
      <c r="A1885" t="s">
        <v>107</v>
      </c>
      <c r="B1885" t="s">
        <v>198</v>
      </c>
      <c r="C1885">
        <v>202602</v>
      </c>
      <c r="D1885" s="47" t="str">
        <f>MID(C1885,1,4)</f>
        <v>2026</v>
      </c>
      <c r="E1885" t="str">
        <f>IF(Portfolio!$M$1=1,CONCATENATE(A1885,C1885),CONCATENATE(B1885,C1885))</f>
        <v>MAP GROUP202602</v>
      </c>
      <c r="F1885">
        <v>408</v>
      </c>
      <c r="G1885">
        <v>20</v>
      </c>
      <c r="H1885">
        <v>66</v>
      </c>
      <c r="I1885">
        <v>0</v>
      </c>
      <c r="J1885">
        <v>0</v>
      </c>
      <c r="K1885">
        <v>802731600</v>
      </c>
      <c r="L1885">
        <v>32992000</v>
      </c>
      <c r="M1885">
        <v>82909800</v>
      </c>
      <c r="N1885">
        <v>0</v>
      </c>
      <c r="O1885">
        <v>0</v>
      </c>
      <c r="P1885">
        <v>1204097</v>
      </c>
      <c r="Q1885">
        <v>329920</v>
      </c>
      <c r="R1885">
        <v>1077827</v>
      </c>
      <c r="S1885">
        <v>0</v>
      </c>
      <c r="T1885">
        <v>0</v>
      </c>
    </row>
    <row r="1886" spans="1:20" x14ac:dyDescent="0.25">
      <c r="A1886" t="s">
        <v>120</v>
      </c>
      <c r="B1886" t="s">
        <v>120</v>
      </c>
      <c r="C1886">
        <v>202602</v>
      </c>
      <c r="D1886" s="47" t="str">
        <f>MID(C1886,1,4)</f>
        <v>2026</v>
      </c>
      <c r="E1886" t="str">
        <f>IF(Portfolio!$M$1=1,CONCATENATE(A1886,C1886),CONCATENATE(B1886,C1886))</f>
        <v>SHIHLIN202602</v>
      </c>
      <c r="F1886">
        <v>154</v>
      </c>
      <c r="G1886">
        <v>64</v>
      </c>
      <c r="H1886">
        <v>14</v>
      </c>
      <c r="I1886">
        <v>50</v>
      </c>
      <c r="J1886">
        <v>371</v>
      </c>
      <c r="K1886">
        <v>10398800</v>
      </c>
      <c r="L1886">
        <v>4262000</v>
      </c>
      <c r="M1886">
        <v>954000</v>
      </c>
      <c r="N1886">
        <v>3073600</v>
      </c>
      <c r="O1886">
        <v>83659803</v>
      </c>
      <c r="P1886">
        <v>15598</v>
      </c>
      <c r="Q1886">
        <v>42620</v>
      </c>
      <c r="R1886">
        <v>19080</v>
      </c>
      <c r="S1886">
        <v>21411</v>
      </c>
      <c r="T1886">
        <v>541202</v>
      </c>
    </row>
    <row r="1887" spans="1:20" x14ac:dyDescent="0.25">
      <c r="A1887" t="s">
        <v>76</v>
      </c>
      <c r="B1887" t="s">
        <v>76</v>
      </c>
      <c r="C1887">
        <v>202602</v>
      </c>
      <c r="D1887" s="47" t="str">
        <f>MID(C1887,1,4)</f>
        <v>2026</v>
      </c>
      <c r="E1887" t="str">
        <f>IF(Portfolio!$M$1=1,CONCATENATE(A1887,C1887),CONCATENATE(B1887,C1887))</f>
        <v>DAMRI202602</v>
      </c>
      <c r="F1887">
        <v>0</v>
      </c>
      <c r="G1887">
        <v>10</v>
      </c>
      <c r="H1887">
        <v>0</v>
      </c>
      <c r="I1887">
        <v>0</v>
      </c>
      <c r="J1887">
        <v>37</v>
      </c>
      <c r="K1887">
        <v>0</v>
      </c>
      <c r="L1887">
        <v>3330000</v>
      </c>
      <c r="M1887">
        <v>0</v>
      </c>
      <c r="N1887">
        <v>0</v>
      </c>
      <c r="O1887">
        <v>10625550</v>
      </c>
      <c r="P1887">
        <v>0</v>
      </c>
      <c r="Q1887">
        <v>33300</v>
      </c>
      <c r="R1887">
        <v>0</v>
      </c>
      <c r="S1887">
        <v>0</v>
      </c>
      <c r="T1887">
        <v>74379</v>
      </c>
    </row>
    <row r="1888" spans="1:20" x14ac:dyDescent="0.25">
      <c r="A1888" t="s">
        <v>107</v>
      </c>
      <c r="B1888" t="s">
        <v>167</v>
      </c>
      <c r="C1888">
        <v>202602</v>
      </c>
      <c r="D1888" s="47" t="str">
        <f>MID(C1888,1,4)</f>
        <v>2026</v>
      </c>
      <c r="E1888" t="str">
        <f>IF(Portfolio!$M$1=1,CONCATENATE(A1888,C1888),CONCATENATE(B1888,C1888))</f>
        <v>MAP GROUP202602</v>
      </c>
      <c r="F1888">
        <v>38</v>
      </c>
      <c r="G1888">
        <v>88</v>
      </c>
      <c r="H1888">
        <v>210</v>
      </c>
      <c r="I1888">
        <v>0</v>
      </c>
      <c r="J1888">
        <v>0</v>
      </c>
      <c r="K1888">
        <v>83884280</v>
      </c>
      <c r="L1888">
        <v>147810096</v>
      </c>
      <c r="M1888">
        <v>343305680</v>
      </c>
      <c r="N1888">
        <v>0</v>
      </c>
      <c r="O1888">
        <v>0</v>
      </c>
      <c r="P1888">
        <v>125826</v>
      </c>
      <c r="Q1888">
        <v>1478101</v>
      </c>
      <c r="R1888">
        <v>4462974</v>
      </c>
      <c r="S1888">
        <v>0</v>
      </c>
      <c r="T1888">
        <v>0</v>
      </c>
    </row>
    <row r="1889" spans="1:20" x14ac:dyDescent="0.25">
      <c r="A1889" t="s">
        <v>109</v>
      </c>
      <c r="B1889" t="s">
        <v>109</v>
      </c>
      <c r="C1889">
        <v>202602</v>
      </c>
      <c r="D1889" s="47" t="str">
        <f>MID(C1889,1,4)</f>
        <v>2026</v>
      </c>
      <c r="E1889" t="str">
        <f>IF(Portfolio!$M$1=1,CONCATENATE(A1889,C1889),CONCATENATE(B1889,C1889))</f>
        <v>MITRA10202602</v>
      </c>
      <c r="F1889">
        <v>3506</v>
      </c>
      <c r="G1889">
        <v>0</v>
      </c>
      <c r="H1889">
        <v>2</v>
      </c>
      <c r="I1889">
        <v>0</v>
      </c>
      <c r="J1889">
        <v>0</v>
      </c>
      <c r="K1889">
        <v>8638373124</v>
      </c>
      <c r="L1889">
        <v>0</v>
      </c>
      <c r="M1889">
        <v>8921888</v>
      </c>
      <c r="N1889">
        <v>0</v>
      </c>
      <c r="O1889">
        <v>0</v>
      </c>
      <c r="P1889">
        <v>12957551</v>
      </c>
      <c r="Q1889">
        <v>0</v>
      </c>
      <c r="R1889">
        <v>160594</v>
      </c>
      <c r="S1889">
        <v>0</v>
      </c>
      <c r="T1889">
        <v>0</v>
      </c>
    </row>
    <row r="1890" spans="1:20" x14ac:dyDescent="0.25">
      <c r="A1890" t="s">
        <v>107</v>
      </c>
      <c r="B1890" t="s">
        <v>156</v>
      </c>
      <c r="C1890">
        <v>202602</v>
      </c>
      <c r="D1890" s="47" t="str">
        <f>MID(C1890,1,4)</f>
        <v>2026</v>
      </c>
      <c r="E1890" t="str">
        <f>IF(Portfolio!$M$1=1,CONCATENATE(A1890,C1890),CONCATENATE(B1890,C1890))</f>
        <v>MAP GROUP202602</v>
      </c>
      <c r="F1890">
        <v>0</v>
      </c>
      <c r="G1890">
        <v>24</v>
      </c>
      <c r="H1890">
        <v>36</v>
      </c>
      <c r="I1890">
        <v>0</v>
      </c>
      <c r="J1890">
        <v>0</v>
      </c>
      <c r="K1890">
        <v>0</v>
      </c>
      <c r="L1890">
        <v>44732600</v>
      </c>
      <c r="M1890">
        <v>69523600</v>
      </c>
      <c r="N1890">
        <v>0</v>
      </c>
      <c r="O1890">
        <v>0</v>
      </c>
      <c r="P1890">
        <v>0</v>
      </c>
      <c r="Q1890">
        <v>447326</v>
      </c>
      <c r="R1890">
        <v>903807</v>
      </c>
      <c r="S1890">
        <v>0</v>
      </c>
      <c r="T1890">
        <v>0</v>
      </c>
    </row>
    <row r="1891" spans="1:20" x14ac:dyDescent="0.25">
      <c r="A1891" t="s">
        <v>107</v>
      </c>
      <c r="B1891" t="s">
        <v>200</v>
      </c>
      <c r="C1891">
        <v>202602</v>
      </c>
      <c r="D1891" s="47" t="str">
        <f>MID(C1891,1,4)</f>
        <v>2026</v>
      </c>
      <c r="E1891" t="str">
        <f>IF(Portfolio!$M$1=1,CONCATENATE(A1891,C1891),CONCATENATE(B1891,C1891))</f>
        <v>MAP GROUP202602</v>
      </c>
      <c r="F1891">
        <v>40</v>
      </c>
      <c r="G1891">
        <v>164</v>
      </c>
      <c r="H1891">
        <v>290</v>
      </c>
      <c r="I1891">
        <v>0</v>
      </c>
      <c r="J1891">
        <v>0</v>
      </c>
      <c r="K1891">
        <v>58136000</v>
      </c>
      <c r="L1891">
        <v>174925550</v>
      </c>
      <c r="M1891">
        <v>320710578</v>
      </c>
      <c r="N1891">
        <v>0</v>
      </c>
      <c r="O1891">
        <v>0</v>
      </c>
      <c r="P1891">
        <v>87204</v>
      </c>
      <c r="Q1891">
        <v>1749256</v>
      </c>
      <c r="R1891">
        <v>4169237</v>
      </c>
      <c r="S1891">
        <v>0</v>
      </c>
      <c r="T1891">
        <v>0</v>
      </c>
    </row>
    <row r="1892" spans="1:20" x14ac:dyDescent="0.25">
      <c r="A1892" t="s">
        <v>80</v>
      </c>
      <c r="B1892" t="s">
        <v>80</v>
      </c>
      <c r="C1892">
        <v>202602</v>
      </c>
      <c r="D1892" s="47" t="str">
        <f>MID(C1892,1,4)</f>
        <v>2026</v>
      </c>
      <c r="E1892" t="str">
        <f>IF(Portfolio!$M$1=1,CONCATENATE(A1892,C1892),CONCATENATE(B1892,C1892))</f>
        <v>DWIDAYA202602</v>
      </c>
      <c r="F1892">
        <v>156</v>
      </c>
      <c r="G1892">
        <v>4</v>
      </c>
      <c r="H1892">
        <v>0</v>
      </c>
      <c r="I1892">
        <v>0</v>
      </c>
      <c r="J1892">
        <v>71</v>
      </c>
      <c r="K1892">
        <v>3766656400</v>
      </c>
      <c r="L1892">
        <v>24340000</v>
      </c>
      <c r="M1892">
        <v>0</v>
      </c>
      <c r="N1892">
        <v>0</v>
      </c>
      <c r="O1892">
        <v>222514700</v>
      </c>
      <c r="P1892">
        <v>5649985</v>
      </c>
      <c r="Q1892">
        <v>243400</v>
      </c>
      <c r="R1892">
        <v>0</v>
      </c>
      <c r="S1892">
        <v>0</v>
      </c>
      <c r="T1892">
        <v>1557603</v>
      </c>
    </row>
    <row r="1893" spans="1:20" x14ac:dyDescent="0.25">
      <c r="A1893" t="s">
        <v>97</v>
      </c>
      <c r="B1893" t="s">
        <v>97</v>
      </c>
      <c r="C1893">
        <v>202602</v>
      </c>
      <c r="D1893" s="47" t="str">
        <f>MID(C1893,1,4)</f>
        <v>2026</v>
      </c>
      <c r="E1893" t="str">
        <f>IF(Portfolio!$M$1=1,CONCATENATE(A1893,C1893),CONCATENATE(B1893,C1893))</f>
        <v>HOP HOP202602</v>
      </c>
      <c r="F1893">
        <v>0</v>
      </c>
      <c r="G1893">
        <v>0</v>
      </c>
      <c r="H1893">
        <v>0</v>
      </c>
      <c r="I1893">
        <v>219</v>
      </c>
      <c r="J1893">
        <v>5118</v>
      </c>
      <c r="K1893">
        <v>0</v>
      </c>
      <c r="L1893">
        <v>0</v>
      </c>
      <c r="M1893">
        <v>0</v>
      </c>
      <c r="N1893">
        <v>6479541</v>
      </c>
      <c r="O1893">
        <v>98893468</v>
      </c>
      <c r="P1893">
        <v>0</v>
      </c>
      <c r="Q1893">
        <v>0</v>
      </c>
      <c r="R1893">
        <v>0</v>
      </c>
      <c r="S1893">
        <v>0</v>
      </c>
      <c r="T1893">
        <v>2520</v>
      </c>
    </row>
    <row r="1894" spans="1:20" x14ac:dyDescent="0.25">
      <c r="A1894" t="s">
        <v>70</v>
      </c>
      <c r="B1894" t="s">
        <v>70</v>
      </c>
      <c r="C1894">
        <v>202602</v>
      </c>
      <c r="D1894" s="47" t="str">
        <f>MID(C1894,1,4)</f>
        <v>2026</v>
      </c>
      <c r="E1894" t="str">
        <f>IF(Portfolio!$M$1=1,CONCATENATE(A1894,C1894),CONCATENATE(B1894,C1894))</f>
        <v>ANCOL202602</v>
      </c>
      <c r="F1894">
        <v>150</v>
      </c>
      <c r="G1894">
        <v>1896</v>
      </c>
      <c r="H1894">
        <v>648</v>
      </c>
      <c r="I1894">
        <v>23</v>
      </c>
      <c r="J1894">
        <v>34283</v>
      </c>
      <c r="K1894">
        <v>174068480</v>
      </c>
      <c r="L1894">
        <v>1013383600</v>
      </c>
      <c r="M1894">
        <v>380573600</v>
      </c>
      <c r="N1894">
        <v>1548076</v>
      </c>
      <c r="O1894">
        <v>5406789128</v>
      </c>
      <c r="P1894">
        <v>261103</v>
      </c>
      <c r="Q1894">
        <v>10083148</v>
      </c>
      <c r="R1894">
        <v>6725595</v>
      </c>
      <c r="S1894">
        <v>0</v>
      </c>
      <c r="T1894">
        <v>37383903</v>
      </c>
    </row>
    <row r="1895" spans="1:20" x14ac:dyDescent="0.25">
      <c r="A1895" t="s">
        <v>102</v>
      </c>
      <c r="B1895" t="s">
        <v>135</v>
      </c>
      <c r="C1895">
        <v>202602</v>
      </c>
      <c r="D1895" s="47" t="str">
        <f>MID(C1895,1,4)</f>
        <v>2026</v>
      </c>
      <c r="E1895" t="str">
        <f>IF(Portfolio!$M$1=1,CONCATENATE(A1895,C1895),CONCATENATE(B1895,C1895))</f>
        <v>KAWAN LAMA202602</v>
      </c>
      <c r="F1895">
        <v>2658</v>
      </c>
      <c r="G1895">
        <v>0</v>
      </c>
      <c r="H1895">
        <v>0</v>
      </c>
      <c r="I1895">
        <v>2</v>
      </c>
      <c r="J1895">
        <v>13</v>
      </c>
      <c r="K1895">
        <v>9883497360</v>
      </c>
      <c r="L1895">
        <v>0</v>
      </c>
      <c r="M1895">
        <v>0</v>
      </c>
      <c r="N1895">
        <v>704900</v>
      </c>
      <c r="O1895">
        <v>399217815</v>
      </c>
      <c r="P1895">
        <v>14825245</v>
      </c>
      <c r="Q1895">
        <v>0</v>
      </c>
      <c r="R1895">
        <v>0</v>
      </c>
      <c r="S1895">
        <v>4934</v>
      </c>
      <c r="T1895">
        <v>2794517</v>
      </c>
    </row>
    <row r="1896" spans="1:20" x14ac:dyDescent="0.25">
      <c r="A1896" t="s">
        <v>73</v>
      </c>
      <c r="B1896" t="s">
        <v>73</v>
      </c>
      <c r="C1896">
        <v>202602</v>
      </c>
      <c r="D1896" s="47" t="str">
        <f>MID(C1896,1,4)</f>
        <v>2026</v>
      </c>
      <c r="E1896" t="str">
        <f>IF(Portfolio!$M$1=1,CONCATENATE(A1896,C1896),CONCATENATE(B1896,C1896))</f>
        <v>BANBAN TEA202602</v>
      </c>
      <c r="F1896">
        <v>8</v>
      </c>
      <c r="G1896">
        <v>0</v>
      </c>
      <c r="H1896">
        <v>0</v>
      </c>
      <c r="I1896">
        <v>0</v>
      </c>
      <c r="J1896">
        <v>0</v>
      </c>
      <c r="K1896">
        <v>450960</v>
      </c>
      <c r="L1896">
        <v>0</v>
      </c>
      <c r="M1896">
        <v>0</v>
      </c>
      <c r="N1896">
        <v>0</v>
      </c>
      <c r="O1896">
        <v>0</v>
      </c>
      <c r="P1896">
        <v>676</v>
      </c>
      <c r="Q1896">
        <v>0</v>
      </c>
      <c r="R1896">
        <v>0</v>
      </c>
      <c r="S1896">
        <v>0</v>
      </c>
      <c r="T1896">
        <v>0</v>
      </c>
    </row>
    <row r="1897" spans="1:20" x14ac:dyDescent="0.25">
      <c r="A1897" t="s">
        <v>122</v>
      </c>
      <c r="B1897" t="s">
        <v>122</v>
      </c>
      <c r="C1897">
        <v>202602</v>
      </c>
      <c r="D1897" s="47" t="str">
        <f>MID(C1897,1,4)</f>
        <v>2026</v>
      </c>
      <c r="E1897" t="str">
        <f>IF(Portfolio!$M$1=1,CONCATENATE(A1897,C1897),CONCATENATE(B1897,C1897))</f>
        <v>SOLARIA202602</v>
      </c>
      <c r="F1897">
        <v>14486</v>
      </c>
      <c r="G1897">
        <v>12</v>
      </c>
      <c r="H1897">
        <v>16</v>
      </c>
      <c r="I1897">
        <v>25</v>
      </c>
      <c r="J1897">
        <v>1241</v>
      </c>
      <c r="K1897">
        <v>2179392400</v>
      </c>
      <c r="L1897">
        <v>1938000</v>
      </c>
      <c r="M1897">
        <v>1376000</v>
      </c>
      <c r="N1897">
        <v>3152000</v>
      </c>
      <c r="O1897">
        <v>219057438</v>
      </c>
      <c r="P1897">
        <v>3269089</v>
      </c>
      <c r="Q1897">
        <v>19380</v>
      </c>
      <c r="R1897">
        <v>20640</v>
      </c>
      <c r="S1897">
        <v>22064</v>
      </c>
      <c r="T1897">
        <v>1533400</v>
      </c>
    </row>
    <row r="1898" spans="1:20" x14ac:dyDescent="0.25">
      <c r="A1898" t="s">
        <v>102</v>
      </c>
      <c r="B1898" t="s">
        <v>125</v>
      </c>
      <c r="C1898">
        <v>202602</v>
      </c>
      <c r="D1898" s="47" t="str">
        <f>MID(C1898,1,4)</f>
        <v>2026</v>
      </c>
      <c r="E1898" t="str">
        <f>IF(Portfolio!$M$1=1,CONCATENATE(A1898,C1898),CONCATENATE(B1898,C1898))</f>
        <v>KAWAN LAMA202602</v>
      </c>
      <c r="F1898">
        <v>1860</v>
      </c>
      <c r="G1898">
        <v>0</v>
      </c>
      <c r="H1898">
        <v>0</v>
      </c>
      <c r="I1898">
        <v>2</v>
      </c>
      <c r="J1898">
        <v>126</v>
      </c>
      <c r="K1898">
        <v>130009824</v>
      </c>
      <c r="L1898">
        <v>0</v>
      </c>
      <c r="M1898">
        <v>0</v>
      </c>
      <c r="N1898">
        <v>101076</v>
      </c>
      <c r="O1898">
        <v>37644629</v>
      </c>
      <c r="P1898">
        <v>195015</v>
      </c>
      <c r="Q1898">
        <v>0</v>
      </c>
      <c r="R1898">
        <v>0</v>
      </c>
      <c r="S1898">
        <v>708</v>
      </c>
      <c r="T1898">
        <v>263566</v>
      </c>
    </row>
    <row r="1899" spans="1:20" x14ac:dyDescent="0.25">
      <c r="A1899" t="s">
        <v>102</v>
      </c>
      <c r="B1899" t="s">
        <v>131</v>
      </c>
      <c r="C1899">
        <v>202602</v>
      </c>
      <c r="D1899" s="47" t="str">
        <f>MID(C1899,1,4)</f>
        <v>2026</v>
      </c>
      <c r="E1899" t="str">
        <f>IF(Portfolio!$M$1=1,CONCATENATE(A1899,C1899),CONCATENATE(B1899,C1899))</f>
        <v>KAWAN LAMA202602</v>
      </c>
      <c r="F1899">
        <v>104</v>
      </c>
      <c r="G1899">
        <v>0</v>
      </c>
      <c r="H1899">
        <v>0</v>
      </c>
      <c r="I1899">
        <v>0</v>
      </c>
      <c r="J1899">
        <v>37</v>
      </c>
      <c r="K1899">
        <v>6328000</v>
      </c>
      <c r="L1899">
        <v>0</v>
      </c>
      <c r="M1899">
        <v>0</v>
      </c>
      <c r="N1899">
        <v>0</v>
      </c>
      <c r="O1899">
        <v>6373975</v>
      </c>
      <c r="P1899">
        <v>9492</v>
      </c>
      <c r="Q1899">
        <v>0</v>
      </c>
      <c r="R1899">
        <v>0</v>
      </c>
      <c r="S1899">
        <v>0</v>
      </c>
      <c r="T1899">
        <v>3138</v>
      </c>
    </row>
    <row r="1900" spans="1:20" x14ac:dyDescent="0.25">
      <c r="A1900" t="s">
        <v>107</v>
      </c>
      <c r="B1900" t="s">
        <v>204</v>
      </c>
      <c r="C1900">
        <v>202602</v>
      </c>
      <c r="D1900" s="47" t="str">
        <f>MID(C1900,1,4)</f>
        <v>2026</v>
      </c>
      <c r="E1900" t="str">
        <f>IF(Portfolio!$M$1=1,CONCATENATE(A1900,C1900),CONCATENATE(B1900,C1900))</f>
        <v>MAP GROUP202602</v>
      </c>
      <c r="F1900">
        <v>64</v>
      </c>
      <c r="G1900">
        <v>162</v>
      </c>
      <c r="H1900">
        <v>356</v>
      </c>
      <c r="I1900">
        <v>0</v>
      </c>
      <c r="J1900">
        <v>0</v>
      </c>
      <c r="K1900">
        <v>120533920</v>
      </c>
      <c r="L1900">
        <v>323109312</v>
      </c>
      <c r="M1900">
        <v>771573796</v>
      </c>
      <c r="N1900">
        <v>0</v>
      </c>
      <c r="O1900">
        <v>0</v>
      </c>
      <c r="P1900">
        <v>180801</v>
      </c>
      <c r="Q1900">
        <v>3231093</v>
      </c>
      <c r="R1900">
        <v>10030459</v>
      </c>
      <c r="S1900">
        <v>0</v>
      </c>
      <c r="T1900">
        <v>0</v>
      </c>
    </row>
    <row r="1901" spans="1:20" x14ac:dyDescent="0.25">
      <c r="A1901" t="s">
        <v>107</v>
      </c>
      <c r="B1901" t="s">
        <v>163</v>
      </c>
      <c r="C1901">
        <v>202602</v>
      </c>
      <c r="D1901" s="47" t="str">
        <f>MID(C1901,1,4)</f>
        <v>2026</v>
      </c>
      <c r="E1901" t="str">
        <f>IF(Portfolio!$M$1=1,CONCATENATE(A1901,C1901),CONCATENATE(B1901,C1901))</f>
        <v>MAP GROUP202602</v>
      </c>
      <c r="F1901">
        <v>436</v>
      </c>
      <c r="G1901">
        <v>1692</v>
      </c>
      <c r="H1901">
        <v>1714</v>
      </c>
      <c r="I1901">
        <v>0</v>
      </c>
      <c r="J1901">
        <v>0</v>
      </c>
      <c r="K1901">
        <v>582438704</v>
      </c>
      <c r="L1901">
        <v>2151114000</v>
      </c>
      <c r="M1901">
        <v>2193620136</v>
      </c>
      <c r="N1901">
        <v>0</v>
      </c>
      <c r="O1901">
        <v>0</v>
      </c>
      <c r="P1901">
        <v>873658</v>
      </c>
      <c r="Q1901">
        <v>21481060</v>
      </c>
      <c r="R1901">
        <v>28517062</v>
      </c>
      <c r="S1901">
        <v>0</v>
      </c>
      <c r="T1901">
        <v>0</v>
      </c>
    </row>
    <row r="1902" spans="1:20" x14ac:dyDescent="0.25">
      <c r="A1902" t="s">
        <v>107</v>
      </c>
      <c r="B1902" t="s">
        <v>168</v>
      </c>
      <c r="C1902">
        <v>202602</v>
      </c>
      <c r="D1902" s="47" t="str">
        <f>MID(C1902,1,4)</f>
        <v>2026</v>
      </c>
      <c r="E1902" t="str">
        <f>IF(Portfolio!$M$1=1,CONCATENATE(A1902,C1902),CONCATENATE(B1902,C1902))</f>
        <v>MAP GROUP202602</v>
      </c>
      <c r="F1902">
        <v>290</v>
      </c>
      <c r="G1902">
        <v>786</v>
      </c>
      <c r="H1902">
        <v>1340</v>
      </c>
      <c r="I1902">
        <v>0</v>
      </c>
      <c r="J1902">
        <v>0</v>
      </c>
      <c r="K1902">
        <v>50836000</v>
      </c>
      <c r="L1902">
        <v>139608000</v>
      </c>
      <c r="M1902">
        <v>329097800</v>
      </c>
      <c r="N1902">
        <v>0</v>
      </c>
      <c r="O1902">
        <v>0</v>
      </c>
      <c r="P1902">
        <v>76254</v>
      </c>
      <c r="Q1902">
        <v>1382120</v>
      </c>
      <c r="R1902">
        <v>4278271</v>
      </c>
      <c r="S1902">
        <v>0</v>
      </c>
      <c r="T1902">
        <v>0</v>
      </c>
    </row>
    <row r="1903" spans="1:20" x14ac:dyDescent="0.25">
      <c r="A1903" t="s">
        <v>107</v>
      </c>
      <c r="B1903" t="s">
        <v>207</v>
      </c>
      <c r="C1903">
        <v>202602</v>
      </c>
      <c r="D1903" s="47" t="str">
        <f>MID(C1903,1,4)</f>
        <v>2026</v>
      </c>
      <c r="E1903" t="str">
        <f>IF(Portfolio!$M$1=1,CONCATENATE(A1903,C1903),CONCATENATE(B1903,C1903))</f>
        <v>MAP GROUP202602</v>
      </c>
      <c r="F1903">
        <v>910</v>
      </c>
      <c r="G1903">
        <v>1092</v>
      </c>
      <c r="H1903">
        <v>2942</v>
      </c>
      <c r="I1903">
        <v>2</v>
      </c>
      <c r="J1903">
        <v>0</v>
      </c>
      <c r="K1903">
        <v>93590000</v>
      </c>
      <c r="L1903">
        <v>118411500</v>
      </c>
      <c r="M1903">
        <v>322053000</v>
      </c>
      <c r="N1903">
        <v>172000</v>
      </c>
      <c r="O1903">
        <v>0</v>
      </c>
      <c r="P1903">
        <v>140385</v>
      </c>
      <c r="Q1903">
        <v>1161055</v>
      </c>
      <c r="R1903">
        <v>4186689</v>
      </c>
      <c r="S1903">
        <v>0</v>
      </c>
      <c r="T1903">
        <v>0</v>
      </c>
    </row>
    <row r="1904" spans="1:20" x14ac:dyDescent="0.25">
      <c r="A1904" t="s">
        <v>107</v>
      </c>
      <c r="B1904" t="s">
        <v>177</v>
      </c>
      <c r="C1904">
        <v>202602</v>
      </c>
      <c r="D1904" s="47" t="str">
        <f>MID(C1904,1,4)</f>
        <v>2026</v>
      </c>
      <c r="E1904" t="str">
        <f>IF(Portfolio!$M$1=1,CONCATENATE(A1904,C1904),CONCATENATE(B1904,C1904))</f>
        <v>MAP GROUP202602</v>
      </c>
      <c r="F1904">
        <v>196</v>
      </c>
      <c r="G1904">
        <v>202</v>
      </c>
      <c r="H1904">
        <v>900</v>
      </c>
      <c r="I1904">
        <v>0</v>
      </c>
      <c r="J1904">
        <v>0</v>
      </c>
      <c r="K1904">
        <v>468213600</v>
      </c>
      <c r="L1904">
        <v>457133270</v>
      </c>
      <c r="M1904">
        <v>2128888848</v>
      </c>
      <c r="N1904">
        <v>0</v>
      </c>
      <c r="O1904">
        <v>0</v>
      </c>
      <c r="P1904">
        <v>702320</v>
      </c>
      <c r="Q1904">
        <v>4571333</v>
      </c>
      <c r="R1904">
        <v>27675555</v>
      </c>
      <c r="S1904">
        <v>0</v>
      </c>
      <c r="T1904">
        <v>0</v>
      </c>
    </row>
    <row r="1905" spans="1:20" x14ac:dyDescent="0.25">
      <c r="A1905" t="s">
        <v>107</v>
      </c>
      <c r="B1905" t="s">
        <v>201</v>
      </c>
      <c r="C1905">
        <v>202602</v>
      </c>
      <c r="D1905" s="47" t="str">
        <f>MID(C1905,1,4)</f>
        <v>2026</v>
      </c>
      <c r="E1905" t="str">
        <f>IF(Portfolio!$M$1=1,CONCATENATE(A1905,C1905),CONCATENATE(B1905,C1905))</f>
        <v>MAP GROUP202602</v>
      </c>
      <c r="F1905">
        <v>238</v>
      </c>
      <c r="G1905">
        <v>774</v>
      </c>
      <c r="H1905">
        <v>2082</v>
      </c>
      <c r="I1905">
        <v>0</v>
      </c>
      <c r="J1905">
        <v>0</v>
      </c>
      <c r="K1905">
        <v>141672184</v>
      </c>
      <c r="L1905">
        <v>537145212</v>
      </c>
      <c r="M1905">
        <v>1647992664</v>
      </c>
      <c r="N1905">
        <v>0</v>
      </c>
      <c r="O1905">
        <v>0</v>
      </c>
      <c r="P1905">
        <v>212508</v>
      </c>
      <c r="Q1905">
        <v>5348332</v>
      </c>
      <c r="R1905">
        <v>21423904</v>
      </c>
      <c r="S1905">
        <v>0</v>
      </c>
      <c r="T1905">
        <v>0</v>
      </c>
    </row>
    <row r="1906" spans="1:20" x14ac:dyDescent="0.25">
      <c r="A1906" t="s">
        <v>107</v>
      </c>
      <c r="B1906" t="s">
        <v>179</v>
      </c>
      <c r="C1906">
        <v>202602</v>
      </c>
      <c r="D1906" s="47" t="str">
        <f>MID(C1906,1,4)</f>
        <v>2026</v>
      </c>
      <c r="E1906" t="str">
        <f>IF(Portfolio!$M$1=1,CONCATENATE(A1906,C1906),CONCATENATE(B1906,C1906))</f>
        <v>MAP GROUP202602</v>
      </c>
      <c r="F1906">
        <v>8</v>
      </c>
      <c r="G1906">
        <v>20</v>
      </c>
      <c r="H1906">
        <v>86</v>
      </c>
      <c r="I1906">
        <v>0</v>
      </c>
      <c r="J1906">
        <v>0</v>
      </c>
      <c r="K1906">
        <v>6172600</v>
      </c>
      <c r="L1906">
        <v>21807016</v>
      </c>
      <c r="M1906">
        <v>82889586</v>
      </c>
      <c r="N1906">
        <v>0</v>
      </c>
      <c r="O1906">
        <v>0</v>
      </c>
      <c r="P1906">
        <v>9259</v>
      </c>
      <c r="Q1906">
        <v>218070</v>
      </c>
      <c r="R1906">
        <v>1077565</v>
      </c>
      <c r="S1906">
        <v>0</v>
      </c>
      <c r="T1906">
        <v>0</v>
      </c>
    </row>
    <row r="1907" spans="1:20" x14ac:dyDescent="0.25">
      <c r="A1907" t="s">
        <v>107</v>
      </c>
      <c r="B1907" t="s">
        <v>182</v>
      </c>
      <c r="C1907">
        <v>202602</v>
      </c>
      <c r="D1907" s="47" t="str">
        <f>MID(C1907,1,4)</f>
        <v>2026</v>
      </c>
      <c r="E1907" t="str">
        <f>IF(Portfolio!$M$1=1,CONCATENATE(A1907,C1907),CONCATENATE(B1907,C1907))</f>
        <v>MAP GROUP202602</v>
      </c>
      <c r="F1907">
        <v>248</v>
      </c>
      <c r="G1907">
        <v>672</v>
      </c>
      <c r="H1907">
        <v>874</v>
      </c>
      <c r="I1907">
        <v>0</v>
      </c>
      <c r="J1907">
        <v>0</v>
      </c>
      <c r="K1907">
        <v>326652000</v>
      </c>
      <c r="L1907">
        <v>1004496662</v>
      </c>
      <c r="M1907">
        <v>1320455788</v>
      </c>
      <c r="N1907">
        <v>0</v>
      </c>
      <c r="O1907">
        <v>0</v>
      </c>
      <c r="P1907">
        <v>489978</v>
      </c>
      <c r="Q1907">
        <v>10010987</v>
      </c>
      <c r="R1907">
        <v>17165925</v>
      </c>
      <c r="S1907">
        <v>0</v>
      </c>
      <c r="T1907">
        <v>0</v>
      </c>
    </row>
    <row r="1908" spans="1:20" x14ac:dyDescent="0.25">
      <c r="A1908" t="s">
        <v>138</v>
      </c>
      <c r="B1908" t="s">
        <v>138</v>
      </c>
      <c r="C1908">
        <v>202602</v>
      </c>
      <c r="D1908" s="47" t="str">
        <f>MID(C1908,1,4)</f>
        <v>2026</v>
      </c>
      <c r="E1908" t="str">
        <f>IF(Portfolio!$M$1=1,CONCATENATE(A1908,C1908),CONCATENATE(B1908,C1908))</f>
        <v>YOSHINOYA202602</v>
      </c>
      <c r="F1908">
        <v>1668</v>
      </c>
      <c r="G1908">
        <v>4</v>
      </c>
      <c r="H1908">
        <v>0</v>
      </c>
      <c r="I1908">
        <v>0</v>
      </c>
      <c r="J1908">
        <v>2632</v>
      </c>
      <c r="K1908">
        <v>265856400</v>
      </c>
      <c r="L1908">
        <v>616000</v>
      </c>
      <c r="M1908">
        <v>0</v>
      </c>
      <c r="N1908">
        <v>0</v>
      </c>
      <c r="O1908">
        <v>427042353</v>
      </c>
      <c r="P1908">
        <v>398785</v>
      </c>
      <c r="Q1908">
        <v>6160</v>
      </c>
      <c r="R1908">
        <v>0</v>
      </c>
      <c r="S1908">
        <v>0</v>
      </c>
      <c r="T1908">
        <v>2989275</v>
      </c>
    </row>
    <row r="1909" spans="1:20" x14ac:dyDescent="0.25">
      <c r="A1909" t="s">
        <v>67</v>
      </c>
      <c r="B1909" t="s">
        <v>72</v>
      </c>
      <c r="C1909">
        <v>202602</v>
      </c>
      <c r="D1909" s="47" t="str">
        <f>MID(C1909,1,4)</f>
        <v>2026</v>
      </c>
      <c r="E1909" t="str">
        <f>IF(Portfolio!$M$1=1,CONCATENATE(A1909,C1909),CONCATENATE(B1909,C1909))</f>
        <v>ALFA GROUP202602</v>
      </c>
      <c r="F1909">
        <v>1490</v>
      </c>
      <c r="G1909">
        <v>1990</v>
      </c>
      <c r="H1909">
        <v>310</v>
      </c>
      <c r="I1909">
        <v>0</v>
      </c>
      <c r="J1909">
        <v>0</v>
      </c>
      <c r="K1909">
        <v>231675616</v>
      </c>
      <c r="L1909">
        <v>318629500</v>
      </c>
      <c r="M1909">
        <v>59108470</v>
      </c>
      <c r="N1909">
        <v>0</v>
      </c>
      <c r="O1909">
        <v>0</v>
      </c>
      <c r="P1909">
        <v>347513</v>
      </c>
      <c r="Q1909">
        <v>3164105</v>
      </c>
      <c r="R1909">
        <v>1061753</v>
      </c>
      <c r="S1909">
        <v>0</v>
      </c>
      <c r="T1909">
        <v>0</v>
      </c>
    </row>
    <row r="1910" spans="1:20" x14ac:dyDescent="0.25">
      <c r="A1910" t="s">
        <v>107</v>
      </c>
      <c r="B1910" t="s">
        <v>152</v>
      </c>
      <c r="C1910">
        <v>202602</v>
      </c>
      <c r="D1910" s="47" t="str">
        <f>MID(C1910,1,4)</f>
        <v>2026</v>
      </c>
      <c r="E1910" t="str">
        <f>IF(Portfolio!$M$1=1,CONCATENATE(A1910,C1910),CONCATENATE(B1910,C1910))</f>
        <v>MAP GROUP202602</v>
      </c>
      <c r="F1910">
        <v>42</v>
      </c>
      <c r="G1910">
        <v>144</v>
      </c>
      <c r="H1910">
        <v>296</v>
      </c>
      <c r="I1910">
        <v>0</v>
      </c>
      <c r="J1910">
        <v>0</v>
      </c>
      <c r="K1910">
        <v>69457060</v>
      </c>
      <c r="L1910">
        <v>193746644</v>
      </c>
      <c r="M1910">
        <v>422088574</v>
      </c>
      <c r="N1910">
        <v>0</v>
      </c>
      <c r="O1910">
        <v>0</v>
      </c>
      <c r="P1910">
        <v>104186</v>
      </c>
      <c r="Q1910">
        <v>1937466</v>
      </c>
      <c r="R1910">
        <v>5487151</v>
      </c>
      <c r="S1910">
        <v>0</v>
      </c>
      <c r="T1910">
        <v>0</v>
      </c>
    </row>
    <row r="1911" spans="1:20" x14ac:dyDescent="0.25">
      <c r="A1911" t="s">
        <v>82</v>
      </c>
      <c r="B1911" t="s">
        <v>82</v>
      </c>
      <c r="C1911">
        <v>202602</v>
      </c>
      <c r="D1911" s="47" t="str">
        <f>MID(C1911,1,4)</f>
        <v>2026</v>
      </c>
      <c r="E1911" t="str">
        <f>IF(Portfolio!$M$1=1,CONCATENATE(A1911,C1911),CONCATENATE(B1911,C1911))</f>
        <v>EKA HOSPITAL202602</v>
      </c>
      <c r="F1911">
        <v>16</v>
      </c>
      <c r="G1911">
        <v>30</v>
      </c>
      <c r="H1911">
        <v>88</v>
      </c>
      <c r="I1911">
        <v>0</v>
      </c>
      <c r="J1911">
        <v>11</v>
      </c>
      <c r="K1911">
        <v>12691280</v>
      </c>
      <c r="L1911">
        <v>56762720</v>
      </c>
      <c r="M1911">
        <v>140746560</v>
      </c>
      <c r="N1911">
        <v>0</v>
      </c>
      <c r="O1911">
        <v>11392515</v>
      </c>
      <c r="P1911">
        <v>19037</v>
      </c>
      <c r="Q1911">
        <v>567627</v>
      </c>
      <c r="R1911">
        <v>1829705</v>
      </c>
      <c r="S1911">
        <v>0</v>
      </c>
      <c r="T1911">
        <v>79746</v>
      </c>
    </row>
    <row r="1912" spans="1:20" x14ac:dyDescent="0.25">
      <c r="A1912" t="s">
        <v>74</v>
      </c>
      <c r="B1912" t="s">
        <v>74</v>
      </c>
      <c r="C1912">
        <v>202602</v>
      </c>
      <c r="D1912" s="47" t="str">
        <f>MID(C1912,1,4)</f>
        <v>2026</v>
      </c>
      <c r="E1912" t="str">
        <f>IF(Portfolio!$M$1=1,CONCATENATE(A1912,C1912),CONCATENATE(B1912,C1912))</f>
        <v>BEARD PAPA202602</v>
      </c>
      <c r="F1912">
        <v>174</v>
      </c>
      <c r="G1912">
        <v>0</v>
      </c>
      <c r="H1912">
        <v>0</v>
      </c>
      <c r="I1912">
        <v>0</v>
      </c>
      <c r="J1912">
        <v>9</v>
      </c>
      <c r="K1912">
        <v>8241552</v>
      </c>
      <c r="L1912">
        <v>0</v>
      </c>
      <c r="M1912">
        <v>0</v>
      </c>
      <c r="N1912">
        <v>0</v>
      </c>
      <c r="O1912">
        <v>15499410</v>
      </c>
      <c r="P1912">
        <v>12362</v>
      </c>
      <c r="Q1912">
        <v>0</v>
      </c>
      <c r="R1912">
        <v>0</v>
      </c>
      <c r="S1912">
        <v>0</v>
      </c>
      <c r="T1912">
        <v>108497</v>
      </c>
    </row>
    <row r="1913" spans="1:20" x14ac:dyDescent="0.25">
      <c r="A1913" t="s">
        <v>102</v>
      </c>
      <c r="B1913" t="s">
        <v>129</v>
      </c>
      <c r="C1913">
        <v>202602</v>
      </c>
      <c r="D1913" s="47" t="str">
        <f>MID(C1913,1,4)</f>
        <v>2026</v>
      </c>
      <c r="E1913" t="str">
        <f>IF(Portfolio!$M$1=1,CONCATENATE(A1913,C1913),CONCATENATE(B1913,C1913))</f>
        <v>KAWAN LAMA202602</v>
      </c>
      <c r="F1913">
        <v>32</v>
      </c>
      <c r="G1913">
        <v>0</v>
      </c>
      <c r="H1913">
        <v>0</v>
      </c>
      <c r="I1913">
        <v>0</v>
      </c>
      <c r="J1913">
        <v>0</v>
      </c>
      <c r="K1913">
        <v>38947240</v>
      </c>
      <c r="L1913">
        <v>0</v>
      </c>
      <c r="M1913">
        <v>0</v>
      </c>
      <c r="N1913">
        <v>0</v>
      </c>
      <c r="O1913">
        <v>3055000</v>
      </c>
      <c r="P1913">
        <v>58421</v>
      </c>
      <c r="Q1913">
        <v>0</v>
      </c>
      <c r="R1913">
        <v>0</v>
      </c>
      <c r="S1913">
        <v>0</v>
      </c>
      <c r="T1913">
        <v>21385</v>
      </c>
    </row>
    <row r="1914" spans="1:20" x14ac:dyDescent="0.25">
      <c r="A1914" t="s">
        <v>107</v>
      </c>
      <c r="B1914" t="s">
        <v>183</v>
      </c>
      <c r="C1914">
        <v>202602</v>
      </c>
      <c r="D1914" s="47" t="str">
        <f>MID(C1914,1,4)</f>
        <v>2026</v>
      </c>
      <c r="E1914" t="str">
        <f>IF(Portfolio!$M$1=1,CONCATENATE(A1914,C1914),CONCATENATE(B1914,C1914))</f>
        <v>MAP GROUP202602</v>
      </c>
      <c r="F1914">
        <v>120</v>
      </c>
      <c r="G1914">
        <v>384</v>
      </c>
      <c r="H1914">
        <v>468</v>
      </c>
      <c r="I1914">
        <v>0</v>
      </c>
      <c r="J1914">
        <v>0</v>
      </c>
      <c r="K1914">
        <v>113380000</v>
      </c>
      <c r="L1914">
        <v>422115840</v>
      </c>
      <c r="M1914">
        <v>481241716</v>
      </c>
      <c r="N1914">
        <v>0</v>
      </c>
      <c r="O1914">
        <v>0</v>
      </c>
      <c r="P1914">
        <v>170070</v>
      </c>
      <c r="Q1914">
        <v>4221158</v>
      </c>
      <c r="R1914">
        <v>6256142</v>
      </c>
      <c r="S1914">
        <v>0</v>
      </c>
      <c r="T1914">
        <v>0</v>
      </c>
    </row>
    <row r="1915" spans="1:20" x14ac:dyDescent="0.25">
      <c r="A1915" t="s">
        <v>107</v>
      </c>
      <c r="B1915" t="s">
        <v>172</v>
      </c>
      <c r="C1915">
        <v>202602</v>
      </c>
      <c r="D1915" s="47" t="str">
        <f>MID(C1915,1,4)</f>
        <v>2026</v>
      </c>
      <c r="E1915" t="str">
        <f>IF(Portfolio!$M$1=1,CONCATENATE(A1915,C1915),CONCATENATE(B1915,C1915))</f>
        <v>MAP GROUP202602</v>
      </c>
      <c r="F1915">
        <v>8</v>
      </c>
      <c r="G1915">
        <v>72</v>
      </c>
      <c r="H1915">
        <v>212</v>
      </c>
      <c r="I1915">
        <v>0</v>
      </c>
      <c r="J1915">
        <v>0</v>
      </c>
      <c r="K1915">
        <v>1036000</v>
      </c>
      <c r="L1915">
        <v>83177920</v>
      </c>
      <c r="M1915">
        <v>420284242</v>
      </c>
      <c r="N1915">
        <v>0</v>
      </c>
      <c r="O1915">
        <v>0</v>
      </c>
      <c r="P1915">
        <v>1554</v>
      </c>
      <c r="Q1915">
        <v>831779</v>
      </c>
      <c r="R1915">
        <v>5463695</v>
      </c>
      <c r="S1915">
        <v>0</v>
      </c>
      <c r="T1915">
        <v>0</v>
      </c>
    </row>
    <row r="1916" spans="1:20" x14ac:dyDescent="0.25">
      <c r="A1916" t="s">
        <v>102</v>
      </c>
      <c r="B1916" t="s">
        <v>145</v>
      </c>
      <c r="C1916">
        <v>202602</v>
      </c>
      <c r="D1916" s="47" t="str">
        <f>MID(C1916,1,4)</f>
        <v>2026</v>
      </c>
      <c r="E1916" t="str">
        <f>IF(Portfolio!$M$1=1,CONCATENATE(A1916,C1916),CONCATENATE(B1916,C1916))</f>
        <v>KAWAN LAMA202602</v>
      </c>
      <c r="F1916">
        <v>40</v>
      </c>
      <c r="G1916">
        <v>0</v>
      </c>
      <c r="H1916">
        <v>0</v>
      </c>
      <c r="I1916">
        <v>16</v>
      </c>
      <c r="J1916">
        <v>5</v>
      </c>
      <c r="K1916">
        <v>11320720</v>
      </c>
      <c r="L1916">
        <v>0</v>
      </c>
      <c r="M1916">
        <v>0</v>
      </c>
      <c r="N1916">
        <v>3956330</v>
      </c>
      <c r="O1916">
        <v>249956</v>
      </c>
      <c r="P1916">
        <v>16981</v>
      </c>
      <c r="Q1916">
        <v>0</v>
      </c>
      <c r="R1916">
        <v>0</v>
      </c>
      <c r="S1916">
        <v>27692</v>
      </c>
      <c r="T1916">
        <v>1750</v>
      </c>
    </row>
    <row r="1917" spans="1:20" x14ac:dyDescent="0.25">
      <c r="A1917" t="s">
        <v>107</v>
      </c>
      <c r="B1917" t="s">
        <v>150</v>
      </c>
      <c r="C1917">
        <v>202602</v>
      </c>
      <c r="D1917" s="47" t="str">
        <f>MID(C1917,1,4)</f>
        <v>2026</v>
      </c>
      <c r="E1917" t="str">
        <f>IF(Portfolio!$M$1=1,CONCATENATE(A1917,C1917),CONCATENATE(B1917,C1917))</f>
        <v>MAP GROUP202602</v>
      </c>
      <c r="F1917">
        <v>8</v>
      </c>
      <c r="G1917">
        <v>12</v>
      </c>
      <c r="H1917">
        <v>38</v>
      </c>
      <c r="I1917">
        <v>0</v>
      </c>
      <c r="J1917">
        <v>0</v>
      </c>
      <c r="K1917">
        <v>13770344</v>
      </c>
      <c r="L1917">
        <v>21698200</v>
      </c>
      <c r="M1917">
        <v>59611480</v>
      </c>
      <c r="N1917">
        <v>0</v>
      </c>
      <c r="O1917">
        <v>0</v>
      </c>
      <c r="P1917">
        <v>20655</v>
      </c>
      <c r="Q1917">
        <v>216982</v>
      </c>
      <c r="R1917">
        <v>774949</v>
      </c>
      <c r="S1917">
        <v>0</v>
      </c>
      <c r="T1917">
        <v>0</v>
      </c>
    </row>
    <row r="1918" spans="1:20" x14ac:dyDescent="0.25">
      <c r="A1918" t="s">
        <v>75</v>
      </c>
      <c r="B1918" t="s">
        <v>81</v>
      </c>
      <c r="C1918">
        <v>202602</v>
      </c>
      <c r="D1918" s="47" t="str">
        <f>MID(C1918,1,4)</f>
        <v>2026</v>
      </c>
      <c r="E1918" t="str">
        <f>IF(Portfolio!$M$1=1,CONCATENATE(A1918,C1918),CONCATENATE(B1918,C1918))</f>
        <v>CHAMP RESTO202602</v>
      </c>
      <c r="F1918">
        <v>8</v>
      </c>
      <c r="G1918">
        <v>0</v>
      </c>
      <c r="H1918">
        <v>0</v>
      </c>
      <c r="I1918">
        <v>0</v>
      </c>
      <c r="J1918">
        <v>4</v>
      </c>
      <c r="K1918">
        <v>1262800</v>
      </c>
      <c r="L1918">
        <v>0</v>
      </c>
      <c r="M1918">
        <v>0</v>
      </c>
      <c r="N1918">
        <v>0</v>
      </c>
      <c r="O1918">
        <v>682000</v>
      </c>
      <c r="P1918">
        <v>1894</v>
      </c>
      <c r="Q1918">
        <v>0</v>
      </c>
      <c r="R1918">
        <v>0</v>
      </c>
      <c r="S1918">
        <v>0</v>
      </c>
      <c r="T1918">
        <v>4775</v>
      </c>
    </row>
    <row r="1919" spans="1:20" x14ac:dyDescent="0.25">
      <c r="A1919" t="s">
        <v>101</v>
      </c>
      <c r="B1919" t="s">
        <v>117</v>
      </c>
      <c r="C1919">
        <v>202602</v>
      </c>
      <c r="D1919" s="47" t="str">
        <f>MID(C1919,1,4)</f>
        <v>2026</v>
      </c>
      <c r="E1919" t="str">
        <f>IF(Portfolio!$M$1=1,CONCATENATE(A1919,C1919),CONCATENATE(B1919,C1919))</f>
        <v>INDOMARET202602</v>
      </c>
      <c r="F1919">
        <v>386</v>
      </c>
      <c r="G1919">
        <v>410</v>
      </c>
      <c r="H1919">
        <v>238</v>
      </c>
      <c r="I1919">
        <v>0</v>
      </c>
      <c r="J1919">
        <v>0</v>
      </c>
      <c r="K1919">
        <v>53660200</v>
      </c>
      <c r="L1919">
        <v>33310800</v>
      </c>
      <c r="M1919">
        <v>42463180</v>
      </c>
      <c r="N1919">
        <v>0</v>
      </c>
      <c r="O1919">
        <v>0</v>
      </c>
      <c r="P1919">
        <v>80490</v>
      </c>
      <c r="Q1919">
        <v>329758</v>
      </c>
      <c r="R1919">
        <v>702570</v>
      </c>
      <c r="S1919">
        <v>0</v>
      </c>
      <c r="T1919">
        <v>0</v>
      </c>
    </row>
    <row r="1920" spans="1:20" x14ac:dyDescent="0.25">
      <c r="A1920" t="s">
        <v>107</v>
      </c>
      <c r="B1920" t="s">
        <v>159</v>
      </c>
      <c r="C1920">
        <v>202602</v>
      </c>
      <c r="D1920" s="47" t="str">
        <f>MID(C1920,1,4)</f>
        <v>2026</v>
      </c>
      <c r="E1920" t="str">
        <f>IF(Portfolio!$M$1=1,CONCATENATE(A1920,C1920),CONCATENATE(B1920,C1920))</f>
        <v>MAP GROUP202602</v>
      </c>
      <c r="F1920">
        <v>70</v>
      </c>
      <c r="G1920">
        <v>196</v>
      </c>
      <c r="H1920">
        <v>462</v>
      </c>
      <c r="I1920">
        <v>0</v>
      </c>
      <c r="J1920">
        <v>0</v>
      </c>
      <c r="K1920">
        <v>230768560</v>
      </c>
      <c r="L1920">
        <v>495251318</v>
      </c>
      <c r="M1920">
        <v>1103142632</v>
      </c>
      <c r="N1920">
        <v>0</v>
      </c>
      <c r="O1920">
        <v>0</v>
      </c>
      <c r="P1920">
        <v>346153</v>
      </c>
      <c r="Q1920">
        <v>4952513</v>
      </c>
      <c r="R1920">
        <v>14340854</v>
      </c>
      <c r="S1920">
        <v>0</v>
      </c>
      <c r="T1920">
        <v>0</v>
      </c>
    </row>
    <row r="1921" spans="1:20" x14ac:dyDescent="0.25">
      <c r="A1921" t="s">
        <v>107</v>
      </c>
      <c r="B1921" t="s">
        <v>191</v>
      </c>
      <c r="C1921">
        <v>202602</v>
      </c>
      <c r="D1921" s="47" t="str">
        <f>MID(C1921,1,4)</f>
        <v>2026</v>
      </c>
      <c r="E1921" t="str">
        <f>IF(Portfolio!$M$1=1,CONCATENATE(A1921,C1921),CONCATENATE(B1921,C1921))</f>
        <v>MAP GROUP202602</v>
      </c>
      <c r="F1921">
        <v>78</v>
      </c>
      <c r="G1921">
        <v>232</v>
      </c>
      <c r="H1921">
        <v>294</v>
      </c>
      <c r="I1921">
        <v>0</v>
      </c>
      <c r="J1921">
        <v>0</v>
      </c>
      <c r="K1921">
        <v>81010800</v>
      </c>
      <c r="L1921">
        <v>315454040</v>
      </c>
      <c r="M1921">
        <v>370052716</v>
      </c>
      <c r="N1921">
        <v>0</v>
      </c>
      <c r="O1921">
        <v>0</v>
      </c>
      <c r="P1921">
        <v>121516</v>
      </c>
      <c r="Q1921">
        <v>3154540</v>
      </c>
      <c r="R1921">
        <v>4810685</v>
      </c>
      <c r="S1921">
        <v>0</v>
      </c>
      <c r="T1921">
        <v>0</v>
      </c>
    </row>
    <row r="1922" spans="1:20" x14ac:dyDescent="0.25">
      <c r="A1922" t="s">
        <v>107</v>
      </c>
      <c r="B1922" t="s">
        <v>178</v>
      </c>
      <c r="C1922">
        <v>202602</v>
      </c>
      <c r="D1922" s="47" t="str">
        <f>MID(C1922,1,4)</f>
        <v>2026</v>
      </c>
      <c r="E1922" t="str">
        <f>IF(Portfolio!$M$1=1,CONCATENATE(A1922,C1922),CONCATENATE(B1922,C1922))</f>
        <v>MAP GROUP202602</v>
      </c>
      <c r="F1922">
        <v>64</v>
      </c>
      <c r="G1922">
        <v>448</v>
      </c>
      <c r="H1922">
        <v>886</v>
      </c>
      <c r="I1922">
        <v>13</v>
      </c>
      <c r="J1922">
        <v>770</v>
      </c>
      <c r="K1922">
        <v>56216680</v>
      </c>
      <c r="L1922">
        <v>400334564</v>
      </c>
      <c r="M1922">
        <v>1013644078</v>
      </c>
      <c r="N1922">
        <v>182500</v>
      </c>
      <c r="O1922">
        <v>55199707</v>
      </c>
      <c r="P1922">
        <v>84325</v>
      </c>
      <c r="Q1922">
        <v>3988729</v>
      </c>
      <c r="R1922">
        <v>13177373</v>
      </c>
      <c r="S1922">
        <v>0</v>
      </c>
      <c r="T1922">
        <v>352385</v>
      </c>
    </row>
    <row r="1923" spans="1:20" x14ac:dyDescent="0.25">
      <c r="A1923" t="s">
        <v>107</v>
      </c>
      <c r="B1923" t="s">
        <v>164</v>
      </c>
      <c r="C1923">
        <v>202602</v>
      </c>
      <c r="D1923" s="47" t="str">
        <f>MID(C1923,1,4)</f>
        <v>2026</v>
      </c>
      <c r="E1923" t="str">
        <f>IF(Portfolio!$M$1=1,CONCATENATE(A1923,C1923),CONCATENATE(B1923,C1923))</f>
        <v>MAP GROUP202602</v>
      </c>
      <c r="F1923">
        <v>156</v>
      </c>
      <c r="G1923">
        <v>82</v>
      </c>
      <c r="H1923">
        <v>482</v>
      </c>
      <c r="I1923">
        <v>0</v>
      </c>
      <c r="J1923">
        <v>0</v>
      </c>
      <c r="K1923">
        <v>1833760008</v>
      </c>
      <c r="L1923">
        <v>267354400</v>
      </c>
      <c r="M1923">
        <v>4678173000</v>
      </c>
      <c r="N1923">
        <v>0</v>
      </c>
      <c r="O1923">
        <v>0</v>
      </c>
      <c r="P1923">
        <v>2750640</v>
      </c>
      <c r="Q1923">
        <v>2673544</v>
      </c>
      <c r="R1923">
        <v>60816249</v>
      </c>
      <c r="S1923">
        <v>0</v>
      </c>
      <c r="T1923">
        <v>0</v>
      </c>
    </row>
    <row r="1924" spans="1:20" x14ac:dyDescent="0.25">
      <c r="A1924" t="s">
        <v>107</v>
      </c>
      <c r="B1924" t="s">
        <v>171</v>
      </c>
      <c r="C1924">
        <v>202602</v>
      </c>
      <c r="D1924" s="47" t="str">
        <f>MID(C1924,1,4)</f>
        <v>2026</v>
      </c>
      <c r="E1924" t="str">
        <f>IF(Portfolio!$M$1=1,CONCATENATE(A1924,C1924),CONCATENATE(B1924,C1924))</f>
        <v>MAP GROUP202602</v>
      </c>
      <c r="F1924">
        <v>8</v>
      </c>
      <c r="G1924">
        <v>12</v>
      </c>
      <c r="H1924">
        <v>10</v>
      </c>
      <c r="I1924">
        <v>0</v>
      </c>
      <c r="J1924">
        <v>0</v>
      </c>
      <c r="K1924">
        <v>5592000</v>
      </c>
      <c r="L1924">
        <v>2632000</v>
      </c>
      <c r="M1924">
        <v>4852000</v>
      </c>
      <c r="N1924">
        <v>0</v>
      </c>
      <c r="O1924">
        <v>0</v>
      </c>
      <c r="P1924">
        <v>8388</v>
      </c>
      <c r="Q1924">
        <v>26320</v>
      </c>
      <c r="R1924">
        <v>63076</v>
      </c>
      <c r="S1924">
        <v>0</v>
      </c>
      <c r="T1924">
        <v>0</v>
      </c>
    </row>
    <row r="1925" spans="1:20" x14ac:dyDescent="0.25">
      <c r="A1925" t="s">
        <v>105</v>
      </c>
      <c r="B1925" t="s">
        <v>148</v>
      </c>
      <c r="C1925">
        <v>202602</v>
      </c>
      <c r="D1925" s="47" t="str">
        <f>MID(C1925,1,4)</f>
        <v>2026</v>
      </c>
      <c r="E1925" t="str">
        <f>IF(Portfolio!$M$1=1,CONCATENATE(A1925,C1925),CONCATENATE(B1925,C1925))</f>
        <v>LOTTE GROUP202602</v>
      </c>
      <c r="F1925">
        <v>7166</v>
      </c>
      <c r="G1925">
        <v>4</v>
      </c>
      <c r="H1925">
        <v>0</v>
      </c>
      <c r="I1925">
        <v>0</v>
      </c>
      <c r="J1925">
        <v>15</v>
      </c>
      <c r="K1925">
        <v>9559911484</v>
      </c>
      <c r="L1925">
        <v>1021100</v>
      </c>
      <c r="M1925">
        <v>0</v>
      </c>
      <c r="N1925">
        <v>0</v>
      </c>
      <c r="O1925">
        <v>1811660</v>
      </c>
      <c r="P1925">
        <v>14339849</v>
      </c>
      <c r="Q1925">
        <v>0</v>
      </c>
      <c r="R1925">
        <v>0</v>
      </c>
      <c r="S1925">
        <v>0</v>
      </c>
      <c r="T1925">
        <v>12682</v>
      </c>
    </row>
    <row r="1926" spans="1:20" x14ac:dyDescent="0.25">
      <c r="A1926" t="s">
        <v>86</v>
      </c>
      <c r="B1926" t="s">
        <v>86</v>
      </c>
      <c r="C1926">
        <v>202602</v>
      </c>
      <c r="D1926" s="47" t="str">
        <f>MID(C1926,1,4)</f>
        <v>2026</v>
      </c>
      <c r="E1926" t="str">
        <f>IF(Portfolio!$M$1=1,CONCATENATE(A1926,C1926),CONCATENATE(B1926,C1926))</f>
        <v>GRAMEDIA202602</v>
      </c>
      <c r="F1926">
        <v>16</v>
      </c>
      <c r="G1926">
        <v>0</v>
      </c>
      <c r="H1926">
        <v>0</v>
      </c>
      <c r="I1926">
        <v>0</v>
      </c>
      <c r="J1926">
        <v>29</v>
      </c>
      <c r="K1926">
        <v>2716000</v>
      </c>
      <c r="L1926">
        <v>0</v>
      </c>
      <c r="M1926">
        <v>0</v>
      </c>
      <c r="N1926">
        <v>0</v>
      </c>
      <c r="O1926">
        <v>954000</v>
      </c>
      <c r="P1926">
        <v>4074</v>
      </c>
      <c r="Q1926">
        <v>0</v>
      </c>
      <c r="R1926">
        <v>0</v>
      </c>
      <c r="S1926">
        <v>0</v>
      </c>
      <c r="T1926">
        <v>0</v>
      </c>
    </row>
    <row r="1927" spans="1:20" x14ac:dyDescent="0.25">
      <c r="A1927" t="s">
        <v>75</v>
      </c>
      <c r="B1927" t="s">
        <v>95</v>
      </c>
      <c r="C1927">
        <v>202602</v>
      </c>
      <c r="D1927" s="47" t="str">
        <f>MID(C1927,1,4)</f>
        <v>2026</v>
      </c>
      <c r="E1927" t="str">
        <f>IF(Portfolio!$M$1=1,CONCATENATE(A1927,C1927),CONCATENATE(B1927,C1927))</f>
        <v>CHAMP RESTO202602</v>
      </c>
      <c r="F1927">
        <v>16</v>
      </c>
      <c r="G1927">
        <v>0</v>
      </c>
      <c r="H1927">
        <v>0</v>
      </c>
      <c r="I1927">
        <v>0</v>
      </c>
      <c r="J1927">
        <v>5</v>
      </c>
      <c r="K1927">
        <v>4431976</v>
      </c>
      <c r="L1927">
        <v>0</v>
      </c>
      <c r="M1927">
        <v>0</v>
      </c>
      <c r="N1927">
        <v>0</v>
      </c>
      <c r="O1927">
        <v>1127814</v>
      </c>
      <c r="P1927">
        <v>6648</v>
      </c>
      <c r="Q1927">
        <v>0</v>
      </c>
      <c r="R1927">
        <v>0</v>
      </c>
      <c r="S1927">
        <v>0</v>
      </c>
      <c r="T1927">
        <v>7894</v>
      </c>
    </row>
    <row r="1928" spans="1:20" x14ac:dyDescent="0.25">
      <c r="A1928" t="s">
        <v>96</v>
      </c>
      <c r="B1928" t="s">
        <v>96</v>
      </c>
      <c r="C1928">
        <v>202602</v>
      </c>
      <c r="D1928" s="47" t="str">
        <f>MID(C1928,1,4)</f>
        <v>2026</v>
      </c>
      <c r="E1928" t="str">
        <f>IF(Portfolio!$M$1=1,CONCATENATE(A1928,C1928),CONCATENATE(B1928,C1928))</f>
        <v>HOKKAIDO BAKED CHEESE202602</v>
      </c>
      <c r="F1928">
        <v>8</v>
      </c>
      <c r="G1928">
        <v>142</v>
      </c>
      <c r="H1928">
        <v>90</v>
      </c>
      <c r="I1928">
        <v>1</v>
      </c>
      <c r="J1928">
        <v>441</v>
      </c>
      <c r="K1928">
        <v>595200</v>
      </c>
      <c r="L1928">
        <v>16762800</v>
      </c>
      <c r="M1928">
        <v>11141870</v>
      </c>
      <c r="N1928">
        <v>18000</v>
      </c>
      <c r="O1928">
        <v>17304324</v>
      </c>
      <c r="P1928">
        <v>893</v>
      </c>
      <c r="Q1928">
        <v>167628</v>
      </c>
      <c r="R1928">
        <v>222837</v>
      </c>
      <c r="S1928">
        <v>0</v>
      </c>
      <c r="T1928">
        <v>49810</v>
      </c>
    </row>
    <row r="1929" spans="1:20" x14ac:dyDescent="0.25">
      <c r="A1929" t="s">
        <v>107</v>
      </c>
      <c r="B1929" t="s">
        <v>188</v>
      </c>
      <c r="C1929">
        <v>202602</v>
      </c>
      <c r="D1929" s="47" t="str">
        <f>MID(C1929,1,4)</f>
        <v>2026</v>
      </c>
      <c r="E1929" t="str">
        <f>IF(Portfolio!$M$1=1,CONCATENATE(A1929,C1929),CONCATENATE(B1929,C1929))</f>
        <v>MAP GROUP202602</v>
      </c>
      <c r="F1929">
        <v>8</v>
      </c>
      <c r="G1929">
        <v>32</v>
      </c>
      <c r="H1929">
        <v>72</v>
      </c>
      <c r="I1929">
        <v>0</v>
      </c>
      <c r="J1929">
        <v>0</v>
      </c>
      <c r="K1929">
        <v>7040000</v>
      </c>
      <c r="L1929">
        <v>19419980</v>
      </c>
      <c r="M1929">
        <v>36126940</v>
      </c>
      <c r="N1929">
        <v>0</v>
      </c>
      <c r="O1929">
        <v>0</v>
      </c>
      <c r="P1929">
        <v>10560</v>
      </c>
      <c r="Q1929">
        <v>194200</v>
      </c>
      <c r="R1929">
        <v>469650</v>
      </c>
      <c r="S1929">
        <v>0</v>
      </c>
      <c r="T1929">
        <v>0</v>
      </c>
    </row>
    <row r="1930" spans="1:20" x14ac:dyDescent="0.25">
      <c r="A1930" t="s">
        <v>107</v>
      </c>
      <c r="B1930" t="s">
        <v>190</v>
      </c>
      <c r="C1930">
        <v>202602</v>
      </c>
      <c r="D1930" s="47" t="str">
        <f>MID(C1930,1,4)</f>
        <v>2026</v>
      </c>
      <c r="E1930" t="str">
        <f>IF(Portfolio!$M$1=1,CONCATENATE(A1930,C1930),CONCATENATE(B1930,C1930))</f>
        <v>MAP GROUP202602</v>
      </c>
      <c r="F1930">
        <v>16</v>
      </c>
      <c r="G1930">
        <v>84</v>
      </c>
      <c r="H1930">
        <v>214</v>
      </c>
      <c r="I1930">
        <v>0</v>
      </c>
      <c r="J1930">
        <v>0</v>
      </c>
      <c r="K1930">
        <v>22816000</v>
      </c>
      <c r="L1930">
        <v>103287800</v>
      </c>
      <c r="M1930">
        <v>362651560</v>
      </c>
      <c r="N1930">
        <v>0</v>
      </c>
      <c r="O1930">
        <v>0</v>
      </c>
      <c r="P1930">
        <v>34224</v>
      </c>
      <c r="Q1930">
        <v>1032878</v>
      </c>
      <c r="R1930">
        <v>4714470</v>
      </c>
      <c r="S1930">
        <v>0</v>
      </c>
      <c r="T1930">
        <v>0</v>
      </c>
    </row>
    <row r="1931" spans="1:20" x14ac:dyDescent="0.25">
      <c r="A1931" t="s">
        <v>107</v>
      </c>
      <c r="B1931" t="s">
        <v>165</v>
      </c>
      <c r="C1931">
        <v>202602</v>
      </c>
      <c r="D1931" s="47" t="str">
        <f>MID(C1931,1,4)</f>
        <v>2026</v>
      </c>
      <c r="E1931" t="str">
        <f>IF(Portfolio!$M$1=1,CONCATENATE(A1931,C1931),CONCATENATE(B1931,C1931))</f>
        <v>MAP GROUP202602</v>
      </c>
      <c r="F1931">
        <v>86</v>
      </c>
      <c r="G1931">
        <v>40</v>
      </c>
      <c r="H1931">
        <v>110</v>
      </c>
      <c r="I1931">
        <v>0</v>
      </c>
      <c r="J1931">
        <v>0</v>
      </c>
      <c r="K1931">
        <v>879290000</v>
      </c>
      <c r="L1931">
        <v>155446000</v>
      </c>
      <c r="M1931">
        <v>1157749102</v>
      </c>
      <c r="N1931">
        <v>0</v>
      </c>
      <c r="O1931">
        <v>0</v>
      </c>
      <c r="P1931">
        <v>1318935</v>
      </c>
      <c r="Q1931">
        <v>1554460</v>
      </c>
      <c r="R1931">
        <v>15050738</v>
      </c>
      <c r="S1931">
        <v>0</v>
      </c>
      <c r="T1931">
        <v>0</v>
      </c>
    </row>
    <row r="1932" spans="1:20" x14ac:dyDescent="0.25">
      <c r="A1932" t="s">
        <v>116</v>
      </c>
      <c r="B1932" t="s">
        <v>116</v>
      </c>
      <c r="C1932">
        <v>202602</v>
      </c>
      <c r="D1932" s="47" t="str">
        <f>MID(C1932,1,4)</f>
        <v>2026</v>
      </c>
      <c r="E1932" t="str">
        <f>IF(Portfolio!$M$1=1,CONCATENATE(A1932,C1932),CONCATENATE(B1932,C1932))</f>
        <v>POPEYES202602</v>
      </c>
      <c r="F1932">
        <v>126</v>
      </c>
      <c r="G1932">
        <v>0</v>
      </c>
      <c r="H1932">
        <v>0</v>
      </c>
      <c r="I1932">
        <v>0</v>
      </c>
      <c r="J1932">
        <v>1</v>
      </c>
      <c r="K1932">
        <v>11882414</v>
      </c>
      <c r="L1932">
        <v>0</v>
      </c>
      <c r="M1932">
        <v>0</v>
      </c>
      <c r="N1932">
        <v>0</v>
      </c>
      <c r="O1932">
        <v>3266847</v>
      </c>
      <c r="P1932">
        <v>17823</v>
      </c>
      <c r="Q1932">
        <v>0</v>
      </c>
      <c r="R1932">
        <v>0</v>
      </c>
      <c r="S1932">
        <v>0</v>
      </c>
      <c r="T1932">
        <v>22869</v>
      </c>
    </row>
    <row r="1933" spans="1:20" x14ac:dyDescent="0.25">
      <c r="A1933" t="s">
        <v>126</v>
      </c>
      <c r="B1933" t="s">
        <v>220</v>
      </c>
      <c r="C1933">
        <v>202602</v>
      </c>
      <c r="D1933" s="47" t="str">
        <f>MID(C1933,1,4)</f>
        <v>2026</v>
      </c>
      <c r="E1933" t="str">
        <f>IF(Portfolio!$M$1=1,CONCATENATE(A1933,C1933),CONCATENATE(B1933,C1933))</f>
        <v>STEVEN GROUP202602</v>
      </c>
      <c r="F1933">
        <v>292</v>
      </c>
      <c r="G1933">
        <v>86</v>
      </c>
      <c r="H1933">
        <v>22</v>
      </c>
      <c r="I1933">
        <v>0</v>
      </c>
      <c r="J1933">
        <v>127</v>
      </c>
      <c r="K1933">
        <v>25018102</v>
      </c>
      <c r="L1933">
        <v>9872956</v>
      </c>
      <c r="M1933">
        <v>2933556</v>
      </c>
      <c r="N1933">
        <v>0</v>
      </c>
      <c r="O1933">
        <v>43635787</v>
      </c>
      <c r="P1933">
        <v>37526</v>
      </c>
      <c r="Q1933">
        <v>98730</v>
      </c>
      <c r="R1933">
        <v>58671</v>
      </c>
      <c r="S1933">
        <v>0</v>
      </c>
      <c r="T1933">
        <v>305439</v>
      </c>
    </row>
    <row r="1934" spans="1:20" x14ac:dyDescent="0.25">
      <c r="A1934" t="s">
        <v>112</v>
      </c>
      <c r="B1934" t="s">
        <v>215</v>
      </c>
      <c r="C1934">
        <v>202602</v>
      </c>
      <c r="D1934" s="47" t="str">
        <f>MID(C1934,1,4)</f>
        <v>2026</v>
      </c>
      <c r="E1934" t="str">
        <f>IF(Portfolio!$M$1=1,CONCATENATE(A1934,C1934),CONCATENATE(B1934,C1934))</f>
        <v>PERTAMINA RETAIL202602</v>
      </c>
      <c r="F1934">
        <v>32</v>
      </c>
      <c r="G1934">
        <v>352</v>
      </c>
      <c r="H1934">
        <v>52</v>
      </c>
      <c r="I1934">
        <v>0</v>
      </c>
      <c r="J1934">
        <v>1627</v>
      </c>
      <c r="K1934">
        <v>1267400</v>
      </c>
      <c r="L1934">
        <v>30146310</v>
      </c>
      <c r="M1934">
        <v>11168040</v>
      </c>
      <c r="N1934">
        <v>0</v>
      </c>
      <c r="O1934">
        <v>67683159</v>
      </c>
      <c r="P1934">
        <v>1901</v>
      </c>
      <c r="Q1934">
        <v>301463</v>
      </c>
      <c r="R1934">
        <v>201025</v>
      </c>
      <c r="S1934">
        <v>0</v>
      </c>
      <c r="T1934">
        <v>473772</v>
      </c>
    </row>
    <row r="1935" spans="1:20" x14ac:dyDescent="0.25">
      <c r="A1935" t="s">
        <v>75</v>
      </c>
      <c r="B1935" t="s">
        <v>85</v>
      </c>
      <c r="C1935">
        <v>202602</v>
      </c>
      <c r="D1935" s="47" t="str">
        <f>MID(C1935,1,4)</f>
        <v>2026</v>
      </c>
      <c r="E1935" t="str">
        <f>IF(Portfolio!$M$1=1,CONCATENATE(A1935,C1935),CONCATENATE(B1935,C1935))</f>
        <v>CHAMP RESTO202602</v>
      </c>
      <c r="F1935">
        <v>24</v>
      </c>
      <c r="G1935">
        <v>18</v>
      </c>
      <c r="H1935">
        <v>0</v>
      </c>
      <c r="I1935">
        <v>0</v>
      </c>
      <c r="J1935">
        <v>64</v>
      </c>
      <c r="K1935">
        <v>5375824</v>
      </c>
      <c r="L1935">
        <v>2863308</v>
      </c>
      <c r="M1935">
        <v>0</v>
      </c>
      <c r="N1935">
        <v>0</v>
      </c>
      <c r="O1935">
        <v>10791347</v>
      </c>
      <c r="P1935">
        <v>8064</v>
      </c>
      <c r="Q1935">
        <v>28633</v>
      </c>
      <c r="R1935">
        <v>0</v>
      </c>
      <c r="S1935">
        <v>0</v>
      </c>
      <c r="T1935">
        <v>75539</v>
      </c>
    </row>
    <row r="1936" spans="1:20" x14ac:dyDescent="0.25">
      <c r="A1936" t="s">
        <v>97</v>
      </c>
      <c r="B1936" t="s">
        <v>113</v>
      </c>
      <c r="C1936">
        <v>202602</v>
      </c>
      <c r="D1936" s="47" t="str">
        <f>MID(C1936,1,4)</f>
        <v>2026</v>
      </c>
      <c r="E1936" t="str">
        <f>IF(Portfolio!$M$1=1,CONCATENATE(A1936,C1936),CONCATENATE(B1936,C1936))</f>
        <v>HOP HOP202602</v>
      </c>
      <c r="F1936">
        <v>0</v>
      </c>
      <c r="G1936">
        <v>0</v>
      </c>
      <c r="H1936">
        <v>0</v>
      </c>
      <c r="I1936">
        <v>3</v>
      </c>
      <c r="J1936">
        <v>955</v>
      </c>
      <c r="K1936">
        <v>0</v>
      </c>
      <c r="L1936">
        <v>0</v>
      </c>
      <c r="M1936">
        <v>0</v>
      </c>
      <c r="N1936">
        <v>86076</v>
      </c>
      <c r="O1936">
        <v>15337700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 spans="1:20" x14ac:dyDescent="0.25">
      <c r="A1937" t="s">
        <v>107</v>
      </c>
      <c r="B1937" t="s">
        <v>166</v>
      </c>
      <c r="C1937">
        <v>202602</v>
      </c>
      <c r="D1937" s="47" t="str">
        <f>MID(C1937,1,4)</f>
        <v>2026</v>
      </c>
      <c r="E1937" t="str">
        <f>IF(Portfolio!$M$1=1,CONCATENATE(A1937,C1937),CONCATENATE(B1937,C1937))</f>
        <v>MAP GROUP202602</v>
      </c>
      <c r="F1937">
        <v>28</v>
      </c>
      <c r="G1937">
        <v>62</v>
      </c>
      <c r="H1937">
        <v>110</v>
      </c>
      <c r="I1937">
        <v>0</v>
      </c>
      <c r="J1937">
        <v>0</v>
      </c>
      <c r="K1937">
        <v>87349200</v>
      </c>
      <c r="L1937">
        <v>169846062</v>
      </c>
      <c r="M1937">
        <v>297232654</v>
      </c>
      <c r="N1937">
        <v>0</v>
      </c>
      <c r="O1937">
        <v>0</v>
      </c>
      <c r="P1937">
        <v>131024</v>
      </c>
      <c r="Q1937">
        <v>1698461</v>
      </c>
      <c r="R1937">
        <v>3864024</v>
      </c>
      <c r="S1937">
        <v>0</v>
      </c>
      <c r="T1937">
        <v>0</v>
      </c>
    </row>
    <row r="1938" spans="1:20" x14ac:dyDescent="0.25">
      <c r="A1938" t="s">
        <v>99</v>
      </c>
      <c r="B1938" t="s">
        <v>99</v>
      </c>
      <c r="C1938">
        <v>202602</v>
      </c>
      <c r="D1938" s="47" t="str">
        <f>MID(C1938,1,4)</f>
        <v>2026</v>
      </c>
      <c r="E1938" t="str">
        <f>IF(Portfolio!$M$1=1,CONCATENATE(A1938,C1938),CONCATENATE(B1938,C1938))</f>
        <v>IKEA202602</v>
      </c>
      <c r="F1938">
        <v>232</v>
      </c>
      <c r="G1938">
        <v>0</v>
      </c>
      <c r="H1938">
        <v>0</v>
      </c>
      <c r="I1938">
        <v>0</v>
      </c>
      <c r="J1938">
        <v>230</v>
      </c>
      <c r="K1938">
        <v>175727060</v>
      </c>
      <c r="L1938">
        <v>0</v>
      </c>
      <c r="M1938">
        <v>0</v>
      </c>
      <c r="N1938">
        <v>0</v>
      </c>
      <c r="O1938">
        <v>35439144</v>
      </c>
      <c r="P1938">
        <v>263591</v>
      </c>
      <c r="Q1938">
        <v>0</v>
      </c>
      <c r="R1938">
        <v>0</v>
      </c>
      <c r="S1938">
        <v>0</v>
      </c>
      <c r="T1938">
        <v>248071</v>
      </c>
    </row>
    <row r="1939" spans="1:20" x14ac:dyDescent="0.25">
      <c r="A1939" t="s">
        <v>92</v>
      </c>
      <c r="B1939" t="s">
        <v>108</v>
      </c>
      <c r="C1939">
        <v>202602</v>
      </c>
      <c r="D1939" s="47" t="str">
        <f>MID(C1939,1,4)</f>
        <v>2026</v>
      </c>
      <c r="E1939" t="str">
        <f>IF(Portfolio!$M$1=1,CONCATENATE(A1939,C1939),CONCATENATE(B1939,C1939))</f>
        <v>HERO GROUP202602</v>
      </c>
      <c r="F1939">
        <v>1078</v>
      </c>
      <c r="G1939">
        <v>0</v>
      </c>
      <c r="H1939">
        <v>2</v>
      </c>
      <c r="I1939">
        <v>224</v>
      </c>
      <c r="J1939">
        <v>116</v>
      </c>
      <c r="K1939">
        <v>457264400</v>
      </c>
      <c r="L1939">
        <v>0</v>
      </c>
      <c r="M1939">
        <v>925344</v>
      </c>
      <c r="N1939">
        <v>83985708</v>
      </c>
      <c r="O1939">
        <v>8547500</v>
      </c>
      <c r="P1939">
        <v>685895</v>
      </c>
      <c r="Q1939">
        <v>0</v>
      </c>
      <c r="R1939">
        <v>18507</v>
      </c>
      <c r="S1939">
        <v>144165</v>
      </c>
      <c r="T1939">
        <v>5217</v>
      </c>
    </row>
    <row r="1940" spans="1:20" x14ac:dyDescent="0.25">
      <c r="A1940" t="s">
        <v>106</v>
      </c>
      <c r="B1940" t="s">
        <v>106</v>
      </c>
      <c r="C1940">
        <v>202602</v>
      </c>
      <c r="D1940" s="47" t="str">
        <f>MID(C1940,1,4)</f>
        <v>2026</v>
      </c>
      <c r="E1940" t="str">
        <f>IF(Portfolio!$M$1=1,CONCATENATE(A1940,C1940),CONCATENATE(B1940,C1940))</f>
        <v>MAMA ROZ202602</v>
      </c>
      <c r="F1940">
        <v>0</v>
      </c>
      <c r="G1940">
        <v>2</v>
      </c>
      <c r="H1940">
        <v>4</v>
      </c>
      <c r="I1940">
        <v>0</v>
      </c>
      <c r="J1940">
        <v>172</v>
      </c>
      <c r="K1940">
        <v>0</v>
      </c>
      <c r="L1940">
        <v>106560</v>
      </c>
      <c r="M1940">
        <v>333000</v>
      </c>
      <c r="N1940">
        <v>0</v>
      </c>
      <c r="O1940">
        <v>12488222</v>
      </c>
      <c r="P1940">
        <v>0</v>
      </c>
      <c r="Q1940">
        <v>1066</v>
      </c>
      <c r="R1940">
        <v>4995</v>
      </c>
      <c r="S1940">
        <v>0</v>
      </c>
      <c r="T1940">
        <v>87416</v>
      </c>
    </row>
    <row r="1941" spans="1:20" x14ac:dyDescent="0.25">
      <c r="A1941" t="s">
        <v>105</v>
      </c>
      <c r="B1941" t="s">
        <v>149</v>
      </c>
      <c r="C1941">
        <v>202602</v>
      </c>
      <c r="D1941" s="47" t="str">
        <f>MID(C1941,1,4)</f>
        <v>2026</v>
      </c>
      <c r="E1941" t="str">
        <f>IF(Portfolio!$M$1=1,CONCATENATE(A1941,C1941),CONCATENATE(B1941,C1941))</f>
        <v>LOTTE GROUP202602</v>
      </c>
      <c r="F1941">
        <v>3096</v>
      </c>
      <c r="G1941">
        <v>34</v>
      </c>
      <c r="H1941">
        <v>20</v>
      </c>
      <c r="I1941">
        <v>0</v>
      </c>
      <c r="J1941">
        <v>2</v>
      </c>
      <c r="K1941">
        <v>1324321000</v>
      </c>
      <c r="L1941">
        <v>12479840</v>
      </c>
      <c r="M1941">
        <v>11494400</v>
      </c>
      <c r="N1941">
        <v>0</v>
      </c>
      <c r="O1941">
        <v>52801</v>
      </c>
      <c r="P1941">
        <v>1986482</v>
      </c>
      <c r="Q1941">
        <v>89342</v>
      </c>
      <c r="R1941">
        <v>149427</v>
      </c>
      <c r="S1941">
        <v>0</v>
      </c>
      <c r="T1941">
        <v>370</v>
      </c>
    </row>
    <row r="1942" spans="1:20" x14ac:dyDescent="0.25">
      <c r="A1942" t="s">
        <v>107</v>
      </c>
      <c r="B1942" t="s">
        <v>180</v>
      </c>
      <c r="C1942">
        <v>202602</v>
      </c>
      <c r="D1942" s="47" t="str">
        <f>MID(C1942,1,4)</f>
        <v>2026</v>
      </c>
      <c r="E1942" t="str">
        <f>IF(Portfolio!$M$1=1,CONCATENATE(A1942,C1942),CONCATENATE(B1942,C1942))</f>
        <v>MAP GROUP202602</v>
      </c>
      <c r="F1942">
        <v>48</v>
      </c>
      <c r="G1942">
        <v>236</v>
      </c>
      <c r="H1942">
        <v>188</v>
      </c>
      <c r="I1942">
        <v>0</v>
      </c>
      <c r="J1942">
        <v>0</v>
      </c>
      <c r="K1942">
        <v>10125440</v>
      </c>
      <c r="L1942">
        <v>70839664</v>
      </c>
      <c r="M1942">
        <v>78620852</v>
      </c>
      <c r="N1942">
        <v>0</v>
      </c>
      <c r="O1942">
        <v>0</v>
      </c>
      <c r="P1942">
        <v>15188</v>
      </c>
      <c r="Q1942">
        <v>708397</v>
      </c>
      <c r="R1942">
        <v>1022071</v>
      </c>
      <c r="S1942">
        <v>0</v>
      </c>
      <c r="T1942">
        <v>0</v>
      </c>
    </row>
    <row r="1943" spans="1:20" x14ac:dyDescent="0.25">
      <c r="A1943" t="s">
        <v>107</v>
      </c>
      <c r="B1943" t="s">
        <v>197</v>
      </c>
      <c r="C1943">
        <v>202602</v>
      </c>
      <c r="D1943" s="47" t="str">
        <f>MID(C1943,1,4)</f>
        <v>2026</v>
      </c>
      <c r="E1943" t="str">
        <f>IF(Portfolio!$M$1=1,CONCATENATE(A1943,C1943),CONCATENATE(B1943,C1943))</f>
        <v>MAP GROUP202602</v>
      </c>
      <c r="F1943">
        <v>0</v>
      </c>
      <c r="G1943">
        <v>18</v>
      </c>
      <c r="H1943">
        <v>26</v>
      </c>
      <c r="I1943">
        <v>0</v>
      </c>
      <c r="J1943">
        <v>0</v>
      </c>
      <c r="K1943">
        <v>0</v>
      </c>
      <c r="L1943">
        <v>50072600</v>
      </c>
      <c r="M1943">
        <v>71399200</v>
      </c>
      <c r="N1943">
        <v>0</v>
      </c>
      <c r="O1943">
        <v>0</v>
      </c>
      <c r="P1943">
        <v>0</v>
      </c>
      <c r="Q1943">
        <v>500726</v>
      </c>
      <c r="R1943">
        <v>928190</v>
      </c>
      <c r="S1943">
        <v>0</v>
      </c>
      <c r="T1943">
        <v>0</v>
      </c>
    </row>
    <row r="1944" spans="1:20" x14ac:dyDescent="0.25">
      <c r="A1944" t="s">
        <v>67</v>
      </c>
      <c r="B1944" t="s">
        <v>69</v>
      </c>
      <c r="C1944">
        <v>202602</v>
      </c>
      <c r="D1944" s="47" t="str">
        <f>MID(C1944,1,4)</f>
        <v>2026</v>
      </c>
      <c r="E1944" t="str">
        <f>IF(Portfolio!$M$1=1,CONCATENATE(A1944,C1944),CONCATENATE(B1944,C1944))</f>
        <v>ALFA GROUP202602</v>
      </c>
      <c r="F1944">
        <v>194</v>
      </c>
      <c r="G1944">
        <v>216</v>
      </c>
      <c r="H1944">
        <v>14</v>
      </c>
      <c r="I1944">
        <v>1</v>
      </c>
      <c r="J1944">
        <v>135</v>
      </c>
      <c r="K1944">
        <v>31722252</v>
      </c>
      <c r="L1944">
        <v>34690066</v>
      </c>
      <c r="M1944">
        <v>2282200</v>
      </c>
      <c r="N1944">
        <v>8700</v>
      </c>
      <c r="O1944">
        <v>4265200</v>
      </c>
      <c r="P1944">
        <v>47583</v>
      </c>
      <c r="Q1944">
        <v>346901</v>
      </c>
      <c r="R1944">
        <v>41080</v>
      </c>
      <c r="S1944">
        <v>61</v>
      </c>
      <c r="T1944">
        <v>29856</v>
      </c>
    </row>
    <row r="1945" spans="1:20" x14ac:dyDescent="0.25">
      <c r="A1945" t="s">
        <v>107</v>
      </c>
      <c r="B1945" t="s">
        <v>161</v>
      </c>
      <c r="C1945">
        <v>202602</v>
      </c>
      <c r="D1945" s="47" t="str">
        <f>MID(C1945,1,4)</f>
        <v>2026</v>
      </c>
      <c r="E1945" t="str">
        <f>IF(Portfolio!$M$1=1,CONCATENATE(A1945,C1945),CONCATENATE(B1945,C1945))</f>
        <v>MAP GROUP202602</v>
      </c>
      <c r="F1945">
        <v>8</v>
      </c>
      <c r="G1945">
        <v>36</v>
      </c>
      <c r="H1945">
        <v>124</v>
      </c>
      <c r="I1945">
        <v>0</v>
      </c>
      <c r="J1945">
        <v>0</v>
      </c>
      <c r="K1945">
        <v>8040000</v>
      </c>
      <c r="L1945">
        <v>83245288</v>
      </c>
      <c r="M1945">
        <v>226481666</v>
      </c>
      <c r="N1945">
        <v>0</v>
      </c>
      <c r="O1945">
        <v>0</v>
      </c>
      <c r="P1945">
        <v>12060</v>
      </c>
      <c r="Q1945">
        <v>832453</v>
      </c>
      <c r="R1945">
        <v>2944262</v>
      </c>
      <c r="S1945">
        <v>0</v>
      </c>
      <c r="T1945">
        <v>0</v>
      </c>
    </row>
    <row r="1946" spans="1:20" x14ac:dyDescent="0.25">
      <c r="A1946" t="s">
        <v>102</v>
      </c>
      <c r="B1946" t="s">
        <v>133</v>
      </c>
      <c r="C1946">
        <v>202602</v>
      </c>
      <c r="D1946" s="47" t="str">
        <f>MID(C1946,1,4)</f>
        <v>2026</v>
      </c>
      <c r="E1946" t="str">
        <f>IF(Portfolio!$M$1=1,CONCATENATE(A1946,C1946),CONCATENATE(B1946,C1946))</f>
        <v>KAWAN LAMA202602</v>
      </c>
      <c r="F1946">
        <v>142</v>
      </c>
      <c r="G1946">
        <v>0</v>
      </c>
      <c r="H1946">
        <v>0</v>
      </c>
      <c r="I1946">
        <v>0</v>
      </c>
      <c r="J1946">
        <v>5</v>
      </c>
      <c r="K1946">
        <v>24708000</v>
      </c>
      <c r="L1946">
        <v>0</v>
      </c>
      <c r="M1946">
        <v>0</v>
      </c>
      <c r="N1946">
        <v>0</v>
      </c>
      <c r="O1946">
        <v>679000</v>
      </c>
      <c r="P1946">
        <v>37062</v>
      </c>
      <c r="Q1946">
        <v>0</v>
      </c>
      <c r="R1946">
        <v>0</v>
      </c>
      <c r="S1946">
        <v>0</v>
      </c>
      <c r="T1946">
        <v>4753</v>
      </c>
    </row>
    <row r="1947" spans="1:20" x14ac:dyDescent="0.25">
      <c r="A1947" t="s">
        <v>124</v>
      </c>
      <c r="B1947" t="s">
        <v>124</v>
      </c>
      <c r="C1947">
        <v>202602</v>
      </c>
      <c r="D1947" s="47" t="str">
        <f>MID(C1947,1,4)</f>
        <v>2026</v>
      </c>
      <c r="E1947" t="str">
        <f>IF(Portfolio!$M$1=1,CONCATENATE(A1947,C1947),CONCATENATE(B1947,C1947))</f>
        <v>SOUR SALLY202602</v>
      </c>
      <c r="F1947">
        <v>8</v>
      </c>
      <c r="G1947">
        <v>2</v>
      </c>
      <c r="H1947">
        <v>0</v>
      </c>
      <c r="I1947">
        <v>16</v>
      </c>
      <c r="J1947">
        <v>161</v>
      </c>
      <c r="K1947">
        <v>576000</v>
      </c>
      <c r="L1947">
        <v>144000</v>
      </c>
      <c r="M1947">
        <v>0</v>
      </c>
      <c r="N1947">
        <v>1195000</v>
      </c>
      <c r="O1947">
        <v>12841918</v>
      </c>
      <c r="P1947">
        <v>864</v>
      </c>
      <c r="Q1947">
        <v>1440</v>
      </c>
      <c r="R1947">
        <v>0</v>
      </c>
      <c r="S1947">
        <v>8365</v>
      </c>
      <c r="T1947">
        <v>89893</v>
      </c>
    </row>
    <row r="1948" spans="1:20" x14ac:dyDescent="0.25">
      <c r="A1948" t="s">
        <v>107</v>
      </c>
      <c r="B1948" t="s">
        <v>185</v>
      </c>
      <c r="C1948">
        <v>202602</v>
      </c>
      <c r="D1948" s="47" t="str">
        <f>MID(C1948,1,4)</f>
        <v>2026</v>
      </c>
      <c r="E1948" t="str">
        <f>IF(Portfolio!$M$1=1,CONCATENATE(A1948,C1948),CONCATENATE(B1948,C1948))</f>
        <v>MAP GROUP202602</v>
      </c>
      <c r="F1948">
        <v>78</v>
      </c>
      <c r="G1948">
        <v>252</v>
      </c>
      <c r="H1948">
        <v>514</v>
      </c>
      <c r="I1948">
        <v>0</v>
      </c>
      <c r="J1948">
        <v>0</v>
      </c>
      <c r="K1948">
        <v>189586000</v>
      </c>
      <c r="L1948">
        <v>743288000</v>
      </c>
      <c r="M1948">
        <v>1483222800</v>
      </c>
      <c r="N1948">
        <v>0</v>
      </c>
      <c r="O1948">
        <v>0</v>
      </c>
      <c r="P1948">
        <v>284379</v>
      </c>
      <c r="Q1948">
        <v>7432880</v>
      </c>
      <c r="R1948">
        <v>19281896</v>
      </c>
      <c r="S1948">
        <v>0</v>
      </c>
      <c r="T1948">
        <v>0</v>
      </c>
    </row>
    <row r="1949" spans="1:20" x14ac:dyDescent="0.25">
      <c r="A1949" t="s">
        <v>103</v>
      </c>
      <c r="B1949" t="s">
        <v>146</v>
      </c>
      <c r="C1949">
        <v>202602</v>
      </c>
      <c r="D1949" s="47" t="str">
        <f>MID(C1949,1,4)</f>
        <v>2026</v>
      </c>
      <c r="E1949" t="str">
        <f>IF(Portfolio!$M$1=1,CONCATENATE(A1949,C1949),CONCATENATE(B1949,C1949))</f>
        <v>KCIC202602</v>
      </c>
      <c r="F1949">
        <v>136</v>
      </c>
      <c r="G1949">
        <v>750</v>
      </c>
      <c r="H1949">
        <v>1634</v>
      </c>
      <c r="I1949">
        <v>12</v>
      </c>
      <c r="J1949">
        <v>1413</v>
      </c>
      <c r="K1949">
        <v>108840000</v>
      </c>
      <c r="L1949">
        <v>607340000</v>
      </c>
      <c r="M1949">
        <v>1567781600</v>
      </c>
      <c r="N1949">
        <v>12060000</v>
      </c>
      <c r="O1949">
        <v>1151635000</v>
      </c>
      <c r="P1949">
        <v>163260</v>
      </c>
      <c r="Q1949">
        <v>5368200</v>
      </c>
      <c r="R1949">
        <v>28226069</v>
      </c>
      <c r="S1949">
        <v>84420</v>
      </c>
      <c r="T1949">
        <v>8061445</v>
      </c>
    </row>
    <row r="1950" spans="1:20" x14ac:dyDescent="0.25">
      <c r="A1950" t="s">
        <v>110</v>
      </c>
      <c r="B1950" t="s">
        <v>110</v>
      </c>
      <c r="C1950">
        <v>202602</v>
      </c>
      <c r="D1950" s="47" t="str">
        <f>MID(C1950,1,4)</f>
        <v>2026</v>
      </c>
      <c r="E1950" t="str">
        <f>IF(Portfolio!$M$1=1,CONCATENATE(A1950,C1950),CONCATENATE(B1950,C1950))</f>
        <v>OPTIK MELAWAI202602</v>
      </c>
      <c r="F1950">
        <v>300</v>
      </c>
      <c r="G1950">
        <v>0</v>
      </c>
      <c r="H1950">
        <v>0</v>
      </c>
      <c r="I1950">
        <v>0</v>
      </c>
      <c r="J1950">
        <v>0</v>
      </c>
      <c r="K1950">
        <v>636602000</v>
      </c>
      <c r="L1950">
        <v>0</v>
      </c>
      <c r="M1950">
        <v>0</v>
      </c>
      <c r="N1950">
        <v>0</v>
      </c>
      <c r="O1950">
        <v>0</v>
      </c>
      <c r="P1950">
        <v>954903</v>
      </c>
      <c r="Q1950">
        <v>0</v>
      </c>
      <c r="R1950">
        <v>0</v>
      </c>
      <c r="S1950">
        <v>0</v>
      </c>
      <c r="T1950">
        <v>0</v>
      </c>
    </row>
    <row r="1951" spans="1:20" x14ac:dyDescent="0.25">
      <c r="A1951" t="s">
        <v>75</v>
      </c>
      <c r="B1951" t="s">
        <v>91</v>
      </c>
      <c r="C1951">
        <v>202602</v>
      </c>
      <c r="D1951" s="47" t="str">
        <f>MID(C1951,1,4)</f>
        <v>2026</v>
      </c>
      <c r="E1951" t="str">
        <f>IF(Portfolio!$M$1=1,CONCATENATE(A1951,C1951),CONCATENATE(B1951,C1951))</f>
        <v>CHAMP RESTO202602</v>
      </c>
      <c r="F1951">
        <v>8</v>
      </c>
      <c r="G1951">
        <v>10</v>
      </c>
      <c r="H1951">
        <v>0</v>
      </c>
      <c r="I1951">
        <v>0</v>
      </c>
      <c r="J1951">
        <v>21</v>
      </c>
      <c r="K1951">
        <v>2105792</v>
      </c>
      <c r="L1951">
        <v>4783732</v>
      </c>
      <c r="M1951">
        <v>0</v>
      </c>
      <c r="N1951">
        <v>0</v>
      </c>
      <c r="O1951">
        <v>5590322</v>
      </c>
      <c r="P1951">
        <v>3159</v>
      </c>
      <c r="Q1951">
        <v>47837</v>
      </c>
      <c r="R1951">
        <v>0</v>
      </c>
      <c r="S1951">
        <v>0</v>
      </c>
      <c r="T1951">
        <v>39132</v>
      </c>
    </row>
    <row r="1952" spans="1:20" x14ac:dyDescent="0.25">
      <c r="A1952" t="s">
        <v>107</v>
      </c>
      <c r="B1952" t="s">
        <v>187</v>
      </c>
      <c r="C1952">
        <v>202602</v>
      </c>
      <c r="D1952" s="47" t="str">
        <f>MID(C1952,1,4)</f>
        <v>2026</v>
      </c>
      <c r="E1952" t="str">
        <f>IF(Portfolio!$M$1=1,CONCATENATE(A1952,C1952),CONCATENATE(B1952,C1952))</f>
        <v>MAP GROUP202602</v>
      </c>
      <c r="F1952">
        <v>0</v>
      </c>
      <c r="G1952">
        <v>32</v>
      </c>
      <c r="H1952">
        <v>28</v>
      </c>
      <c r="I1952">
        <v>0</v>
      </c>
      <c r="J1952">
        <v>0</v>
      </c>
      <c r="K1952">
        <v>0</v>
      </c>
      <c r="L1952">
        <v>71354264</v>
      </c>
      <c r="M1952">
        <v>48088524</v>
      </c>
      <c r="N1952">
        <v>0</v>
      </c>
      <c r="O1952">
        <v>0</v>
      </c>
      <c r="P1952">
        <v>0</v>
      </c>
      <c r="Q1952">
        <v>713543</v>
      </c>
      <c r="R1952">
        <v>625151</v>
      </c>
      <c r="S1952">
        <v>0</v>
      </c>
      <c r="T1952">
        <v>0</v>
      </c>
    </row>
    <row r="1953" spans="1:20" x14ac:dyDescent="0.25">
      <c r="A1953" t="s">
        <v>102</v>
      </c>
      <c r="B1953" t="s">
        <v>142</v>
      </c>
      <c r="C1953">
        <v>202602</v>
      </c>
      <c r="D1953" s="47" t="str">
        <f>MID(C1953,1,4)</f>
        <v>2026</v>
      </c>
      <c r="E1953" t="str">
        <f>IF(Portfolio!$M$1=1,CONCATENATE(A1953,C1953),CONCATENATE(B1953,C1953))</f>
        <v>KAWAN LAMA202602</v>
      </c>
      <c r="F1953">
        <v>214</v>
      </c>
      <c r="G1953">
        <v>0</v>
      </c>
      <c r="H1953">
        <v>0</v>
      </c>
      <c r="I1953">
        <v>0</v>
      </c>
      <c r="J1953">
        <v>14</v>
      </c>
      <c r="K1953">
        <v>234436800</v>
      </c>
      <c r="L1953">
        <v>0</v>
      </c>
      <c r="M1953">
        <v>0</v>
      </c>
      <c r="N1953">
        <v>0</v>
      </c>
      <c r="O1953">
        <v>13794892</v>
      </c>
      <c r="P1953">
        <v>351655</v>
      </c>
      <c r="Q1953">
        <v>0</v>
      </c>
      <c r="R1953">
        <v>0</v>
      </c>
      <c r="S1953">
        <v>0</v>
      </c>
      <c r="T1953">
        <v>85294</v>
      </c>
    </row>
    <row r="1954" spans="1:20" x14ac:dyDescent="0.25">
      <c r="A1954" t="s">
        <v>102</v>
      </c>
      <c r="B1954" t="s">
        <v>119</v>
      </c>
      <c r="C1954">
        <v>202602</v>
      </c>
      <c r="D1954" s="47" t="str">
        <f>MID(C1954,1,4)</f>
        <v>2026</v>
      </c>
      <c r="E1954" t="str">
        <f>IF(Portfolio!$M$1=1,CONCATENATE(A1954,C1954),CONCATENATE(B1954,C1954))</f>
        <v>KAWAN LAMA202602</v>
      </c>
      <c r="F1954">
        <v>6</v>
      </c>
      <c r="G1954">
        <v>0</v>
      </c>
      <c r="H1954">
        <v>0</v>
      </c>
      <c r="I1954">
        <v>0</v>
      </c>
      <c r="J1954">
        <v>0</v>
      </c>
      <c r="K1954">
        <v>3511134</v>
      </c>
      <c r="L1954">
        <v>0</v>
      </c>
      <c r="M1954">
        <v>0</v>
      </c>
      <c r="N1954">
        <v>0</v>
      </c>
      <c r="O1954">
        <v>0</v>
      </c>
      <c r="P1954">
        <v>5267</v>
      </c>
      <c r="Q1954">
        <v>0</v>
      </c>
      <c r="R1954">
        <v>0</v>
      </c>
      <c r="S1954">
        <v>0</v>
      </c>
      <c r="T1954">
        <v>0</v>
      </c>
    </row>
    <row r="1955" spans="1:20" x14ac:dyDescent="0.25">
      <c r="A1955" t="s">
        <v>78</v>
      </c>
      <c r="B1955" t="s">
        <v>98</v>
      </c>
      <c r="C1955">
        <v>202602</v>
      </c>
      <c r="D1955" s="47" t="str">
        <f>MID(C1955,1,4)</f>
        <v>2026</v>
      </c>
      <c r="E1955" t="str">
        <f>IF(Portfolio!$M$1=1,CONCATENATE(A1955,C1955),CONCATENATE(B1955,C1955))</f>
        <v>DELTA WIBAWA BERSAMA202602</v>
      </c>
      <c r="F1955">
        <v>0</v>
      </c>
      <c r="G1955">
        <v>0</v>
      </c>
      <c r="H1955">
        <v>0</v>
      </c>
      <c r="I1955">
        <v>8</v>
      </c>
      <c r="J1955">
        <v>364</v>
      </c>
      <c r="K1955">
        <v>0</v>
      </c>
      <c r="L1955">
        <v>0</v>
      </c>
      <c r="M1955">
        <v>0</v>
      </c>
      <c r="N1955">
        <v>956918</v>
      </c>
      <c r="O1955">
        <v>79420927</v>
      </c>
      <c r="P1955">
        <v>0</v>
      </c>
      <c r="Q1955">
        <v>0</v>
      </c>
      <c r="R1955">
        <v>0</v>
      </c>
      <c r="S1955">
        <v>6698</v>
      </c>
      <c r="T1955">
        <v>555947</v>
      </c>
    </row>
    <row r="1956" spans="1:20" x14ac:dyDescent="0.25">
      <c r="A1956" t="s">
        <v>88</v>
      </c>
      <c r="B1956" t="s">
        <v>88</v>
      </c>
      <c r="C1956">
        <v>202602</v>
      </c>
      <c r="D1956" s="47" t="str">
        <f>MID(C1956,1,4)</f>
        <v>2026</v>
      </c>
      <c r="E1956" t="str">
        <f>IF(Portfolio!$M$1=1,CONCATENATE(A1956,C1956),CONCATENATE(B1956,C1956))</f>
        <v>HAUS202602</v>
      </c>
      <c r="F1956">
        <v>0</v>
      </c>
      <c r="G1956">
        <v>2</v>
      </c>
      <c r="H1956">
        <v>0</v>
      </c>
      <c r="I1956">
        <v>11</v>
      </c>
      <c r="J1956">
        <v>510</v>
      </c>
      <c r="K1956">
        <v>0</v>
      </c>
      <c r="L1956">
        <v>40000</v>
      </c>
      <c r="M1956">
        <v>0</v>
      </c>
      <c r="N1956">
        <v>608000</v>
      </c>
      <c r="O1956">
        <v>23920800</v>
      </c>
      <c r="P1956">
        <v>0</v>
      </c>
      <c r="Q1956">
        <v>400</v>
      </c>
      <c r="R1956">
        <v>0</v>
      </c>
      <c r="S1956">
        <v>0</v>
      </c>
      <c r="T1956">
        <v>30000</v>
      </c>
    </row>
    <row r="1957" spans="1:20" x14ac:dyDescent="0.25">
      <c r="A1957" t="s">
        <v>107</v>
      </c>
      <c r="B1957" t="s">
        <v>209</v>
      </c>
      <c r="C1957">
        <v>202602</v>
      </c>
      <c r="D1957" s="47" t="str">
        <f>MID(C1957,1,4)</f>
        <v>2026</v>
      </c>
      <c r="E1957" t="str">
        <f>IF(Portfolio!$M$1=1,CONCATENATE(A1957,C1957),CONCATENATE(B1957,C1957))</f>
        <v>MAP GROUP202602</v>
      </c>
      <c r="F1957">
        <v>0</v>
      </c>
      <c r="G1957">
        <v>8</v>
      </c>
      <c r="H1957">
        <v>30</v>
      </c>
      <c r="I1957">
        <v>0</v>
      </c>
      <c r="J1957">
        <v>0</v>
      </c>
      <c r="K1957">
        <v>0</v>
      </c>
      <c r="L1957">
        <v>11576800</v>
      </c>
      <c r="M1957">
        <v>43474620</v>
      </c>
      <c r="N1957">
        <v>0</v>
      </c>
      <c r="O1957">
        <v>0</v>
      </c>
      <c r="P1957">
        <v>0</v>
      </c>
      <c r="Q1957">
        <v>115768</v>
      </c>
      <c r="R1957">
        <v>565170</v>
      </c>
      <c r="S1957">
        <v>0</v>
      </c>
      <c r="T1957">
        <v>0</v>
      </c>
    </row>
    <row r="1958" spans="1:20" x14ac:dyDescent="0.25">
      <c r="A1958" t="s">
        <v>107</v>
      </c>
      <c r="B1958" t="s">
        <v>192</v>
      </c>
      <c r="C1958">
        <v>202602</v>
      </c>
      <c r="D1958" s="47" t="str">
        <f>MID(C1958,1,4)</f>
        <v>2026</v>
      </c>
      <c r="E1958" t="str">
        <f>IF(Portfolio!$M$1=1,CONCATENATE(A1958,C1958),CONCATENATE(B1958,C1958))</f>
        <v>MAP GROUP202602</v>
      </c>
      <c r="F1958">
        <v>40</v>
      </c>
      <c r="G1958">
        <v>86</v>
      </c>
      <c r="H1958">
        <v>128</v>
      </c>
      <c r="I1958">
        <v>0</v>
      </c>
      <c r="J1958">
        <v>108</v>
      </c>
      <c r="K1958">
        <v>13924000</v>
      </c>
      <c r="L1958">
        <v>62009700</v>
      </c>
      <c r="M1958">
        <v>91508704</v>
      </c>
      <c r="N1958">
        <v>0</v>
      </c>
      <c r="O1958">
        <v>8252000</v>
      </c>
      <c r="P1958">
        <v>20886</v>
      </c>
      <c r="Q1958">
        <v>620097</v>
      </c>
      <c r="R1958">
        <v>1189613</v>
      </c>
      <c r="S1958">
        <v>0</v>
      </c>
      <c r="T1958">
        <v>2700</v>
      </c>
    </row>
    <row r="1959" spans="1:20" x14ac:dyDescent="0.25">
      <c r="A1959" t="s">
        <v>107</v>
      </c>
      <c r="B1959" t="s">
        <v>160</v>
      </c>
      <c r="C1959">
        <v>202602</v>
      </c>
      <c r="D1959" s="47" t="str">
        <f>MID(C1959,1,4)</f>
        <v>2026</v>
      </c>
      <c r="E1959" t="str">
        <f>IF(Portfolio!$M$1=1,CONCATENATE(A1959,C1959),CONCATENATE(B1959,C1959))</f>
        <v>MAP GROUP202602</v>
      </c>
      <c r="F1959">
        <v>32</v>
      </c>
      <c r="G1959">
        <v>18</v>
      </c>
      <c r="H1959">
        <v>176</v>
      </c>
      <c r="I1959">
        <v>0</v>
      </c>
      <c r="J1959">
        <v>0</v>
      </c>
      <c r="K1959">
        <v>73131200</v>
      </c>
      <c r="L1959">
        <v>31154500</v>
      </c>
      <c r="M1959">
        <v>324954270</v>
      </c>
      <c r="N1959">
        <v>0</v>
      </c>
      <c r="O1959">
        <v>0</v>
      </c>
      <c r="P1959">
        <v>109697</v>
      </c>
      <c r="Q1959">
        <v>311545</v>
      </c>
      <c r="R1959">
        <v>4224406</v>
      </c>
      <c r="S1959">
        <v>0</v>
      </c>
      <c r="T1959">
        <v>0</v>
      </c>
    </row>
    <row r="1960" spans="1:20" x14ac:dyDescent="0.25">
      <c r="A1960" t="s">
        <v>115</v>
      </c>
      <c r="B1960" t="s">
        <v>115</v>
      </c>
      <c r="C1960">
        <v>202602</v>
      </c>
      <c r="D1960" s="47" t="str">
        <f>MID(C1960,1,4)</f>
        <v>2026</v>
      </c>
      <c r="E1960" t="str">
        <f>IF(Portfolio!$M$1=1,CONCATENATE(A1960,C1960),CONCATENATE(B1960,C1960))</f>
        <v>PLATINUM CINEPLEX202602</v>
      </c>
      <c r="F1960">
        <v>0</v>
      </c>
      <c r="G1960">
        <v>2</v>
      </c>
      <c r="H1960">
        <v>0</v>
      </c>
      <c r="I1960">
        <v>0</v>
      </c>
      <c r="J1960">
        <v>28</v>
      </c>
      <c r="K1960">
        <v>0</v>
      </c>
      <c r="L1960">
        <v>684000</v>
      </c>
      <c r="M1960">
        <v>0</v>
      </c>
      <c r="N1960">
        <v>0</v>
      </c>
      <c r="O1960">
        <v>2255030</v>
      </c>
      <c r="P1960">
        <v>0</v>
      </c>
      <c r="Q1960">
        <v>6840</v>
      </c>
      <c r="R1960">
        <v>0</v>
      </c>
      <c r="S1960">
        <v>0</v>
      </c>
      <c r="T1960">
        <v>15785</v>
      </c>
    </row>
    <row r="1961" spans="1:20" x14ac:dyDescent="0.25">
      <c r="A1961" t="s">
        <v>114</v>
      </c>
      <c r="B1961" t="s">
        <v>217</v>
      </c>
      <c r="C1961">
        <v>202602</v>
      </c>
      <c r="D1961" s="47" t="str">
        <f>MID(C1961,1,4)</f>
        <v>2026</v>
      </c>
      <c r="E1961" t="str">
        <f>IF(Portfolio!$M$1=1,CONCATENATE(A1961,C1961),CONCATENATE(B1961,C1961))</f>
        <v>PIZZA HUT202602</v>
      </c>
      <c r="F1961">
        <v>160</v>
      </c>
      <c r="G1961">
        <v>0</v>
      </c>
      <c r="H1961">
        <v>0</v>
      </c>
      <c r="I1961">
        <v>0</v>
      </c>
      <c r="J1961">
        <v>259</v>
      </c>
      <c r="K1961">
        <v>22407976</v>
      </c>
      <c r="L1961">
        <v>0</v>
      </c>
      <c r="M1961">
        <v>0</v>
      </c>
      <c r="N1961">
        <v>0</v>
      </c>
      <c r="O1961">
        <v>2743000</v>
      </c>
      <c r="P1961">
        <v>33612</v>
      </c>
      <c r="Q1961">
        <v>0</v>
      </c>
      <c r="R1961">
        <v>0</v>
      </c>
      <c r="S1961">
        <v>0</v>
      </c>
      <c r="T1961">
        <v>0</v>
      </c>
    </row>
    <row r="1962" spans="1:20" x14ac:dyDescent="0.25">
      <c r="A1962" t="s">
        <v>107</v>
      </c>
      <c r="B1962" t="s">
        <v>193</v>
      </c>
      <c r="C1962">
        <v>202602</v>
      </c>
      <c r="D1962" s="47" t="str">
        <f>MID(C1962,1,4)</f>
        <v>2026</v>
      </c>
      <c r="E1962" t="str">
        <f>IF(Portfolio!$M$1=1,CONCATENATE(A1962,C1962),CONCATENATE(B1962,C1962))</f>
        <v>MAP GROUP202602</v>
      </c>
      <c r="F1962">
        <v>8</v>
      </c>
      <c r="G1962">
        <v>10</v>
      </c>
      <c r="H1962">
        <v>32</v>
      </c>
      <c r="I1962">
        <v>0</v>
      </c>
      <c r="J1962">
        <v>0</v>
      </c>
      <c r="K1962">
        <v>8540800</v>
      </c>
      <c r="L1962">
        <v>10406842</v>
      </c>
      <c r="M1962">
        <v>31147600</v>
      </c>
      <c r="N1962">
        <v>0</v>
      </c>
      <c r="O1962">
        <v>0</v>
      </c>
      <c r="P1962">
        <v>12811</v>
      </c>
      <c r="Q1962">
        <v>104068</v>
      </c>
      <c r="R1962">
        <v>404919</v>
      </c>
      <c r="S1962">
        <v>0</v>
      </c>
      <c r="T1962">
        <v>0</v>
      </c>
    </row>
    <row r="1963" spans="1:20" x14ac:dyDescent="0.25">
      <c r="A1963" t="s">
        <v>107</v>
      </c>
      <c r="B1963" t="s">
        <v>195</v>
      </c>
      <c r="C1963">
        <v>202602</v>
      </c>
      <c r="D1963" s="47" t="str">
        <f>MID(C1963,1,4)</f>
        <v>2026</v>
      </c>
      <c r="E1963" t="str">
        <f>IF(Portfolio!$M$1=1,CONCATENATE(A1963,C1963),CONCATENATE(B1963,C1963))</f>
        <v>MAP GROUP202602</v>
      </c>
      <c r="F1963">
        <v>8</v>
      </c>
      <c r="G1963">
        <v>24</v>
      </c>
      <c r="H1963">
        <v>46</v>
      </c>
      <c r="I1963">
        <v>0</v>
      </c>
      <c r="J1963">
        <v>0</v>
      </c>
      <c r="K1963">
        <v>7208000</v>
      </c>
      <c r="L1963">
        <v>12547400</v>
      </c>
      <c r="M1963">
        <v>32812520</v>
      </c>
      <c r="N1963">
        <v>0</v>
      </c>
      <c r="O1963">
        <v>0</v>
      </c>
      <c r="P1963">
        <v>10812</v>
      </c>
      <c r="Q1963">
        <v>125474</v>
      </c>
      <c r="R1963">
        <v>426563</v>
      </c>
      <c r="S1963">
        <v>0</v>
      </c>
      <c r="T1963">
        <v>0</v>
      </c>
    </row>
    <row r="1964" spans="1:20" x14ac:dyDescent="0.25">
      <c r="A1964" t="s">
        <v>75</v>
      </c>
      <c r="B1964" t="s">
        <v>83</v>
      </c>
      <c r="C1964">
        <v>202602</v>
      </c>
      <c r="D1964" s="47" t="str">
        <f>MID(C1964,1,4)</f>
        <v>2026</v>
      </c>
      <c r="E1964" t="str">
        <f>IF(Portfolio!$M$1=1,CONCATENATE(A1964,C1964),CONCATENATE(B1964,C1964))</f>
        <v>CHAMP RESTO202602</v>
      </c>
      <c r="F1964">
        <v>0</v>
      </c>
      <c r="G1964">
        <v>0</v>
      </c>
      <c r="H1964">
        <v>0</v>
      </c>
      <c r="I1964">
        <v>1</v>
      </c>
      <c r="J1964">
        <v>310</v>
      </c>
      <c r="K1964">
        <v>0</v>
      </c>
      <c r="L1964">
        <v>0</v>
      </c>
      <c r="M1964">
        <v>0</v>
      </c>
      <c r="N1964">
        <v>15000</v>
      </c>
      <c r="O1964">
        <v>17737761</v>
      </c>
      <c r="P1964">
        <v>0</v>
      </c>
      <c r="Q1964">
        <v>0</v>
      </c>
      <c r="R1964">
        <v>0</v>
      </c>
      <c r="S1964">
        <v>0</v>
      </c>
      <c r="T1964">
        <v>15353</v>
      </c>
    </row>
    <row r="1965" spans="1:20" x14ac:dyDescent="0.25">
      <c r="A1965" t="s">
        <v>107</v>
      </c>
      <c r="B1965" t="s">
        <v>157</v>
      </c>
      <c r="C1965">
        <v>202602</v>
      </c>
      <c r="D1965" s="47" t="str">
        <f>MID(C1965,1,4)</f>
        <v>2026</v>
      </c>
      <c r="E1965" t="str">
        <f>IF(Portfolio!$M$1=1,CONCATENATE(A1965,C1965),CONCATENATE(B1965,C1965))</f>
        <v>MAP GROUP202602</v>
      </c>
      <c r="F1965">
        <v>8</v>
      </c>
      <c r="G1965">
        <v>44</v>
      </c>
      <c r="H1965">
        <v>72</v>
      </c>
      <c r="I1965">
        <v>0</v>
      </c>
      <c r="J1965">
        <v>0</v>
      </c>
      <c r="K1965">
        <v>3768288</v>
      </c>
      <c r="L1965">
        <v>29798668</v>
      </c>
      <c r="M1965">
        <v>65644288</v>
      </c>
      <c r="N1965">
        <v>0</v>
      </c>
      <c r="O1965">
        <v>0</v>
      </c>
      <c r="P1965">
        <v>5652</v>
      </c>
      <c r="Q1965">
        <v>297987</v>
      </c>
      <c r="R1965">
        <v>853376</v>
      </c>
      <c r="S1965">
        <v>0</v>
      </c>
      <c r="T1965">
        <v>0</v>
      </c>
    </row>
    <row r="1966" spans="1:20" x14ac:dyDescent="0.25">
      <c r="A1966" t="s">
        <v>107</v>
      </c>
      <c r="B1966" t="s">
        <v>153</v>
      </c>
      <c r="C1966">
        <v>202602</v>
      </c>
      <c r="D1966" s="47" t="str">
        <f>MID(C1966,1,4)</f>
        <v>2026</v>
      </c>
      <c r="E1966" t="str">
        <f>IF(Portfolio!$M$1=1,CONCATENATE(A1966,C1966),CONCATENATE(B1966,C1966))</f>
        <v>MAP GROUP202602</v>
      </c>
      <c r="F1966">
        <v>8</v>
      </c>
      <c r="G1966">
        <v>32</v>
      </c>
      <c r="H1966">
        <v>48</v>
      </c>
      <c r="I1966">
        <v>0</v>
      </c>
      <c r="J1966">
        <v>0</v>
      </c>
      <c r="K1966">
        <v>10392000</v>
      </c>
      <c r="L1966">
        <v>33804600</v>
      </c>
      <c r="M1966">
        <v>60342626</v>
      </c>
      <c r="N1966">
        <v>0</v>
      </c>
      <c r="O1966">
        <v>0</v>
      </c>
      <c r="P1966">
        <v>15588</v>
      </c>
      <c r="Q1966">
        <v>338046</v>
      </c>
      <c r="R1966">
        <v>784454</v>
      </c>
      <c r="S1966">
        <v>0</v>
      </c>
      <c r="T1966">
        <v>0</v>
      </c>
    </row>
    <row r="1967" spans="1:20" x14ac:dyDescent="0.25">
      <c r="A1967" t="s">
        <v>75</v>
      </c>
      <c r="B1967" t="s">
        <v>93</v>
      </c>
      <c r="C1967">
        <v>202602</v>
      </c>
      <c r="D1967" s="47" t="str">
        <f>MID(C1967,1,4)</f>
        <v>2026</v>
      </c>
      <c r="E1967" t="str">
        <f>IF(Portfolio!$M$1=1,CONCATENATE(A1967,C1967),CONCATENATE(B1967,C1967))</f>
        <v>CHAMP RESTO202602</v>
      </c>
      <c r="F1967">
        <v>8</v>
      </c>
      <c r="G1967">
        <v>0</v>
      </c>
      <c r="H1967">
        <v>0</v>
      </c>
      <c r="I1967">
        <v>0</v>
      </c>
      <c r="J1967">
        <v>138</v>
      </c>
      <c r="K1967">
        <v>3032000</v>
      </c>
      <c r="L1967">
        <v>0</v>
      </c>
      <c r="M1967">
        <v>0</v>
      </c>
      <c r="N1967">
        <v>0</v>
      </c>
      <c r="O1967">
        <v>31190000</v>
      </c>
      <c r="P1967">
        <v>4548</v>
      </c>
      <c r="Q1967">
        <v>0</v>
      </c>
      <c r="R1967">
        <v>0</v>
      </c>
      <c r="S1967">
        <v>0</v>
      </c>
      <c r="T1967">
        <v>23715</v>
      </c>
    </row>
    <row r="1968" spans="1:20" x14ac:dyDescent="0.25">
      <c r="A1968" t="s">
        <v>102</v>
      </c>
      <c r="B1968" t="s">
        <v>121</v>
      </c>
      <c r="C1968">
        <v>202602</v>
      </c>
      <c r="D1968" s="47" t="str">
        <f>MID(C1968,1,4)</f>
        <v>2026</v>
      </c>
      <c r="E1968" t="str">
        <f>IF(Portfolio!$M$1=1,CONCATENATE(A1968,C1968),CONCATENATE(B1968,C1968))</f>
        <v>KAWAN LAMA202602</v>
      </c>
      <c r="F1968">
        <v>16</v>
      </c>
      <c r="G1968">
        <v>0</v>
      </c>
      <c r="H1968">
        <v>0</v>
      </c>
      <c r="I1968">
        <v>2</v>
      </c>
      <c r="J1968">
        <v>0</v>
      </c>
      <c r="K1968">
        <v>2242400</v>
      </c>
      <c r="L1968">
        <v>0</v>
      </c>
      <c r="M1968">
        <v>0</v>
      </c>
      <c r="N1968">
        <v>206492</v>
      </c>
      <c r="O1968">
        <v>0</v>
      </c>
      <c r="P1968">
        <v>3364</v>
      </c>
      <c r="Q1968">
        <v>0</v>
      </c>
      <c r="R1968">
        <v>0</v>
      </c>
      <c r="S1968">
        <v>1445</v>
      </c>
      <c r="T1968">
        <v>0</v>
      </c>
    </row>
    <row r="1969" spans="1:20" x14ac:dyDescent="0.25">
      <c r="A1969" t="s">
        <v>107</v>
      </c>
      <c r="B1969" t="s">
        <v>174</v>
      </c>
      <c r="C1969">
        <v>202602</v>
      </c>
      <c r="D1969" s="47" t="str">
        <f>MID(C1969,1,4)</f>
        <v>2026</v>
      </c>
      <c r="E1969" t="str">
        <f>IF(Portfolio!$M$1=1,CONCATENATE(A1969,C1969),CONCATENATE(B1969,C1969))</f>
        <v>MAP GROUP202602</v>
      </c>
      <c r="F1969">
        <v>28</v>
      </c>
      <c r="G1969">
        <v>68</v>
      </c>
      <c r="H1969">
        <v>346</v>
      </c>
      <c r="I1969">
        <v>0</v>
      </c>
      <c r="J1969">
        <v>0</v>
      </c>
      <c r="K1969">
        <v>71614400</v>
      </c>
      <c r="L1969">
        <v>190221440</v>
      </c>
      <c r="M1969">
        <v>929587084</v>
      </c>
      <c r="N1969">
        <v>0</v>
      </c>
      <c r="O1969">
        <v>0</v>
      </c>
      <c r="P1969">
        <v>107422</v>
      </c>
      <c r="Q1969">
        <v>1902214</v>
      </c>
      <c r="R1969">
        <v>12084632</v>
      </c>
      <c r="S1969">
        <v>0</v>
      </c>
      <c r="T1969">
        <v>0</v>
      </c>
    </row>
    <row r="1970" spans="1:20" x14ac:dyDescent="0.25">
      <c r="A1970" t="s">
        <v>78</v>
      </c>
      <c r="B1970" t="s">
        <v>100</v>
      </c>
      <c r="C1970">
        <v>202602</v>
      </c>
      <c r="D1970" s="47" t="str">
        <f>MID(C1970,1,4)</f>
        <v>2026</v>
      </c>
      <c r="E1970" t="str">
        <f>IF(Portfolio!$M$1=1,CONCATENATE(A1970,C1970),CONCATENATE(B1970,C1970))</f>
        <v>DELTA WIBAWA BERSAMA202602</v>
      </c>
      <c r="F1970">
        <v>0</v>
      </c>
      <c r="G1970">
        <v>2</v>
      </c>
      <c r="H1970">
        <v>4</v>
      </c>
      <c r="I1970">
        <v>1</v>
      </c>
      <c r="J1970">
        <v>0</v>
      </c>
      <c r="K1970">
        <v>0</v>
      </c>
      <c r="L1970">
        <v>392700</v>
      </c>
      <c r="M1970">
        <v>482790</v>
      </c>
      <c r="N1970">
        <v>213675</v>
      </c>
      <c r="O1970">
        <v>0</v>
      </c>
      <c r="P1970">
        <v>0</v>
      </c>
      <c r="Q1970">
        <v>3927</v>
      </c>
      <c r="R1970">
        <v>9656</v>
      </c>
      <c r="S1970">
        <v>1496</v>
      </c>
      <c r="T1970">
        <v>0</v>
      </c>
    </row>
    <row r="1971" spans="1:20" x14ac:dyDescent="0.25">
      <c r="A1971" t="s">
        <v>107</v>
      </c>
      <c r="B1971" t="s">
        <v>202</v>
      </c>
      <c r="C1971">
        <v>202602</v>
      </c>
      <c r="D1971" s="47" t="str">
        <f>MID(C1971,1,4)</f>
        <v>2026</v>
      </c>
      <c r="E1971" t="str">
        <f>IF(Portfolio!$M$1=1,CONCATENATE(A1971,C1971),CONCATENATE(B1971,C1971))</f>
        <v>MAP GROUP202602</v>
      </c>
      <c r="F1971">
        <v>0</v>
      </c>
      <c r="G1971">
        <v>10</v>
      </c>
      <c r="H1971">
        <v>32</v>
      </c>
      <c r="I1971">
        <v>0</v>
      </c>
      <c r="J1971">
        <v>0</v>
      </c>
      <c r="K1971">
        <v>0</v>
      </c>
      <c r="L1971">
        <v>17209800</v>
      </c>
      <c r="M1971">
        <v>24162680</v>
      </c>
      <c r="N1971">
        <v>0</v>
      </c>
      <c r="O1971">
        <v>0</v>
      </c>
      <c r="P1971">
        <v>0</v>
      </c>
      <c r="Q1971">
        <v>172098</v>
      </c>
      <c r="R1971">
        <v>314115</v>
      </c>
      <c r="S1971">
        <v>0</v>
      </c>
      <c r="T1971">
        <v>0</v>
      </c>
    </row>
    <row r="1972" spans="1:20" x14ac:dyDescent="0.25">
      <c r="A1972" t="s">
        <v>107</v>
      </c>
      <c r="B1972" t="s">
        <v>208</v>
      </c>
      <c r="C1972">
        <v>202602</v>
      </c>
      <c r="D1972" s="47" t="str">
        <f>MID(C1972,1,4)</f>
        <v>2026</v>
      </c>
      <c r="E1972" t="str">
        <f>IF(Portfolio!$M$1=1,CONCATENATE(A1972,C1972),CONCATENATE(B1972,C1972))</f>
        <v>MAP GROUP202602</v>
      </c>
      <c r="F1972">
        <v>0</v>
      </c>
      <c r="G1972">
        <v>10</v>
      </c>
      <c r="H1972">
        <v>114</v>
      </c>
      <c r="I1972">
        <v>0</v>
      </c>
      <c r="J1972">
        <v>0</v>
      </c>
      <c r="K1972">
        <v>0</v>
      </c>
      <c r="L1972">
        <v>17550000</v>
      </c>
      <c r="M1972">
        <v>301918900</v>
      </c>
      <c r="N1972">
        <v>0</v>
      </c>
      <c r="O1972">
        <v>0</v>
      </c>
      <c r="P1972">
        <v>0</v>
      </c>
      <c r="Q1972">
        <v>175500</v>
      </c>
      <c r="R1972">
        <v>3924946</v>
      </c>
      <c r="S1972">
        <v>0</v>
      </c>
      <c r="T1972">
        <v>0</v>
      </c>
    </row>
    <row r="1973" spans="1:20" x14ac:dyDescent="0.25">
      <c r="A1973" t="s">
        <v>107</v>
      </c>
      <c r="B1973" t="s">
        <v>194</v>
      </c>
      <c r="C1973">
        <v>202602</v>
      </c>
      <c r="D1973" s="47" t="str">
        <f>MID(C1973,1,4)</f>
        <v>2026</v>
      </c>
      <c r="E1973" t="str">
        <f>IF(Portfolio!$M$1=1,CONCATENATE(A1973,C1973),CONCATENATE(B1973,C1973))</f>
        <v>MAP GROUP202602</v>
      </c>
      <c r="F1973">
        <v>8</v>
      </c>
      <c r="G1973">
        <v>6</v>
      </c>
      <c r="H1973">
        <v>34</v>
      </c>
      <c r="I1973">
        <v>0</v>
      </c>
      <c r="J1973">
        <v>0</v>
      </c>
      <c r="K1973">
        <v>2800000</v>
      </c>
      <c r="L1973">
        <v>4348800</v>
      </c>
      <c r="M1973">
        <v>33542152</v>
      </c>
      <c r="N1973">
        <v>0</v>
      </c>
      <c r="O1973">
        <v>0</v>
      </c>
      <c r="P1973">
        <v>4200</v>
      </c>
      <c r="Q1973">
        <v>43488</v>
      </c>
      <c r="R1973">
        <v>436048</v>
      </c>
      <c r="S1973">
        <v>0</v>
      </c>
      <c r="T1973">
        <v>0</v>
      </c>
    </row>
    <row r="1974" spans="1:20" x14ac:dyDescent="0.25">
      <c r="A1974" t="s">
        <v>118</v>
      </c>
      <c r="B1974" t="s">
        <v>118</v>
      </c>
      <c r="C1974">
        <v>202602</v>
      </c>
      <c r="D1974" s="47" t="str">
        <f>MID(C1974,1,4)</f>
        <v>2026</v>
      </c>
      <c r="E1974" t="str">
        <f>IF(Portfolio!$M$1=1,CONCATENATE(A1974,C1974),CONCATENATE(B1974,C1974))</f>
        <v>SARINAH202602</v>
      </c>
      <c r="F1974">
        <v>24</v>
      </c>
      <c r="G1974">
        <v>50</v>
      </c>
      <c r="H1974">
        <v>68</v>
      </c>
      <c r="I1974">
        <v>0</v>
      </c>
      <c r="J1974">
        <v>334</v>
      </c>
      <c r="K1974">
        <v>51164640</v>
      </c>
      <c r="L1974">
        <v>42066326</v>
      </c>
      <c r="M1974">
        <v>92178210</v>
      </c>
      <c r="N1974">
        <v>0</v>
      </c>
      <c r="O1974">
        <v>104365102</v>
      </c>
      <c r="P1974">
        <v>76747</v>
      </c>
      <c r="Q1974">
        <v>384593</v>
      </c>
      <c r="R1974">
        <v>1659208</v>
      </c>
      <c r="S1974">
        <v>0</v>
      </c>
      <c r="T1974">
        <v>124703</v>
      </c>
    </row>
    <row r="1975" spans="1:20" x14ac:dyDescent="0.25">
      <c r="A1975" t="s">
        <v>111</v>
      </c>
      <c r="B1975" t="s">
        <v>211</v>
      </c>
      <c r="C1975">
        <v>202602</v>
      </c>
      <c r="D1975" s="47" t="str">
        <f>MID(C1975,1,4)</f>
        <v>2026</v>
      </c>
      <c r="E1975" t="str">
        <f>IF(Portfolio!$M$1=1,CONCATENATE(A1975,C1975),CONCATENATE(B1975,C1975))</f>
        <v>PATRA JASA202602</v>
      </c>
      <c r="F1975">
        <v>0</v>
      </c>
      <c r="G1975">
        <v>0</v>
      </c>
      <c r="H1975">
        <v>6</v>
      </c>
      <c r="I1975">
        <v>0</v>
      </c>
      <c r="J1975">
        <v>0</v>
      </c>
      <c r="K1975">
        <v>0</v>
      </c>
      <c r="L1975">
        <v>0</v>
      </c>
      <c r="M1975">
        <v>8649308</v>
      </c>
      <c r="N1975">
        <v>0</v>
      </c>
      <c r="O1975">
        <v>0</v>
      </c>
      <c r="P1975">
        <v>0</v>
      </c>
      <c r="Q1975">
        <v>0</v>
      </c>
      <c r="R1975">
        <v>155688</v>
      </c>
      <c r="S1975">
        <v>0</v>
      </c>
      <c r="T1975">
        <v>0</v>
      </c>
    </row>
    <row r="1976" spans="1:20" x14ac:dyDescent="0.25">
      <c r="A1976" t="s">
        <v>126</v>
      </c>
      <c r="B1976" t="s">
        <v>132</v>
      </c>
      <c r="C1976">
        <v>202602</v>
      </c>
      <c r="D1976" s="47" t="str">
        <f>MID(C1976,1,4)</f>
        <v>2026</v>
      </c>
      <c r="E1976" t="str">
        <f>IF(Portfolio!$M$1=1,CONCATENATE(A1976,C1976),CONCATENATE(B1976,C1976))</f>
        <v>STEVEN GROUP202602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 spans="1:20" x14ac:dyDescent="0.25">
      <c r="A1977" t="s">
        <v>107</v>
      </c>
      <c r="B1977" t="s">
        <v>158</v>
      </c>
      <c r="C1977">
        <v>202602</v>
      </c>
      <c r="D1977" s="47" t="str">
        <f>MID(C1977,1,4)</f>
        <v>2026</v>
      </c>
      <c r="E1977" t="str">
        <f>IF(Portfolio!$M$1=1,CONCATENATE(A1977,C1977),CONCATENATE(B1977,C1977))</f>
        <v>MAP GROUP202602</v>
      </c>
      <c r="F1977">
        <v>0</v>
      </c>
      <c r="G1977">
        <v>10</v>
      </c>
      <c r="H1977">
        <v>10</v>
      </c>
      <c r="I1977">
        <v>0</v>
      </c>
      <c r="J1977">
        <v>0</v>
      </c>
      <c r="K1977">
        <v>0</v>
      </c>
      <c r="L1977">
        <v>1858630</v>
      </c>
      <c r="M1977">
        <v>7972600</v>
      </c>
      <c r="N1977">
        <v>0</v>
      </c>
      <c r="O1977">
        <v>0</v>
      </c>
      <c r="P1977">
        <v>0</v>
      </c>
      <c r="Q1977">
        <v>18586</v>
      </c>
      <c r="R1977">
        <v>103644</v>
      </c>
      <c r="S1977">
        <v>0</v>
      </c>
      <c r="T1977">
        <v>0</v>
      </c>
    </row>
    <row r="1978" spans="1:20" x14ac:dyDescent="0.25">
      <c r="A1978" t="s">
        <v>107</v>
      </c>
      <c r="B1978" t="s">
        <v>196</v>
      </c>
      <c r="C1978">
        <v>202602</v>
      </c>
      <c r="D1978" s="47" t="str">
        <f>MID(C1978,1,4)</f>
        <v>2026</v>
      </c>
      <c r="E1978" t="str">
        <f>IF(Portfolio!$M$1=1,CONCATENATE(A1978,C1978),CONCATENATE(B1978,C1978))</f>
        <v>MAP GROUP202602</v>
      </c>
      <c r="F1978">
        <v>8</v>
      </c>
      <c r="G1978">
        <v>0</v>
      </c>
      <c r="H1978">
        <v>0</v>
      </c>
      <c r="I1978">
        <v>0</v>
      </c>
      <c r="J1978">
        <v>0</v>
      </c>
      <c r="K1978">
        <v>1677600</v>
      </c>
      <c r="L1978">
        <v>0</v>
      </c>
      <c r="M1978">
        <v>0</v>
      </c>
      <c r="N1978">
        <v>0</v>
      </c>
      <c r="O1978">
        <v>0</v>
      </c>
      <c r="P1978">
        <v>2516</v>
      </c>
      <c r="Q1978">
        <v>0</v>
      </c>
      <c r="R1978">
        <v>0</v>
      </c>
      <c r="S1978">
        <v>0</v>
      </c>
      <c r="T1978">
        <v>0</v>
      </c>
    </row>
    <row r="1979" spans="1:20" x14ac:dyDescent="0.25">
      <c r="A1979" t="s">
        <v>111</v>
      </c>
      <c r="B1979" t="s">
        <v>213</v>
      </c>
      <c r="C1979">
        <v>202602</v>
      </c>
      <c r="D1979" s="47" t="str">
        <f>MID(C1979,1,4)</f>
        <v>2026</v>
      </c>
      <c r="E1979" t="str">
        <f>IF(Portfolio!$M$1=1,CONCATENATE(A1979,C1979),CONCATENATE(B1979,C1979))</f>
        <v>PATRA JASA202602</v>
      </c>
      <c r="F1979">
        <v>0</v>
      </c>
      <c r="G1979">
        <v>0</v>
      </c>
      <c r="H1979">
        <v>0</v>
      </c>
      <c r="I1979">
        <v>0</v>
      </c>
      <c r="J1979">
        <v>9</v>
      </c>
      <c r="K1979">
        <v>0</v>
      </c>
      <c r="L1979">
        <v>0</v>
      </c>
      <c r="M1979">
        <v>0</v>
      </c>
      <c r="N1979">
        <v>0</v>
      </c>
      <c r="O1979">
        <v>440000</v>
      </c>
      <c r="P1979">
        <v>0</v>
      </c>
      <c r="Q1979">
        <v>0</v>
      </c>
      <c r="R1979">
        <v>0</v>
      </c>
      <c r="S1979">
        <v>0</v>
      </c>
      <c r="T1979">
        <v>3080</v>
      </c>
    </row>
    <row r="1980" spans="1:20" x14ac:dyDescent="0.25">
      <c r="A1980" t="s">
        <v>126</v>
      </c>
      <c r="B1980" t="s">
        <v>222</v>
      </c>
      <c r="C1980">
        <v>202602</v>
      </c>
      <c r="D1980" s="47" t="str">
        <f>MID(C1980,1,4)</f>
        <v>2026</v>
      </c>
      <c r="E1980" t="str">
        <f>IF(Portfolio!$M$1=1,CONCATENATE(A1980,C1980),CONCATENATE(B1980,C1980))</f>
        <v>STEVEN GROUP202602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 spans="1:20" x14ac:dyDescent="0.25">
      <c r="A1981" t="s">
        <v>107</v>
      </c>
      <c r="B1981" t="s">
        <v>184</v>
      </c>
      <c r="C1981">
        <v>202602</v>
      </c>
      <c r="D1981" s="47" t="str">
        <f>MID(C1981,1,4)</f>
        <v>2026</v>
      </c>
      <c r="E1981" t="str">
        <f>IF(Portfolio!$M$1=1,CONCATENATE(A1981,C1981),CONCATENATE(B1981,C1981))</f>
        <v>MAP GROUP202602</v>
      </c>
      <c r="F1981">
        <v>0</v>
      </c>
      <c r="G1981">
        <v>0</v>
      </c>
      <c r="H1981">
        <v>12</v>
      </c>
      <c r="I1981">
        <v>0</v>
      </c>
      <c r="J1981">
        <v>0</v>
      </c>
      <c r="K1981">
        <v>0</v>
      </c>
      <c r="L1981">
        <v>0</v>
      </c>
      <c r="M1981">
        <v>5142000</v>
      </c>
      <c r="N1981">
        <v>0</v>
      </c>
      <c r="O1981">
        <v>0</v>
      </c>
      <c r="P1981">
        <v>0</v>
      </c>
      <c r="Q1981">
        <v>0</v>
      </c>
      <c r="R1981">
        <v>66846</v>
      </c>
      <c r="S1981">
        <v>0</v>
      </c>
      <c r="T1981">
        <v>0</v>
      </c>
    </row>
    <row r="1982" spans="1:20" x14ac:dyDescent="0.25">
      <c r="A1982" t="s">
        <v>126</v>
      </c>
      <c r="B1982" t="s">
        <v>224</v>
      </c>
      <c r="C1982">
        <v>202602</v>
      </c>
      <c r="D1982" s="47" t="str">
        <f>MID(C1982,1,4)</f>
        <v>2026</v>
      </c>
      <c r="E1982" t="str">
        <f>IF(Portfolio!$M$1=1,CONCATENATE(A1982,C1982),CONCATENATE(B1982,C1982))</f>
        <v>STEVEN GROUP202602</v>
      </c>
      <c r="F1982">
        <v>0</v>
      </c>
      <c r="G1982">
        <v>0</v>
      </c>
      <c r="H1982">
        <v>0</v>
      </c>
      <c r="I1982">
        <v>0</v>
      </c>
      <c r="J1982">
        <v>3</v>
      </c>
      <c r="K1982">
        <v>0</v>
      </c>
      <c r="L1982">
        <v>0</v>
      </c>
      <c r="M1982">
        <v>0</v>
      </c>
      <c r="N1982">
        <v>0</v>
      </c>
      <c r="O1982">
        <v>5518001</v>
      </c>
      <c r="P1982">
        <v>0</v>
      </c>
      <c r="Q1982">
        <v>0</v>
      </c>
      <c r="R1982">
        <v>0</v>
      </c>
      <c r="S1982">
        <v>0</v>
      </c>
      <c r="T1982">
        <v>38500</v>
      </c>
    </row>
    <row r="1983" spans="1:20" x14ac:dyDescent="0.25">
      <c r="A1983" t="s">
        <v>107</v>
      </c>
      <c r="B1983" t="s">
        <v>155</v>
      </c>
      <c r="C1983">
        <v>202602</v>
      </c>
      <c r="D1983" s="47" t="str">
        <f>MID(C1983,1,4)</f>
        <v>2026</v>
      </c>
      <c r="E1983" t="str">
        <f>IF(Portfolio!$M$1=1,CONCATENATE(A1983,C1983),CONCATENATE(B1983,C1983))</f>
        <v>MAP GROUP202602</v>
      </c>
      <c r="F1983">
        <v>0</v>
      </c>
      <c r="G1983">
        <v>2</v>
      </c>
      <c r="H1983">
        <v>4</v>
      </c>
      <c r="I1983">
        <v>0</v>
      </c>
      <c r="J1983">
        <v>0</v>
      </c>
      <c r="K1983">
        <v>0</v>
      </c>
      <c r="L1983">
        <v>796600</v>
      </c>
      <c r="M1983">
        <v>2580400</v>
      </c>
      <c r="N1983">
        <v>0</v>
      </c>
      <c r="O1983">
        <v>0</v>
      </c>
      <c r="P1983">
        <v>0</v>
      </c>
      <c r="Q1983">
        <v>7966</v>
      </c>
      <c r="R1983">
        <v>33545</v>
      </c>
      <c r="S1983">
        <v>0</v>
      </c>
      <c r="T1983">
        <v>0</v>
      </c>
    </row>
    <row r="1984" spans="1:20" x14ac:dyDescent="0.25">
      <c r="A1984" t="s">
        <v>126</v>
      </c>
      <c r="B1984" t="s">
        <v>221</v>
      </c>
      <c r="C1984">
        <v>202602</v>
      </c>
      <c r="D1984" s="47" t="str">
        <f>MID(C1984,1,4)</f>
        <v>2026</v>
      </c>
      <c r="E1984" t="str">
        <f>IF(Portfolio!$M$1=1,CONCATENATE(A1984,C1984),CONCATENATE(B1984,C1984))</f>
        <v>STEVEN GROUP202602</v>
      </c>
      <c r="F1984">
        <v>0</v>
      </c>
      <c r="G1984">
        <v>0</v>
      </c>
      <c r="H1984">
        <v>0</v>
      </c>
      <c r="I1984">
        <v>4</v>
      </c>
      <c r="J1984">
        <v>315</v>
      </c>
      <c r="K1984">
        <v>0</v>
      </c>
      <c r="L1984">
        <v>0</v>
      </c>
      <c r="M1984">
        <v>0</v>
      </c>
      <c r="N1984">
        <v>145000</v>
      </c>
      <c r="O1984">
        <v>9921000</v>
      </c>
      <c r="P1984">
        <v>0</v>
      </c>
      <c r="Q1984">
        <v>0</v>
      </c>
      <c r="R1984">
        <v>0</v>
      </c>
      <c r="S1984">
        <v>0</v>
      </c>
      <c r="T1984">
        <v>1692</v>
      </c>
    </row>
    <row r="1985" spans="1:20" x14ac:dyDescent="0.25">
      <c r="A1985" t="s">
        <v>126</v>
      </c>
      <c r="B1985" t="s">
        <v>225</v>
      </c>
      <c r="C1985">
        <v>202602</v>
      </c>
      <c r="D1985" s="47" t="str">
        <f>MID(C1985,1,4)</f>
        <v>2026</v>
      </c>
      <c r="E1985" t="str">
        <f>IF(Portfolio!$M$1=1,CONCATENATE(A1985,C1985),CONCATENATE(B1985,C1985))</f>
        <v>STEVEN GROUP202602</v>
      </c>
      <c r="F1985">
        <v>0</v>
      </c>
      <c r="G1985">
        <v>0</v>
      </c>
      <c r="H1985">
        <v>0</v>
      </c>
      <c r="I1985">
        <v>0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 spans="1:20" x14ac:dyDescent="0.25">
      <c r="A1986" t="s">
        <v>107</v>
      </c>
      <c r="B1986" t="s">
        <v>175</v>
      </c>
      <c r="C1986">
        <v>202602</v>
      </c>
      <c r="D1986" s="47" t="str">
        <f>MID(C1986,1,4)</f>
        <v>2026</v>
      </c>
      <c r="E1986" t="str">
        <f>IF(Portfolio!$M$1=1,CONCATENATE(A1986,C1986),CONCATENATE(B1986,C1986))</f>
        <v>MAP GROUP202602</v>
      </c>
      <c r="F1986">
        <v>0</v>
      </c>
      <c r="G1986">
        <v>2</v>
      </c>
      <c r="H1986">
        <v>0</v>
      </c>
      <c r="I1986">
        <v>0</v>
      </c>
      <c r="J1986">
        <v>0</v>
      </c>
      <c r="K1986">
        <v>0</v>
      </c>
      <c r="L1986">
        <v>1000000</v>
      </c>
      <c r="M1986">
        <v>0</v>
      </c>
      <c r="N1986">
        <v>0</v>
      </c>
      <c r="O1986">
        <v>0</v>
      </c>
      <c r="P1986">
        <v>0</v>
      </c>
      <c r="Q1986">
        <v>10000</v>
      </c>
      <c r="R1986">
        <v>0</v>
      </c>
      <c r="S1986">
        <v>0</v>
      </c>
      <c r="T1986">
        <v>0</v>
      </c>
    </row>
    <row r="1987" spans="1:20" x14ac:dyDescent="0.25">
      <c r="A1987" t="s">
        <v>107</v>
      </c>
      <c r="B1987" t="s">
        <v>173</v>
      </c>
      <c r="C1987">
        <v>202602</v>
      </c>
      <c r="D1987" s="47" t="str">
        <f>MID(C1987,1,4)</f>
        <v>2026</v>
      </c>
      <c r="E1987" t="str">
        <f>IF(Portfolio!$M$1=1,CONCATENATE(A1987,C1987),CONCATENATE(B1987,C1987))</f>
        <v>MAP GROUP202602</v>
      </c>
      <c r="F1987">
        <v>0</v>
      </c>
      <c r="G1987">
        <v>0</v>
      </c>
      <c r="H1987">
        <v>6</v>
      </c>
      <c r="I1987">
        <v>0</v>
      </c>
      <c r="J1987">
        <v>0</v>
      </c>
      <c r="K1987">
        <v>0</v>
      </c>
      <c r="L1987">
        <v>0</v>
      </c>
      <c r="M1987">
        <v>6171044</v>
      </c>
      <c r="N1987">
        <v>0</v>
      </c>
      <c r="O1987">
        <v>0</v>
      </c>
      <c r="P1987">
        <v>0</v>
      </c>
      <c r="Q1987">
        <v>0</v>
      </c>
      <c r="R1987">
        <v>80224</v>
      </c>
      <c r="S1987">
        <v>0</v>
      </c>
      <c r="T1987">
        <v>0</v>
      </c>
    </row>
    <row r="1988" spans="1:20" x14ac:dyDescent="0.25">
      <c r="A1988" t="s">
        <v>94</v>
      </c>
      <c r="B1988" t="s">
        <v>94</v>
      </c>
      <c r="C1988">
        <v>202602</v>
      </c>
      <c r="D1988" s="47" t="str">
        <f>MID(C1988,1,4)</f>
        <v>2026</v>
      </c>
      <c r="E1988" t="str">
        <f>IF(Portfolio!$M$1=1,CONCATENATE(A1988,C1988),CONCATENATE(B1988,C1988))</f>
        <v>HOKBEN202602</v>
      </c>
      <c r="F1988">
        <v>0</v>
      </c>
      <c r="G1988">
        <v>0</v>
      </c>
      <c r="H1988">
        <v>0</v>
      </c>
      <c r="I1988">
        <v>0</v>
      </c>
      <c r="J1988">
        <v>16</v>
      </c>
      <c r="K1988">
        <v>0</v>
      </c>
      <c r="L1988">
        <v>0</v>
      </c>
      <c r="M1988">
        <v>0</v>
      </c>
      <c r="N1988">
        <v>0</v>
      </c>
      <c r="O1988">
        <v>298000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 spans="1:20" x14ac:dyDescent="0.25">
      <c r="A1989" t="s">
        <v>126</v>
      </c>
      <c r="B1989" t="s">
        <v>228</v>
      </c>
      <c r="C1989">
        <v>202602</v>
      </c>
      <c r="D1989" s="47" t="str">
        <f>MID(C1989,1,4)</f>
        <v>2026</v>
      </c>
      <c r="E1989" t="str">
        <f>IF(Portfolio!$M$1=1,CONCATENATE(A1989,C1989),CONCATENATE(B1989,C1989))</f>
        <v>STEVEN GROUP202602</v>
      </c>
      <c r="F1989">
        <v>0</v>
      </c>
      <c r="G1989">
        <v>0</v>
      </c>
      <c r="H1989">
        <v>0</v>
      </c>
      <c r="I1989">
        <v>0</v>
      </c>
      <c r="J1989">
        <v>1436</v>
      </c>
      <c r="K1989">
        <v>0</v>
      </c>
      <c r="L1989">
        <v>0</v>
      </c>
      <c r="M1989">
        <v>0</v>
      </c>
      <c r="N1989">
        <v>0</v>
      </c>
      <c r="O1989">
        <v>97965736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 spans="1:20" x14ac:dyDescent="0.25">
      <c r="A1990" t="s">
        <v>102</v>
      </c>
      <c r="B1990" t="s">
        <v>144</v>
      </c>
      <c r="C1990">
        <v>202602</v>
      </c>
      <c r="D1990" s="47" t="str">
        <f>MID(C1990,1,4)</f>
        <v>2026</v>
      </c>
      <c r="E1990" t="str">
        <f>IF(Portfolio!$M$1=1,CONCATENATE(A1990,C1990),CONCATENATE(B1990,C1990))</f>
        <v>KAWAN LAMA202602</v>
      </c>
      <c r="F1990">
        <v>8</v>
      </c>
      <c r="G1990">
        <v>0</v>
      </c>
      <c r="H1990">
        <v>0</v>
      </c>
      <c r="I1990">
        <v>0</v>
      </c>
      <c r="J1990">
        <v>0</v>
      </c>
      <c r="K1990">
        <v>1296000</v>
      </c>
      <c r="L1990">
        <v>0</v>
      </c>
      <c r="M1990">
        <v>0</v>
      </c>
      <c r="N1990">
        <v>0</v>
      </c>
      <c r="O1990">
        <v>0</v>
      </c>
      <c r="P1990">
        <v>1944</v>
      </c>
      <c r="Q1990">
        <v>0</v>
      </c>
      <c r="R1990">
        <v>0</v>
      </c>
      <c r="S1990">
        <v>0</v>
      </c>
      <c r="T1990">
        <v>0</v>
      </c>
    </row>
    <row r="1991" spans="1:20" x14ac:dyDescent="0.25">
      <c r="A1991" t="s">
        <v>70</v>
      </c>
      <c r="B1991" t="s">
        <v>70</v>
      </c>
      <c r="C1991">
        <v>202602</v>
      </c>
      <c r="D1991" t="str">
        <f>MID(C1991,1,4)</f>
        <v>2026</v>
      </c>
      <c r="E1991" t="str">
        <f>IF(Portfolio!$M$1=1,CONCATENATE(A1991,C1991),CONCATENATE(B1991,C1991))</f>
        <v>ANCOL202602</v>
      </c>
      <c r="F1991" s="32">
        <v>150</v>
      </c>
      <c r="G1991" s="32">
        <v>1896</v>
      </c>
      <c r="H1991" s="32">
        <v>648</v>
      </c>
      <c r="I1991" s="32">
        <v>21</v>
      </c>
      <c r="J1991" s="32">
        <v>34283</v>
      </c>
      <c r="K1991" s="32">
        <v>174068480</v>
      </c>
      <c r="L1991" s="32">
        <v>1013383600</v>
      </c>
      <c r="M1991" s="32">
        <v>380573600</v>
      </c>
      <c r="N1991" s="32">
        <v>1364000</v>
      </c>
      <c r="O1991" s="32">
        <v>5406789128</v>
      </c>
      <c r="P1991" s="32">
        <v>261103</v>
      </c>
      <c r="Q1991" s="32">
        <v>10083148</v>
      </c>
      <c r="R1991" s="32">
        <v>6725595</v>
      </c>
      <c r="S1991" s="32">
        <v>0</v>
      </c>
      <c r="T1991" s="32">
        <v>37383903</v>
      </c>
    </row>
    <row r="1992" spans="1:20" x14ac:dyDescent="0.25">
      <c r="A1992" t="s">
        <v>101</v>
      </c>
      <c r="B1992" t="s">
        <v>101</v>
      </c>
      <c r="C1992">
        <v>202602</v>
      </c>
      <c r="D1992" t="str">
        <f>MID(C1992,1,4)</f>
        <v>2026</v>
      </c>
      <c r="E1992" t="str">
        <f>IF(Portfolio!$M$1=1,CONCATENATE(A1992,C1992),CONCATENATE(B1992,C1992))</f>
        <v>INDOMARET202602</v>
      </c>
      <c r="F1992" s="32">
        <v>148810</v>
      </c>
      <c r="G1992" s="32">
        <v>110572</v>
      </c>
      <c r="H1992" s="32">
        <v>53016</v>
      </c>
      <c r="I1992" s="32">
        <v>1</v>
      </c>
      <c r="J1992" s="32">
        <v>195</v>
      </c>
      <c r="K1992" s="32">
        <v>17545775574</v>
      </c>
      <c r="L1992" s="32">
        <v>10995606794</v>
      </c>
      <c r="M1992" s="32">
        <v>8686995142</v>
      </c>
      <c r="N1992" s="32">
        <v>23000</v>
      </c>
      <c r="O1992" s="32">
        <v>12865400</v>
      </c>
      <c r="P1992" s="32">
        <v>26318647</v>
      </c>
      <c r="Q1992" s="32">
        <v>109173328</v>
      </c>
      <c r="R1992" s="32">
        <v>145231001</v>
      </c>
      <c r="S1992" s="32">
        <v>161</v>
      </c>
      <c r="T1992" s="32">
        <v>13387</v>
      </c>
    </row>
    <row r="1993" spans="1:20" x14ac:dyDescent="0.25">
      <c r="A1993" t="s">
        <v>67</v>
      </c>
      <c r="B1993" t="s">
        <v>68</v>
      </c>
      <c r="C1993">
        <v>202602</v>
      </c>
      <c r="D1993" t="str">
        <f>MID(C1993,1,4)</f>
        <v>2026</v>
      </c>
      <c r="E1993" t="str">
        <f>IF(Portfolio!$M$1=1,CONCATENATE(A1993,C1993),CONCATENATE(B1993,C1993))</f>
        <v>ALFA GROUP202602</v>
      </c>
      <c r="F1993" s="32">
        <v>124234</v>
      </c>
      <c r="G1993" s="32">
        <v>146808</v>
      </c>
      <c r="H1993" s="32">
        <v>34216</v>
      </c>
      <c r="I1993" s="32">
        <v>43</v>
      </c>
      <c r="J1993" s="32">
        <v>624</v>
      </c>
      <c r="K1993" s="32">
        <v>13980475522</v>
      </c>
      <c r="L1993" s="32">
        <v>16372395410</v>
      </c>
      <c r="M1993" s="32">
        <v>5062637098</v>
      </c>
      <c r="N1993" s="32">
        <v>1570200</v>
      </c>
      <c r="O1993" s="32">
        <v>28509290</v>
      </c>
      <c r="P1993" s="32">
        <v>20970697</v>
      </c>
      <c r="Q1993" s="32">
        <v>163188538</v>
      </c>
      <c r="R1993" s="32">
        <v>89974089</v>
      </c>
      <c r="S1993" s="32">
        <v>1631</v>
      </c>
      <c r="T1993" s="32">
        <v>33027</v>
      </c>
    </row>
    <row r="1994" spans="1:20" x14ac:dyDescent="0.25">
      <c r="A1994" t="s">
        <v>107</v>
      </c>
      <c r="B1994" t="s">
        <v>176</v>
      </c>
      <c r="C1994">
        <v>202602</v>
      </c>
      <c r="D1994" t="str">
        <f>MID(C1994,1,4)</f>
        <v>2026</v>
      </c>
      <c r="E1994" t="str">
        <f>IF(Portfolio!$M$1=1,CONCATENATE(A1994,C1994),CONCATENATE(B1994,C1994))</f>
        <v>MAP GROUP202602</v>
      </c>
      <c r="F1994" s="32">
        <v>552</v>
      </c>
      <c r="G1994" s="32">
        <v>2444</v>
      </c>
      <c r="H1994" s="32">
        <v>3758</v>
      </c>
      <c r="I1994" s="32">
        <v>0</v>
      </c>
      <c r="J1994" s="32">
        <v>0</v>
      </c>
      <c r="K1994" s="32">
        <v>325333240</v>
      </c>
      <c r="L1994" s="32">
        <v>1562963806</v>
      </c>
      <c r="M1994" s="32">
        <v>2400247444</v>
      </c>
      <c r="N1994" s="32">
        <v>0</v>
      </c>
      <c r="O1994" s="32">
        <v>0</v>
      </c>
      <c r="P1994" s="32">
        <v>488000</v>
      </c>
      <c r="Q1994" s="32">
        <v>15625638</v>
      </c>
      <c r="R1994" s="32">
        <v>31203216</v>
      </c>
      <c r="S1994" s="32">
        <v>0</v>
      </c>
      <c r="T1994" s="32">
        <v>0</v>
      </c>
    </row>
    <row r="1995" spans="1:20" x14ac:dyDescent="0.25">
      <c r="A1995" t="s">
        <v>107</v>
      </c>
      <c r="B1995" t="s">
        <v>159</v>
      </c>
      <c r="C1995">
        <v>202602</v>
      </c>
      <c r="D1995" t="str">
        <f>MID(C1995,1,4)</f>
        <v>2026</v>
      </c>
      <c r="E1995" t="str">
        <f>IF(Portfolio!$M$1=1,CONCATENATE(A1995,C1995),CONCATENATE(B1995,C1995))</f>
        <v>MAP GROUP202602</v>
      </c>
      <c r="F1995" s="32">
        <v>70</v>
      </c>
      <c r="G1995" s="32">
        <v>196</v>
      </c>
      <c r="H1995" s="32">
        <v>462</v>
      </c>
      <c r="I1995" s="32">
        <v>0</v>
      </c>
      <c r="J1995" s="32">
        <v>0</v>
      </c>
      <c r="K1995" s="32">
        <v>230768560</v>
      </c>
      <c r="L1995" s="32">
        <v>495251318</v>
      </c>
      <c r="M1995" s="32">
        <v>1103142632</v>
      </c>
      <c r="N1995" s="32">
        <v>0</v>
      </c>
      <c r="O1995" s="32">
        <v>0</v>
      </c>
      <c r="P1995" s="32">
        <v>346153</v>
      </c>
      <c r="Q1995" s="32">
        <v>4952513</v>
      </c>
      <c r="R1995" s="32">
        <v>14340854</v>
      </c>
      <c r="S1995" s="32">
        <v>0</v>
      </c>
      <c r="T1995" s="32">
        <v>0</v>
      </c>
    </row>
    <row r="1996" spans="1:20" x14ac:dyDescent="0.25">
      <c r="A1996" t="s">
        <v>107</v>
      </c>
      <c r="B1996" t="s">
        <v>163</v>
      </c>
      <c r="C1996">
        <v>202602</v>
      </c>
      <c r="D1996" t="str">
        <f>MID(C1996,1,4)</f>
        <v>2026</v>
      </c>
      <c r="E1996" t="str">
        <f>IF(Portfolio!$M$1=1,CONCATENATE(A1996,C1996),CONCATENATE(B1996,C1996))</f>
        <v>MAP GROUP202602</v>
      </c>
      <c r="F1996" s="32">
        <v>436</v>
      </c>
      <c r="G1996" s="32">
        <v>1692</v>
      </c>
      <c r="H1996" s="32">
        <v>1714</v>
      </c>
      <c r="I1996" s="32">
        <v>0</v>
      </c>
      <c r="J1996" s="32">
        <v>0</v>
      </c>
      <c r="K1996" s="32">
        <v>582438704</v>
      </c>
      <c r="L1996" s="32">
        <v>2151114000</v>
      </c>
      <c r="M1996" s="32">
        <v>2193620136</v>
      </c>
      <c r="N1996" s="32">
        <v>0</v>
      </c>
      <c r="O1996" s="32">
        <v>0</v>
      </c>
      <c r="P1996" s="32">
        <v>873658</v>
      </c>
      <c r="Q1996" s="32">
        <v>21481060</v>
      </c>
      <c r="R1996" s="32">
        <v>28517062</v>
      </c>
      <c r="S1996" s="32">
        <v>0</v>
      </c>
      <c r="T1996" s="32">
        <v>0</v>
      </c>
    </row>
    <row r="1997" spans="1:20" x14ac:dyDescent="0.25">
      <c r="A1997" t="s">
        <v>107</v>
      </c>
      <c r="B1997" t="s">
        <v>185</v>
      </c>
      <c r="C1997">
        <v>202602</v>
      </c>
      <c r="D1997" t="str">
        <f>MID(C1997,1,4)</f>
        <v>2026</v>
      </c>
      <c r="E1997" t="str">
        <f>IF(Portfolio!$M$1=1,CONCATENATE(A1997,C1997),CONCATENATE(B1997,C1997))</f>
        <v>MAP GROUP202602</v>
      </c>
      <c r="F1997" s="32">
        <v>78</v>
      </c>
      <c r="G1997" s="32">
        <v>252</v>
      </c>
      <c r="H1997" s="32">
        <v>514</v>
      </c>
      <c r="I1997" s="32">
        <v>0</v>
      </c>
      <c r="J1997" s="32">
        <v>0</v>
      </c>
      <c r="K1997" s="32">
        <v>189586000</v>
      </c>
      <c r="L1997" s="32">
        <v>743288000</v>
      </c>
      <c r="M1997" s="32">
        <v>1483222800</v>
      </c>
      <c r="N1997" s="32">
        <v>0</v>
      </c>
      <c r="O1997" s="32">
        <v>0</v>
      </c>
      <c r="P1997" s="32">
        <v>284379</v>
      </c>
      <c r="Q1997" s="32">
        <v>7432880</v>
      </c>
      <c r="R1997" s="32">
        <v>19281896</v>
      </c>
      <c r="S1997" s="32">
        <v>0</v>
      </c>
      <c r="T1997" s="32">
        <v>0</v>
      </c>
    </row>
    <row r="1998" spans="1:20" x14ac:dyDescent="0.25">
      <c r="A1998" t="s">
        <v>107</v>
      </c>
      <c r="B1998" t="s">
        <v>199</v>
      </c>
      <c r="C1998">
        <v>202602</v>
      </c>
      <c r="D1998" t="str">
        <f>MID(C1998,1,4)</f>
        <v>2026</v>
      </c>
      <c r="E1998" t="str">
        <f>IF(Portfolio!$M$1=1,CONCATENATE(A1998,C1998),CONCATENATE(B1998,C1998))</f>
        <v>MAP GROUP202602</v>
      </c>
      <c r="F1998" s="32">
        <v>1030</v>
      </c>
      <c r="G1998" s="32">
        <v>2786</v>
      </c>
      <c r="H1998" s="32">
        <v>3662</v>
      </c>
      <c r="I1998" s="32">
        <v>0</v>
      </c>
      <c r="J1998" s="32">
        <v>0</v>
      </c>
      <c r="K1998" s="32">
        <v>1268416560</v>
      </c>
      <c r="L1998" s="32">
        <v>3659673612</v>
      </c>
      <c r="M1998" s="32">
        <v>4807708892</v>
      </c>
      <c r="N1998" s="32">
        <v>0</v>
      </c>
      <c r="O1998" s="32">
        <v>0</v>
      </c>
      <c r="P1998" s="32">
        <v>1902625</v>
      </c>
      <c r="Q1998" s="32">
        <v>36516282</v>
      </c>
      <c r="R1998" s="32">
        <v>62500215</v>
      </c>
      <c r="S1998" s="32">
        <v>0</v>
      </c>
      <c r="T1998" s="32">
        <v>0</v>
      </c>
    </row>
    <row r="1999" spans="1:20" x14ac:dyDescent="0.25">
      <c r="A1999" t="s">
        <v>107</v>
      </c>
      <c r="B1999" t="s">
        <v>183</v>
      </c>
      <c r="C1999">
        <v>202602</v>
      </c>
      <c r="D1999" t="str">
        <f>MID(C1999,1,4)</f>
        <v>2026</v>
      </c>
      <c r="E1999" t="str">
        <f>IF(Portfolio!$M$1=1,CONCATENATE(A1999,C1999),CONCATENATE(B1999,C1999))</f>
        <v>MAP GROUP202602</v>
      </c>
      <c r="F1999" s="32">
        <v>120</v>
      </c>
      <c r="G1999" s="32">
        <v>384</v>
      </c>
      <c r="H1999" s="32">
        <v>468</v>
      </c>
      <c r="I1999" s="32">
        <v>0</v>
      </c>
      <c r="J1999" s="32">
        <v>0</v>
      </c>
      <c r="K1999" s="32">
        <v>113380000</v>
      </c>
      <c r="L1999" s="32">
        <v>422115840</v>
      </c>
      <c r="M1999" s="32">
        <v>481241716</v>
      </c>
      <c r="N1999" s="32">
        <v>0</v>
      </c>
      <c r="O1999" s="32">
        <v>0</v>
      </c>
      <c r="P1999" s="32">
        <v>170070</v>
      </c>
      <c r="Q1999" s="32">
        <v>4221158</v>
      </c>
      <c r="R1999" s="32">
        <v>6256142</v>
      </c>
      <c r="S1999" s="32">
        <v>0</v>
      </c>
      <c r="T1999" s="32">
        <v>0</v>
      </c>
    </row>
    <row r="2000" spans="1:20" x14ac:dyDescent="0.25">
      <c r="A2000" t="s">
        <v>107</v>
      </c>
      <c r="B2000" t="s">
        <v>190</v>
      </c>
      <c r="C2000">
        <v>202602</v>
      </c>
      <c r="D2000" t="str">
        <f>MID(C2000,1,4)</f>
        <v>2026</v>
      </c>
      <c r="E2000" t="str">
        <f>IF(Portfolio!$M$1=1,CONCATENATE(A2000,C2000),CONCATENATE(B2000,C2000))</f>
        <v>MAP GROUP202602</v>
      </c>
      <c r="F2000" s="32">
        <v>16</v>
      </c>
      <c r="G2000" s="32">
        <v>84</v>
      </c>
      <c r="H2000" s="32">
        <v>214</v>
      </c>
      <c r="I2000" s="32">
        <v>0</v>
      </c>
      <c r="J2000" s="32">
        <v>0</v>
      </c>
      <c r="K2000" s="32">
        <v>22816000</v>
      </c>
      <c r="L2000" s="32">
        <v>103287800</v>
      </c>
      <c r="M2000" s="32">
        <v>362651560</v>
      </c>
      <c r="N2000" s="32">
        <v>0</v>
      </c>
      <c r="O2000" s="32">
        <v>0</v>
      </c>
      <c r="P2000" s="32">
        <v>34224</v>
      </c>
      <c r="Q2000" s="32">
        <v>1032878</v>
      </c>
      <c r="R2000" s="32">
        <v>4714470</v>
      </c>
      <c r="S2000" s="32">
        <v>0</v>
      </c>
      <c r="T2000" s="32">
        <v>0</v>
      </c>
    </row>
    <row r="2001" spans="1:20" x14ac:dyDescent="0.25">
      <c r="A2001" t="s">
        <v>107</v>
      </c>
      <c r="B2001" t="s">
        <v>168</v>
      </c>
      <c r="C2001">
        <v>202602</v>
      </c>
      <c r="D2001" t="str">
        <f>MID(C2001,1,4)</f>
        <v>2026</v>
      </c>
      <c r="E2001" t="str">
        <f>IF(Portfolio!$M$1=1,CONCATENATE(A2001,C2001),CONCATENATE(B2001,C2001))</f>
        <v>MAP GROUP202602</v>
      </c>
      <c r="F2001" s="32">
        <v>290</v>
      </c>
      <c r="G2001" s="32">
        <v>786</v>
      </c>
      <c r="H2001" s="32">
        <v>1340</v>
      </c>
      <c r="I2001" s="32">
        <v>0</v>
      </c>
      <c r="J2001" s="32">
        <v>0</v>
      </c>
      <c r="K2001" s="32">
        <v>50836000</v>
      </c>
      <c r="L2001" s="32">
        <v>139608000</v>
      </c>
      <c r="M2001" s="32">
        <v>329097800</v>
      </c>
      <c r="N2001" s="32">
        <v>0</v>
      </c>
      <c r="O2001" s="32">
        <v>0</v>
      </c>
      <c r="P2001" s="32">
        <v>76254</v>
      </c>
      <c r="Q2001" s="32">
        <v>1382120</v>
      </c>
      <c r="R2001" s="32">
        <v>4278271</v>
      </c>
      <c r="S2001" s="32">
        <v>0</v>
      </c>
      <c r="T2001" s="32">
        <v>0</v>
      </c>
    </row>
    <row r="2002" spans="1:20" x14ac:dyDescent="0.25">
      <c r="A2002" t="s">
        <v>122</v>
      </c>
      <c r="B2002" t="s">
        <v>122</v>
      </c>
      <c r="C2002">
        <v>202602</v>
      </c>
      <c r="D2002" t="str">
        <f>MID(C2002,1,4)</f>
        <v>2026</v>
      </c>
      <c r="E2002" t="str">
        <f>IF(Portfolio!$M$1=1,CONCATENATE(A2002,C2002),CONCATENATE(B2002,C2002))</f>
        <v>SOLARIA202602</v>
      </c>
      <c r="F2002" s="32">
        <v>14486</v>
      </c>
      <c r="G2002" s="32">
        <v>12</v>
      </c>
      <c r="H2002" s="32">
        <v>16</v>
      </c>
      <c r="I2002" s="32">
        <v>25</v>
      </c>
      <c r="J2002" s="32">
        <v>1242</v>
      </c>
      <c r="K2002" s="32">
        <v>2179392400</v>
      </c>
      <c r="L2002" s="32">
        <v>1938000</v>
      </c>
      <c r="M2002" s="32">
        <v>1376000</v>
      </c>
      <c r="N2002" s="32">
        <v>3152000</v>
      </c>
      <c r="O2002" s="32">
        <v>219057439</v>
      </c>
      <c r="P2002" s="32">
        <v>3269089</v>
      </c>
      <c r="Q2002" s="32">
        <v>19380</v>
      </c>
      <c r="R2002" s="32">
        <v>20640</v>
      </c>
      <c r="S2002" s="32">
        <v>22064</v>
      </c>
      <c r="T2002" s="32">
        <v>1533400</v>
      </c>
    </row>
    <row r="2003" spans="1:20" x14ac:dyDescent="0.25">
      <c r="A2003" t="s">
        <v>97</v>
      </c>
      <c r="B2003" t="s">
        <v>97</v>
      </c>
      <c r="C2003">
        <v>202602</v>
      </c>
      <c r="D2003" t="str">
        <f>MID(C2003,1,4)</f>
        <v>2026</v>
      </c>
      <c r="E2003" t="str">
        <f>IF(Portfolio!$M$1=1,CONCATENATE(A2003,C2003),CONCATENATE(B2003,C2003))</f>
        <v>HOP HOP202602</v>
      </c>
      <c r="F2003" s="32">
        <v>0</v>
      </c>
      <c r="G2003" s="32">
        <v>0</v>
      </c>
      <c r="H2003" s="32">
        <v>0</v>
      </c>
      <c r="I2003" s="32">
        <v>224</v>
      </c>
      <c r="J2003" s="32">
        <v>6102</v>
      </c>
      <c r="K2003" s="32">
        <v>0</v>
      </c>
      <c r="L2003" s="32">
        <v>0</v>
      </c>
      <c r="M2003" s="32">
        <v>0</v>
      </c>
      <c r="N2003" s="32">
        <v>6749693</v>
      </c>
      <c r="O2003" s="32">
        <v>115185168</v>
      </c>
      <c r="P2003" s="32">
        <v>0</v>
      </c>
      <c r="Q2003" s="32">
        <v>0</v>
      </c>
      <c r="R2003" s="32">
        <v>0</v>
      </c>
      <c r="S2003" s="32">
        <v>0</v>
      </c>
      <c r="T2003" s="32">
        <v>2520</v>
      </c>
    </row>
    <row r="2004" spans="1:20" x14ac:dyDescent="0.25">
      <c r="A2004" t="s">
        <v>279</v>
      </c>
      <c r="B2004" t="s">
        <v>279</v>
      </c>
      <c r="C2004">
        <v>202602</v>
      </c>
      <c r="D2004" t="str">
        <f>MID(C2004,1,4)</f>
        <v>2026</v>
      </c>
      <c r="E2004" t="str">
        <f>IF(Portfolio!$M$1=1,CONCATENATE(A2004,C2004),CONCATENATE(B2004,C2004))</f>
        <v>OASISPAY202602</v>
      </c>
      <c r="F2004" s="32">
        <v>0</v>
      </c>
      <c r="G2004" s="32">
        <v>0</v>
      </c>
      <c r="H2004" s="32">
        <v>0</v>
      </c>
      <c r="I2004" s="32">
        <v>682</v>
      </c>
      <c r="J2004" s="32">
        <v>1227846</v>
      </c>
      <c r="K2004" s="32">
        <v>0</v>
      </c>
      <c r="L2004" s="32">
        <v>0</v>
      </c>
      <c r="M2004" s="32">
        <v>0</v>
      </c>
      <c r="N2004" s="32">
        <v>143267562</v>
      </c>
      <c r="O2004" s="32">
        <v>119602679976</v>
      </c>
      <c r="P2004" s="32">
        <v>0</v>
      </c>
      <c r="Q2004" s="32">
        <v>0</v>
      </c>
      <c r="R2004" s="32">
        <v>0</v>
      </c>
      <c r="S2004" s="32">
        <v>831688</v>
      </c>
      <c r="T2004" s="32">
        <v>501206332</v>
      </c>
    </row>
    <row r="2005" spans="1:20" x14ac:dyDescent="0.25">
      <c r="A2005" t="s">
        <v>120</v>
      </c>
      <c r="B2005" t="s">
        <v>120</v>
      </c>
      <c r="C2005">
        <v>202602</v>
      </c>
      <c r="D2005" t="str">
        <f>MID(C2005,1,4)</f>
        <v>2026</v>
      </c>
      <c r="E2005" t="str">
        <f>IF(Portfolio!$M$1=1,CONCATENATE(A2005,C2005),CONCATENATE(B2005,C2005))</f>
        <v>SHIHLIN202602</v>
      </c>
      <c r="F2005" s="32">
        <v>154</v>
      </c>
      <c r="G2005" s="32">
        <v>64</v>
      </c>
      <c r="H2005" s="32">
        <v>14</v>
      </c>
      <c r="I2005" s="32">
        <v>50</v>
      </c>
      <c r="J2005" s="32">
        <v>371</v>
      </c>
      <c r="K2005" s="32">
        <v>10398800</v>
      </c>
      <c r="L2005" s="32">
        <v>4262000</v>
      </c>
      <c r="M2005" s="32">
        <v>954000</v>
      </c>
      <c r="N2005" s="32">
        <v>3073600</v>
      </c>
      <c r="O2005" s="32">
        <v>83659803</v>
      </c>
      <c r="P2005" s="32">
        <v>15598</v>
      </c>
      <c r="Q2005" s="32">
        <v>42620</v>
      </c>
      <c r="R2005" s="32">
        <v>19080</v>
      </c>
      <c r="S2005" s="32">
        <v>21411</v>
      </c>
      <c r="T2005" s="32">
        <v>541202</v>
      </c>
    </row>
    <row r="2006" spans="1:20" x14ac:dyDescent="0.25">
      <c r="A2006" t="s">
        <v>107</v>
      </c>
      <c r="B2006" t="s">
        <v>208</v>
      </c>
      <c r="C2006">
        <v>202602</v>
      </c>
      <c r="D2006" t="str">
        <f>MID(C2006,1,4)</f>
        <v>2026</v>
      </c>
      <c r="E2006" t="str">
        <f>IF(Portfolio!$M$1=1,CONCATENATE(A2006,C2006),CONCATENATE(B2006,C2006))</f>
        <v>MAP GROUP202602</v>
      </c>
      <c r="F2006" s="32">
        <v>0</v>
      </c>
      <c r="G2006" s="32">
        <v>10</v>
      </c>
      <c r="H2006" s="32">
        <v>128</v>
      </c>
      <c r="I2006" s="32">
        <v>0</v>
      </c>
      <c r="J2006" s="32">
        <v>0</v>
      </c>
      <c r="K2006" s="32">
        <v>0</v>
      </c>
      <c r="L2006" s="32">
        <v>17550000</v>
      </c>
      <c r="M2006" s="32">
        <v>354122900</v>
      </c>
      <c r="N2006" s="32">
        <v>0</v>
      </c>
      <c r="O2006" s="32">
        <v>0</v>
      </c>
      <c r="P2006" s="32">
        <v>0</v>
      </c>
      <c r="Q2006" s="32">
        <v>175500</v>
      </c>
      <c r="R2006" s="32">
        <v>4603598</v>
      </c>
      <c r="S2006" s="32">
        <v>0</v>
      </c>
      <c r="T2006" s="32">
        <v>0</v>
      </c>
    </row>
    <row r="2007" spans="1:20" x14ac:dyDescent="0.25">
      <c r="A2007" t="s">
        <v>138</v>
      </c>
      <c r="B2007" t="s">
        <v>138</v>
      </c>
      <c r="C2007">
        <v>202602</v>
      </c>
      <c r="D2007" t="str">
        <f>MID(C2007,1,4)</f>
        <v>2026</v>
      </c>
      <c r="E2007" t="str">
        <f>IF(Portfolio!$M$1=1,CONCATENATE(A2007,C2007),CONCATENATE(B2007,C2007))</f>
        <v>YOSHINOYA202602</v>
      </c>
      <c r="F2007" s="32">
        <v>1668</v>
      </c>
      <c r="G2007" s="32">
        <v>4</v>
      </c>
      <c r="H2007" s="32">
        <v>0</v>
      </c>
      <c r="I2007" s="32">
        <v>0</v>
      </c>
      <c r="J2007" s="32">
        <v>2632</v>
      </c>
      <c r="K2007" s="32">
        <v>265856400</v>
      </c>
      <c r="L2007" s="32">
        <v>616000</v>
      </c>
      <c r="M2007" s="32">
        <v>0</v>
      </c>
      <c r="N2007" s="32">
        <v>0</v>
      </c>
      <c r="O2007" s="32">
        <v>427042353</v>
      </c>
      <c r="P2007" s="32">
        <v>398785</v>
      </c>
      <c r="Q2007" s="32">
        <v>6160</v>
      </c>
      <c r="R2007" s="32">
        <v>0</v>
      </c>
      <c r="S2007" s="32">
        <v>0</v>
      </c>
      <c r="T2007" s="32">
        <v>2989275</v>
      </c>
    </row>
    <row r="2008" spans="1:20" x14ac:dyDescent="0.25">
      <c r="A2008" t="s">
        <v>107</v>
      </c>
      <c r="B2008" t="s">
        <v>200</v>
      </c>
      <c r="C2008">
        <v>202602</v>
      </c>
      <c r="D2008" t="str">
        <f>MID(C2008,1,4)</f>
        <v>2026</v>
      </c>
      <c r="E2008" t="str">
        <f>IF(Portfolio!$M$1=1,CONCATENATE(A2008,C2008),CONCATENATE(B2008,C2008))</f>
        <v>MAP GROUP202602</v>
      </c>
      <c r="F2008" s="32">
        <v>40</v>
      </c>
      <c r="G2008" s="32">
        <v>164</v>
      </c>
      <c r="H2008" s="32">
        <v>290</v>
      </c>
      <c r="I2008" s="32">
        <v>0</v>
      </c>
      <c r="J2008" s="32">
        <v>0</v>
      </c>
      <c r="K2008" s="32">
        <v>58136000</v>
      </c>
      <c r="L2008" s="32">
        <v>174925550</v>
      </c>
      <c r="M2008" s="32">
        <v>320710578</v>
      </c>
      <c r="N2008" s="32">
        <v>0</v>
      </c>
      <c r="O2008" s="32">
        <v>0</v>
      </c>
      <c r="P2008" s="32">
        <v>87204</v>
      </c>
      <c r="Q2008" s="32">
        <v>1749256</v>
      </c>
      <c r="R2008" s="32">
        <v>4169237</v>
      </c>
      <c r="S2008" s="32">
        <v>0</v>
      </c>
      <c r="T2008" s="32">
        <v>0</v>
      </c>
    </row>
    <row r="2009" spans="1:20" x14ac:dyDescent="0.25">
      <c r="A2009" t="s">
        <v>67</v>
      </c>
      <c r="B2009" t="s">
        <v>72</v>
      </c>
      <c r="C2009">
        <v>202602</v>
      </c>
      <c r="D2009" t="str">
        <f>MID(C2009,1,4)</f>
        <v>2026</v>
      </c>
      <c r="E2009" t="str">
        <f>IF(Portfolio!$M$1=1,CONCATENATE(A2009,C2009),CONCATENATE(B2009,C2009))</f>
        <v>ALFA GROUP202602</v>
      </c>
      <c r="F2009" s="32">
        <v>1490</v>
      </c>
      <c r="G2009" s="32">
        <v>1990</v>
      </c>
      <c r="H2009" s="32">
        <v>310</v>
      </c>
      <c r="I2009" s="32">
        <v>0</v>
      </c>
      <c r="J2009" s="32">
        <v>0</v>
      </c>
      <c r="K2009" s="32">
        <v>231675616</v>
      </c>
      <c r="L2009" s="32">
        <v>318629500</v>
      </c>
      <c r="M2009" s="32">
        <v>59108470</v>
      </c>
      <c r="N2009" s="32">
        <v>0</v>
      </c>
      <c r="O2009" s="32">
        <v>0</v>
      </c>
      <c r="P2009" s="32">
        <v>347513</v>
      </c>
      <c r="Q2009" s="32">
        <v>3164105</v>
      </c>
      <c r="R2009" s="32">
        <v>1061753</v>
      </c>
      <c r="S2009" s="32">
        <v>0</v>
      </c>
      <c r="T2009" s="32">
        <v>0</v>
      </c>
    </row>
    <row r="2010" spans="1:20" x14ac:dyDescent="0.25">
      <c r="A2010" t="s">
        <v>102</v>
      </c>
      <c r="B2010" t="s">
        <v>123</v>
      </c>
      <c r="C2010">
        <v>202602</v>
      </c>
      <c r="D2010" t="str">
        <f>MID(C2010,1,4)</f>
        <v>2026</v>
      </c>
      <c r="E2010" t="str">
        <f>IF(Portfolio!$M$1=1,CONCATENATE(A2010,C2010),CONCATENATE(B2010,C2010))</f>
        <v>KAWAN LAMA202602</v>
      </c>
      <c r="F2010" s="32">
        <v>7228</v>
      </c>
      <c r="G2010" s="32">
        <v>0</v>
      </c>
      <c r="H2010" s="32">
        <v>0</v>
      </c>
      <c r="I2010" s="32">
        <v>107</v>
      </c>
      <c r="J2010" s="32">
        <v>62</v>
      </c>
      <c r="K2010" s="32">
        <v>5796894382</v>
      </c>
      <c r="L2010" s="32">
        <v>0</v>
      </c>
      <c r="M2010" s="32">
        <v>0</v>
      </c>
      <c r="N2010" s="32">
        <v>75256388</v>
      </c>
      <c r="O2010" s="32">
        <v>384878109</v>
      </c>
      <c r="P2010" s="32">
        <v>8695333</v>
      </c>
      <c r="Q2010" s="32">
        <v>0</v>
      </c>
      <c r="R2010" s="32">
        <v>0</v>
      </c>
      <c r="S2010" s="32">
        <v>526800</v>
      </c>
      <c r="T2010" s="32">
        <v>2694141</v>
      </c>
    </row>
    <row r="2011" spans="1:20" x14ac:dyDescent="0.25">
      <c r="A2011" t="s">
        <v>112</v>
      </c>
      <c r="B2011" t="s">
        <v>216</v>
      </c>
      <c r="C2011">
        <v>202602</v>
      </c>
      <c r="D2011" t="str">
        <f>MID(C2011,1,4)</f>
        <v>2026</v>
      </c>
      <c r="E2011" t="str">
        <f>IF(Portfolio!$M$1=1,CONCATENATE(A2011,C2011),CONCATENATE(B2011,C2011))</f>
        <v>PERTAMINA RETAIL202602</v>
      </c>
      <c r="F2011" s="32">
        <v>624</v>
      </c>
      <c r="G2011" s="32">
        <v>5996</v>
      </c>
      <c r="H2011" s="32">
        <v>1132</v>
      </c>
      <c r="I2011" s="32">
        <v>68</v>
      </c>
      <c r="J2011" s="32">
        <v>14847</v>
      </c>
      <c r="K2011" s="32">
        <v>159711912</v>
      </c>
      <c r="L2011" s="32">
        <v>1164927030</v>
      </c>
      <c r="M2011" s="32">
        <v>334305002</v>
      </c>
      <c r="N2011" s="32">
        <v>10481942</v>
      </c>
      <c r="O2011" s="32">
        <v>1797130013</v>
      </c>
      <c r="P2011" s="32">
        <v>239568</v>
      </c>
      <c r="Q2011" s="32">
        <v>10673131</v>
      </c>
      <c r="R2011" s="32">
        <v>6022725</v>
      </c>
      <c r="S2011" s="32">
        <v>41840</v>
      </c>
      <c r="T2011" s="32">
        <v>4367248</v>
      </c>
    </row>
    <row r="2012" spans="1:20" x14ac:dyDescent="0.25">
      <c r="A2012" t="s">
        <v>126</v>
      </c>
      <c r="B2012" t="s">
        <v>220</v>
      </c>
      <c r="C2012">
        <v>202602</v>
      </c>
      <c r="D2012" t="str">
        <f>MID(C2012,1,4)</f>
        <v>2026</v>
      </c>
      <c r="E2012" t="str">
        <f>IF(Portfolio!$M$1=1,CONCATENATE(A2012,C2012),CONCATENATE(B2012,C2012))</f>
        <v>STEVEN GROUP202602</v>
      </c>
      <c r="F2012" s="32">
        <v>292</v>
      </c>
      <c r="G2012" s="32">
        <v>86</v>
      </c>
      <c r="H2012" s="32">
        <v>22</v>
      </c>
      <c r="I2012" s="32">
        <v>0</v>
      </c>
      <c r="J2012" s="32">
        <v>127</v>
      </c>
      <c r="K2012" s="32">
        <v>25018102</v>
      </c>
      <c r="L2012" s="32">
        <v>9872956</v>
      </c>
      <c r="M2012" s="32">
        <v>2933556</v>
      </c>
      <c r="N2012" s="32">
        <v>0</v>
      </c>
      <c r="O2012" s="32">
        <v>43635787</v>
      </c>
      <c r="P2012" s="32">
        <v>37526</v>
      </c>
      <c r="Q2012" s="32">
        <v>98730</v>
      </c>
      <c r="R2012" s="32">
        <v>58671</v>
      </c>
      <c r="S2012" s="32">
        <v>0</v>
      </c>
      <c r="T2012" s="32">
        <v>305439</v>
      </c>
    </row>
    <row r="2013" spans="1:20" x14ac:dyDescent="0.25">
      <c r="A2013" t="s">
        <v>102</v>
      </c>
      <c r="B2013" t="s">
        <v>135</v>
      </c>
      <c r="C2013">
        <v>202602</v>
      </c>
      <c r="D2013" t="str">
        <f>MID(C2013,1,4)</f>
        <v>2026</v>
      </c>
      <c r="E2013" t="str">
        <f>IF(Portfolio!$M$1=1,CONCATENATE(A2013,C2013),CONCATENATE(B2013,C2013))</f>
        <v>KAWAN LAMA202602</v>
      </c>
      <c r="F2013" s="32">
        <v>2682</v>
      </c>
      <c r="G2013" s="32">
        <v>0</v>
      </c>
      <c r="H2013" s="32">
        <v>0</v>
      </c>
      <c r="I2013" s="32">
        <v>2</v>
      </c>
      <c r="J2013" s="32">
        <v>13</v>
      </c>
      <c r="K2013" s="32">
        <v>10007584960</v>
      </c>
      <c r="L2013" s="32">
        <v>0</v>
      </c>
      <c r="M2013" s="32">
        <v>0</v>
      </c>
      <c r="N2013" s="32">
        <v>704900</v>
      </c>
      <c r="O2013" s="32">
        <v>403222815</v>
      </c>
      <c r="P2013" s="32">
        <v>15011376</v>
      </c>
      <c r="Q2013" s="32">
        <v>0</v>
      </c>
      <c r="R2013" s="32">
        <v>0</v>
      </c>
      <c r="S2013" s="32">
        <v>4934</v>
      </c>
      <c r="T2013" s="32">
        <v>2822552</v>
      </c>
    </row>
    <row r="2014" spans="1:20" x14ac:dyDescent="0.25">
      <c r="A2014" t="s">
        <v>102</v>
      </c>
      <c r="B2014" t="s">
        <v>125</v>
      </c>
      <c r="C2014">
        <v>202602</v>
      </c>
      <c r="D2014" t="str">
        <f>MID(C2014,1,4)</f>
        <v>2026</v>
      </c>
      <c r="E2014" t="str">
        <f>IF(Portfolio!$M$1=1,CONCATENATE(A2014,C2014),CONCATENATE(B2014,C2014))</f>
        <v>KAWAN LAMA202602</v>
      </c>
      <c r="F2014" s="32">
        <v>1804</v>
      </c>
      <c r="G2014" s="32">
        <v>0</v>
      </c>
      <c r="H2014" s="32">
        <v>0</v>
      </c>
      <c r="I2014" s="32">
        <v>2</v>
      </c>
      <c r="J2014" s="32">
        <v>129</v>
      </c>
      <c r="K2014" s="32">
        <v>120437824</v>
      </c>
      <c r="L2014" s="32">
        <v>0</v>
      </c>
      <c r="M2014" s="32">
        <v>0</v>
      </c>
      <c r="N2014" s="32">
        <v>101076</v>
      </c>
      <c r="O2014" s="32">
        <v>36345271</v>
      </c>
      <c r="P2014" s="32">
        <v>180657</v>
      </c>
      <c r="Q2014" s="32">
        <v>0</v>
      </c>
      <c r="R2014" s="32">
        <v>0</v>
      </c>
      <c r="S2014" s="32">
        <v>708</v>
      </c>
      <c r="T2014" s="32">
        <v>254370</v>
      </c>
    </row>
    <row r="2015" spans="1:20" x14ac:dyDescent="0.25">
      <c r="A2015" t="s">
        <v>112</v>
      </c>
      <c r="B2015" t="s">
        <v>215</v>
      </c>
      <c r="C2015">
        <v>202602</v>
      </c>
      <c r="D2015" t="str">
        <f>MID(C2015,1,4)</f>
        <v>2026</v>
      </c>
      <c r="E2015" t="str">
        <f>IF(Portfolio!$M$1=1,CONCATENATE(A2015,C2015),CONCATENATE(B2015,C2015))</f>
        <v>PERTAMINA RETAIL202602</v>
      </c>
      <c r="F2015" s="32">
        <v>32</v>
      </c>
      <c r="G2015" s="32">
        <v>350</v>
      </c>
      <c r="H2015" s="32">
        <v>52</v>
      </c>
      <c r="I2015" s="32">
        <v>0</v>
      </c>
      <c r="J2015" s="32">
        <v>1628</v>
      </c>
      <c r="K2015" s="32">
        <v>1267400</v>
      </c>
      <c r="L2015" s="32">
        <v>29475910</v>
      </c>
      <c r="M2015" s="32">
        <v>11168040</v>
      </c>
      <c r="N2015" s="32">
        <v>0</v>
      </c>
      <c r="O2015" s="32">
        <v>67683160</v>
      </c>
      <c r="P2015" s="32">
        <v>1901</v>
      </c>
      <c r="Q2015" s="32">
        <v>294759</v>
      </c>
      <c r="R2015" s="32">
        <v>201025</v>
      </c>
      <c r="S2015" s="32">
        <v>0</v>
      </c>
      <c r="T2015" s="32">
        <v>473772</v>
      </c>
    </row>
    <row r="2016" spans="1:20" x14ac:dyDescent="0.25">
      <c r="A2016" t="s">
        <v>109</v>
      </c>
      <c r="B2016" t="s">
        <v>109</v>
      </c>
      <c r="C2016">
        <v>202602</v>
      </c>
      <c r="D2016" t="str">
        <f>MID(C2016,1,4)</f>
        <v>2026</v>
      </c>
      <c r="E2016" t="str">
        <f>IF(Portfolio!$M$1=1,CONCATENATE(A2016,C2016),CONCATENATE(B2016,C2016))</f>
        <v>MITRA10202602</v>
      </c>
      <c r="F2016" s="32">
        <v>3876</v>
      </c>
      <c r="G2016" s="32">
        <v>0</v>
      </c>
      <c r="H2016" s="32">
        <v>2</v>
      </c>
      <c r="I2016" s="32">
        <v>1</v>
      </c>
      <c r="J2016" s="32">
        <v>496</v>
      </c>
      <c r="K2016" s="32">
        <v>9080413416</v>
      </c>
      <c r="L2016" s="32">
        <v>0</v>
      </c>
      <c r="M2016" s="32">
        <v>8921888</v>
      </c>
      <c r="N2016" s="32">
        <v>4500</v>
      </c>
      <c r="O2016" s="32">
        <v>8536000</v>
      </c>
      <c r="P2016" s="32">
        <v>13620610</v>
      </c>
      <c r="Q2016" s="32">
        <v>0</v>
      </c>
      <c r="R2016" s="32">
        <v>160594</v>
      </c>
      <c r="S2016" s="32">
        <v>0</v>
      </c>
      <c r="T2016" s="32">
        <v>2160</v>
      </c>
    </row>
    <row r="2017" spans="1:20" x14ac:dyDescent="0.25">
      <c r="A2017" t="s">
        <v>107</v>
      </c>
      <c r="B2017" t="s">
        <v>164</v>
      </c>
      <c r="C2017">
        <v>202602</v>
      </c>
      <c r="D2017" t="str">
        <f>MID(C2017,1,4)</f>
        <v>2026</v>
      </c>
      <c r="E2017" t="str">
        <f>IF(Portfolio!$M$1=1,CONCATENATE(A2017,C2017),CONCATENATE(B2017,C2017))</f>
        <v>MAP GROUP202602</v>
      </c>
      <c r="F2017" s="32">
        <v>156</v>
      </c>
      <c r="G2017" s="32">
        <v>82</v>
      </c>
      <c r="H2017" s="32">
        <v>482</v>
      </c>
      <c r="I2017" s="32">
        <v>0</v>
      </c>
      <c r="J2017" s="32">
        <v>0</v>
      </c>
      <c r="K2017" s="32">
        <v>1833760008</v>
      </c>
      <c r="L2017" s="32">
        <v>267354400</v>
      </c>
      <c r="M2017" s="32">
        <v>4678173000</v>
      </c>
      <c r="N2017" s="32">
        <v>0</v>
      </c>
      <c r="O2017" s="32">
        <v>0</v>
      </c>
      <c r="P2017" s="32">
        <v>2750640</v>
      </c>
      <c r="Q2017" s="32">
        <v>2673544</v>
      </c>
      <c r="R2017" s="32">
        <v>60816249</v>
      </c>
      <c r="S2017" s="32">
        <v>0</v>
      </c>
      <c r="T2017" s="32">
        <v>0</v>
      </c>
    </row>
    <row r="2018" spans="1:20" x14ac:dyDescent="0.25">
      <c r="A2018" t="s">
        <v>102</v>
      </c>
      <c r="B2018" t="s">
        <v>145</v>
      </c>
      <c r="C2018">
        <v>202602</v>
      </c>
      <c r="D2018" t="str">
        <f>MID(C2018,1,4)</f>
        <v>2026</v>
      </c>
      <c r="E2018" t="str">
        <f>IF(Portfolio!$M$1=1,CONCATENATE(A2018,C2018),CONCATENATE(B2018,C2018))</f>
        <v>KAWAN LAMA202602</v>
      </c>
      <c r="F2018" s="32">
        <v>40</v>
      </c>
      <c r="G2018" s="32">
        <v>0</v>
      </c>
      <c r="H2018" s="32">
        <v>0</v>
      </c>
      <c r="I2018" s="32">
        <v>16</v>
      </c>
      <c r="J2018" s="32">
        <v>5</v>
      </c>
      <c r="K2018" s="32">
        <v>11320720</v>
      </c>
      <c r="L2018" s="32">
        <v>0</v>
      </c>
      <c r="M2018" s="32">
        <v>0</v>
      </c>
      <c r="N2018" s="32">
        <v>3956330</v>
      </c>
      <c r="O2018" s="32">
        <v>249956</v>
      </c>
      <c r="P2018" s="32">
        <v>16981</v>
      </c>
      <c r="Q2018" s="32">
        <v>0</v>
      </c>
      <c r="R2018" s="32">
        <v>0</v>
      </c>
      <c r="S2018" s="32">
        <v>27692</v>
      </c>
      <c r="T2018" s="32">
        <v>1750</v>
      </c>
    </row>
    <row r="2019" spans="1:20" x14ac:dyDescent="0.25">
      <c r="A2019" t="s">
        <v>107</v>
      </c>
      <c r="B2019" t="s">
        <v>165</v>
      </c>
      <c r="C2019">
        <v>202602</v>
      </c>
      <c r="D2019" t="str">
        <f>MID(C2019,1,4)</f>
        <v>2026</v>
      </c>
      <c r="E2019" t="str">
        <f>IF(Portfolio!$M$1=1,CONCATENATE(A2019,C2019),CONCATENATE(B2019,C2019))</f>
        <v>MAP GROUP202602</v>
      </c>
      <c r="F2019" s="32">
        <v>86</v>
      </c>
      <c r="G2019" s="32">
        <v>40</v>
      </c>
      <c r="H2019" s="32">
        <v>110</v>
      </c>
      <c r="I2019" s="32">
        <v>0</v>
      </c>
      <c r="J2019" s="32">
        <v>0</v>
      </c>
      <c r="K2019" s="32">
        <v>879290000</v>
      </c>
      <c r="L2019" s="32">
        <v>155446000</v>
      </c>
      <c r="M2019" s="32">
        <v>1157749102</v>
      </c>
      <c r="N2019" s="32">
        <v>0</v>
      </c>
      <c r="O2019" s="32">
        <v>0</v>
      </c>
      <c r="P2019" s="32">
        <v>1318935</v>
      </c>
      <c r="Q2019" s="32">
        <v>1554460</v>
      </c>
      <c r="R2019" s="32">
        <v>15050738</v>
      </c>
      <c r="S2019" s="32">
        <v>0</v>
      </c>
      <c r="T2019" s="32">
        <v>0</v>
      </c>
    </row>
    <row r="2020" spans="1:20" x14ac:dyDescent="0.25">
      <c r="A2020" t="s">
        <v>107</v>
      </c>
      <c r="B2020" t="s">
        <v>161</v>
      </c>
      <c r="C2020">
        <v>202602</v>
      </c>
      <c r="D2020" t="str">
        <f>MID(C2020,1,4)</f>
        <v>2026</v>
      </c>
      <c r="E2020" t="str">
        <f>IF(Portfolio!$M$1=1,CONCATENATE(A2020,C2020),CONCATENATE(B2020,C2020))</f>
        <v>MAP GROUP202602</v>
      </c>
      <c r="F2020" s="32">
        <v>8</v>
      </c>
      <c r="G2020" s="32">
        <v>36</v>
      </c>
      <c r="H2020" s="32">
        <v>124</v>
      </c>
      <c r="I2020" s="32">
        <v>0</v>
      </c>
      <c r="J2020" s="32">
        <v>0</v>
      </c>
      <c r="K2020" s="32">
        <v>8040000</v>
      </c>
      <c r="L2020" s="32">
        <v>83245288</v>
      </c>
      <c r="M2020" s="32">
        <v>226481666</v>
      </c>
      <c r="N2020" s="32">
        <v>0</v>
      </c>
      <c r="O2020" s="32">
        <v>0</v>
      </c>
      <c r="P2020" s="32">
        <v>12060</v>
      </c>
      <c r="Q2020" s="32">
        <v>832453</v>
      </c>
      <c r="R2020" s="32">
        <v>2944262</v>
      </c>
      <c r="S2020" s="32">
        <v>0</v>
      </c>
      <c r="T2020" s="32">
        <v>0</v>
      </c>
    </row>
    <row r="2021" spans="1:20" x14ac:dyDescent="0.25">
      <c r="A2021" t="s">
        <v>107</v>
      </c>
      <c r="B2021" t="s">
        <v>170</v>
      </c>
      <c r="C2021">
        <v>202602</v>
      </c>
      <c r="D2021" t="str">
        <f>MID(C2021,1,4)</f>
        <v>2026</v>
      </c>
      <c r="E2021" t="str">
        <f>IF(Portfolio!$M$1=1,CONCATENATE(A2021,C2021),CONCATENATE(B2021,C2021))</f>
        <v>MAP GROUP202602</v>
      </c>
      <c r="F2021" s="32">
        <v>548</v>
      </c>
      <c r="G2021" s="32">
        <v>1578</v>
      </c>
      <c r="H2021" s="32">
        <v>1904</v>
      </c>
      <c r="I2021" s="32">
        <v>0</v>
      </c>
      <c r="J2021" s="32">
        <v>0</v>
      </c>
      <c r="K2021" s="32">
        <v>922438000</v>
      </c>
      <c r="L2021" s="32">
        <v>2659831026</v>
      </c>
      <c r="M2021" s="32">
        <v>3231677416</v>
      </c>
      <c r="N2021" s="32">
        <v>0</v>
      </c>
      <c r="O2021" s="32">
        <v>0</v>
      </c>
      <c r="P2021" s="32">
        <v>1383657</v>
      </c>
      <c r="Q2021" s="32">
        <v>26564330</v>
      </c>
      <c r="R2021" s="32">
        <v>42011806</v>
      </c>
      <c r="S2021" s="32">
        <v>0</v>
      </c>
      <c r="T2021" s="32">
        <v>0</v>
      </c>
    </row>
    <row r="2022" spans="1:20" x14ac:dyDescent="0.25">
      <c r="A2022" t="s">
        <v>107</v>
      </c>
      <c r="B2022" t="s">
        <v>160</v>
      </c>
      <c r="C2022">
        <v>202602</v>
      </c>
      <c r="D2022" t="str">
        <f>MID(C2022,1,4)</f>
        <v>2026</v>
      </c>
      <c r="E2022" t="str">
        <f>IF(Portfolio!$M$1=1,CONCATENATE(A2022,C2022),CONCATENATE(B2022,C2022))</f>
        <v>MAP GROUP202602</v>
      </c>
      <c r="F2022" s="32">
        <v>40</v>
      </c>
      <c r="G2022" s="32">
        <v>28</v>
      </c>
      <c r="H2022" s="32">
        <v>274</v>
      </c>
      <c r="I2022" s="32">
        <v>0</v>
      </c>
      <c r="J2022" s="32">
        <v>0</v>
      </c>
      <c r="K2022" s="32">
        <v>88946400</v>
      </c>
      <c r="L2022" s="32">
        <v>43895700</v>
      </c>
      <c r="M2022" s="32">
        <v>507141220</v>
      </c>
      <c r="N2022" s="32">
        <v>0</v>
      </c>
      <c r="O2022" s="32">
        <v>0</v>
      </c>
      <c r="P2022" s="32">
        <v>133420</v>
      </c>
      <c r="Q2022" s="32">
        <v>438957</v>
      </c>
      <c r="R2022" s="32">
        <v>6592836</v>
      </c>
      <c r="S2022" s="32">
        <v>0</v>
      </c>
      <c r="T2022" s="32">
        <v>0</v>
      </c>
    </row>
    <row r="2023" spans="1:20" x14ac:dyDescent="0.25">
      <c r="A2023" t="s">
        <v>107</v>
      </c>
      <c r="B2023" t="s">
        <v>205</v>
      </c>
      <c r="C2023">
        <v>202602</v>
      </c>
      <c r="D2023" t="str">
        <f>MID(C2023,1,4)</f>
        <v>2026</v>
      </c>
      <c r="E2023" t="str">
        <f>IF(Portfolio!$M$1=1,CONCATENATE(A2023,C2023),CONCATENATE(B2023,C2023))</f>
        <v>MAP GROUP202602</v>
      </c>
      <c r="F2023" s="32">
        <v>2366</v>
      </c>
      <c r="G2023" s="32">
        <v>3222</v>
      </c>
      <c r="H2023" s="32">
        <v>21250</v>
      </c>
      <c r="I2023" s="32">
        <v>0</v>
      </c>
      <c r="J2023" s="32">
        <v>0</v>
      </c>
      <c r="K2023" s="32">
        <v>412556400</v>
      </c>
      <c r="L2023" s="32">
        <v>450885212</v>
      </c>
      <c r="M2023" s="32">
        <v>2790333560</v>
      </c>
      <c r="N2023" s="32">
        <v>0</v>
      </c>
      <c r="O2023" s="32">
        <v>0</v>
      </c>
      <c r="P2023" s="32">
        <v>618835</v>
      </c>
      <c r="Q2023" s="32">
        <v>3883778</v>
      </c>
      <c r="R2023" s="32">
        <v>36274336</v>
      </c>
      <c r="S2023" s="32">
        <v>0</v>
      </c>
      <c r="T2023" s="32">
        <v>0</v>
      </c>
    </row>
    <row r="2024" spans="1:20" x14ac:dyDescent="0.25">
      <c r="A2024" t="s">
        <v>280</v>
      </c>
      <c r="B2024" t="s">
        <v>280</v>
      </c>
      <c r="C2024">
        <v>202602</v>
      </c>
      <c r="D2024" t="str">
        <f>MID(C2024,1,4)</f>
        <v>2026</v>
      </c>
      <c r="E2024" t="str">
        <f>IF(Portfolio!$M$1=1,CONCATENATE(A2024,C2024),CONCATENATE(B2024,C2024))</f>
        <v>MCT202602</v>
      </c>
      <c r="F2024" s="32">
        <v>0</v>
      </c>
      <c r="G2024" s="32">
        <v>0</v>
      </c>
      <c r="H2024" s="32">
        <v>0</v>
      </c>
      <c r="I2024" s="32">
        <v>1768</v>
      </c>
      <c r="J2024" s="32">
        <v>38052</v>
      </c>
      <c r="K2024" s="32">
        <v>0</v>
      </c>
      <c r="L2024" s="32">
        <v>0</v>
      </c>
      <c r="M2024" s="32">
        <v>0</v>
      </c>
      <c r="N2024" s="32">
        <v>33450430</v>
      </c>
      <c r="O2024" s="32">
        <v>2585331888</v>
      </c>
      <c r="P2024" s="32">
        <v>0</v>
      </c>
      <c r="Q2024" s="32">
        <v>0</v>
      </c>
      <c r="R2024" s="32">
        <v>0</v>
      </c>
      <c r="S2024" s="32">
        <v>6727</v>
      </c>
      <c r="T2024" s="32">
        <v>773618</v>
      </c>
    </row>
    <row r="2025" spans="1:20" x14ac:dyDescent="0.25">
      <c r="A2025" t="s">
        <v>107</v>
      </c>
      <c r="B2025" t="s">
        <v>207</v>
      </c>
      <c r="C2025">
        <v>202602</v>
      </c>
      <c r="D2025" t="str">
        <f>MID(C2025,1,4)</f>
        <v>2026</v>
      </c>
      <c r="E2025" t="str">
        <f>IF(Portfolio!$M$1=1,CONCATENATE(A2025,C2025),CONCATENATE(B2025,C2025))</f>
        <v>MAP GROUP202602</v>
      </c>
      <c r="F2025" s="32">
        <v>910</v>
      </c>
      <c r="G2025" s="32">
        <v>1092</v>
      </c>
      <c r="H2025" s="32">
        <v>2942</v>
      </c>
      <c r="I2025" s="32">
        <v>2</v>
      </c>
      <c r="J2025" s="32">
        <v>0</v>
      </c>
      <c r="K2025" s="32">
        <v>93590000</v>
      </c>
      <c r="L2025" s="32">
        <v>118411500</v>
      </c>
      <c r="M2025" s="32">
        <v>322053000</v>
      </c>
      <c r="N2025" s="32">
        <v>172000</v>
      </c>
      <c r="O2025" s="32">
        <v>0</v>
      </c>
      <c r="P2025" s="32">
        <v>140385</v>
      </c>
      <c r="Q2025" s="32">
        <v>1161055</v>
      </c>
      <c r="R2025" s="32">
        <v>4186689</v>
      </c>
      <c r="S2025" s="32">
        <v>0</v>
      </c>
      <c r="T2025" s="32">
        <v>0</v>
      </c>
    </row>
    <row r="2026" spans="1:20" x14ac:dyDescent="0.25">
      <c r="A2026" t="s">
        <v>101</v>
      </c>
      <c r="B2026" t="s">
        <v>117</v>
      </c>
      <c r="C2026">
        <v>202602</v>
      </c>
      <c r="D2026" t="str">
        <f>MID(C2026,1,4)</f>
        <v>2026</v>
      </c>
      <c r="E2026" t="str">
        <f>IF(Portfolio!$M$1=1,CONCATENATE(A2026,C2026),CONCATENATE(B2026,C2026))</f>
        <v>INDOMARET202602</v>
      </c>
      <c r="F2026" s="32">
        <v>222</v>
      </c>
      <c r="G2026" s="32">
        <v>174</v>
      </c>
      <c r="H2026" s="32">
        <v>120</v>
      </c>
      <c r="I2026" s="32">
        <v>0</v>
      </c>
      <c r="J2026" s="32">
        <v>0</v>
      </c>
      <c r="K2026" s="32">
        <v>33801800</v>
      </c>
      <c r="L2026" s="32">
        <v>15525400</v>
      </c>
      <c r="M2026" s="32">
        <v>15862580</v>
      </c>
      <c r="N2026" s="32">
        <v>0</v>
      </c>
      <c r="O2026" s="32">
        <v>0</v>
      </c>
      <c r="P2026" s="32">
        <v>50703</v>
      </c>
      <c r="Q2026" s="32">
        <v>155254</v>
      </c>
      <c r="R2026" s="32">
        <v>263660</v>
      </c>
      <c r="S2026" s="32">
        <v>0</v>
      </c>
      <c r="T2026" s="32">
        <v>0</v>
      </c>
    </row>
    <row r="2027" spans="1:20" x14ac:dyDescent="0.25">
      <c r="A2027" t="s">
        <v>88</v>
      </c>
      <c r="B2027" t="s">
        <v>88</v>
      </c>
      <c r="C2027">
        <v>202602</v>
      </c>
      <c r="D2027" t="str">
        <f>MID(C2027,1,4)</f>
        <v>2026</v>
      </c>
      <c r="E2027" t="str">
        <f>IF(Portfolio!$M$1=1,CONCATENATE(A2027,C2027),CONCATENATE(B2027,C2027))</f>
        <v>HAUS202602</v>
      </c>
      <c r="F2027" s="32">
        <v>0</v>
      </c>
      <c r="G2027" s="32">
        <v>2</v>
      </c>
      <c r="H2027" s="32">
        <v>0</v>
      </c>
      <c r="I2027" s="32">
        <v>11</v>
      </c>
      <c r="J2027" s="32">
        <v>510</v>
      </c>
      <c r="K2027" s="32">
        <v>0</v>
      </c>
      <c r="L2027" s="32">
        <v>40000</v>
      </c>
      <c r="M2027" s="32">
        <v>0</v>
      </c>
      <c r="N2027" s="32">
        <v>608000</v>
      </c>
      <c r="O2027" s="32">
        <v>23920800</v>
      </c>
      <c r="P2027" s="32">
        <v>0</v>
      </c>
      <c r="Q2027" s="32">
        <v>400</v>
      </c>
      <c r="R2027" s="32">
        <v>0</v>
      </c>
      <c r="S2027" s="32">
        <v>0</v>
      </c>
      <c r="T2027" s="32">
        <v>30000</v>
      </c>
    </row>
    <row r="2028" spans="1:20" x14ac:dyDescent="0.25">
      <c r="A2028" t="s">
        <v>102</v>
      </c>
      <c r="B2028" t="s">
        <v>142</v>
      </c>
      <c r="C2028">
        <v>202602</v>
      </c>
      <c r="D2028" t="str">
        <f>MID(C2028,1,4)</f>
        <v>2026</v>
      </c>
      <c r="E2028" t="str">
        <f>IF(Portfolio!$M$1=1,CONCATENATE(A2028,C2028),CONCATENATE(B2028,C2028))</f>
        <v>KAWAN LAMA202602</v>
      </c>
      <c r="F2028" s="32">
        <v>198</v>
      </c>
      <c r="G2028" s="32">
        <v>0</v>
      </c>
      <c r="H2028" s="32">
        <v>0</v>
      </c>
      <c r="I2028" s="32">
        <v>0</v>
      </c>
      <c r="J2028" s="32">
        <v>14</v>
      </c>
      <c r="K2028" s="32">
        <v>196224800</v>
      </c>
      <c r="L2028" s="32">
        <v>0</v>
      </c>
      <c r="M2028" s="32">
        <v>0</v>
      </c>
      <c r="N2028" s="32">
        <v>0</v>
      </c>
      <c r="O2028" s="32">
        <v>12500892</v>
      </c>
      <c r="P2028" s="32">
        <v>294337</v>
      </c>
      <c r="Q2028" s="32">
        <v>0</v>
      </c>
      <c r="R2028" s="32">
        <v>0</v>
      </c>
      <c r="S2028" s="32">
        <v>0</v>
      </c>
      <c r="T2028" s="32">
        <v>76236</v>
      </c>
    </row>
    <row r="2029" spans="1:20" x14ac:dyDescent="0.25">
      <c r="A2029" t="s">
        <v>105</v>
      </c>
      <c r="B2029" t="s">
        <v>148</v>
      </c>
      <c r="C2029">
        <v>202602</v>
      </c>
      <c r="D2029" t="str">
        <f>MID(C2029,1,4)</f>
        <v>2026</v>
      </c>
      <c r="E2029" t="str">
        <f>IF(Portfolio!$M$1=1,CONCATENATE(A2029,C2029),CONCATENATE(B2029,C2029))</f>
        <v>LOTTE GROUP202602</v>
      </c>
      <c r="F2029" s="32">
        <v>7166</v>
      </c>
      <c r="G2029" s="32">
        <v>4</v>
      </c>
      <c r="H2029" s="32">
        <v>0</v>
      </c>
      <c r="I2029" s="32">
        <v>0</v>
      </c>
      <c r="J2029" s="32">
        <v>15</v>
      </c>
      <c r="K2029" s="32">
        <v>9559911484</v>
      </c>
      <c r="L2029" s="32">
        <v>1021100</v>
      </c>
      <c r="M2029" s="32">
        <v>0</v>
      </c>
      <c r="N2029" s="32">
        <v>0</v>
      </c>
      <c r="O2029" s="32">
        <v>1811660</v>
      </c>
      <c r="P2029" s="32">
        <v>14339849</v>
      </c>
      <c r="Q2029" s="32">
        <v>0</v>
      </c>
      <c r="R2029" s="32">
        <v>0</v>
      </c>
      <c r="S2029" s="32">
        <v>0</v>
      </c>
      <c r="T2029" s="32">
        <v>12682</v>
      </c>
    </row>
    <row r="2030" spans="1:20" x14ac:dyDescent="0.25">
      <c r="A2030" t="s">
        <v>107</v>
      </c>
      <c r="B2030" t="s">
        <v>182</v>
      </c>
      <c r="C2030">
        <v>202602</v>
      </c>
      <c r="D2030" t="str">
        <f>MID(C2030,1,4)</f>
        <v>2026</v>
      </c>
      <c r="E2030" t="str">
        <f>IF(Portfolio!$M$1=1,CONCATENATE(A2030,C2030),CONCATENATE(B2030,C2030))</f>
        <v>MAP GROUP202602</v>
      </c>
      <c r="F2030" s="32">
        <v>248</v>
      </c>
      <c r="G2030" s="32">
        <v>672</v>
      </c>
      <c r="H2030" s="32">
        <v>874</v>
      </c>
      <c r="I2030" s="32">
        <v>0</v>
      </c>
      <c r="J2030" s="32">
        <v>0</v>
      </c>
      <c r="K2030" s="32">
        <v>326652000</v>
      </c>
      <c r="L2030" s="32">
        <v>1004496662</v>
      </c>
      <c r="M2030" s="32">
        <v>1320455788</v>
      </c>
      <c r="N2030" s="32">
        <v>0</v>
      </c>
      <c r="O2030" s="32">
        <v>0</v>
      </c>
      <c r="P2030" s="32">
        <v>489978</v>
      </c>
      <c r="Q2030" s="32">
        <v>10010987</v>
      </c>
      <c r="R2030" s="32">
        <v>17165925</v>
      </c>
      <c r="S2030" s="32">
        <v>0</v>
      </c>
      <c r="T2030" s="32">
        <v>0</v>
      </c>
    </row>
    <row r="2031" spans="1:20" x14ac:dyDescent="0.25">
      <c r="A2031" t="s">
        <v>107</v>
      </c>
      <c r="B2031" t="s">
        <v>154</v>
      </c>
      <c r="C2031">
        <v>202602</v>
      </c>
      <c r="D2031" t="str">
        <f>MID(C2031,1,4)</f>
        <v>2026</v>
      </c>
      <c r="E2031" t="str">
        <f>IF(Portfolio!$M$1=1,CONCATENATE(A2031,C2031),CONCATENATE(B2031,C2031))</f>
        <v>MAP GROUP202602</v>
      </c>
      <c r="F2031" s="32">
        <v>72</v>
      </c>
      <c r="G2031" s="32">
        <v>208</v>
      </c>
      <c r="H2031" s="32">
        <v>508</v>
      </c>
      <c r="I2031" s="32">
        <v>0</v>
      </c>
      <c r="J2031" s="32">
        <v>0</v>
      </c>
      <c r="K2031" s="32">
        <v>185862400</v>
      </c>
      <c r="L2031" s="32">
        <v>499141000</v>
      </c>
      <c r="M2031" s="32">
        <v>1137552200</v>
      </c>
      <c r="N2031" s="32">
        <v>0</v>
      </c>
      <c r="O2031" s="32">
        <v>0</v>
      </c>
      <c r="P2031" s="32">
        <v>278794</v>
      </c>
      <c r="Q2031" s="32">
        <v>4991410</v>
      </c>
      <c r="R2031" s="32">
        <v>14788179</v>
      </c>
      <c r="S2031" s="32">
        <v>0</v>
      </c>
      <c r="T2031" s="32">
        <v>0</v>
      </c>
    </row>
    <row r="2032" spans="1:20" x14ac:dyDescent="0.25">
      <c r="A2032" t="s">
        <v>107</v>
      </c>
      <c r="B2032" t="s">
        <v>203</v>
      </c>
      <c r="C2032">
        <v>202602</v>
      </c>
      <c r="D2032" t="str">
        <f>MID(C2032,1,4)</f>
        <v>2026</v>
      </c>
      <c r="E2032" t="str">
        <f>IF(Portfolio!$M$1=1,CONCATENATE(A2032,C2032),CONCATENATE(B2032,C2032))</f>
        <v>MAP GROUP202602</v>
      </c>
      <c r="F2032" s="32">
        <v>3590</v>
      </c>
      <c r="G2032" s="32">
        <v>10678</v>
      </c>
      <c r="H2032" s="32">
        <v>10546</v>
      </c>
      <c r="I2032" s="32">
        <v>0</v>
      </c>
      <c r="J2032" s="32">
        <v>1</v>
      </c>
      <c r="K2032" s="32">
        <v>2001886352</v>
      </c>
      <c r="L2032" s="32">
        <v>7091062730</v>
      </c>
      <c r="M2032" s="32">
        <v>7592162008</v>
      </c>
      <c r="N2032" s="32">
        <v>0</v>
      </c>
      <c r="O2032" s="32">
        <v>100000</v>
      </c>
      <c r="P2032" s="32">
        <v>3002829</v>
      </c>
      <c r="Q2032" s="32">
        <v>70713719</v>
      </c>
      <c r="R2032" s="32">
        <v>98698106</v>
      </c>
      <c r="S2032" s="32">
        <v>0</v>
      </c>
      <c r="T2032" s="32">
        <v>0</v>
      </c>
    </row>
    <row r="2033" spans="1:20" x14ac:dyDescent="0.25">
      <c r="A2033" t="s">
        <v>118</v>
      </c>
      <c r="B2033" t="s">
        <v>118</v>
      </c>
      <c r="C2033">
        <v>202602</v>
      </c>
      <c r="D2033" t="str">
        <f>MID(C2033,1,4)</f>
        <v>2026</v>
      </c>
      <c r="E2033" t="str">
        <f>IF(Portfolio!$M$1=1,CONCATENATE(A2033,C2033),CONCATENATE(B2033,C2033))</f>
        <v>SARINAH202602</v>
      </c>
      <c r="F2033" s="32">
        <v>24</v>
      </c>
      <c r="G2033" s="32">
        <v>50</v>
      </c>
      <c r="H2033" s="32">
        <v>68</v>
      </c>
      <c r="I2033" s="32">
        <v>0</v>
      </c>
      <c r="J2033" s="32">
        <v>333</v>
      </c>
      <c r="K2033" s="32">
        <v>51164640</v>
      </c>
      <c r="L2033" s="32">
        <v>42066326</v>
      </c>
      <c r="M2033" s="32">
        <v>92178210</v>
      </c>
      <c r="N2033" s="32">
        <v>0</v>
      </c>
      <c r="O2033" s="32">
        <v>104213302</v>
      </c>
      <c r="P2033" s="32">
        <v>76747</v>
      </c>
      <c r="Q2033" s="32">
        <v>384593</v>
      </c>
      <c r="R2033" s="32">
        <v>1659208</v>
      </c>
      <c r="S2033" s="32">
        <v>0</v>
      </c>
      <c r="T2033" s="32">
        <v>123640</v>
      </c>
    </row>
    <row r="2034" spans="1:20" x14ac:dyDescent="0.25">
      <c r="A2034" t="s">
        <v>103</v>
      </c>
      <c r="B2034" t="s">
        <v>146</v>
      </c>
      <c r="C2034">
        <v>202602</v>
      </c>
      <c r="D2034" t="str">
        <f>MID(C2034,1,4)</f>
        <v>2026</v>
      </c>
      <c r="E2034" t="str">
        <f>IF(Portfolio!$M$1=1,CONCATENATE(A2034,C2034),CONCATENATE(B2034,C2034))</f>
        <v>KCIC202602</v>
      </c>
      <c r="F2034" s="32">
        <v>136</v>
      </c>
      <c r="G2034" s="32">
        <v>750</v>
      </c>
      <c r="H2034" s="32">
        <v>1634</v>
      </c>
      <c r="I2034" s="32">
        <v>12</v>
      </c>
      <c r="J2034" s="32">
        <v>1413</v>
      </c>
      <c r="K2034" s="32">
        <v>108840000</v>
      </c>
      <c r="L2034" s="32">
        <v>607340000</v>
      </c>
      <c r="M2034" s="32">
        <v>1567781600</v>
      </c>
      <c r="N2034" s="32">
        <v>12060000</v>
      </c>
      <c r="O2034" s="32">
        <v>1151635000</v>
      </c>
      <c r="P2034" s="32">
        <v>163260</v>
      </c>
      <c r="Q2034" s="32">
        <v>5368200</v>
      </c>
      <c r="R2034" s="32">
        <v>28226069</v>
      </c>
      <c r="S2034" s="32">
        <v>84420</v>
      </c>
      <c r="T2034" s="32">
        <v>8061445</v>
      </c>
    </row>
    <row r="2035" spans="1:20" x14ac:dyDescent="0.25">
      <c r="A2035" t="s">
        <v>107</v>
      </c>
      <c r="B2035" t="s">
        <v>186</v>
      </c>
      <c r="C2035">
        <v>202602</v>
      </c>
      <c r="D2035" t="str">
        <f>MID(C2035,1,4)</f>
        <v>2026</v>
      </c>
      <c r="E2035" t="str">
        <f>IF(Portfolio!$M$1=1,CONCATENATE(A2035,C2035),CONCATENATE(B2035,C2035))</f>
        <v>MAP GROUP202602</v>
      </c>
      <c r="F2035" s="32">
        <v>808</v>
      </c>
      <c r="G2035" s="32">
        <v>1722</v>
      </c>
      <c r="H2035" s="32">
        <v>1250</v>
      </c>
      <c r="I2035" s="32">
        <v>0</v>
      </c>
      <c r="J2035" s="32">
        <v>0</v>
      </c>
      <c r="K2035" s="32">
        <v>361128800</v>
      </c>
      <c r="L2035" s="32">
        <v>784520284</v>
      </c>
      <c r="M2035" s="32">
        <v>596668714</v>
      </c>
      <c r="N2035" s="32">
        <v>0</v>
      </c>
      <c r="O2035" s="32">
        <v>0</v>
      </c>
      <c r="P2035" s="32">
        <v>541693</v>
      </c>
      <c r="Q2035" s="32">
        <v>7798353</v>
      </c>
      <c r="R2035" s="32">
        <v>7756693</v>
      </c>
      <c r="S2035" s="32">
        <v>0</v>
      </c>
      <c r="T2035" s="32">
        <v>0</v>
      </c>
    </row>
    <row r="2036" spans="1:20" x14ac:dyDescent="0.25">
      <c r="A2036" t="s">
        <v>116</v>
      </c>
      <c r="B2036" t="s">
        <v>116</v>
      </c>
      <c r="C2036">
        <v>202602</v>
      </c>
      <c r="D2036" t="str">
        <f>MID(C2036,1,4)</f>
        <v>2026</v>
      </c>
      <c r="E2036" t="str">
        <f>IF(Portfolio!$M$1=1,CONCATENATE(A2036,C2036),CONCATENATE(B2036,C2036))</f>
        <v>POPEYES202602</v>
      </c>
      <c r="F2036" s="32">
        <v>126</v>
      </c>
      <c r="G2036" s="32">
        <v>0</v>
      </c>
      <c r="H2036" s="32">
        <v>0</v>
      </c>
      <c r="I2036" s="32">
        <v>0</v>
      </c>
      <c r="J2036" s="32">
        <v>1</v>
      </c>
      <c r="K2036" s="32">
        <v>11882414</v>
      </c>
      <c r="L2036" s="32">
        <v>0</v>
      </c>
      <c r="M2036" s="32">
        <v>0</v>
      </c>
      <c r="N2036" s="32">
        <v>0</v>
      </c>
      <c r="O2036" s="32">
        <v>3266847</v>
      </c>
      <c r="P2036" s="32">
        <v>17823</v>
      </c>
      <c r="Q2036" s="32">
        <v>0</v>
      </c>
      <c r="R2036" s="32">
        <v>0</v>
      </c>
      <c r="S2036" s="32">
        <v>0</v>
      </c>
      <c r="T2036" s="32">
        <v>22869</v>
      </c>
    </row>
    <row r="2037" spans="1:20" x14ac:dyDescent="0.25">
      <c r="A2037" t="s">
        <v>107</v>
      </c>
      <c r="B2037" t="s">
        <v>162</v>
      </c>
      <c r="C2037">
        <v>202602</v>
      </c>
      <c r="D2037" t="str">
        <f>MID(C2037,1,4)</f>
        <v>2026</v>
      </c>
      <c r="E2037" t="str">
        <f>IF(Portfolio!$M$1=1,CONCATENATE(A2037,C2037),CONCATENATE(B2037,C2037))</f>
        <v>MAP GROUP202602</v>
      </c>
      <c r="F2037" s="32">
        <v>164</v>
      </c>
      <c r="G2037" s="32">
        <v>500</v>
      </c>
      <c r="H2037" s="32">
        <v>500</v>
      </c>
      <c r="I2037" s="32">
        <v>0</v>
      </c>
      <c r="J2037" s="32">
        <v>0</v>
      </c>
      <c r="K2037" s="32">
        <v>153538960</v>
      </c>
      <c r="L2037" s="32">
        <v>478043640</v>
      </c>
      <c r="M2037" s="32">
        <v>469247328</v>
      </c>
      <c r="N2037" s="32">
        <v>0</v>
      </c>
      <c r="O2037" s="32">
        <v>0</v>
      </c>
      <c r="P2037" s="32">
        <v>230308</v>
      </c>
      <c r="Q2037" s="32">
        <v>4780436</v>
      </c>
      <c r="R2037" s="32">
        <v>6100215</v>
      </c>
      <c r="S2037" s="32">
        <v>0</v>
      </c>
      <c r="T2037" s="32">
        <v>0</v>
      </c>
    </row>
    <row r="2038" spans="1:20" x14ac:dyDescent="0.25">
      <c r="A2038" t="s">
        <v>110</v>
      </c>
      <c r="B2038" t="s">
        <v>110</v>
      </c>
      <c r="C2038">
        <v>202602</v>
      </c>
      <c r="D2038" t="str">
        <f>MID(C2038,1,4)</f>
        <v>2026</v>
      </c>
      <c r="E2038" t="str">
        <f>IF(Portfolio!$M$1=1,CONCATENATE(A2038,C2038),CONCATENATE(B2038,C2038))</f>
        <v>OPTIK MELAWAI202602</v>
      </c>
      <c r="F2038" s="32">
        <v>300</v>
      </c>
      <c r="G2038" s="32">
        <v>0</v>
      </c>
      <c r="H2038" s="32">
        <v>0</v>
      </c>
      <c r="I2038" s="32">
        <v>0</v>
      </c>
      <c r="J2038" s="32">
        <v>0</v>
      </c>
      <c r="K2038" s="32">
        <v>636602000</v>
      </c>
      <c r="L2038" s="32">
        <v>0</v>
      </c>
      <c r="M2038" s="32">
        <v>0</v>
      </c>
      <c r="N2038" s="32">
        <v>0</v>
      </c>
      <c r="O2038" s="32">
        <v>0</v>
      </c>
      <c r="P2038" s="32">
        <v>954903</v>
      </c>
      <c r="Q2038" s="32">
        <v>0</v>
      </c>
      <c r="R2038" s="32">
        <v>0</v>
      </c>
      <c r="S2038" s="32">
        <v>0</v>
      </c>
      <c r="T2038" s="32">
        <v>0</v>
      </c>
    </row>
    <row r="2039" spans="1:20" x14ac:dyDescent="0.25">
      <c r="A2039" t="s">
        <v>107</v>
      </c>
      <c r="B2039" t="s">
        <v>188</v>
      </c>
      <c r="C2039">
        <v>202602</v>
      </c>
      <c r="D2039" t="str">
        <f>MID(C2039,1,4)</f>
        <v>2026</v>
      </c>
      <c r="E2039" t="str">
        <f>IF(Portfolio!$M$1=1,CONCATENATE(A2039,C2039),CONCATENATE(B2039,C2039))</f>
        <v>MAP GROUP202602</v>
      </c>
      <c r="F2039" s="32">
        <v>8</v>
      </c>
      <c r="G2039" s="32">
        <v>32</v>
      </c>
      <c r="H2039" s="32">
        <v>72</v>
      </c>
      <c r="I2039" s="32">
        <v>0</v>
      </c>
      <c r="J2039" s="32">
        <v>0</v>
      </c>
      <c r="K2039" s="32">
        <v>7040000</v>
      </c>
      <c r="L2039" s="32">
        <v>19419980</v>
      </c>
      <c r="M2039" s="32">
        <v>36126940</v>
      </c>
      <c r="N2039" s="32">
        <v>0</v>
      </c>
      <c r="O2039" s="32">
        <v>0</v>
      </c>
      <c r="P2039" s="32">
        <v>10560</v>
      </c>
      <c r="Q2039" s="32">
        <v>194200</v>
      </c>
      <c r="R2039" s="32">
        <v>469650</v>
      </c>
      <c r="S2039" s="32">
        <v>0</v>
      </c>
      <c r="T2039" s="32">
        <v>0</v>
      </c>
    </row>
    <row r="2040" spans="1:20" x14ac:dyDescent="0.25">
      <c r="A2040" t="s">
        <v>107</v>
      </c>
      <c r="B2040" t="s">
        <v>206</v>
      </c>
      <c r="C2040">
        <v>202602</v>
      </c>
      <c r="D2040" t="str">
        <f>MID(C2040,1,4)</f>
        <v>2026</v>
      </c>
      <c r="E2040" t="str">
        <f>IF(Portfolio!$M$1=1,CONCATENATE(A2040,C2040),CONCATENATE(B2040,C2040))</f>
        <v>MAP GROUP202602</v>
      </c>
      <c r="F2040" s="32">
        <v>40</v>
      </c>
      <c r="G2040" s="32">
        <v>146</v>
      </c>
      <c r="H2040" s="32">
        <v>236</v>
      </c>
      <c r="I2040" s="32">
        <v>0</v>
      </c>
      <c r="J2040" s="32">
        <v>0</v>
      </c>
      <c r="K2040" s="32">
        <v>56433824</v>
      </c>
      <c r="L2040" s="32">
        <v>219426848</v>
      </c>
      <c r="M2040" s="32">
        <v>387291730</v>
      </c>
      <c r="N2040" s="32">
        <v>0</v>
      </c>
      <c r="O2040" s="32">
        <v>0</v>
      </c>
      <c r="P2040" s="32">
        <v>84651</v>
      </c>
      <c r="Q2040" s="32">
        <v>2194268</v>
      </c>
      <c r="R2040" s="32">
        <v>5034792</v>
      </c>
      <c r="S2040" s="32">
        <v>0</v>
      </c>
      <c r="T2040" s="32">
        <v>0</v>
      </c>
    </row>
    <row r="2041" spans="1:20" x14ac:dyDescent="0.25">
      <c r="A2041" t="s">
        <v>76</v>
      </c>
      <c r="B2041" t="s">
        <v>76</v>
      </c>
      <c r="C2041">
        <v>202602</v>
      </c>
      <c r="D2041" t="str">
        <f>MID(C2041,1,4)</f>
        <v>2026</v>
      </c>
      <c r="E2041" t="str">
        <f>IF(Portfolio!$M$1=1,CONCATENATE(A2041,C2041),CONCATENATE(B2041,C2041))</f>
        <v>DAMRI202602</v>
      </c>
      <c r="F2041" s="32">
        <v>0</v>
      </c>
      <c r="G2041" s="32">
        <v>10</v>
      </c>
      <c r="H2041" s="32">
        <v>0</v>
      </c>
      <c r="I2041" s="32">
        <v>0</v>
      </c>
      <c r="J2041" s="32">
        <v>37</v>
      </c>
      <c r="K2041" s="32">
        <v>0</v>
      </c>
      <c r="L2041" s="32">
        <v>3330000</v>
      </c>
      <c r="M2041" s="32">
        <v>0</v>
      </c>
      <c r="N2041" s="32">
        <v>0</v>
      </c>
      <c r="O2041" s="32">
        <v>10625550</v>
      </c>
      <c r="P2041" s="32">
        <v>0</v>
      </c>
      <c r="Q2041" s="32">
        <v>33300</v>
      </c>
      <c r="R2041" s="32">
        <v>0</v>
      </c>
      <c r="S2041" s="32">
        <v>0</v>
      </c>
      <c r="T2041" s="32">
        <v>74379</v>
      </c>
    </row>
    <row r="2042" spans="1:20" x14ac:dyDescent="0.25">
      <c r="A2042" t="s">
        <v>107</v>
      </c>
      <c r="B2042" t="s">
        <v>177</v>
      </c>
      <c r="C2042">
        <v>202602</v>
      </c>
      <c r="D2042" t="str">
        <f>MID(C2042,1,4)</f>
        <v>2026</v>
      </c>
      <c r="E2042" t="str">
        <f>IF(Portfolio!$M$1=1,CONCATENATE(A2042,C2042),CONCATENATE(B2042,C2042))</f>
        <v>MAP GROUP202602</v>
      </c>
      <c r="F2042" s="32">
        <v>196</v>
      </c>
      <c r="G2042" s="32">
        <v>202</v>
      </c>
      <c r="H2042" s="32">
        <v>900</v>
      </c>
      <c r="I2042" s="32">
        <v>0</v>
      </c>
      <c r="J2042" s="32">
        <v>0</v>
      </c>
      <c r="K2042" s="32">
        <v>468213600</v>
      </c>
      <c r="L2042" s="32">
        <v>457133270</v>
      </c>
      <c r="M2042" s="32">
        <v>2128888848</v>
      </c>
      <c r="N2042" s="32">
        <v>0</v>
      </c>
      <c r="O2042" s="32">
        <v>0</v>
      </c>
      <c r="P2042" s="32">
        <v>702320</v>
      </c>
      <c r="Q2042" s="32">
        <v>4571333</v>
      </c>
      <c r="R2042" s="32">
        <v>27675555</v>
      </c>
      <c r="S2042" s="32">
        <v>0</v>
      </c>
      <c r="T2042" s="32">
        <v>0</v>
      </c>
    </row>
    <row r="2043" spans="1:20" x14ac:dyDescent="0.25">
      <c r="A2043" t="s">
        <v>96</v>
      </c>
      <c r="B2043" t="s">
        <v>96</v>
      </c>
      <c r="C2043">
        <v>202602</v>
      </c>
      <c r="D2043" t="str">
        <f>MID(C2043,1,4)</f>
        <v>2026</v>
      </c>
      <c r="E2043" t="str">
        <f>IF(Portfolio!$M$1=1,CONCATENATE(A2043,C2043),CONCATENATE(B2043,C2043))</f>
        <v>HOKKAIDO BAKED CHEESE202602</v>
      </c>
      <c r="F2043" s="32">
        <v>8</v>
      </c>
      <c r="G2043" s="32">
        <v>142</v>
      </c>
      <c r="H2043" s="32">
        <v>90</v>
      </c>
      <c r="I2043" s="32">
        <v>1</v>
      </c>
      <c r="J2043" s="32">
        <v>441</v>
      </c>
      <c r="K2043" s="32">
        <v>595200</v>
      </c>
      <c r="L2043" s="32">
        <v>16762800</v>
      </c>
      <c r="M2043" s="32">
        <v>11141870</v>
      </c>
      <c r="N2043" s="32">
        <v>18000</v>
      </c>
      <c r="O2043" s="32">
        <v>17304324</v>
      </c>
      <c r="P2043" s="32">
        <v>893</v>
      </c>
      <c r="Q2043" s="32">
        <v>167628</v>
      </c>
      <c r="R2043" s="32">
        <v>222837</v>
      </c>
      <c r="S2043" s="32">
        <v>0</v>
      </c>
      <c r="T2043" s="32">
        <v>49810</v>
      </c>
    </row>
    <row r="2044" spans="1:20" x14ac:dyDescent="0.25">
      <c r="A2044" t="s">
        <v>107</v>
      </c>
      <c r="B2044" t="s">
        <v>192</v>
      </c>
      <c r="C2044">
        <v>202602</v>
      </c>
      <c r="D2044" t="str">
        <f>MID(C2044,1,4)</f>
        <v>2026</v>
      </c>
      <c r="E2044" t="str">
        <f>IF(Portfolio!$M$1=1,CONCATENATE(A2044,C2044),CONCATENATE(B2044,C2044))</f>
        <v>MAP GROUP202602</v>
      </c>
      <c r="F2044" s="32">
        <v>40</v>
      </c>
      <c r="G2044" s="32">
        <v>86</v>
      </c>
      <c r="H2044" s="32">
        <v>128</v>
      </c>
      <c r="I2044" s="32">
        <v>0</v>
      </c>
      <c r="J2044" s="32">
        <v>108</v>
      </c>
      <c r="K2044" s="32">
        <v>13924000</v>
      </c>
      <c r="L2044" s="32">
        <v>62009700</v>
      </c>
      <c r="M2044" s="32">
        <v>91508704</v>
      </c>
      <c r="N2044" s="32">
        <v>0</v>
      </c>
      <c r="O2044" s="32">
        <v>8252000</v>
      </c>
      <c r="P2044" s="32">
        <v>20886</v>
      </c>
      <c r="Q2044" s="32">
        <v>620097</v>
      </c>
      <c r="R2044" s="32">
        <v>1189613</v>
      </c>
      <c r="S2044" s="32">
        <v>0</v>
      </c>
      <c r="T2044" s="32">
        <v>2700</v>
      </c>
    </row>
    <row r="2045" spans="1:20" x14ac:dyDescent="0.25">
      <c r="A2045" t="s">
        <v>107</v>
      </c>
      <c r="B2045" t="s">
        <v>189</v>
      </c>
      <c r="C2045">
        <v>202602</v>
      </c>
      <c r="D2045" t="str">
        <f>MID(C2045,1,4)</f>
        <v>2026</v>
      </c>
      <c r="E2045" t="str">
        <f>IF(Portfolio!$M$1=1,CONCATENATE(A2045,C2045),CONCATENATE(B2045,C2045))</f>
        <v>MAP GROUP202602</v>
      </c>
      <c r="F2045" s="32">
        <v>294</v>
      </c>
      <c r="G2045" s="32">
        <v>1044</v>
      </c>
      <c r="H2045" s="32">
        <v>2044</v>
      </c>
      <c r="I2045" s="32">
        <v>0</v>
      </c>
      <c r="J2045" s="32">
        <v>0</v>
      </c>
      <c r="K2045" s="32">
        <v>323965760</v>
      </c>
      <c r="L2045" s="32">
        <v>1404354564</v>
      </c>
      <c r="M2045" s="32">
        <v>2670872116</v>
      </c>
      <c r="N2045" s="32">
        <v>0</v>
      </c>
      <c r="O2045" s="32">
        <v>0</v>
      </c>
      <c r="P2045" s="32">
        <v>485949</v>
      </c>
      <c r="Q2045" s="32">
        <v>14008510</v>
      </c>
      <c r="R2045" s="32">
        <v>34721337</v>
      </c>
      <c r="S2045" s="32">
        <v>0</v>
      </c>
      <c r="T2045" s="32">
        <v>0</v>
      </c>
    </row>
    <row r="2046" spans="1:20" x14ac:dyDescent="0.25">
      <c r="A2046" t="s">
        <v>105</v>
      </c>
      <c r="B2046" t="s">
        <v>149</v>
      </c>
      <c r="C2046">
        <v>202602</v>
      </c>
      <c r="D2046" t="str">
        <f>MID(C2046,1,4)</f>
        <v>2026</v>
      </c>
      <c r="E2046" t="str">
        <f>IF(Portfolio!$M$1=1,CONCATENATE(A2046,C2046),CONCATENATE(B2046,C2046))</f>
        <v>LOTTE GROUP202602</v>
      </c>
      <c r="F2046" s="32">
        <v>3096</v>
      </c>
      <c r="G2046" s="32">
        <v>8</v>
      </c>
      <c r="H2046" s="32">
        <v>0</v>
      </c>
      <c r="I2046" s="32">
        <v>0</v>
      </c>
      <c r="J2046" s="32">
        <v>1</v>
      </c>
      <c r="K2046" s="32">
        <v>1324321000</v>
      </c>
      <c r="L2046" s="32">
        <v>3545600</v>
      </c>
      <c r="M2046" s="32">
        <v>0</v>
      </c>
      <c r="N2046" s="32">
        <v>0</v>
      </c>
      <c r="O2046" s="32">
        <v>52800</v>
      </c>
      <c r="P2046" s="32">
        <v>1986482</v>
      </c>
      <c r="Q2046" s="32">
        <v>0</v>
      </c>
      <c r="R2046" s="32">
        <v>0</v>
      </c>
      <c r="S2046" s="32">
        <v>0</v>
      </c>
      <c r="T2046" s="32">
        <v>370</v>
      </c>
    </row>
    <row r="2047" spans="1:20" x14ac:dyDescent="0.25">
      <c r="A2047" t="s">
        <v>107</v>
      </c>
      <c r="B2047" t="s">
        <v>167</v>
      </c>
      <c r="C2047">
        <v>202602</v>
      </c>
      <c r="D2047" t="str">
        <f>MID(C2047,1,4)</f>
        <v>2026</v>
      </c>
      <c r="E2047" t="str">
        <f>IF(Portfolio!$M$1=1,CONCATENATE(A2047,C2047),CONCATENATE(B2047,C2047))</f>
        <v>MAP GROUP202602</v>
      </c>
      <c r="F2047" s="32">
        <v>38</v>
      </c>
      <c r="G2047" s="32">
        <v>88</v>
      </c>
      <c r="H2047" s="32">
        <v>210</v>
      </c>
      <c r="I2047" s="32">
        <v>0</v>
      </c>
      <c r="J2047" s="32">
        <v>0</v>
      </c>
      <c r="K2047" s="32">
        <v>83884280</v>
      </c>
      <c r="L2047" s="32">
        <v>147810096</v>
      </c>
      <c r="M2047" s="32">
        <v>343305680</v>
      </c>
      <c r="N2047" s="32">
        <v>0</v>
      </c>
      <c r="O2047" s="32">
        <v>0</v>
      </c>
      <c r="P2047" s="32">
        <v>125826</v>
      </c>
      <c r="Q2047" s="32">
        <v>1478101</v>
      </c>
      <c r="R2047" s="32">
        <v>4462974</v>
      </c>
      <c r="S2047" s="32">
        <v>0</v>
      </c>
      <c r="T2047" s="32">
        <v>0</v>
      </c>
    </row>
    <row r="2048" spans="1:20" x14ac:dyDescent="0.25">
      <c r="A2048" t="s">
        <v>102</v>
      </c>
      <c r="B2048" t="s">
        <v>137</v>
      </c>
      <c r="C2048">
        <v>202602</v>
      </c>
      <c r="D2048" t="str">
        <f>MID(C2048,1,4)</f>
        <v>2026</v>
      </c>
      <c r="E2048" t="str">
        <f>IF(Portfolio!$M$1=1,CONCATENATE(A2048,C2048),CONCATENATE(B2048,C2048))</f>
        <v>KAWAN LAMA202602</v>
      </c>
      <c r="F2048" s="32">
        <v>144</v>
      </c>
      <c r="G2048" s="32">
        <v>0</v>
      </c>
      <c r="H2048" s="32">
        <v>0</v>
      </c>
      <c r="I2048" s="32">
        <v>0</v>
      </c>
      <c r="J2048" s="32">
        <v>1</v>
      </c>
      <c r="K2048" s="32">
        <v>617959600</v>
      </c>
      <c r="L2048" s="32">
        <v>0</v>
      </c>
      <c r="M2048" s="32">
        <v>0</v>
      </c>
      <c r="N2048" s="32">
        <v>0</v>
      </c>
      <c r="O2048" s="32">
        <v>51226450</v>
      </c>
      <c r="P2048" s="32">
        <v>926939</v>
      </c>
      <c r="Q2048" s="32">
        <v>0</v>
      </c>
      <c r="R2048" s="32">
        <v>0</v>
      </c>
      <c r="S2048" s="32">
        <v>0</v>
      </c>
      <c r="T2048" s="32">
        <v>358584</v>
      </c>
    </row>
    <row r="2049" spans="1:20" x14ac:dyDescent="0.25">
      <c r="A2049" t="s">
        <v>107</v>
      </c>
      <c r="B2049" t="s">
        <v>169</v>
      </c>
      <c r="C2049">
        <v>202602</v>
      </c>
      <c r="D2049" t="str">
        <f>MID(C2049,1,4)</f>
        <v>2026</v>
      </c>
      <c r="E2049" t="str">
        <f>IF(Portfolio!$M$1=1,CONCATENATE(A2049,C2049),CONCATENATE(B2049,C2049))</f>
        <v>MAP GROUP202602</v>
      </c>
      <c r="F2049" s="32">
        <v>1078</v>
      </c>
      <c r="G2049" s="32">
        <v>680</v>
      </c>
      <c r="H2049" s="32">
        <v>3062</v>
      </c>
      <c r="I2049" s="32">
        <v>0</v>
      </c>
      <c r="J2049" s="32">
        <v>4</v>
      </c>
      <c r="K2049" s="32">
        <v>313915834</v>
      </c>
      <c r="L2049" s="32">
        <v>165851366</v>
      </c>
      <c r="M2049" s="32">
        <v>1090313414</v>
      </c>
      <c r="N2049" s="32">
        <v>0</v>
      </c>
      <c r="O2049" s="32">
        <v>160000</v>
      </c>
      <c r="P2049" s="32">
        <v>470871</v>
      </c>
      <c r="Q2049" s="32">
        <v>1651340</v>
      </c>
      <c r="R2049" s="32">
        <v>14174067</v>
      </c>
      <c r="S2049" s="32">
        <v>0</v>
      </c>
      <c r="T2049" s="32">
        <v>0</v>
      </c>
    </row>
    <row r="2050" spans="1:20" x14ac:dyDescent="0.25">
      <c r="A2050" t="s">
        <v>124</v>
      </c>
      <c r="B2050" t="s">
        <v>124</v>
      </c>
      <c r="C2050">
        <v>202602</v>
      </c>
      <c r="D2050" t="str">
        <f>MID(C2050,1,4)</f>
        <v>2026</v>
      </c>
      <c r="E2050" t="str">
        <f>IF(Portfolio!$M$1=1,CONCATENATE(A2050,C2050),CONCATENATE(B2050,C2050))</f>
        <v>SOUR SALLY202602</v>
      </c>
      <c r="F2050" s="32">
        <v>8</v>
      </c>
      <c r="G2050" s="32">
        <v>2</v>
      </c>
      <c r="H2050" s="32">
        <v>0</v>
      </c>
      <c r="I2050" s="32">
        <v>16</v>
      </c>
      <c r="J2050" s="32">
        <v>161</v>
      </c>
      <c r="K2050" s="32">
        <v>576000</v>
      </c>
      <c r="L2050" s="32">
        <v>144000</v>
      </c>
      <c r="M2050" s="32">
        <v>0</v>
      </c>
      <c r="N2050" s="32">
        <v>1195000</v>
      </c>
      <c r="O2050" s="32">
        <v>12841918</v>
      </c>
      <c r="P2050" s="32">
        <v>864</v>
      </c>
      <c r="Q2050" s="32">
        <v>1440</v>
      </c>
      <c r="R2050" s="32">
        <v>0</v>
      </c>
      <c r="S2050" s="32">
        <v>8365</v>
      </c>
      <c r="T2050" s="32">
        <v>89893</v>
      </c>
    </row>
    <row r="2051" spans="1:20" x14ac:dyDescent="0.25">
      <c r="A2051" t="s">
        <v>74</v>
      </c>
      <c r="B2051" t="s">
        <v>74</v>
      </c>
      <c r="C2051">
        <v>202602</v>
      </c>
      <c r="D2051" t="str">
        <f>MID(C2051,1,4)</f>
        <v>2026</v>
      </c>
      <c r="E2051" t="str">
        <f>IF(Portfolio!$M$1=1,CONCATENATE(A2051,C2051),CONCATENATE(B2051,C2051))</f>
        <v>BEARD PAPA202602</v>
      </c>
      <c r="F2051" s="32">
        <v>174</v>
      </c>
      <c r="G2051" s="32">
        <v>0</v>
      </c>
      <c r="H2051" s="32">
        <v>0</v>
      </c>
      <c r="I2051" s="32">
        <v>0</v>
      </c>
      <c r="J2051" s="32">
        <v>9</v>
      </c>
      <c r="K2051" s="32">
        <v>8241552</v>
      </c>
      <c r="L2051" s="32">
        <v>0</v>
      </c>
      <c r="M2051" s="32">
        <v>0</v>
      </c>
      <c r="N2051" s="32">
        <v>0</v>
      </c>
      <c r="O2051" s="32">
        <v>15499410</v>
      </c>
      <c r="P2051" s="32">
        <v>12362</v>
      </c>
      <c r="Q2051" s="32">
        <v>0</v>
      </c>
      <c r="R2051" s="32">
        <v>0</v>
      </c>
      <c r="S2051" s="32">
        <v>0</v>
      </c>
      <c r="T2051" s="32">
        <v>108497</v>
      </c>
    </row>
    <row r="2052" spans="1:20" x14ac:dyDescent="0.25">
      <c r="A2052" t="s">
        <v>106</v>
      </c>
      <c r="B2052" t="s">
        <v>106</v>
      </c>
      <c r="C2052">
        <v>202602</v>
      </c>
      <c r="D2052" t="str">
        <f>MID(C2052,1,4)</f>
        <v>2026</v>
      </c>
      <c r="E2052" t="str">
        <f>IF(Portfolio!$M$1=1,CONCATENATE(A2052,C2052),CONCATENATE(B2052,C2052))</f>
        <v>MAMA ROZ202602</v>
      </c>
      <c r="F2052" s="32">
        <v>0</v>
      </c>
      <c r="G2052" s="32">
        <v>2</v>
      </c>
      <c r="H2052" s="32">
        <v>4</v>
      </c>
      <c r="I2052" s="32">
        <v>0</v>
      </c>
      <c r="J2052" s="32">
        <v>172</v>
      </c>
      <c r="K2052" s="32">
        <v>0</v>
      </c>
      <c r="L2052" s="32">
        <v>106560</v>
      </c>
      <c r="M2052" s="32">
        <v>333000</v>
      </c>
      <c r="N2052" s="32">
        <v>0</v>
      </c>
      <c r="O2052" s="32">
        <v>12488222</v>
      </c>
      <c r="P2052" s="32">
        <v>0</v>
      </c>
      <c r="Q2052" s="32">
        <v>1066</v>
      </c>
      <c r="R2052" s="32">
        <v>4995</v>
      </c>
      <c r="S2052" s="32">
        <v>0</v>
      </c>
      <c r="T2052" s="32">
        <v>87416</v>
      </c>
    </row>
    <row r="2053" spans="1:20" x14ac:dyDescent="0.25">
      <c r="A2053" t="s">
        <v>73</v>
      </c>
      <c r="B2053" t="s">
        <v>73</v>
      </c>
      <c r="C2053">
        <v>202602</v>
      </c>
      <c r="D2053" t="str">
        <f>MID(C2053,1,4)</f>
        <v>2026</v>
      </c>
      <c r="E2053" t="str">
        <f>IF(Portfolio!$M$1=1,CONCATENATE(A2053,C2053),CONCATENATE(B2053,C2053))</f>
        <v>BANBAN TEA202602</v>
      </c>
      <c r="F2053" s="32">
        <v>8</v>
      </c>
      <c r="G2053" s="32">
        <v>0</v>
      </c>
      <c r="H2053" s="32">
        <v>0</v>
      </c>
      <c r="I2053" s="32">
        <v>62</v>
      </c>
      <c r="J2053" s="32">
        <v>39</v>
      </c>
      <c r="K2053" s="32">
        <v>450960</v>
      </c>
      <c r="L2053" s="32">
        <v>0</v>
      </c>
      <c r="M2053" s="32">
        <v>0</v>
      </c>
      <c r="N2053" s="32">
        <v>4498258</v>
      </c>
      <c r="O2053" s="32">
        <v>1810907</v>
      </c>
      <c r="P2053" s="32">
        <v>676</v>
      </c>
      <c r="Q2053" s="32">
        <v>0</v>
      </c>
      <c r="R2053" s="32">
        <v>0</v>
      </c>
      <c r="S2053" s="32">
        <v>31489</v>
      </c>
      <c r="T2053" s="32">
        <v>12678</v>
      </c>
    </row>
    <row r="2054" spans="1:20" x14ac:dyDescent="0.25">
      <c r="A2054" t="s">
        <v>107</v>
      </c>
      <c r="B2054" t="s">
        <v>193</v>
      </c>
      <c r="C2054">
        <v>202602</v>
      </c>
      <c r="D2054" t="str">
        <f>MID(C2054,1,4)</f>
        <v>2026</v>
      </c>
      <c r="E2054" t="str">
        <f>IF(Portfolio!$M$1=1,CONCATENATE(A2054,C2054),CONCATENATE(B2054,C2054))</f>
        <v>MAP GROUP202602</v>
      </c>
      <c r="F2054" s="32">
        <v>8</v>
      </c>
      <c r="G2054" s="32">
        <v>10</v>
      </c>
      <c r="H2054" s="32">
        <v>32</v>
      </c>
      <c r="I2054" s="32">
        <v>0</v>
      </c>
      <c r="J2054" s="32">
        <v>0</v>
      </c>
      <c r="K2054" s="32">
        <v>8540800</v>
      </c>
      <c r="L2054" s="32">
        <v>10406842</v>
      </c>
      <c r="M2054" s="32">
        <v>31147600</v>
      </c>
      <c r="N2054" s="32">
        <v>0</v>
      </c>
      <c r="O2054" s="32">
        <v>0</v>
      </c>
      <c r="P2054" s="32">
        <v>12811</v>
      </c>
      <c r="Q2054" s="32">
        <v>104068</v>
      </c>
      <c r="R2054" s="32">
        <v>404919</v>
      </c>
      <c r="S2054" s="32">
        <v>0</v>
      </c>
      <c r="T2054" s="32">
        <v>0</v>
      </c>
    </row>
    <row r="2055" spans="1:20" x14ac:dyDescent="0.25">
      <c r="A2055" t="s">
        <v>99</v>
      </c>
      <c r="B2055" t="s">
        <v>99</v>
      </c>
      <c r="C2055">
        <v>202602</v>
      </c>
      <c r="D2055" t="str">
        <f>MID(C2055,1,4)</f>
        <v>2026</v>
      </c>
      <c r="E2055" t="str">
        <f>IF(Portfolio!$M$1=1,CONCATENATE(A2055,C2055),CONCATENATE(B2055,C2055))</f>
        <v>IKEA202602</v>
      </c>
      <c r="F2055" s="32">
        <v>232</v>
      </c>
      <c r="G2055" s="32">
        <v>0</v>
      </c>
      <c r="H2055" s="32">
        <v>0</v>
      </c>
      <c r="I2055" s="32">
        <v>0</v>
      </c>
      <c r="J2055" s="32">
        <v>230</v>
      </c>
      <c r="K2055" s="32">
        <v>175727060</v>
      </c>
      <c r="L2055" s="32">
        <v>0</v>
      </c>
      <c r="M2055" s="32">
        <v>0</v>
      </c>
      <c r="N2055" s="32">
        <v>0</v>
      </c>
      <c r="O2055" s="32">
        <v>35439144</v>
      </c>
      <c r="P2055" s="32">
        <v>263591</v>
      </c>
      <c r="Q2055" s="32">
        <v>0</v>
      </c>
      <c r="R2055" s="32">
        <v>0</v>
      </c>
      <c r="S2055" s="32">
        <v>0</v>
      </c>
      <c r="T2055" s="32">
        <v>248071</v>
      </c>
    </row>
    <row r="2056" spans="1:20" x14ac:dyDescent="0.25">
      <c r="A2056" t="s">
        <v>67</v>
      </c>
      <c r="B2056" t="s">
        <v>69</v>
      </c>
      <c r="C2056">
        <v>202602</v>
      </c>
      <c r="D2056" t="str">
        <f>MID(C2056,1,4)</f>
        <v>2026</v>
      </c>
      <c r="E2056" t="str">
        <f>IF(Portfolio!$M$1=1,CONCATENATE(A2056,C2056),CONCATENATE(B2056,C2056))</f>
        <v>ALFA GROUP202602</v>
      </c>
      <c r="F2056" s="32">
        <v>24</v>
      </c>
      <c r="G2056" s="32">
        <v>34</v>
      </c>
      <c r="H2056" s="32">
        <v>0</v>
      </c>
      <c r="I2056" s="32">
        <v>0</v>
      </c>
      <c r="J2056" s="32">
        <v>0</v>
      </c>
      <c r="K2056" s="32">
        <v>4791200</v>
      </c>
      <c r="L2056" s="32">
        <v>4507800</v>
      </c>
      <c r="M2056" s="32">
        <v>0</v>
      </c>
      <c r="N2056" s="32">
        <v>0</v>
      </c>
      <c r="O2056" s="32">
        <v>0</v>
      </c>
      <c r="P2056" s="32">
        <v>7187</v>
      </c>
      <c r="Q2056" s="32">
        <v>45078</v>
      </c>
      <c r="R2056" s="32">
        <v>0</v>
      </c>
      <c r="S2056" s="32">
        <v>0</v>
      </c>
      <c r="T2056" s="32">
        <v>0</v>
      </c>
    </row>
    <row r="2057" spans="1:20" x14ac:dyDescent="0.25">
      <c r="A2057" t="s">
        <v>107</v>
      </c>
      <c r="B2057" t="s">
        <v>204</v>
      </c>
      <c r="C2057">
        <v>202602</v>
      </c>
      <c r="D2057" t="str">
        <f>MID(C2057,1,4)</f>
        <v>2026</v>
      </c>
      <c r="E2057" t="str">
        <f>IF(Portfolio!$M$1=1,CONCATENATE(A2057,C2057),CONCATENATE(B2057,C2057))</f>
        <v>MAP GROUP202602</v>
      </c>
      <c r="F2057" s="32">
        <v>64</v>
      </c>
      <c r="G2057" s="32">
        <v>162</v>
      </c>
      <c r="H2057" s="32">
        <v>356</v>
      </c>
      <c r="I2057" s="32">
        <v>0</v>
      </c>
      <c r="J2057" s="32">
        <v>0</v>
      </c>
      <c r="K2057" s="32">
        <v>120533920</v>
      </c>
      <c r="L2057" s="32">
        <v>323109312</v>
      </c>
      <c r="M2057" s="32">
        <v>771573796</v>
      </c>
      <c r="N2057" s="32">
        <v>0</v>
      </c>
      <c r="O2057" s="32">
        <v>0</v>
      </c>
      <c r="P2057" s="32">
        <v>180801</v>
      </c>
      <c r="Q2057" s="32">
        <v>3231093</v>
      </c>
      <c r="R2057" s="32">
        <v>10030459</v>
      </c>
      <c r="S2057" s="32">
        <v>0</v>
      </c>
      <c r="T2057" s="32">
        <v>0</v>
      </c>
    </row>
    <row r="2058" spans="1:20" x14ac:dyDescent="0.25">
      <c r="A2058" t="s">
        <v>260</v>
      </c>
      <c r="B2058" t="s">
        <v>260</v>
      </c>
      <c r="C2058">
        <v>202602</v>
      </c>
      <c r="D2058" t="str">
        <f>MID(C2058,1,4)</f>
        <v>2026</v>
      </c>
      <c r="E2058" t="str">
        <f>IF(Portfolio!$M$1=1,CONCATENATE(A2058,C2058),CONCATENATE(B2058,C2058))</f>
        <v>MIXUE202602</v>
      </c>
      <c r="F2058" s="32">
        <v>0</v>
      </c>
      <c r="G2058" s="32">
        <v>134</v>
      </c>
      <c r="H2058" s="32">
        <v>0</v>
      </c>
      <c r="I2058" s="32">
        <v>111</v>
      </c>
      <c r="J2058" s="32">
        <v>15251</v>
      </c>
      <c r="K2058" s="32">
        <v>0</v>
      </c>
      <c r="L2058" s="32">
        <v>5094000</v>
      </c>
      <c r="M2058" s="32">
        <v>0</v>
      </c>
      <c r="N2058" s="32">
        <v>3615000</v>
      </c>
      <c r="O2058" s="32">
        <v>495314746</v>
      </c>
      <c r="P2058" s="32">
        <v>0</v>
      </c>
      <c r="Q2058" s="32">
        <v>50940</v>
      </c>
      <c r="R2058" s="32">
        <v>0</v>
      </c>
      <c r="S2058" s="32">
        <v>9303</v>
      </c>
      <c r="T2058" s="32">
        <v>869937</v>
      </c>
    </row>
    <row r="2059" spans="1:20" x14ac:dyDescent="0.25">
      <c r="A2059" t="s">
        <v>75</v>
      </c>
      <c r="B2059" t="s">
        <v>91</v>
      </c>
      <c r="C2059">
        <v>202602</v>
      </c>
      <c r="D2059" t="str">
        <f>MID(C2059,1,4)</f>
        <v>2026</v>
      </c>
      <c r="E2059" t="str">
        <f>IF(Portfolio!$M$1=1,CONCATENATE(A2059,C2059),CONCATENATE(B2059,C2059))</f>
        <v>CHAMP RESTO202602</v>
      </c>
      <c r="F2059" s="32">
        <v>8</v>
      </c>
      <c r="G2059" s="32">
        <v>10</v>
      </c>
      <c r="H2059" s="32">
        <v>0</v>
      </c>
      <c r="I2059" s="32">
        <v>0</v>
      </c>
      <c r="J2059" s="32">
        <v>21</v>
      </c>
      <c r="K2059" s="32">
        <v>2105792</v>
      </c>
      <c r="L2059" s="32">
        <v>4783732</v>
      </c>
      <c r="M2059" s="32">
        <v>0</v>
      </c>
      <c r="N2059" s="32">
        <v>0</v>
      </c>
      <c r="O2059" s="32">
        <v>5590322</v>
      </c>
      <c r="P2059" s="32">
        <v>3159</v>
      </c>
      <c r="Q2059" s="32">
        <v>47837</v>
      </c>
      <c r="R2059" s="32">
        <v>0</v>
      </c>
      <c r="S2059" s="32">
        <v>0</v>
      </c>
      <c r="T2059" s="32">
        <v>39132</v>
      </c>
    </row>
    <row r="2060" spans="1:20" x14ac:dyDescent="0.25">
      <c r="A2060" t="s">
        <v>80</v>
      </c>
      <c r="B2060" t="s">
        <v>80</v>
      </c>
      <c r="C2060">
        <v>202602</v>
      </c>
      <c r="D2060" t="str">
        <f>MID(C2060,1,4)</f>
        <v>2026</v>
      </c>
      <c r="E2060" t="str">
        <f>IF(Portfolio!$M$1=1,CONCATENATE(A2060,C2060),CONCATENATE(B2060,C2060))</f>
        <v>DWIDAYA202602</v>
      </c>
      <c r="F2060" s="32">
        <v>156</v>
      </c>
      <c r="G2060" s="32">
        <v>6</v>
      </c>
      <c r="H2060" s="32">
        <v>0</v>
      </c>
      <c r="I2060" s="32">
        <v>0</v>
      </c>
      <c r="J2060" s="32">
        <v>71</v>
      </c>
      <c r="K2060" s="32">
        <v>3766656400</v>
      </c>
      <c r="L2060" s="32">
        <v>26196000</v>
      </c>
      <c r="M2060" s="32">
        <v>0</v>
      </c>
      <c r="N2060" s="32">
        <v>0</v>
      </c>
      <c r="O2060" s="32">
        <v>222514700</v>
      </c>
      <c r="P2060" s="32">
        <v>5649985</v>
      </c>
      <c r="Q2060" s="32">
        <v>261960</v>
      </c>
      <c r="R2060" s="32">
        <v>0</v>
      </c>
      <c r="S2060" s="32">
        <v>0</v>
      </c>
      <c r="T2060" s="32">
        <v>1557603</v>
      </c>
    </row>
    <row r="2061" spans="1:20" x14ac:dyDescent="0.25">
      <c r="A2061" t="s">
        <v>107</v>
      </c>
      <c r="B2061" t="s">
        <v>151</v>
      </c>
      <c r="C2061">
        <v>202602</v>
      </c>
      <c r="D2061" t="str">
        <f>MID(C2061,1,4)</f>
        <v>2026</v>
      </c>
      <c r="E2061" t="str">
        <f>IF(Portfolio!$M$1=1,CONCATENATE(A2061,C2061),CONCATENATE(B2061,C2061))</f>
        <v>MAP GROUP202602</v>
      </c>
      <c r="F2061" s="32">
        <v>78</v>
      </c>
      <c r="G2061" s="32">
        <v>430</v>
      </c>
      <c r="H2061" s="32">
        <v>544</v>
      </c>
      <c r="I2061" s="32">
        <v>0</v>
      </c>
      <c r="J2061" s="32">
        <v>0</v>
      </c>
      <c r="K2061" s="32">
        <v>184166000</v>
      </c>
      <c r="L2061" s="32">
        <v>706775400</v>
      </c>
      <c r="M2061" s="32">
        <v>859040076</v>
      </c>
      <c r="N2061" s="32">
        <v>0</v>
      </c>
      <c r="O2061" s="32">
        <v>0</v>
      </c>
      <c r="P2061" s="32">
        <v>276249</v>
      </c>
      <c r="Q2061" s="32">
        <v>6991554</v>
      </c>
      <c r="R2061" s="32">
        <v>11167521</v>
      </c>
      <c r="S2061" s="32">
        <v>0</v>
      </c>
      <c r="T2061" s="32">
        <v>0</v>
      </c>
    </row>
    <row r="2062" spans="1:20" x14ac:dyDescent="0.25">
      <c r="A2062" t="s">
        <v>114</v>
      </c>
      <c r="B2062" t="s">
        <v>218</v>
      </c>
      <c r="C2062">
        <v>202602</v>
      </c>
      <c r="D2062" t="str">
        <f>MID(C2062,1,4)</f>
        <v>2026</v>
      </c>
      <c r="E2062" t="str">
        <f>IF(Portfolio!$M$1=1,CONCATENATE(A2062,C2062),CONCATENATE(B2062,C2062))</f>
        <v>PIZZA HUT202602</v>
      </c>
      <c r="F2062" s="32">
        <v>824</v>
      </c>
      <c r="G2062" s="32">
        <v>0</v>
      </c>
      <c r="H2062" s="32">
        <v>0</v>
      </c>
      <c r="I2062" s="32">
        <v>0</v>
      </c>
      <c r="J2062" s="32">
        <v>37</v>
      </c>
      <c r="K2062" s="32">
        <v>207668552</v>
      </c>
      <c r="L2062" s="32">
        <v>0</v>
      </c>
      <c r="M2062" s="32">
        <v>0</v>
      </c>
      <c r="N2062" s="32">
        <v>0</v>
      </c>
      <c r="O2062" s="32">
        <v>1425000</v>
      </c>
      <c r="P2062" s="32">
        <v>311501</v>
      </c>
      <c r="Q2062" s="32">
        <v>0</v>
      </c>
      <c r="R2062" s="32">
        <v>0</v>
      </c>
      <c r="S2062" s="32">
        <v>0</v>
      </c>
      <c r="T2062" s="32">
        <v>0</v>
      </c>
    </row>
    <row r="2063" spans="1:20" x14ac:dyDescent="0.25">
      <c r="A2063" t="s">
        <v>107</v>
      </c>
      <c r="B2063" t="s">
        <v>178</v>
      </c>
      <c r="C2063">
        <v>202602</v>
      </c>
      <c r="D2063" t="str">
        <f>MID(C2063,1,4)</f>
        <v>2026</v>
      </c>
      <c r="E2063" t="str">
        <f>IF(Portfolio!$M$1=1,CONCATENATE(A2063,C2063),CONCATENATE(B2063,C2063))</f>
        <v>MAP GROUP202602</v>
      </c>
      <c r="F2063" s="32">
        <v>64</v>
      </c>
      <c r="G2063" s="32">
        <v>448</v>
      </c>
      <c r="H2063" s="32">
        <v>886</v>
      </c>
      <c r="I2063" s="32">
        <v>13</v>
      </c>
      <c r="J2063" s="32">
        <v>770</v>
      </c>
      <c r="K2063" s="32">
        <v>56216680</v>
      </c>
      <c r="L2063" s="32">
        <v>400334564</v>
      </c>
      <c r="M2063" s="32">
        <v>1013644078</v>
      </c>
      <c r="N2063" s="32">
        <v>182500</v>
      </c>
      <c r="O2063" s="32">
        <v>55199707</v>
      </c>
      <c r="P2063" s="32">
        <v>84325</v>
      </c>
      <c r="Q2063" s="32">
        <v>3988729</v>
      </c>
      <c r="R2063" s="32">
        <v>13177373</v>
      </c>
      <c r="S2063" s="32">
        <v>0</v>
      </c>
      <c r="T2063" s="32">
        <v>352385</v>
      </c>
    </row>
    <row r="2064" spans="1:20" x14ac:dyDescent="0.25">
      <c r="A2064" t="s">
        <v>107</v>
      </c>
      <c r="B2064" t="s">
        <v>191</v>
      </c>
      <c r="C2064">
        <v>202602</v>
      </c>
      <c r="D2064" t="str">
        <f>MID(C2064,1,4)</f>
        <v>2026</v>
      </c>
      <c r="E2064" t="str">
        <f>IF(Portfolio!$M$1=1,CONCATENATE(A2064,C2064),CONCATENATE(B2064,C2064))</f>
        <v>MAP GROUP202602</v>
      </c>
      <c r="F2064" s="32">
        <v>78</v>
      </c>
      <c r="G2064" s="32">
        <v>232</v>
      </c>
      <c r="H2064" s="32">
        <v>294</v>
      </c>
      <c r="I2064" s="32">
        <v>0</v>
      </c>
      <c r="J2064" s="32">
        <v>0</v>
      </c>
      <c r="K2064" s="32">
        <v>81010800</v>
      </c>
      <c r="L2064" s="32">
        <v>315454040</v>
      </c>
      <c r="M2064" s="32">
        <v>370052716</v>
      </c>
      <c r="N2064" s="32">
        <v>0</v>
      </c>
      <c r="O2064" s="32">
        <v>0</v>
      </c>
      <c r="P2064" s="32">
        <v>121516</v>
      </c>
      <c r="Q2064" s="32">
        <v>3154540</v>
      </c>
      <c r="R2064" s="32">
        <v>4810685</v>
      </c>
      <c r="S2064" s="32">
        <v>0</v>
      </c>
      <c r="T2064" s="32">
        <v>0</v>
      </c>
    </row>
    <row r="2065" spans="1:20" x14ac:dyDescent="0.25">
      <c r="A2065" t="s">
        <v>107</v>
      </c>
      <c r="B2065" t="s">
        <v>201</v>
      </c>
      <c r="C2065">
        <v>202602</v>
      </c>
      <c r="D2065" t="str">
        <f>MID(C2065,1,4)</f>
        <v>2026</v>
      </c>
      <c r="E2065" t="str">
        <f>IF(Portfolio!$M$1=1,CONCATENATE(A2065,C2065),CONCATENATE(B2065,C2065))</f>
        <v>MAP GROUP202602</v>
      </c>
      <c r="F2065" s="32">
        <v>208</v>
      </c>
      <c r="G2065" s="32">
        <v>622</v>
      </c>
      <c r="H2065" s="32">
        <v>1808</v>
      </c>
      <c r="I2065" s="32">
        <v>0</v>
      </c>
      <c r="J2065" s="32">
        <v>0</v>
      </c>
      <c r="K2065" s="32">
        <v>132775184</v>
      </c>
      <c r="L2065" s="32">
        <v>473815678</v>
      </c>
      <c r="M2065" s="32">
        <v>1471362104</v>
      </c>
      <c r="N2065" s="32">
        <v>0</v>
      </c>
      <c r="O2065" s="32">
        <v>0</v>
      </c>
      <c r="P2065" s="32">
        <v>199163</v>
      </c>
      <c r="Q2065" s="32">
        <v>4715037</v>
      </c>
      <c r="R2065" s="32">
        <v>19127707</v>
      </c>
      <c r="S2065" s="32">
        <v>0</v>
      </c>
      <c r="T2065" s="32">
        <v>0</v>
      </c>
    </row>
    <row r="2066" spans="1:20" x14ac:dyDescent="0.25">
      <c r="A2066" t="s">
        <v>107</v>
      </c>
      <c r="B2066" t="s">
        <v>194</v>
      </c>
      <c r="C2066">
        <v>202602</v>
      </c>
      <c r="D2066" t="str">
        <f>MID(C2066,1,4)</f>
        <v>2026</v>
      </c>
      <c r="E2066" t="str">
        <f>IF(Portfolio!$M$1=1,CONCATENATE(A2066,C2066),CONCATENATE(B2066,C2066))</f>
        <v>MAP GROUP202602</v>
      </c>
      <c r="F2066" s="32">
        <v>8</v>
      </c>
      <c r="G2066" s="32">
        <v>6</v>
      </c>
      <c r="H2066" s="32">
        <v>34</v>
      </c>
      <c r="I2066" s="32">
        <v>0</v>
      </c>
      <c r="J2066" s="32">
        <v>0</v>
      </c>
      <c r="K2066" s="32">
        <v>2800000</v>
      </c>
      <c r="L2066" s="32">
        <v>4348800</v>
      </c>
      <c r="M2066" s="32">
        <v>33542152</v>
      </c>
      <c r="N2066" s="32">
        <v>0</v>
      </c>
      <c r="O2066" s="32">
        <v>0</v>
      </c>
      <c r="P2066" s="32">
        <v>4200</v>
      </c>
      <c r="Q2066" s="32">
        <v>43488</v>
      </c>
      <c r="R2066" s="32">
        <v>436048</v>
      </c>
      <c r="S2066" s="32">
        <v>0</v>
      </c>
      <c r="T2066" s="32">
        <v>0</v>
      </c>
    </row>
    <row r="2067" spans="1:20" x14ac:dyDescent="0.25">
      <c r="A2067" t="s">
        <v>107</v>
      </c>
      <c r="B2067" t="s">
        <v>152</v>
      </c>
      <c r="C2067">
        <v>202602</v>
      </c>
      <c r="D2067" t="str">
        <f>MID(C2067,1,4)</f>
        <v>2026</v>
      </c>
      <c r="E2067" t="str">
        <f>IF(Portfolio!$M$1=1,CONCATENATE(A2067,C2067),CONCATENATE(B2067,C2067))</f>
        <v>MAP GROUP202602</v>
      </c>
      <c r="F2067" s="32">
        <v>42</v>
      </c>
      <c r="G2067" s="32">
        <v>144</v>
      </c>
      <c r="H2067" s="32">
        <v>296</v>
      </c>
      <c r="I2067" s="32">
        <v>0</v>
      </c>
      <c r="J2067" s="32">
        <v>0</v>
      </c>
      <c r="K2067" s="32">
        <v>69457060</v>
      </c>
      <c r="L2067" s="32">
        <v>193746644</v>
      </c>
      <c r="M2067" s="32">
        <v>422088574</v>
      </c>
      <c r="N2067" s="32">
        <v>0</v>
      </c>
      <c r="O2067" s="32">
        <v>0</v>
      </c>
      <c r="P2067" s="32">
        <v>104186</v>
      </c>
      <c r="Q2067" s="32">
        <v>1937466</v>
      </c>
      <c r="R2067" s="32">
        <v>5487151</v>
      </c>
      <c r="S2067" s="32">
        <v>0</v>
      </c>
      <c r="T2067" s="32">
        <v>0</v>
      </c>
    </row>
    <row r="2068" spans="1:20" x14ac:dyDescent="0.25">
      <c r="A2068" t="s">
        <v>107</v>
      </c>
      <c r="B2068" t="s">
        <v>174</v>
      </c>
      <c r="C2068">
        <v>202602</v>
      </c>
      <c r="D2068" t="str">
        <f>MID(C2068,1,4)</f>
        <v>2026</v>
      </c>
      <c r="E2068" t="str">
        <f>IF(Portfolio!$M$1=1,CONCATENATE(A2068,C2068),CONCATENATE(B2068,C2068))</f>
        <v>MAP GROUP202602</v>
      </c>
      <c r="F2068" s="32">
        <v>28</v>
      </c>
      <c r="G2068" s="32">
        <v>68</v>
      </c>
      <c r="H2068" s="32">
        <v>346</v>
      </c>
      <c r="I2068" s="32">
        <v>0</v>
      </c>
      <c r="J2068" s="32">
        <v>0</v>
      </c>
      <c r="K2068" s="32">
        <v>71614400</v>
      </c>
      <c r="L2068" s="32">
        <v>190221440</v>
      </c>
      <c r="M2068" s="32">
        <v>929587084</v>
      </c>
      <c r="N2068" s="32">
        <v>0</v>
      </c>
      <c r="O2068" s="32">
        <v>0</v>
      </c>
      <c r="P2068" s="32">
        <v>107422</v>
      </c>
      <c r="Q2068" s="32">
        <v>1902214</v>
      </c>
      <c r="R2068" s="32">
        <v>12084632</v>
      </c>
      <c r="S2068" s="32">
        <v>0</v>
      </c>
      <c r="T2068" s="32">
        <v>0</v>
      </c>
    </row>
    <row r="2069" spans="1:20" x14ac:dyDescent="0.25">
      <c r="A2069" t="s">
        <v>75</v>
      </c>
      <c r="B2069" t="s">
        <v>85</v>
      </c>
      <c r="C2069">
        <v>202602</v>
      </c>
      <c r="D2069" t="str">
        <f>MID(C2069,1,4)</f>
        <v>2026</v>
      </c>
      <c r="E2069" t="str">
        <f>IF(Portfolio!$M$1=1,CONCATENATE(A2069,C2069),CONCATENATE(B2069,C2069))</f>
        <v>CHAMP RESTO202602</v>
      </c>
      <c r="F2069" s="32">
        <v>24</v>
      </c>
      <c r="G2069" s="32">
        <v>18</v>
      </c>
      <c r="H2069" s="32">
        <v>0</v>
      </c>
      <c r="I2069" s="32">
        <v>0</v>
      </c>
      <c r="J2069" s="32">
        <v>64</v>
      </c>
      <c r="K2069" s="32">
        <v>5375824</v>
      </c>
      <c r="L2069" s="32">
        <v>2863308</v>
      </c>
      <c r="M2069" s="32">
        <v>0</v>
      </c>
      <c r="N2069" s="32">
        <v>0</v>
      </c>
      <c r="O2069" s="32">
        <v>10791347</v>
      </c>
      <c r="P2069" s="32">
        <v>8064</v>
      </c>
      <c r="Q2069" s="32">
        <v>28633</v>
      </c>
      <c r="R2069" s="32">
        <v>0</v>
      </c>
      <c r="S2069" s="32">
        <v>0</v>
      </c>
      <c r="T2069" s="32">
        <v>75539</v>
      </c>
    </row>
    <row r="2070" spans="1:20" x14ac:dyDescent="0.25">
      <c r="A2070" t="s">
        <v>130</v>
      </c>
      <c r="B2070" t="s">
        <v>227</v>
      </c>
      <c r="C2070">
        <v>202602</v>
      </c>
      <c r="D2070" t="str">
        <f>MID(C2070,1,4)</f>
        <v>2026</v>
      </c>
      <c r="E2070" t="str">
        <f>IF(Portfolio!$M$1=1,CONCATENATE(A2070,C2070),CONCATENATE(B2070,C2070))</f>
        <v>SURYA BUMI RETAILINDO202602</v>
      </c>
      <c r="F2070" s="32">
        <v>8</v>
      </c>
      <c r="G2070" s="32">
        <v>0</v>
      </c>
      <c r="H2070" s="32">
        <v>0</v>
      </c>
      <c r="I2070" s="32">
        <v>0</v>
      </c>
      <c r="J2070" s="32">
        <v>0</v>
      </c>
      <c r="K2070" s="32">
        <v>4320000</v>
      </c>
      <c r="L2070" s="32">
        <v>0</v>
      </c>
      <c r="M2070" s="32">
        <v>0</v>
      </c>
      <c r="N2070" s="32">
        <v>0</v>
      </c>
      <c r="O2070" s="32">
        <v>0</v>
      </c>
      <c r="P2070" s="32">
        <v>6480</v>
      </c>
      <c r="Q2070" s="32">
        <v>0</v>
      </c>
      <c r="R2070" s="32">
        <v>0</v>
      </c>
      <c r="S2070" s="32">
        <v>0</v>
      </c>
      <c r="T2070" s="32">
        <v>0</v>
      </c>
    </row>
    <row r="2071" spans="1:20" x14ac:dyDescent="0.25">
      <c r="A2071" t="s">
        <v>107</v>
      </c>
      <c r="B2071" t="s">
        <v>180</v>
      </c>
      <c r="C2071">
        <v>202602</v>
      </c>
      <c r="D2071" t="str">
        <f>MID(C2071,1,4)</f>
        <v>2026</v>
      </c>
      <c r="E2071" t="str">
        <f>IF(Portfolio!$M$1=1,CONCATENATE(A2071,C2071),CONCATENATE(B2071,C2071))</f>
        <v>MAP GROUP202602</v>
      </c>
      <c r="F2071" s="32">
        <v>48</v>
      </c>
      <c r="G2071" s="32">
        <v>236</v>
      </c>
      <c r="H2071" s="32">
        <v>188</v>
      </c>
      <c r="I2071" s="32">
        <v>0</v>
      </c>
      <c r="J2071" s="32">
        <v>0</v>
      </c>
      <c r="K2071" s="32">
        <v>10125440</v>
      </c>
      <c r="L2071" s="32">
        <v>70839664</v>
      </c>
      <c r="M2071" s="32">
        <v>78620852</v>
      </c>
      <c r="N2071" s="32">
        <v>0</v>
      </c>
      <c r="O2071" s="32">
        <v>0</v>
      </c>
      <c r="P2071" s="32">
        <v>15188</v>
      </c>
      <c r="Q2071" s="32">
        <v>708397</v>
      </c>
      <c r="R2071" s="32">
        <v>1022071</v>
      </c>
      <c r="S2071" s="32">
        <v>0</v>
      </c>
      <c r="T2071" s="32">
        <v>0</v>
      </c>
    </row>
    <row r="2072" spans="1:20" x14ac:dyDescent="0.25">
      <c r="A2072" t="s">
        <v>107</v>
      </c>
      <c r="B2072" t="s">
        <v>155</v>
      </c>
      <c r="C2072">
        <v>202602</v>
      </c>
      <c r="D2072" t="str">
        <f>MID(C2072,1,4)</f>
        <v>2026</v>
      </c>
      <c r="E2072" t="str">
        <f>IF(Portfolio!$M$1=1,CONCATENATE(A2072,C2072),CONCATENATE(B2072,C2072))</f>
        <v>MAP GROUP202602</v>
      </c>
      <c r="F2072" s="32">
        <v>0</v>
      </c>
      <c r="G2072" s="32">
        <v>2</v>
      </c>
      <c r="H2072" s="32">
        <v>4</v>
      </c>
      <c r="I2072" s="32">
        <v>0</v>
      </c>
      <c r="J2072" s="32">
        <v>0</v>
      </c>
      <c r="K2072" s="32">
        <v>0</v>
      </c>
      <c r="L2072" s="32">
        <v>796600</v>
      </c>
      <c r="M2072" s="32">
        <v>2580400</v>
      </c>
      <c r="N2072" s="32">
        <v>0</v>
      </c>
      <c r="O2072" s="32">
        <v>0</v>
      </c>
      <c r="P2072" s="32">
        <v>0</v>
      </c>
      <c r="Q2072" s="32">
        <v>7966</v>
      </c>
      <c r="R2072" s="32">
        <v>33545</v>
      </c>
      <c r="S2072" s="32">
        <v>0</v>
      </c>
      <c r="T2072" s="32">
        <v>0</v>
      </c>
    </row>
    <row r="2073" spans="1:20" x14ac:dyDescent="0.25">
      <c r="A2073" t="s">
        <v>102</v>
      </c>
      <c r="B2073" t="s">
        <v>129</v>
      </c>
      <c r="C2073">
        <v>202602</v>
      </c>
      <c r="D2073" t="str">
        <f>MID(C2073,1,4)</f>
        <v>2026</v>
      </c>
      <c r="E2073" t="str">
        <f>IF(Portfolio!$M$1=1,CONCATENATE(A2073,C2073),CONCATENATE(B2073,C2073))</f>
        <v>KAWAN LAMA202602</v>
      </c>
      <c r="F2073" s="32">
        <v>32</v>
      </c>
      <c r="G2073" s="32">
        <v>0</v>
      </c>
      <c r="H2073" s="32">
        <v>0</v>
      </c>
      <c r="I2073" s="32">
        <v>0</v>
      </c>
      <c r="J2073" s="32">
        <v>0</v>
      </c>
      <c r="K2073" s="32">
        <v>38947240</v>
      </c>
      <c r="L2073" s="32">
        <v>0</v>
      </c>
      <c r="M2073" s="32">
        <v>0</v>
      </c>
      <c r="N2073" s="32">
        <v>0</v>
      </c>
      <c r="O2073" s="32">
        <v>3055000</v>
      </c>
      <c r="P2073" s="32">
        <v>58421</v>
      </c>
      <c r="Q2073" s="32">
        <v>0</v>
      </c>
      <c r="R2073" s="32">
        <v>0</v>
      </c>
      <c r="S2073" s="32">
        <v>0</v>
      </c>
      <c r="T2073" s="32">
        <v>21385</v>
      </c>
    </row>
    <row r="2074" spans="1:20" x14ac:dyDescent="0.25">
      <c r="A2074" t="s">
        <v>107</v>
      </c>
      <c r="B2074" t="s">
        <v>198</v>
      </c>
      <c r="C2074">
        <v>202602</v>
      </c>
      <c r="D2074" t="str">
        <f>MID(C2074,1,4)</f>
        <v>2026</v>
      </c>
      <c r="E2074" t="str">
        <f>IF(Portfolio!$M$1=1,CONCATENATE(A2074,C2074),CONCATENATE(B2074,C2074))</f>
        <v>MAP GROUP202602</v>
      </c>
      <c r="F2074" s="32">
        <v>408</v>
      </c>
      <c r="G2074" s="32">
        <v>20</v>
      </c>
      <c r="H2074" s="32">
        <v>66</v>
      </c>
      <c r="I2074" s="32">
        <v>0</v>
      </c>
      <c r="J2074" s="32">
        <v>0</v>
      </c>
      <c r="K2074" s="32">
        <v>802731600</v>
      </c>
      <c r="L2074" s="32">
        <v>32992000</v>
      </c>
      <c r="M2074" s="32">
        <v>82909800</v>
      </c>
      <c r="N2074" s="32">
        <v>0</v>
      </c>
      <c r="O2074" s="32">
        <v>0</v>
      </c>
      <c r="P2074" s="32">
        <v>1204097</v>
      </c>
      <c r="Q2074" s="32">
        <v>329920</v>
      </c>
      <c r="R2074" s="32">
        <v>1077827</v>
      </c>
      <c r="S2074" s="32">
        <v>0</v>
      </c>
      <c r="T2074" s="32">
        <v>0</v>
      </c>
    </row>
    <row r="2075" spans="1:20" x14ac:dyDescent="0.25">
      <c r="A2075" t="s">
        <v>102</v>
      </c>
      <c r="B2075" t="s">
        <v>263</v>
      </c>
      <c r="C2075">
        <v>202602</v>
      </c>
      <c r="D2075" t="str">
        <f>MID(C2075,1,4)</f>
        <v>2026</v>
      </c>
      <c r="E2075" t="str">
        <f>IF(Portfolio!$M$1=1,CONCATENATE(A2075,C2075),CONCATENATE(B2075,C2075))</f>
        <v>KAWAN LAMA202602</v>
      </c>
      <c r="F2075" s="32">
        <v>142</v>
      </c>
      <c r="G2075" s="32">
        <v>0</v>
      </c>
      <c r="H2075" s="32">
        <v>0</v>
      </c>
      <c r="I2075" s="32">
        <v>1</v>
      </c>
      <c r="J2075" s="32">
        <v>7</v>
      </c>
      <c r="K2075" s="32">
        <v>24708000</v>
      </c>
      <c r="L2075" s="32">
        <v>0</v>
      </c>
      <c r="M2075" s="32">
        <v>0</v>
      </c>
      <c r="N2075" s="32">
        <v>101000</v>
      </c>
      <c r="O2075" s="32">
        <v>869000</v>
      </c>
      <c r="P2075" s="32">
        <v>37062</v>
      </c>
      <c r="Q2075" s="32">
        <v>0</v>
      </c>
      <c r="R2075" s="32">
        <v>0</v>
      </c>
      <c r="S2075" s="32">
        <v>707</v>
      </c>
      <c r="T2075" s="32">
        <v>6083</v>
      </c>
    </row>
    <row r="2076" spans="1:20" x14ac:dyDescent="0.25">
      <c r="A2076" t="s">
        <v>82</v>
      </c>
      <c r="B2076" t="s">
        <v>82</v>
      </c>
      <c r="C2076">
        <v>202602</v>
      </c>
      <c r="D2076" t="str">
        <f>MID(C2076,1,4)</f>
        <v>2026</v>
      </c>
      <c r="E2076" t="str">
        <f>IF(Portfolio!$M$1=1,CONCATENATE(A2076,C2076),CONCATENATE(B2076,C2076))</f>
        <v>EKA HOSPITAL202602</v>
      </c>
      <c r="F2076" s="32">
        <v>16</v>
      </c>
      <c r="G2076" s="32">
        <v>30</v>
      </c>
      <c r="H2076" s="32">
        <v>88</v>
      </c>
      <c r="I2076" s="32">
        <v>0</v>
      </c>
      <c r="J2076" s="32">
        <v>11</v>
      </c>
      <c r="K2076" s="32">
        <v>12691280</v>
      </c>
      <c r="L2076" s="32">
        <v>56762720</v>
      </c>
      <c r="M2076" s="32">
        <v>140746560</v>
      </c>
      <c r="N2076" s="32">
        <v>0</v>
      </c>
      <c r="O2076" s="32">
        <v>11392515</v>
      </c>
      <c r="P2076" s="32">
        <v>19037</v>
      </c>
      <c r="Q2076" s="32">
        <v>567627</v>
      </c>
      <c r="R2076" s="32">
        <v>1829705</v>
      </c>
      <c r="S2076" s="32">
        <v>0</v>
      </c>
      <c r="T2076" s="32">
        <v>79746</v>
      </c>
    </row>
    <row r="2077" spans="1:20" x14ac:dyDescent="0.25">
      <c r="A2077" t="s">
        <v>107</v>
      </c>
      <c r="B2077" t="s">
        <v>156</v>
      </c>
      <c r="C2077">
        <v>202602</v>
      </c>
      <c r="D2077" t="str">
        <f>MID(C2077,1,4)</f>
        <v>2026</v>
      </c>
      <c r="E2077" t="str">
        <f>IF(Portfolio!$M$1=1,CONCATENATE(A2077,C2077),CONCATENATE(B2077,C2077))</f>
        <v>MAP GROUP202602</v>
      </c>
      <c r="F2077" s="32">
        <v>0</v>
      </c>
      <c r="G2077" s="32">
        <v>28</v>
      </c>
      <c r="H2077" s="32">
        <v>38</v>
      </c>
      <c r="I2077" s="32">
        <v>0</v>
      </c>
      <c r="J2077" s="32">
        <v>0</v>
      </c>
      <c r="K2077" s="32">
        <v>0</v>
      </c>
      <c r="L2077" s="32">
        <v>55123000</v>
      </c>
      <c r="M2077" s="32">
        <v>72533600</v>
      </c>
      <c r="N2077" s="32">
        <v>0</v>
      </c>
      <c r="O2077" s="32">
        <v>0</v>
      </c>
      <c r="P2077" s="32">
        <v>0</v>
      </c>
      <c r="Q2077" s="32">
        <v>551230</v>
      </c>
      <c r="R2077" s="32">
        <v>942937</v>
      </c>
      <c r="S2077" s="32">
        <v>0</v>
      </c>
      <c r="T2077" s="32">
        <v>0</v>
      </c>
    </row>
    <row r="2078" spans="1:20" x14ac:dyDescent="0.25">
      <c r="A2078" t="s">
        <v>107</v>
      </c>
      <c r="B2078" t="s">
        <v>172</v>
      </c>
      <c r="C2078">
        <v>202602</v>
      </c>
      <c r="D2078" t="str">
        <f>MID(C2078,1,4)</f>
        <v>2026</v>
      </c>
      <c r="E2078" t="str">
        <f>IF(Portfolio!$M$1=1,CONCATENATE(A2078,C2078),CONCATENATE(B2078,C2078))</f>
        <v>MAP GROUP202602</v>
      </c>
      <c r="F2078" s="32">
        <v>8</v>
      </c>
      <c r="G2078" s="32">
        <v>72</v>
      </c>
      <c r="H2078" s="32">
        <v>212</v>
      </c>
      <c r="I2078" s="32">
        <v>0</v>
      </c>
      <c r="J2078" s="32">
        <v>0</v>
      </c>
      <c r="K2078" s="32">
        <v>1036000</v>
      </c>
      <c r="L2078" s="32">
        <v>83177920</v>
      </c>
      <c r="M2078" s="32">
        <v>420284242</v>
      </c>
      <c r="N2078" s="32">
        <v>0</v>
      </c>
      <c r="O2078" s="32">
        <v>0</v>
      </c>
      <c r="P2078" s="32">
        <v>1554</v>
      </c>
      <c r="Q2078" s="32">
        <v>831779</v>
      </c>
      <c r="R2078" s="32">
        <v>5463695</v>
      </c>
      <c r="S2078" s="32">
        <v>0</v>
      </c>
      <c r="T2078" s="32">
        <v>0</v>
      </c>
    </row>
    <row r="2079" spans="1:20" x14ac:dyDescent="0.25">
      <c r="A2079" t="s">
        <v>126</v>
      </c>
      <c r="B2079" t="s">
        <v>221</v>
      </c>
      <c r="C2079">
        <v>202602</v>
      </c>
      <c r="D2079" t="str">
        <f>MID(C2079,1,4)</f>
        <v>2026</v>
      </c>
      <c r="E2079" t="str">
        <f>IF(Portfolio!$M$1=1,CONCATENATE(A2079,C2079),CONCATENATE(B2079,C2079))</f>
        <v>STEVEN GROUP202602</v>
      </c>
      <c r="F2079" s="32">
        <v>0</v>
      </c>
      <c r="G2079" s="32">
        <v>0</v>
      </c>
      <c r="H2079" s="32">
        <v>0</v>
      </c>
      <c r="I2079" s="32">
        <v>4</v>
      </c>
      <c r="J2079" s="32">
        <v>315</v>
      </c>
      <c r="K2079" s="32">
        <v>0</v>
      </c>
      <c r="L2079" s="32">
        <v>0</v>
      </c>
      <c r="M2079" s="32">
        <v>0</v>
      </c>
      <c r="N2079" s="32">
        <v>145000</v>
      </c>
      <c r="O2079" s="32">
        <v>9921000</v>
      </c>
      <c r="P2079" s="32">
        <v>0</v>
      </c>
      <c r="Q2079" s="32">
        <v>0</v>
      </c>
      <c r="R2079" s="32">
        <v>0</v>
      </c>
      <c r="S2079" s="32">
        <v>0</v>
      </c>
      <c r="T2079" s="32">
        <v>1692</v>
      </c>
    </row>
    <row r="2080" spans="1:20" x14ac:dyDescent="0.25">
      <c r="A2080" t="s">
        <v>78</v>
      </c>
      <c r="B2080" t="s">
        <v>100</v>
      </c>
      <c r="C2080">
        <v>202602</v>
      </c>
      <c r="D2080" t="str">
        <f>MID(C2080,1,4)</f>
        <v>2026</v>
      </c>
      <c r="E2080" t="str">
        <f>IF(Portfolio!$M$1=1,CONCATENATE(A2080,C2080),CONCATENATE(B2080,C2080))</f>
        <v>DELTA WIBAWA BERSAMA202602</v>
      </c>
      <c r="F2080" s="32">
        <v>0</v>
      </c>
      <c r="G2080" s="32">
        <v>2</v>
      </c>
      <c r="H2080" s="32">
        <v>4</v>
      </c>
      <c r="I2080" s="32">
        <v>1</v>
      </c>
      <c r="J2080" s="32">
        <v>0</v>
      </c>
      <c r="K2080" s="32">
        <v>0</v>
      </c>
      <c r="L2080" s="32">
        <v>392700</v>
      </c>
      <c r="M2080" s="32">
        <v>482790</v>
      </c>
      <c r="N2080" s="32">
        <v>213675</v>
      </c>
      <c r="O2080" s="32">
        <v>0</v>
      </c>
      <c r="P2080" s="32">
        <v>0</v>
      </c>
      <c r="Q2080" s="32">
        <v>3927</v>
      </c>
      <c r="R2080" s="32">
        <v>9656</v>
      </c>
      <c r="S2080" s="32">
        <v>1496</v>
      </c>
      <c r="T2080" s="32">
        <v>0</v>
      </c>
    </row>
    <row r="2081" spans="1:20" x14ac:dyDescent="0.25">
      <c r="A2081" t="s">
        <v>102</v>
      </c>
      <c r="B2081" t="s">
        <v>131</v>
      </c>
      <c r="C2081">
        <v>202602</v>
      </c>
      <c r="D2081" t="str">
        <f>MID(C2081,1,4)</f>
        <v>2026</v>
      </c>
      <c r="E2081" t="str">
        <f>IF(Portfolio!$M$1=1,CONCATENATE(A2081,C2081),CONCATENATE(B2081,C2081))</f>
        <v>KAWAN LAMA202602</v>
      </c>
      <c r="F2081" s="32">
        <v>104</v>
      </c>
      <c r="G2081" s="32">
        <v>12</v>
      </c>
      <c r="H2081" s="32">
        <v>4</v>
      </c>
      <c r="I2081" s="32">
        <v>8</v>
      </c>
      <c r="J2081" s="32">
        <v>777</v>
      </c>
      <c r="K2081" s="32">
        <v>6328000</v>
      </c>
      <c r="L2081" s="32">
        <v>886800</v>
      </c>
      <c r="M2081" s="32">
        <v>655400</v>
      </c>
      <c r="N2081" s="32">
        <v>736000</v>
      </c>
      <c r="O2081" s="32">
        <v>28676855</v>
      </c>
      <c r="P2081" s="32">
        <v>9492</v>
      </c>
      <c r="Q2081" s="32">
        <v>8868</v>
      </c>
      <c r="R2081" s="32">
        <v>10814</v>
      </c>
      <c r="S2081" s="32">
        <v>0</v>
      </c>
      <c r="T2081" s="32">
        <v>10899</v>
      </c>
    </row>
    <row r="2082" spans="1:20" x14ac:dyDescent="0.25">
      <c r="A2082" t="s">
        <v>107</v>
      </c>
      <c r="B2082" t="s">
        <v>150</v>
      </c>
      <c r="C2082">
        <v>202602</v>
      </c>
      <c r="D2082" t="str">
        <f>MID(C2082,1,4)</f>
        <v>2026</v>
      </c>
      <c r="E2082" t="str">
        <f>IF(Portfolio!$M$1=1,CONCATENATE(A2082,C2082),CONCATENATE(B2082,C2082))</f>
        <v>MAP GROUP202602</v>
      </c>
      <c r="F2082" s="32">
        <v>8</v>
      </c>
      <c r="G2082" s="32">
        <v>12</v>
      </c>
      <c r="H2082" s="32">
        <v>38</v>
      </c>
      <c r="I2082" s="32">
        <v>0</v>
      </c>
      <c r="J2082" s="32">
        <v>0</v>
      </c>
      <c r="K2082" s="32">
        <v>13770344</v>
      </c>
      <c r="L2082" s="32">
        <v>21698200</v>
      </c>
      <c r="M2082" s="32">
        <v>59611480</v>
      </c>
      <c r="N2082" s="32">
        <v>0</v>
      </c>
      <c r="O2082" s="32">
        <v>0</v>
      </c>
      <c r="P2082" s="32">
        <v>20655</v>
      </c>
      <c r="Q2082" s="32">
        <v>216982</v>
      </c>
      <c r="R2082" s="32">
        <v>774949</v>
      </c>
      <c r="S2082" s="32">
        <v>0</v>
      </c>
      <c r="T2082" s="32">
        <v>0</v>
      </c>
    </row>
    <row r="2083" spans="1:20" x14ac:dyDescent="0.25">
      <c r="A2083" t="s">
        <v>92</v>
      </c>
      <c r="B2083" t="s">
        <v>108</v>
      </c>
      <c r="C2083">
        <v>202602</v>
      </c>
      <c r="D2083" t="str">
        <f>MID(C2083,1,4)</f>
        <v>2026</v>
      </c>
      <c r="E2083" t="str">
        <f>IF(Portfolio!$M$1=1,CONCATENATE(A2083,C2083),CONCATENATE(B2083,C2083))</f>
        <v>HERO GROUP202602</v>
      </c>
      <c r="F2083" s="32">
        <v>1078</v>
      </c>
      <c r="G2083" s="32">
        <v>0</v>
      </c>
      <c r="H2083" s="32">
        <v>2</v>
      </c>
      <c r="I2083" s="32">
        <v>224</v>
      </c>
      <c r="J2083" s="32">
        <v>116</v>
      </c>
      <c r="K2083" s="32">
        <v>457264400</v>
      </c>
      <c r="L2083" s="32">
        <v>0</v>
      </c>
      <c r="M2083" s="32">
        <v>925344</v>
      </c>
      <c r="N2083" s="32">
        <v>83985708</v>
      </c>
      <c r="O2083" s="32">
        <v>8547500</v>
      </c>
      <c r="P2083" s="32">
        <v>685895</v>
      </c>
      <c r="Q2083" s="32">
        <v>0</v>
      </c>
      <c r="R2083" s="32">
        <v>18507</v>
      </c>
      <c r="S2083" s="32">
        <v>144165</v>
      </c>
      <c r="T2083" s="32">
        <v>5217</v>
      </c>
    </row>
    <row r="2084" spans="1:20" x14ac:dyDescent="0.25">
      <c r="A2084" t="s">
        <v>115</v>
      </c>
      <c r="B2084" t="s">
        <v>115</v>
      </c>
      <c r="C2084">
        <v>202602</v>
      </c>
      <c r="D2084" t="str">
        <f>MID(C2084,1,4)</f>
        <v>2026</v>
      </c>
      <c r="E2084" t="str">
        <f>IF(Portfolio!$M$1=1,CONCATENATE(A2084,C2084),CONCATENATE(B2084,C2084))</f>
        <v>PLATINUM CINEPLEX202602</v>
      </c>
      <c r="F2084" s="32">
        <v>0</v>
      </c>
      <c r="G2084" s="32">
        <v>2</v>
      </c>
      <c r="H2084" s="32">
        <v>0</v>
      </c>
      <c r="I2084" s="32">
        <v>0</v>
      </c>
      <c r="J2084" s="32">
        <v>28</v>
      </c>
      <c r="K2084" s="32">
        <v>0</v>
      </c>
      <c r="L2084" s="32">
        <v>684000</v>
      </c>
      <c r="M2084" s="32">
        <v>0</v>
      </c>
      <c r="N2084" s="32">
        <v>0</v>
      </c>
      <c r="O2084" s="32">
        <v>2255030</v>
      </c>
      <c r="P2084" s="32">
        <v>0</v>
      </c>
      <c r="Q2084" s="32">
        <v>6840</v>
      </c>
      <c r="R2084" s="32">
        <v>0</v>
      </c>
      <c r="S2084" s="32">
        <v>0</v>
      </c>
      <c r="T2084" s="32">
        <v>15785</v>
      </c>
    </row>
    <row r="2085" spans="1:20" x14ac:dyDescent="0.25">
      <c r="A2085" t="s">
        <v>107</v>
      </c>
      <c r="B2085" t="s">
        <v>179</v>
      </c>
      <c r="C2085">
        <v>202602</v>
      </c>
      <c r="D2085" t="str">
        <f>MID(C2085,1,4)</f>
        <v>2026</v>
      </c>
      <c r="E2085" t="str">
        <f>IF(Portfolio!$M$1=1,CONCATENATE(A2085,C2085),CONCATENATE(B2085,C2085))</f>
        <v>MAP GROUP202602</v>
      </c>
      <c r="F2085" s="32">
        <v>8</v>
      </c>
      <c r="G2085" s="32">
        <v>20</v>
      </c>
      <c r="H2085" s="32">
        <v>86</v>
      </c>
      <c r="I2085" s="32">
        <v>0</v>
      </c>
      <c r="J2085" s="32">
        <v>0</v>
      </c>
      <c r="K2085" s="32">
        <v>6172600</v>
      </c>
      <c r="L2085" s="32">
        <v>21807016</v>
      </c>
      <c r="M2085" s="32">
        <v>82889586</v>
      </c>
      <c r="N2085" s="32">
        <v>0</v>
      </c>
      <c r="O2085" s="32">
        <v>0</v>
      </c>
      <c r="P2085" s="32">
        <v>9259</v>
      </c>
      <c r="Q2085" s="32">
        <v>218070</v>
      </c>
      <c r="R2085" s="32">
        <v>1077565</v>
      </c>
      <c r="S2085" s="32">
        <v>0</v>
      </c>
      <c r="T2085" s="32">
        <v>0</v>
      </c>
    </row>
    <row r="2086" spans="1:20" x14ac:dyDescent="0.25">
      <c r="A2086" t="s">
        <v>102</v>
      </c>
      <c r="B2086" t="s">
        <v>121</v>
      </c>
      <c r="C2086">
        <v>202602</v>
      </c>
      <c r="D2086" t="str">
        <f>MID(C2086,1,4)</f>
        <v>2026</v>
      </c>
      <c r="E2086" t="str">
        <f>IF(Portfolio!$M$1=1,CONCATENATE(A2086,C2086),CONCATENATE(B2086,C2086))</f>
        <v>KAWAN LAMA202602</v>
      </c>
      <c r="F2086" s="32">
        <v>16</v>
      </c>
      <c r="G2086" s="32">
        <v>0</v>
      </c>
      <c r="H2086" s="32">
        <v>0</v>
      </c>
      <c r="I2086" s="32">
        <v>2</v>
      </c>
      <c r="J2086" s="32">
        <v>0</v>
      </c>
      <c r="K2086" s="32">
        <v>2242400</v>
      </c>
      <c r="L2086" s="32">
        <v>0</v>
      </c>
      <c r="M2086" s="32">
        <v>0</v>
      </c>
      <c r="N2086" s="32">
        <v>206492</v>
      </c>
      <c r="O2086" s="32">
        <v>0</v>
      </c>
      <c r="P2086" s="32">
        <v>3364</v>
      </c>
      <c r="Q2086" s="32">
        <v>0</v>
      </c>
      <c r="R2086" s="32">
        <v>0</v>
      </c>
      <c r="S2086" s="32">
        <v>1445</v>
      </c>
      <c r="T2086" s="32">
        <v>0</v>
      </c>
    </row>
    <row r="2087" spans="1:20" x14ac:dyDescent="0.25">
      <c r="A2087" t="s">
        <v>107</v>
      </c>
      <c r="B2087" t="s">
        <v>153</v>
      </c>
      <c r="C2087">
        <v>202602</v>
      </c>
      <c r="D2087" t="str">
        <f>MID(C2087,1,4)</f>
        <v>2026</v>
      </c>
      <c r="E2087" t="str">
        <f>IF(Portfolio!$M$1=1,CONCATENATE(A2087,C2087),CONCATENATE(B2087,C2087))</f>
        <v>MAP GROUP202602</v>
      </c>
      <c r="F2087" s="32">
        <v>8</v>
      </c>
      <c r="G2087" s="32">
        <v>32</v>
      </c>
      <c r="H2087" s="32">
        <v>48</v>
      </c>
      <c r="I2087" s="32">
        <v>0</v>
      </c>
      <c r="J2087" s="32">
        <v>0</v>
      </c>
      <c r="K2087" s="32">
        <v>10392000</v>
      </c>
      <c r="L2087" s="32">
        <v>33804600</v>
      </c>
      <c r="M2087" s="32">
        <v>60342626</v>
      </c>
      <c r="N2087" s="32">
        <v>0</v>
      </c>
      <c r="O2087" s="32">
        <v>0</v>
      </c>
      <c r="P2087" s="32">
        <v>15588</v>
      </c>
      <c r="Q2087" s="32">
        <v>338046</v>
      </c>
      <c r="R2087" s="32">
        <v>784454</v>
      </c>
      <c r="S2087" s="32">
        <v>0</v>
      </c>
      <c r="T2087" s="32">
        <v>0</v>
      </c>
    </row>
    <row r="2088" spans="1:20" x14ac:dyDescent="0.25">
      <c r="A2088" t="s">
        <v>75</v>
      </c>
      <c r="B2088" t="s">
        <v>83</v>
      </c>
      <c r="C2088">
        <v>202602</v>
      </c>
      <c r="D2088" t="str">
        <f>MID(C2088,1,4)</f>
        <v>2026</v>
      </c>
      <c r="E2088" t="str">
        <f>IF(Portfolio!$M$1=1,CONCATENATE(A2088,C2088),CONCATENATE(B2088,C2088))</f>
        <v>CHAMP RESTO202602</v>
      </c>
      <c r="F2088" s="32">
        <v>0</v>
      </c>
      <c r="G2088" s="32">
        <v>0</v>
      </c>
      <c r="H2088" s="32">
        <v>0</v>
      </c>
      <c r="I2088" s="32">
        <v>1</v>
      </c>
      <c r="J2088" s="32">
        <v>310</v>
      </c>
      <c r="K2088" s="32">
        <v>0</v>
      </c>
      <c r="L2088" s="32">
        <v>0</v>
      </c>
      <c r="M2088" s="32">
        <v>0</v>
      </c>
      <c r="N2088" s="32">
        <v>15000</v>
      </c>
      <c r="O2088" s="32">
        <v>17737761</v>
      </c>
      <c r="P2088" s="32">
        <v>0</v>
      </c>
      <c r="Q2088" s="32">
        <v>0</v>
      </c>
      <c r="R2088" s="32">
        <v>0</v>
      </c>
      <c r="S2088" s="32">
        <v>0</v>
      </c>
      <c r="T2088" s="32">
        <v>15353</v>
      </c>
    </row>
    <row r="2089" spans="1:20" x14ac:dyDescent="0.25">
      <c r="A2089" t="s">
        <v>107</v>
      </c>
      <c r="B2089" t="s">
        <v>158</v>
      </c>
      <c r="C2089">
        <v>202602</v>
      </c>
      <c r="D2089" t="str">
        <f>MID(C2089,1,4)</f>
        <v>2026</v>
      </c>
      <c r="E2089" t="str">
        <f>IF(Portfolio!$M$1=1,CONCATENATE(A2089,C2089),CONCATENATE(B2089,C2089))</f>
        <v>MAP GROUP202602</v>
      </c>
      <c r="F2089" s="32">
        <v>0</v>
      </c>
      <c r="G2089" s="32">
        <v>10</v>
      </c>
      <c r="H2089" s="32">
        <v>10</v>
      </c>
      <c r="I2089" s="32">
        <v>0</v>
      </c>
      <c r="J2089" s="32">
        <v>0</v>
      </c>
      <c r="K2089" s="32">
        <v>0</v>
      </c>
      <c r="L2089" s="32">
        <v>1858630</v>
      </c>
      <c r="M2089" s="32">
        <v>7972600</v>
      </c>
      <c r="N2089" s="32">
        <v>0</v>
      </c>
      <c r="O2089" s="32">
        <v>0</v>
      </c>
      <c r="P2089" s="32">
        <v>0</v>
      </c>
      <c r="Q2089" s="32">
        <v>18586</v>
      </c>
      <c r="R2089" s="32">
        <v>103644</v>
      </c>
      <c r="S2089" s="32">
        <v>0</v>
      </c>
      <c r="T2089" s="32">
        <v>0</v>
      </c>
    </row>
    <row r="2090" spans="1:20" x14ac:dyDescent="0.25">
      <c r="A2090" t="s">
        <v>107</v>
      </c>
      <c r="B2090" t="s">
        <v>196</v>
      </c>
      <c r="C2090">
        <v>202602</v>
      </c>
      <c r="D2090" t="str">
        <f>MID(C2090,1,4)</f>
        <v>2026</v>
      </c>
      <c r="E2090" t="str">
        <f>IF(Portfolio!$M$1=1,CONCATENATE(A2090,C2090),CONCATENATE(B2090,C2090))</f>
        <v>MAP GROUP202602</v>
      </c>
      <c r="F2090" s="32">
        <v>8</v>
      </c>
      <c r="G2090" s="32">
        <v>0</v>
      </c>
      <c r="H2090" s="32">
        <v>0</v>
      </c>
      <c r="I2090" s="32">
        <v>0</v>
      </c>
      <c r="J2090" s="32">
        <v>0</v>
      </c>
      <c r="K2090" s="32">
        <v>1677600</v>
      </c>
      <c r="L2090" s="32">
        <v>0</v>
      </c>
      <c r="M2090" s="32">
        <v>0</v>
      </c>
      <c r="N2090" s="32">
        <v>0</v>
      </c>
      <c r="O2090" s="32">
        <v>0</v>
      </c>
      <c r="P2090" s="32">
        <v>2516</v>
      </c>
      <c r="Q2090" s="32">
        <v>0</v>
      </c>
      <c r="R2090" s="32">
        <v>0</v>
      </c>
      <c r="S2090" s="32">
        <v>0</v>
      </c>
      <c r="T2090" s="32">
        <v>0</v>
      </c>
    </row>
    <row r="2091" spans="1:20" x14ac:dyDescent="0.25">
      <c r="A2091" t="s">
        <v>75</v>
      </c>
      <c r="B2091" t="s">
        <v>93</v>
      </c>
      <c r="C2091">
        <v>202602</v>
      </c>
      <c r="D2091" t="str">
        <f>MID(C2091,1,4)</f>
        <v>2026</v>
      </c>
      <c r="E2091" t="str">
        <f>IF(Portfolio!$M$1=1,CONCATENATE(A2091,C2091),CONCATENATE(B2091,C2091))</f>
        <v>CHAMP RESTO202602</v>
      </c>
      <c r="F2091" s="32">
        <v>8</v>
      </c>
      <c r="G2091" s="32">
        <v>0</v>
      </c>
      <c r="H2091" s="32">
        <v>0</v>
      </c>
      <c r="I2091" s="32">
        <v>0</v>
      </c>
      <c r="J2091" s="32">
        <v>138</v>
      </c>
      <c r="K2091" s="32">
        <v>3032000</v>
      </c>
      <c r="L2091" s="32">
        <v>0</v>
      </c>
      <c r="M2091" s="32">
        <v>0</v>
      </c>
      <c r="N2091" s="32">
        <v>0</v>
      </c>
      <c r="O2091" s="32">
        <v>31190000</v>
      </c>
      <c r="P2091" s="32">
        <v>4548</v>
      </c>
      <c r="Q2091" s="32">
        <v>0</v>
      </c>
      <c r="R2091" s="32">
        <v>0</v>
      </c>
      <c r="S2091" s="32">
        <v>0</v>
      </c>
      <c r="T2091" s="32">
        <v>23715</v>
      </c>
    </row>
    <row r="2092" spans="1:20" x14ac:dyDescent="0.25">
      <c r="A2092" t="s">
        <v>114</v>
      </c>
      <c r="B2092" t="s">
        <v>217</v>
      </c>
      <c r="C2092">
        <v>202602</v>
      </c>
      <c r="D2092" t="str">
        <f>MID(C2092,1,4)</f>
        <v>2026</v>
      </c>
      <c r="E2092" t="str">
        <f>IF(Portfolio!$M$1=1,CONCATENATE(A2092,C2092),CONCATENATE(B2092,C2092))</f>
        <v>PIZZA HUT202602</v>
      </c>
      <c r="F2092" s="32">
        <v>48</v>
      </c>
      <c r="G2092" s="32">
        <v>0</v>
      </c>
      <c r="H2092" s="32">
        <v>0</v>
      </c>
      <c r="I2092" s="32">
        <v>0</v>
      </c>
      <c r="J2092" s="32">
        <v>259</v>
      </c>
      <c r="K2092" s="32">
        <v>8328008</v>
      </c>
      <c r="L2092" s="32">
        <v>0</v>
      </c>
      <c r="M2092" s="32">
        <v>0</v>
      </c>
      <c r="N2092" s="32">
        <v>0</v>
      </c>
      <c r="O2092" s="32">
        <v>2743000</v>
      </c>
      <c r="P2092" s="32">
        <v>12492</v>
      </c>
      <c r="Q2092" s="32">
        <v>0</v>
      </c>
      <c r="R2092" s="32">
        <v>0</v>
      </c>
      <c r="S2092" s="32">
        <v>0</v>
      </c>
      <c r="T2092" s="32">
        <v>0</v>
      </c>
    </row>
    <row r="2093" spans="1:20" x14ac:dyDescent="0.25">
      <c r="A2093" t="s">
        <v>75</v>
      </c>
      <c r="B2093" t="s">
        <v>95</v>
      </c>
      <c r="C2093">
        <v>202602</v>
      </c>
      <c r="D2093" t="str">
        <f>MID(C2093,1,4)</f>
        <v>2026</v>
      </c>
      <c r="E2093" t="str">
        <f>IF(Portfolio!$M$1=1,CONCATENATE(A2093,C2093),CONCATENATE(B2093,C2093))</f>
        <v>CHAMP RESTO202602</v>
      </c>
      <c r="F2093" s="32">
        <v>16</v>
      </c>
      <c r="G2093" s="32">
        <v>0</v>
      </c>
      <c r="H2093" s="32">
        <v>0</v>
      </c>
      <c r="I2093" s="32">
        <v>0</v>
      </c>
      <c r="J2093" s="32">
        <v>6</v>
      </c>
      <c r="K2093" s="32">
        <v>4431976</v>
      </c>
      <c r="L2093" s="32">
        <v>0</v>
      </c>
      <c r="M2093" s="32">
        <v>0</v>
      </c>
      <c r="N2093" s="32">
        <v>0</v>
      </c>
      <c r="O2093" s="32">
        <v>1279614</v>
      </c>
      <c r="P2093" s="32">
        <v>6648</v>
      </c>
      <c r="Q2093" s="32">
        <v>0</v>
      </c>
      <c r="R2093" s="32">
        <v>0</v>
      </c>
      <c r="S2093" s="32">
        <v>0</v>
      </c>
      <c r="T2093" s="32">
        <v>8957</v>
      </c>
    </row>
    <row r="2094" spans="1:20" x14ac:dyDescent="0.25">
      <c r="A2094" t="s">
        <v>107</v>
      </c>
      <c r="B2094" t="s">
        <v>187</v>
      </c>
      <c r="C2094">
        <v>202602</v>
      </c>
      <c r="D2094" t="str">
        <f>MID(C2094,1,4)</f>
        <v>2026</v>
      </c>
      <c r="E2094" t="str">
        <f>IF(Portfolio!$M$1=1,CONCATENATE(A2094,C2094),CONCATENATE(B2094,C2094))</f>
        <v>MAP GROUP202602</v>
      </c>
      <c r="F2094" s="32">
        <v>0</v>
      </c>
      <c r="G2094" s="32">
        <v>32</v>
      </c>
      <c r="H2094" s="32">
        <v>28</v>
      </c>
      <c r="I2094" s="32">
        <v>0</v>
      </c>
      <c r="J2094" s="32">
        <v>0</v>
      </c>
      <c r="K2094" s="32">
        <v>0</v>
      </c>
      <c r="L2094" s="32">
        <v>71354264</v>
      </c>
      <c r="M2094" s="32">
        <v>48088524</v>
      </c>
      <c r="N2094" s="32">
        <v>0</v>
      </c>
      <c r="O2094" s="32">
        <v>0</v>
      </c>
      <c r="P2094" s="32">
        <v>0</v>
      </c>
      <c r="Q2094" s="32">
        <v>713543</v>
      </c>
      <c r="R2094" s="32">
        <v>625151</v>
      </c>
      <c r="S2094" s="32">
        <v>0</v>
      </c>
      <c r="T2094" s="32">
        <v>0</v>
      </c>
    </row>
    <row r="2095" spans="1:20" x14ac:dyDescent="0.25">
      <c r="A2095" t="s">
        <v>281</v>
      </c>
      <c r="B2095" t="s">
        <v>281</v>
      </c>
      <c r="C2095">
        <v>202602</v>
      </c>
      <c r="D2095" t="str">
        <f>MID(C2095,1,4)</f>
        <v>2026</v>
      </c>
      <c r="E2095" t="str">
        <f>IF(Portfolio!$M$1=1,CONCATENATE(A2095,C2095),CONCATENATE(B2095,C2095))</f>
        <v>YOUTAP202602</v>
      </c>
      <c r="F2095" s="32">
        <v>0</v>
      </c>
      <c r="G2095" s="32">
        <v>0</v>
      </c>
      <c r="H2095" s="32">
        <v>0</v>
      </c>
      <c r="I2095" s="32">
        <v>2</v>
      </c>
      <c r="J2095" s="32">
        <v>32</v>
      </c>
      <c r="K2095" s="32">
        <v>0</v>
      </c>
      <c r="L2095" s="32">
        <v>0</v>
      </c>
      <c r="M2095" s="32">
        <v>0</v>
      </c>
      <c r="N2095" s="32">
        <v>81000</v>
      </c>
      <c r="O2095" s="32">
        <v>2489305</v>
      </c>
      <c r="P2095" s="32">
        <v>0</v>
      </c>
      <c r="Q2095" s="32">
        <v>0</v>
      </c>
      <c r="R2095" s="32">
        <v>0</v>
      </c>
      <c r="S2095" s="32">
        <v>175</v>
      </c>
      <c r="T2095" s="32">
        <v>2</v>
      </c>
    </row>
    <row r="2096" spans="1:20" x14ac:dyDescent="0.25">
      <c r="A2096" t="s">
        <v>107</v>
      </c>
      <c r="B2096" t="s">
        <v>166</v>
      </c>
      <c r="C2096">
        <v>202602</v>
      </c>
      <c r="D2096" t="str">
        <f>MID(C2096,1,4)</f>
        <v>2026</v>
      </c>
      <c r="E2096" t="str">
        <f>IF(Portfolio!$M$1=1,CONCATENATE(A2096,C2096),CONCATENATE(B2096,C2096))</f>
        <v>MAP GROUP202602</v>
      </c>
      <c r="F2096" s="32">
        <v>28</v>
      </c>
      <c r="G2096" s="32">
        <v>62</v>
      </c>
      <c r="H2096" s="32">
        <v>110</v>
      </c>
      <c r="I2096" s="32">
        <v>0</v>
      </c>
      <c r="J2096" s="32">
        <v>0</v>
      </c>
      <c r="K2096" s="32">
        <v>87349200</v>
      </c>
      <c r="L2096" s="32">
        <v>169846062</v>
      </c>
      <c r="M2096" s="32">
        <v>297232654</v>
      </c>
      <c r="N2096" s="32">
        <v>0</v>
      </c>
      <c r="O2096" s="32">
        <v>0</v>
      </c>
      <c r="P2096" s="32">
        <v>131024</v>
      </c>
      <c r="Q2096" s="32">
        <v>1698461</v>
      </c>
      <c r="R2096" s="32">
        <v>3864025</v>
      </c>
      <c r="S2096" s="32">
        <v>0</v>
      </c>
      <c r="T2096" s="32">
        <v>0</v>
      </c>
    </row>
    <row r="2097" spans="1:20" x14ac:dyDescent="0.25">
      <c r="A2097" t="s">
        <v>78</v>
      </c>
      <c r="B2097" t="s">
        <v>98</v>
      </c>
      <c r="C2097">
        <v>202602</v>
      </c>
      <c r="D2097" t="str">
        <f>MID(C2097,1,4)</f>
        <v>2026</v>
      </c>
      <c r="E2097" t="str">
        <f>IF(Portfolio!$M$1=1,CONCATENATE(A2097,C2097),CONCATENATE(B2097,C2097))</f>
        <v>DELTA WIBAWA BERSAMA202602</v>
      </c>
      <c r="F2097" s="32">
        <v>0</v>
      </c>
      <c r="G2097" s="32">
        <v>0</v>
      </c>
      <c r="H2097" s="32">
        <v>0</v>
      </c>
      <c r="I2097" s="32">
        <v>8</v>
      </c>
      <c r="J2097" s="32">
        <v>364</v>
      </c>
      <c r="K2097" s="32">
        <v>0</v>
      </c>
      <c r="L2097" s="32">
        <v>0</v>
      </c>
      <c r="M2097" s="32">
        <v>0</v>
      </c>
      <c r="N2097" s="32">
        <v>956918</v>
      </c>
      <c r="O2097" s="32">
        <v>79420927</v>
      </c>
      <c r="P2097" s="32">
        <v>0</v>
      </c>
      <c r="Q2097" s="32">
        <v>0</v>
      </c>
      <c r="R2097" s="32">
        <v>0</v>
      </c>
      <c r="S2097" s="32">
        <v>6698</v>
      </c>
      <c r="T2097" s="32">
        <v>555947</v>
      </c>
    </row>
    <row r="2098" spans="1:20" x14ac:dyDescent="0.25">
      <c r="A2098" t="s">
        <v>107</v>
      </c>
      <c r="B2098" t="s">
        <v>209</v>
      </c>
      <c r="C2098">
        <v>202602</v>
      </c>
      <c r="D2098" t="str">
        <f>MID(C2098,1,4)</f>
        <v>2026</v>
      </c>
      <c r="E2098" t="str">
        <f>IF(Portfolio!$M$1=1,CONCATENATE(A2098,C2098),CONCATENATE(B2098,C2098))</f>
        <v>MAP GROUP202602</v>
      </c>
      <c r="F2098" s="32">
        <v>0</v>
      </c>
      <c r="G2098" s="32">
        <v>8</v>
      </c>
      <c r="H2098" s="32">
        <v>30</v>
      </c>
      <c r="I2098" s="32">
        <v>0</v>
      </c>
      <c r="J2098" s="32">
        <v>0</v>
      </c>
      <c r="K2098" s="32">
        <v>0</v>
      </c>
      <c r="L2098" s="32">
        <v>11576800</v>
      </c>
      <c r="M2098" s="32">
        <v>43474620</v>
      </c>
      <c r="N2098" s="32">
        <v>0</v>
      </c>
      <c r="O2098" s="32">
        <v>0</v>
      </c>
      <c r="P2098" s="32">
        <v>0</v>
      </c>
      <c r="Q2098" s="32">
        <v>115768</v>
      </c>
      <c r="R2098" s="32">
        <v>565170</v>
      </c>
      <c r="S2098" s="32">
        <v>0</v>
      </c>
      <c r="T2098" s="32">
        <v>0</v>
      </c>
    </row>
    <row r="2099" spans="1:20" x14ac:dyDescent="0.25">
      <c r="A2099" t="s">
        <v>107</v>
      </c>
      <c r="B2099" t="s">
        <v>202</v>
      </c>
      <c r="C2099">
        <v>202602</v>
      </c>
      <c r="D2099" t="str">
        <f>MID(C2099,1,4)</f>
        <v>2026</v>
      </c>
      <c r="E2099" t="str">
        <f>IF(Portfolio!$M$1=1,CONCATENATE(A2099,C2099),CONCATENATE(B2099,C2099))</f>
        <v>MAP GROUP202602</v>
      </c>
      <c r="F2099" s="32">
        <v>0</v>
      </c>
      <c r="G2099" s="32">
        <v>10</v>
      </c>
      <c r="H2099" s="32">
        <v>32</v>
      </c>
      <c r="I2099" s="32">
        <v>0</v>
      </c>
      <c r="J2099" s="32">
        <v>0</v>
      </c>
      <c r="K2099" s="32">
        <v>0</v>
      </c>
      <c r="L2099" s="32">
        <v>17209800</v>
      </c>
      <c r="M2099" s="32">
        <v>24162680</v>
      </c>
      <c r="N2099" s="32">
        <v>0</v>
      </c>
      <c r="O2099" s="32">
        <v>0</v>
      </c>
      <c r="P2099" s="32">
        <v>0</v>
      </c>
      <c r="Q2099" s="32">
        <v>172098</v>
      </c>
      <c r="R2099" s="32">
        <v>314115</v>
      </c>
      <c r="S2099" s="32">
        <v>0</v>
      </c>
      <c r="T2099" s="32">
        <v>0</v>
      </c>
    </row>
    <row r="2100" spans="1:20" x14ac:dyDescent="0.25">
      <c r="A2100" t="s">
        <v>107</v>
      </c>
      <c r="B2100" t="s">
        <v>175</v>
      </c>
      <c r="C2100">
        <v>202602</v>
      </c>
      <c r="D2100" t="str">
        <f>MID(C2100,1,4)</f>
        <v>2026</v>
      </c>
      <c r="E2100" t="str">
        <f>IF(Portfolio!$M$1=1,CONCATENATE(A2100,C2100),CONCATENATE(B2100,C2100))</f>
        <v>MAP GROUP202602</v>
      </c>
      <c r="F2100" s="32">
        <v>0</v>
      </c>
      <c r="G2100" s="32">
        <v>2</v>
      </c>
      <c r="H2100" s="32">
        <v>0</v>
      </c>
      <c r="I2100" s="32">
        <v>0</v>
      </c>
      <c r="J2100" s="32">
        <v>0</v>
      </c>
      <c r="K2100" s="32">
        <v>0</v>
      </c>
      <c r="L2100" s="32">
        <v>1000000</v>
      </c>
      <c r="M2100" s="32">
        <v>0</v>
      </c>
      <c r="N2100" s="32">
        <v>0</v>
      </c>
      <c r="O2100" s="32">
        <v>0</v>
      </c>
      <c r="P2100" s="32">
        <v>0</v>
      </c>
      <c r="Q2100" s="32">
        <v>10000</v>
      </c>
      <c r="R2100" s="32">
        <v>0</v>
      </c>
      <c r="S2100" s="32">
        <v>0</v>
      </c>
      <c r="T2100" s="32">
        <v>0</v>
      </c>
    </row>
    <row r="2101" spans="1:20" x14ac:dyDescent="0.25">
      <c r="A2101" t="s">
        <v>75</v>
      </c>
      <c r="B2101" t="s">
        <v>81</v>
      </c>
      <c r="C2101">
        <v>202602</v>
      </c>
      <c r="D2101" t="str">
        <f>MID(C2101,1,4)</f>
        <v>2026</v>
      </c>
      <c r="E2101" t="str">
        <f>IF(Portfolio!$M$1=1,CONCATENATE(A2101,C2101),CONCATENATE(B2101,C2101))</f>
        <v>CHAMP RESTO202602</v>
      </c>
      <c r="F2101" s="32">
        <v>8</v>
      </c>
      <c r="G2101" s="32">
        <v>0</v>
      </c>
      <c r="H2101" s="32">
        <v>0</v>
      </c>
      <c r="I2101" s="32">
        <v>0</v>
      </c>
      <c r="J2101" s="32">
        <v>4</v>
      </c>
      <c r="K2101" s="32">
        <v>1262800</v>
      </c>
      <c r="L2101" s="32">
        <v>0</v>
      </c>
      <c r="M2101" s="32">
        <v>0</v>
      </c>
      <c r="N2101" s="32">
        <v>0</v>
      </c>
      <c r="O2101" s="32">
        <v>682000</v>
      </c>
      <c r="P2101" s="32">
        <v>1894</v>
      </c>
      <c r="Q2101" s="32">
        <v>0</v>
      </c>
      <c r="R2101" s="32">
        <v>0</v>
      </c>
      <c r="S2101" s="32">
        <v>0</v>
      </c>
      <c r="T2101" s="32">
        <v>4775</v>
      </c>
    </row>
    <row r="2102" spans="1:20" x14ac:dyDescent="0.25">
      <c r="A2102" t="s">
        <v>107</v>
      </c>
      <c r="B2102" t="s">
        <v>171</v>
      </c>
      <c r="C2102">
        <v>202602</v>
      </c>
      <c r="D2102" t="str">
        <f>MID(C2102,1,4)</f>
        <v>2026</v>
      </c>
      <c r="E2102" t="str">
        <f>IF(Portfolio!$M$1=1,CONCATENATE(A2102,C2102),CONCATENATE(B2102,C2102))</f>
        <v>MAP GROUP202602</v>
      </c>
      <c r="F2102" s="32">
        <v>8</v>
      </c>
      <c r="G2102" s="32">
        <v>12</v>
      </c>
      <c r="H2102" s="32">
        <v>10</v>
      </c>
      <c r="I2102" s="32">
        <v>0</v>
      </c>
      <c r="J2102" s="32">
        <v>0</v>
      </c>
      <c r="K2102" s="32">
        <v>5592000</v>
      </c>
      <c r="L2102" s="32">
        <v>2632000</v>
      </c>
      <c r="M2102" s="32">
        <v>4852000</v>
      </c>
      <c r="N2102" s="32">
        <v>0</v>
      </c>
      <c r="O2102" s="32">
        <v>0</v>
      </c>
      <c r="P2102" s="32">
        <v>8388</v>
      </c>
      <c r="Q2102" s="32">
        <v>26320</v>
      </c>
      <c r="R2102" s="32">
        <v>63076</v>
      </c>
      <c r="S2102" s="32">
        <v>0</v>
      </c>
      <c r="T2102" s="32">
        <v>0</v>
      </c>
    </row>
    <row r="2103" spans="1:20" x14ac:dyDescent="0.25">
      <c r="A2103" t="s">
        <v>126</v>
      </c>
      <c r="B2103" t="s">
        <v>224</v>
      </c>
      <c r="C2103">
        <v>202602</v>
      </c>
      <c r="D2103" t="str">
        <f>MID(C2103,1,4)</f>
        <v>2026</v>
      </c>
      <c r="E2103" t="str">
        <f>IF(Portfolio!$M$1=1,CONCATENATE(A2103,C2103),CONCATENATE(B2103,C2103))</f>
        <v>STEVEN GROUP202602</v>
      </c>
      <c r="F2103" s="32">
        <v>0</v>
      </c>
      <c r="G2103" s="32">
        <v>0</v>
      </c>
      <c r="H2103" s="32">
        <v>0</v>
      </c>
      <c r="I2103" s="32">
        <v>0</v>
      </c>
      <c r="J2103" s="32">
        <v>3</v>
      </c>
      <c r="K2103" s="32">
        <v>0</v>
      </c>
      <c r="L2103" s="32">
        <v>0</v>
      </c>
      <c r="M2103" s="32">
        <v>0</v>
      </c>
      <c r="N2103" s="32">
        <v>0</v>
      </c>
      <c r="O2103" s="32">
        <v>5518001</v>
      </c>
      <c r="P2103" s="32">
        <v>0</v>
      </c>
      <c r="Q2103" s="32">
        <v>0</v>
      </c>
      <c r="R2103" s="32">
        <v>0</v>
      </c>
      <c r="S2103" s="32">
        <v>0</v>
      </c>
      <c r="T2103" s="32">
        <v>38500</v>
      </c>
    </row>
    <row r="2104" spans="1:20" x14ac:dyDescent="0.25">
      <c r="A2104" t="s">
        <v>107</v>
      </c>
      <c r="B2104" t="s">
        <v>195</v>
      </c>
      <c r="C2104">
        <v>202602</v>
      </c>
      <c r="D2104" t="str">
        <f>MID(C2104,1,4)</f>
        <v>2026</v>
      </c>
      <c r="E2104" t="str">
        <f>IF(Portfolio!$M$1=1,CONCATENATE(A2104,C2104),CONCATENATE(B2104,C2104))</f>
        <v>MAP GROUP202602</v>
      </c>
      <c r="F2104" s="32">
        <v>8</v>
      </c>
      <c r="G2104" s="32">
        <v>24</v>
      </c>
      <c r="H2104" s="32">
        <v>46</v>
      </c>
      <c r="I2104" s="32">
        <v>0</v>
      </c>
      <c r="J2104" s="32">
        <v>0</v>
      </c>
      <c r="K2104" s="32">
        <v>7208000</v>
      </c>
      <c r="L2104" s="32">
        <v>12547400</v>
      </c>
      <c r="M2104" s="32">
        <v>32812520</v>
      </c>
      <c r="N2104" s="32">
        <v>0</v>
      </c>
      <c r="O2104" s="32">
        <v>0</v>
      </c>
      <c r="P2104" s="32">
        <v>10812</v>
      </c>
      <c r="Q2104" s="32">
        <v>125474</v>
      </c>
      <c r="R2104" s="32">
        <v>426563</v>
      </c>
      <c r="S2104" s="32">
        <v>0</v>
      </c>
      <c r="T2104" s="32">
        <v>0</v>
      </c>
    </row>
    <row r="2105" spans="1:20" x14ac:dyDescent="0.25">
      <c r="A2105" t="s">
        <v>126</v>
      </c>
      <c r="B2105" t="s">
        <v>228</v>
      </c>
      <c r="C2105">
        <v>202602</v>
      </c>
      <c r="D2105" t="str">
        <f>MID(C2105,1,4)</f>
        <v>2026</v>
      </c>
      <c r="E2105" t="str">
        <f>IF(Portfolio!$M$1=1,CONCATENATE(A2105,C2105),CONCATENATE(B2105,C2105))</f>
        <v>STEVEN GROUP202602</v>
      </c>
      <c r="F2105" s="32">
        <v>0</v>
      </c>
      <c r="G2105" s="32">
        <v>0</v>
      </c>
      <c r="H2105" s="32">
        <v>0</v>
      </c>
      <c r="I2105" s="32">
        <v>0</v>
      </c>
      <c r="J2105" s="32">
        <v>1436</v>
      </c>
      <c r="K2105" s="32">
        <v>0</v>
      </c>
      <c r="L2105" s="32">
        <v>0</v>
      </c>
      <c r="M2105" s="32">
        <v>0</v>
      </c>
      <c r="N2105" s="32">
        <v>0</v>
      </c>
      <c r="O2105" s="32">
        <v>97965736</v>
      </c>
      <c r="P2105" s="32">
        <v>0</v>
      </c>
      <c r="Q2105" s="32">
        <v>0</v>
      </c>
      <c r="R2105" s="32">
        <v>0</v>
      </c>
      <c r="S2105" s="32">
        <v>0</v>
      </c>
      <c r="T2105" s="32">
        <v>0</v>
      </c>
    </row>
    <row r="2106" spans="1:20" x14ac:dyDescent="0.25">
      <c r="A2106" t="s">
        <v>126</v>
      </c>
      <c r="B2106" t="s">
        <v>132</v>
      </c>
      <c r="C2106">
        <v>202602</v>
      </c>
      <c r="D2106" t="str">
        <f>MID(C2106,1,4)</f>
        <v>2026</v>
      </c>
      <c r="E2106" t="str">
        <f>IF(Portfolio!$M$1=1,CONCATENATE(A2106,C2106),CONCATENATE(B2106,C2106))</f>
        <v>STEVEN GROUP202602</v>
      </c>
      <c r="F2106" s="32">
        <v>0</v>
      </c>
      <c r="G2106" s="32">
        <v>0</v>
      </c>
      <c r="H2106" s="32">
        <v>0</v>
      </c>
      <c r="I2106" s="32">
        <v>0</v>
      </c>
      <c r="J2106" s="32">
        <v>2</v>
      </c>
      <c r="K2106" s="32">
        <v>0</v>
      </c>
      <c r="L2106" s="32">
        <v>0</v>
      </c>
      <c r="M2106" s="32">
        <v>0</v>
      </c>
      <c r="N2106" s="32">
        <v>0</v>
      </c>
      <c r="O2106" s="32">
        <v>2</v>
      </c>
      <c r="P2106" s="32">
        <v>0</v>
      </c>
      <c r="Q2106" s="32">
        <v>0</v>
      </c>
      <c r="R2106" s="32">
        <v>0</v>
      </c>
      <c r="S2106" s="32">
        <v>0</v>
      </c>
      <c r="T2106" s="32">
        <v>0</v>
      </c>
    </row>
    <row r="2107" spans="1:20" x14ac:dyDescent="0.25">
      <c r="A2107" t="s">
        <v>86</v>
      </c>
      <c r="B2107" t="s">
        <v>86</v>
      </c>
      <c r="C2107">
        <v>202602</v>
      </c>
      <c r="D2107" t="str">
        <f>MID(C2107,1,4)</f>
        <v>2026</v>
      </c>
      <c r="E2107" t="str">
        <f>IF(Portfolio!$M$1=1,CONCATENATE(A2107,C2107),CONCATENATE(B2107,C2107))</f>
        <v>GRAMEDIA202602</v>
      </c>
      <c r="F2107" s="32">
        <v>8</v>
      </c>
      <c r="G2107" s="32">
        <v>0</v>
      </c>
      <c r="H2107" s="32">
        <v>0</v>
      </c>
      <c r="I2107" s="32">
        <v>0</v>
      </c>
      <c r="J2107" s="32">
        <v>0</v>
      </c>
      <c r="K2107" s="32">
        <v>2076000</v>
      </c>
      <c r="L2107" s="32">
        <v>0</v>
      </c>
      <c r="M2107" s="32">
        <v>0</v>
      </c>
      <c r="N2107" s="32">
        <v>0</v>
      </c>
      <c r="O2107" s="32">
        <v>0</v>
      </c>
      <c r="P2107" s="32">
        <v>3114</v>
      </c>
      <c r="Q2107" s="32">
        <v>0</v>
      </c>
      <c r="R2107" s="32">
        <v>0</v>
      </c>
      <c r="S2107" s="32">
        <v>0</v>
      </c>
      <c r="T2107" s="32">
        <v>0</v>
      </c>
    </row>
    <row r="2108" spans="1:20" x14ac:dyDescent="0.25">
      <c r="A2108" t="s">
        <v>107</v>
      </c>
      <c r="B2108" t="s">
        <v>197</v>
      </c>
      <c r="C2108">
        <v>202602</v>
      </c>
      <c r="D2108" t="str">
        <f>MID(C2108,1,4)</f>
        <v>2026</v>
      </c>
      <c r="E2108" t="str">
        <f>IF(Portfolio!$M$1=1,CONCATENATE(A2108,C2108),CONCATENATE(B2108,C2108))</f>
        <v>MAP GROUP202602</v>
      </c>
      <c r="F2108" s="32">
        <v>0</v>
      </c>
      <c r="G2108" s="32">
        <v>18</v>
      </c>
      <c r="H2108" s="32">
        <v>26</v>
      </c>
      <c r="I2108" s="32">
        <v>0</v>
      </c>
      <c r="J2108" s="32">
        <v>0</v>
      </c>
      <c r="K2108" s="32">
        <v>0</v>
      </c>
      <c r="L2108" s="32">
        <v>50072600</v>
      </c>
      <c r="M2108" s="32">
        <v>71399200</v>
      </c>
      <c r="N2108" s="32">
        <v>0</v>
      </c>
      <c r="O2108" s="32">
        <v>0</v>
      </c>
      <c r="P2108" s="32">
        <v>0</v>
      </c>
      <c r="Q2108" s="32">
        <v>500726</v>
      </c>
      <c r="R2108" s="32">
        <v>928190</v>
      </c>
      <c r="S2108" s="32">
        <v>0</v>
      </c>
      <c r="T2108" s="32">
        <v>0</v>
      </c>
    </row>
    <row r="2109" spans="1:20" x14ac:dyDescent="0.25">
      <c r="A2109" t="s">
        <v>111</v>
      </c>
      <c r="B2109" t="s">
        <v>213</v>
      </c>
      <c r="C2109">
        <v>202602</v>
      </c>
      <c r="D2109" t="str">
        <f>MID(C2109,1,4)</f>
        <v>2026</v>
      </c>
      <c r="E2109" t="str">
        <f>IF(Portfolio!$M$1=1,CONCATENATE(A2109,C2109),CONCATENATE(B2109,C2109))</f>
        <v>PATRA JASA202602</v>
      </c>
      <c r="F2109" s="32">
        <v>0</v>
      </c>
      <c r="G2109" s="32">
        <v>0</v>
      </c>
      <c r="H2109" s="32">
        <v>0</v>
      </c>
      <c r="I2109" s="32">
        <v>0</v>
      </c>
      <c r="J2109" s="32">
        <v>9</v>
      </c>
      <c r="K2109" s="32">
        <v>0</v>
      </c>
      <c r="L2109" s="32">
        <v>0</v>
      </c>
      <c r="M2109" s="32">
        <v>0</v>
      </c>
      <c r="N2109" s="32">
        <v>0</v>
      </c>
      <c r="O2109" s="32">
        <v>440000</v>
      </c>
      <c r="P2109" s="32">
        <v>0</v>
      </c>
      <c r="Q2109" s="32">
        <v>0</v>
      </c>
      <c r="R2109" s="32">
        <v>0</v>
      </c>
      <c r="S2109" s="32">
        <v>0</v>
      </c>
      <c r="T2109" s="32">
        <v>3080</v>
      </c>
    </row>
    <row r="2110" spans="1:20" x14ac:dyDescent="0.25">
      <c r="A2110" t="s">
        <v>107</v>
      </c>
      <c r="B2110" t="s">
        <v>184</v>
      </c>
      <c r="C2110">
        <v>202602</v>
      </c>
      <c r="D2110" t="str">
        <f>MID(C2110,1,4)</f>
        <v>2026</v>
      </c>
      <c r="E2110" t="str">
        <f>IF(Portfolio!$M$1=1,CONCATENATE(A2110,C2110),CONCATENATE(B2110,C2110))</f>
        <v>MAP GROUP202602</v>
      </c>
      <c r="F2110" s="32">
        <v>0</v>
      </c>
      <c r="G2110" s="32">
        <v>0</v>
      </c>
      <c r="H2110" s="32">
        <v>12</v>
      </c>
      <c r="I2110" s="32">
        <v>0</v>
      </c>
      <c r="J2110" s="32">
        <v>0</v>
      </c>
      <c r="K2110" s="32">
        <v>0</v>
      </c>
      <c r="L2110" s="32">
        <v>0</v>
      </c>
      <c r="M2110" s="32">
        <v>5142000</v>
      </c>
      <c r="N2110" s="32">
        <v>0</v>
      </c>
      <c r="O2110" s="32">
        <v>0</v>
      </c>
      <c r="P2110" s="32">
        <v>0</v>
      </c>
      <c r="Q2110" s="32">
        <v>0</v>
      </c>
      <c r="R2110" s="32">
        <v>66846</v>
      </c>
      <c r="S2110" s="32">
        <v>0</v>
      </c>
      <c r="T2110" s="32">
        <v>0</v>
      </c>
    </row>
    <row r="2111" spans="1:20" x14ac:dyDescent="0.25">
      <c r="A2111" t="s">
        <v>126</v>
      </c>
      <c r="B2111" t="s">
        <v>225</v>
      </c>
      <c r="C2111">
        <v>202602</v>
      </c>
      <c r="D2111" t="str">
        <f>MID(C2111,1,4)</f>
        <v>2026</v>
      </c>
      <c r="E2111" t="str">
        <f>IF(Portfolio!$M$1=1,CONCATENATE(A2111,C2111),CONCATENATE(B2111,C2111))</f>
        <v>STEVEN GROUP202602</v>
      </c>
      <c r="F2111" s="32">
        <v>0</v>
      </c>
      <c r="G2111" s="32">
        <v>0</v>
      </c>
      <c r="H2111" s="32">
        <v>0</v>
      </c>
      <c r="I2111" s="32">
        <v>0</v>
      </c>
      <c r="J2111" s="32">
        <v>1</v>
      </c>
      <c r="K2111" s="32">
        <v>0</v>
      </c>
      <c r="L2111" s="32">
        <v>0</v>
      </c>
      <c r="M2111" s="32">
        <v>0</v>
      </c>
      <c r="N2111" s="32">
        <v>0</v>
      </c>
      <c r="O2111" s="32">
        <v>1</v>
      </c>
      <c r="P2111" s="32">
        <v>0</v>
      </c>
      <c r="Q2111" s="32">
        <v>0</v>
      </c>
      <c r="R2111" s="32">
        <v>0</v>
      </c>
      <c r="S2111" s="32">
        <v>0</v>
      </c>
      <c r="T2111" s="32">
        <v>0</v>
      </c>
    </row>
    <row r="2112" spans="1:20" x14ac:dyDescent="0.25">
      <c r="A2112" t="s">
        <v>126</v>
      </c>
      <c r="B2112" t="s">
        <v>222</v>
      </c>
      <c r="C2112">
        <v>202602</v>
      </c>
      <c r="D2112" t="str">
        <f>MID(C2112,1,4)</f>
        <v>2026</v>
      </c>
      <c r="E2112" t="str">
        <f>IF(Portfolio!$M$1=1,CONCATENATE(A2112,C2112),CONCATENATE(B2112,C2112))</f>
        <v>STEVEN GROUP202602</v>
      </c>
      <c r="F2112" s="32">
        <v>0</v>
      </c>
      <c r="G2112" s="32">
        <v>0</v>
      </c>
      <c r="H2112" s="32">
        <v>0</v>
      </c>
      <c r="I2112" s="32">
        <v>0</v>
      </c>
      <c r="J2112" s="32">
        <v>1</v>
      </c>
      <c r="K2112" s="32">
        <v>0</v>
      </c>
      <c r="L2112" s="32">
        <v>0</v>
      </c>
      <c r="M2112" s="32">
        <v>0</v>
      </c>
      <c r="N2112" s="32">
        <v>0</v>
      </c>
      <c r="O2112" s="32">
        <v>1</v>
      </c>
      <c r="P2112" s="32">
        <v>0</v>
      </c>
      <c r="Q2112" s="32">
        <v>0</v>
      </c>
      <c r="R2112" s="32">
        <v>0</v>
      </c>
      <c r="S2112" s="32">
        <v>0</v>
      </c>
      <c r="T2112" s="32">
        <v>0</v>
      </c>
    </row>
    <row r="2113" spans="1:20" x14ac:dyDescent="0.25">
      <c r="A2113" t="s">
        <v>94</v>
      </c>
      <c r="B2113" t="s">
        <v>94</v>
      </c>
      <c r="C2113">
        <v>202602</v>
      </c>
      <c r="D2113" t="str">
        <f>MID(C2113,1,4)</f>
        <v>2026</v>
      </c>
      <c r="E2113" t="str">
        <f>IF(Portfolio!$M$1=1,CONCATENATE(A2113,C2113),CONCATENATE(B2113,C2113))</f>
        <v>HOKBEN202602</v>
      </c>
      <c r="F2113" s="32">
        <v>0</v>
      </c>
      <c r="G2113" s="32">
        <v>0</v>
      </c>
      <c r="H2113" s="32">
        <v>0</v>
      </c>
      <c r="I2113" s="32">
        <v>0</v>
      </c>
      <c r="J2113" s="32">
        <v>16</v>
      </c>
      <c r="K2113" s="32">
        <v>0</v>
      </c>
      <c r="L2113" s="32">
        <v>0</v>
      </c>
      <c r="M2113" s="32">
        <v>0</v>
      </c>
      <c r="N2113" s="32">
        <v>0</v>
      </c>
      <c r="O2113" s="32">
        <v>298000</v>
      </c>
      <c r="P2113" s="32">
        <v>0</v>
      </c>
      <c r="Q2113" s="32">
        <v>0</v>
      </c>
      <c r="R2113" s="32">
        <v>0</v>
      </c>
      <c r="S2113" s="32">
        <v>0</v>
      </c>
      <c r="T2113" s="32">
        <v>0</v>
      </c>
    </row>
    <row r="2114" spans="1:20" x14ac:dyDescent="0.25">
      <c r="A2114" t="s">
        <v>107</v>
      </c>
      <c r="B2114" t="s">
        <v>173</v>
      </c>
      <c r="C2114">
        <v>202602</v>
      </c>
      <c r="D2114" t="str">
        <f>MID(C2114,1,4)</f>
        <v>2026</v>
      </c>
      <c r="E2114" t="str">
        <f>IF(Portfolio!$M$1=1,CONCATENATE(A2114,C2114),CONCATENATE(B2114,C2114))</f>
        <v>MAP GROUP202602</v>
      </c>
      <c r="F2114" s="32">
        <v>0</v>
      </c>
      <c r="G2114" s="32">
        <v>0</v>
      </c>
      <c r="H2114" s="32">
        <v>6</v>
      </c>
      <c r="I2114" s="32">
        <v>0</v>
      </c>
      <c r="J2114" s="32">
        <v>0</v>
      </c>
      <c r="K2114" s="32">
        <v>0</v>
      </c>
      <c r="L2114" s="32">
        <v>0</v>
      </c>
      <c r="M2114" s="32">
        <v>6171044</v>
      </c>
      <c r="N2114" s="32">
        <v>0</v>
      </c>
      <c r="O2114" s="32">
        <v>0</v>
      </c>
      <c r="P2114" s="32">
        <v>0</v>
      </c>
      <c r="Q2114" s="32">
        <v>0</v>
      </c>
      <c r="R2114" s="32">
        <v>80224</v>
      </c>
      <c r="S2114" s="32">
        <v>0</v>
      </c>
      <c r="T2114" s="32">
        <v>0</v>
      </c>
    </row>
    <row r="2115" spans="1:20" x14ac:dyDescent="0.25">
      <c r="A2115" t="s">
        <v>102</v>
      </c>
      <c r="B2115" t="s">
        <v>119</v>
      </c>
      <c r="C2115">
        <v>202602</v>
      </c>
      <c r="D2115" t="str">
        <f>MID(C2115,1,4)</f>
        <v>2026</v>
      </c>
      <c r="E2115" t="str">
        <f>IF(Portfolio!$M$1=1,CONCATENATE(A2115,C2115),CONCATENATE(B2115,C2115))</f>
        <v>KAWAN LAMA202602</v>
      </c>
      <c r="F2115" s="32">
        <v>6</v>
      </c>
      <c r="G2115" s="32">
        <v>0</v>
      </c>
      <c r="H2115" s="32">
        <v>0</v>
      </c>
      <c r="I2115" s="32">
        <v>0</v>
      </c>
      <c r="J2115" s="32">
        <v>0</v>
      </c>
      <c r="K2115" s="32">
        <v>3511134</v>
      </c>
      <c r="L2115" s="32">
        <v>0</v>
      </c>
      <c r="M2115" s="32">
        <v>0</v>
      </c>
      <c r="N2115" s="32">
        <v>0</v>
      </c>
      <c r="O2115" s="32">
        <v>0</v>
      </c>
      <c r="P2115" s="32">
        <v>5267</v>
      </c>
      <c r="Q2115" s="32">
        <v>0</v>
      </c>
      <c r="R2115" s="32">
        <v>0</v>
      </c>
      <c r="S2115" s="32">
        <v>0</v>
      </c>
      <c r="T2115" s="32">
        <v>0</v>
      </c>
    </row>
    <row r="2116" spans="1:20" x14ac:dyDescent="0.25">
      <c r="A2116" t="s">
        <v>111</v>
      </c>
      <c r="B2116" t="s">
        <v>211</v>
      </c>
      <c r="C2116">
        <v>202602</v>
      </c>
      <c r="D2116" t="str">
        <f>MID(C2116,1,4)</f>
        <v>2026</v>
      </c>
      <c r="E2116" t="str">
        <f>IF(Portfolio!$M$1=1,CONCATENATE(A2116,C2116),CONCATENATE(B2116,C2116))</f>
        <v>PATRA JASA202602</v>
      </c>
      <c r="F2116" s="32">
        <v>0</v>
      </c>
      <c r="G2116" s="32">
        <v>0</v>
      </c>
      <c r="H2116" s="32">
        <v>6</v>
      </c>
      <c r="I2116" s="32">
        <v>0</v>
      </c>
      <c r="J2116" s="32">
        <v>0</v>
      </c>
      <c r="K2116" s="32">
        <v>0</v>
      </c>
      <c r="L2116" s="32">
        <v>0</v>
      </c>
      <c r="M2116" s="32">
        <v>8649308</v>
      </c>
      <c r="N2116" s="32">
        <v>0</v>
      </c>
      <c r="O2116" s="32">
        <v>0</v>
      </c>
      <c r="P2116" s="32">
        <v>0</v>
      </c>
      <c r="Q2116" s="32">
        <v>0</v>
      </c>
      <c r="R2116" s="32">
        <v>155688</v>
      </c>
      <c r="S2116" s="32">
        <v>0</v>
      </c>
      <c r="T2116" s="32">
        <v>0</v>
      </c>
    </row>
    <row r="2117" spans="1:20" x14ac:dyDescent="0.25">
      <c r="A2117" t="s">
        <v>102</v>
      </c>
      <c r="B2117" t="s">
        <v>144</v>
      </c>
      <c r="C2117">
        <v>202602</v>
      </c>
      <c r="D2117" t="str">
        <f>MID(C2117,1,4)</f>
        <v>2026</v>
      </c>
      <c r="E2117" t="str">
        <f>IF(Portfolio!$M$1=1,CONCATENATE(A2117,C2117),CONCATENATE(B2117,C2117))</f>
        <v>KAWAN LAMA202602</v>
      </c>
      <c r="F2117" s="32">
        <v>8</v>
      </c>
      <c r="G2117" s="32">
        <v>0</v>
      </c>
      <c r="H2117" s="32">
        <v>0</v>
      </c>
      <c r="I2117" s="32">
        <v>0</v>
      </c>
      <c r="J2117" s="32">
        <v>0</v>
      </c>
      <c r="K2117" s="32">
        <v>1296000</v>
      </c>
      <c r="L2117" s="32">
        <v>0</v>
      </c>
      <c r="M2117" s="32">
        <v>0</v>
      </c>
      <c r="N2117" s="32">
        <v>0</v>
      </c>
      <c r="O2117" s="32">
        <v>0</v>
      </c>
      <c r="P2117" s="32">
        <v>1944</v>
      </c>
      <c r="Q2117" s="32">
        <v>0</v>
      </c>
      <c r="R2117" s="32">
        <v>0</v>
      </c>
      <c r="S2117" s="32">
        <v>0</v>
      </c>
      <c r="T2117" s="32">
        <v>0</v>
      </c>
    </row>
    <row r="2118" spans="1:20" x14ac:dyDescent="0.25">
      <c r="A2118" t="s">
        <v>107</v>
      </c>
      <c r="B2118" t="s">
        <v>157</v>
      </c>
      <c r="C2118">
        <v>202602</v>
      </c>
      <c r="D2118" t="str">
        <f>MID(C2118,1,4)</f>
        <v>2026</v>
      </c>
      <c r="E2118" t="str">
        <f>IF(Portfolio!$M$1=1,CONCATENATE(A2118,C2118),CONCATENATE(B2118,C2118))</f>
        <v>MAP GROUP202602</v>
      </c>
      <c r="F2118" s="32">
        <v>8</v>
      </c>
      <c r="G2118" s="32">
        <v>44</v>
      </c>
      <c r="H2118" s="32">
        <v>72</v>
      </c>
      <c r="I2118" s="32">
        <v>0</v>
      </c>
      <c r="J2118" s="32">
        <v>0</v>
      </c>
      <c r="K2118" s="32">
        <v>3768288</v>
      </c>
      <c r="L2118" s="32">
        <v>29798668</v>
      </c>
      <c r="M2118" s="32">
        <v>65644288</v>
      </c>
      <c r="N2118" s="32">
        <v>0</v>
      </c>
      <c r="O2118" s="32">
        <v>0</v>
      </c>
      <c r="P2118" s="32">
        <v>5652</v>
      </c>
      <c r="Q2118" s="32">
        <v>297987</v>
      </c>
      <c r="R2118" s="32">
        <v>853376</v>
      </c>
      <c r="S2118" s="32">
        <v>0</v>
      </c>
      <c r="T2118" s="32">
        <v>0</v>
      </c>
    </row>
    <row r="2119" spans="1:20" x14ac:dyDescent="0.25">
      <c r="A2119" t="s">
        <v>70</v>
      </c>
      <c r="B2119" t="s">
        <v>70</v>
      </c>
      <c r="C2119">
        <v>202603</v>
      </c>
      <c r="D2119" t="str">
        <f>MID(C2119,1,4)</f>
        <v>2026</v>
      </c>
      <c r="E2119" t="str">
        <f>IF(Portfolio!$M$1=1,CONCATENATE(A2119,C2119),CONCATENATE(B2119,C2119))</f>
        <v>ANCOL202603</v>
      </c>
      <c r="F2119" s="32">
        <v>0</v>
      </c>
      <c r="G2119" s="32">
        <v>247</v>
      </c>
      <c r="H2119" s="32">
        <v>58</v>
      </c>
      <c r="I2119" s="32">
        <v>21</v>
      </c>
      <c r="J2119" s="32">
        <v>13100</v>
      </c>
      <c r="K2119" s="32">
        <v>0</v>
      </c>
      <c r="L2119" s="32">
        <v>98044200</v>
      </c>
      <c r="M2119" s="32">
        <v>24311400</v>
      </c>
      <c r="N2119" s="32">
        <v>1262488</v>
      </c>
      <c r="O2119" s="32">
        <v>1425372848</v>
      </c>
      <c r="P2119" s="32">
        <v>0</v>
      </c>
      <c r="Q2119" s="32">
        <v>980442</v>
      </c>
      <c r="R2119" s="32">
        <v>432085</v>
      </c>
      <c r="S2119" s="32">
        <v>300</v>
      </c>
      <c r="T2119" s="32">
        <v>9725963</v>
      </c>
    </row>
    <row r="2120" spans="1:20" x14ac:dyDescent="0.25">
      <c r="A2120" t="s">
        <v>101</v>
      </c>
      <c r="B2120" t="s">
        <v>101</v>
      </c>
      <c r="C2120">
        <v>202603</v>
      </c>
      <c r="D2120" t="str">
        <f>MID(C2120,1,4)</f>
        <v>2026</v>
      </c>
      <c r="E2120" t="str">
        <f>IF(Portfolio!$M$1=1,CONCATENATE(A2120,C2120),CONCATENATE(B2120,C2120))</f>
        <v>INDOMARET202603</v>
      </c>
      <c r="F2120" s="32">
        <v>0</v>
      </c>
      <c r="G2120" s="32">
        <v>29492</v>
      </c>
      <c r="H2120" s="32">
        <v>5370</v>
      </c>
      <c r="I2120" s="32">
        <v>0</v>
      </c>
      <c r="J2120" s="32">
        <v>106</v>
      </c>
      <c r="K2120" s="32">
        <v>0</v>
      </c>
      <c r="L2120" s="32">
        <v>3210331432</v>
      </c>
      <c r="M2120" s="32">
        <v>954878690</v>
      </c>
      <c r="N2120" s="32">
        <v>0</v>
      </c>
      <c r="O2120" s="32">
        <v>7571000</v>
      </c>
      <c r="P2120" s="32">
        <v>0</v>
      </c>
      <c r="Q2120" s="32">
        <v>32041254</v>
      </c>
      <c r="R2120" s="32">
        <v>15939568</v>
      </c>
      <c r="S2120" s="32">
        <v>0</v>
      </c>
      <c r="T2120" s="32">
        <v>2838</v>
      </c>
    </row>
    <row r="2121" spans="1:20" x14ac:dyDescent="0.25">
      <c r="A2121" t="s">
        <v>67</v>
      </c>
      <c r="B2121" t="s">
        <v>68</v>
      </c>
      <c r="C2121">
        <v>202603</v>
      </c>
      <c r="D2121" t="str">
        <f>MID(C2121,1,4)</f>
        <v>2026</v>
      </c>
      <c r="E2121" t="str">
        <f>IF(Portfolio!$M$1=1,CONCATENATE(A2121,C2121),CONCATENATE(B2121,C2121))</f>
        <v>ALFA GROUP202603</v>
      </c>
      <c r="F2121" s="32">
        <v>0</v>
      </c>
      <c r="G2121" s="32">
        <v>40686</v>
      </c>
      <c r="H2121" s="32">
        <v>3461</v>
      </c>
      <c r="I2121" s="32">
        <v>19</v>
      </c>
      <c r="J2121" s="32">
        <v>356</v>
      </c>
      <c r="K2121" s="32">
        <v>0</v>
      </c>
      <c r="L2121" s="32">
        <v>5024154188</v>
      </c>
      <c r="M2121" s="32">
        <v>571625119</v>
      </c>
      <c r="N2121" s="32">
        <v>1721900</v>
      </c>
      <c r="O2121" s="32">
        <v>23423201</v>
      </c>
      <c r="P2121" s="32">
        <v>0</v>
      </c>
      <c r="Q2121" s="32">
        <v>50145343</v>
      </c>
      <c r="R2121" s="32">
        <v>10189266</v>
      </c>
      <c r="S2121" s="32">
        <v>3994</v>
      </c>
      <c r="T2121" s="32">
        <v>10666</v>
      </c>
    </row>
    <row r="2122" spans="1:20" x14ac:dyDescent="0.25">
      <c r="A2122" t="s">
        <v>122</v>
      </c>
      <c r="B2122" t="s">
        <v>122</v>
      </c>
      <c r="C2122">
        <v>202603</v>
      </c>
      <c r="D2122" t="str">
        <f>MID(C2122,1,4)</f>
        <v>2026</v>
      </c>
      <c r="E2122" t="str">
        <f>IF(Portfolio!$M$1=1,CONCATENATE(A2122,C2122),CONCATENATE(B2122,C2122))</f>
        <v>SOLARIA202603</v>
      </c>
      <c r="F2122" s="32">
        <v>0</v>
      </c>
      <c r="G2122" s="32">
        <v>27</v>
      </c>
      <c r="H2122" s="32">
        <v>1</v>
      </c>
      <c r="I2122" s="32">
        <v>5</v>
      </c>
      <c r="J2122" s="32">
        <v>882</v>
      </c>
      <c r="K2122" s="32">
        <v>0</v>
      </c>
      <c r="L2122" s="32">
        <v>4726000</v>
      </c>
      <c r="M2122" s="32">
        <v>75000</v>
      </c>
      <c r="N2122" s="32">
        <v>673000</v>
      </c>
      <c r="O2122" s="32">
        <v>664643470</v>
      </c>
      <c r="P2122" s="32">
        <v>0</v>
      </c>
      <c r="Q2122" s="32">
        <v>47260</v>
      </c>
      <c r="R2122" s="32">
        <v>1125</v>
      </c>
      <c r="S2122" s="32">
        <v>4711</v>
      </c>
      <c r="T2122" s="32">
        <v>4652505</v>
      </c>
    </row>
    <row r="2123" spans="1:20" x14ac:dyDescent="0.25">
      <c r="A2123" t="s">
        <v>126</v>
      </c>
      <c r="B2123" t="s">
        <v>220</v>
      </c>
      <c r="C2123">
        <v>202603</v>
      </c>
      <c r="D2123" t="str">
        <f>MID(C2123,1,4)</f>
        <v>2026</v>
      </c>
      <c r="E2123" t="str">
        <f>IF(Portfolio!$M$1=1,CONCATENATE(A2123,C2123),CONCATENATE(B2123,C2123))</f>
        <v>STEVEN GROUP202603</v>
      </c>
      <c r="F2123" s="32">
        <v>0</v>
      </c>
      <c r="G2123" s="32">
        <v>8</v>
      </c>
      <c r="H2123" s="32">
        <v>2</v>
      </c>
      <c r="I2123" s="32">
        <v>0</v>
      </c>
      <c r="J2123" s="32">
        <v>89</v>
      </c>
      <c r="K2123" s="32">
        <v>0</v>
      </c>
      <c r="L2123" s="32">
        <v>1048622</v>
      </c>
      <c r="M2123" s="32">
        <v>202494</v>
      </c>
      <c r="N2123" s="32">
        <v>0</v>
      </c>
      <c r="O2123" s="32">
        <v>15833704</v>
      </c>
      <c r="P2123" s="32">
        <v>0</v>
      </c>
      <c r="Q2123" s="32">
        <v>10486</v>
      </c>
      <c r="R2123" s="32">
        <v>4050</v>
      </c>
      <c r="S2123" s="32">
        <v>0</v>
      </c>
      <c r="T2123" s="32">
        <v>110834</v>
      </c>
    </row>
    <row r="2124" spans="1:20" x14ac:dyDescent="0.25">
      <c r="A2124" t="s">
        <v>97</v>
      </c>
      <c r="B2124" t="s">
        <v>97</v>
      </c>
      <c r="C2124">
        <v>202603</v>
      </c>
      <c r="D2124" t="str">
        <f>MID(C2124,1,4)</f>
        <v>2026</v>
      </c>
      <c r="E2124" t="str">
        <f>IF(Portfolio!$M$1=1,CONCATENATE(A2124,C2124),CONCATENATE(B2124,C2124))</f>
        <v>HOP HOP202603</v>
      </c>
      <c r="F2124" s="32">
        <v>0</v>
      </c>
      <c r="G2124" s="32">
        <v>0</v>
      </c>
      <c r="H2124" s="32">
        <v>0</v>
      </c>
      <c r="I2124" s="32">
        <v>136</v>
      </c>
      <c r="J2124" s="32">
        <v>5246</v>
      </c>
      <c r="K2124" s="32">
        <v>0</v>
      </c>
      <c r="L2124" s="32">
        <v>0</v>
      </c>
      <c r="M2124" s="32">
        <v>0</v>
      </c>
      <c r="N2124" s="32">
        <v>6902000</v>
      </c>
      <c r="O2124" s="32">
        <v>127978049</v>
      </c>
      <c r="P2124" s="32">
        <v>0</v>
      </c>
      <c r="Q2124" s="32">
        <v>0</v>
      </c>
      <c r="R2124" s="32">
        <v>0</v>
      </c>
      <c r="S2124" s="32">
        <v>0</v>
      </c>
      <c r="T2124" s="32">
        <v>1701</v>
      </c>
    </row>
    <row r="2125" spans="1:20" x14ac:dyDescent="0.25">
      <c r="A2125" t="s">
        <v>279</v>
      </c>
      <c r="B2125" t="s">
        <v>279</v>
      </c>
      <c r="C2125">
        <v>202603</v>
      </c>
      <c r="D2125" t="str">
        <f>MID(C2125,1,4)</f>
        <v>2026</v>
      </c>
      <c r="E2125" t="str">
        <f>IF(Portfolio!$M$1=1,CONCATENATE(A2125,C2125),CONCATENATE(B2125,C2125))</f>
        <v>OASISPAY202603</v>
      </c>
      <c r="F2125" s="32">
        <v>0</v>
      </c>
      <c r="G2125" s="32">
        <v>0</v>
      </c>
      <c r="H2125" s="32">
        <v>0</v>
      </c>
      <c r="I2125" s="32">
        <v>610</v>
      </c>
      <c r="J2125" s="32">
        <v>780544</v>
      </c>
      <c r="K2125" s="32">
        <v>0</v>
      </c>
      <c r="L2125" s="32">
        <v>0</v>
      </c>
      <c r="M2125" s="32">
        <v>0</v>
      </c>
      <c r="N2125" s="32">
        <v>98889071</v>
      </c>
      <c r="O2125" s="32">
        <v>77692671335</v>
      </c>
      <c r="P2125" s="32">
        <v>0</v>
      </c>
      <c r="Q2125" s="32">
        <v>0</v>
      </c>
      <c r="R2125" s="32">
        <v>0</v>
      </c>
      <c r="S2125" s="32">
        <v>529061</v>
      </c>
      <c r="T2125" s="32">
        <v>332774373</v>
      </c>
    </row>
    <row r="2126" spans="1:20" x14ac:dyDescent="0.25">
      <c r="A2126" t="s">
        <v>67</v>
      </c>
      <c r="B2126" t="s">
        <v>72</v>
      </c>
      <c r="C2126">
        <v>202603</v>
      </c>
      <c r="D2126" t="str">
        <f>MID(C2126,1,4)</f>
        <v>2026</v>
      </c>
      <c r="E2126" t="str">
        <f>IF(Portfolio!$M$1=1,CONCATENATE(A2126,C2126),CONCATENATE(B2126,C2126))</f>
        <v>ALFA GROUP202603</v>
      </c>
      <c r="F2126" s="32">
        <v>0</v>
      </c>
      <c r="G2126" s="32">
        <v>704</v>
      </c>
      <c r="H2126" s="32">
        <v>44</v>
      </c>
      <c r="I2126" s="32">
        <v>0</v>
      </c>
      <c r="J2126" s="32">
        <v>0</v>
      </c>
      <c r="K2126" s="32">
        <v>0</v>
      </c>
      <c r="L2126" s="32">
        <v>114679307</v>
      </c>
      <c r="M2126" s="32">
        <v>8747900</v>
      </c>
      <c r="N2126" s="32">
        <v>0</v>
      </c>
      <c r="O2126" s="32">
        <v>0</v>
      </c>
      <c r="P2126" s="32">
        <v>0</v>
      </c>
      <c r="Q2126" s="32">
        <v>1145441</v>
      </c>
      <c r="R2126" s="32">
        <v>157438</v>
      </c>
      <c r="S2126" s="32">
        <v>0</v>
      </c>
      <c r="T2126" s="32">
        <v>0</v>
      </c>
    </row>
    <row r="2127" spans="1:20" x14ac:dyDescent="0.25">
      <c r="A2127" t="s">
        <v>102</v>
      </c>
      <c r="B2127" t="s">
        <v>135</v>
      </c>
      <c r="C2127">
        <v>202603</v>
      </c>
      <c r="D2127" t="str">
        <f>MID(C2127,1,4)</f>
        <v>2026</v>
      </c>
      <c r="E2127" t="str">
        <f>IF(Portfolio!$M$1=1,CONCATENATE(A2127,C2127),CONCATENATE(B2127,C2127))</f>
        <v>KAWAN LAMA202603</v>
      </c>
      <c r="F2127" s="32">
        <v>0</v>
      </c>
      <c r="G2127" s="32">
        <v>0</v>
      </c>
      <c r="H2127" s="32">
        <v>0</v>
      </c>
      <c r="I2127" s="32">
        <v>10</v>
      </c>
      <c r="J2127" s="32">
        <v>34</v>
      </c>
      <c r="K2127" s="32">
        <v>0</v>
      </c>
      <c r="L2127" s="32">
        <v>0</v>
      </c>
      <c r="M2127" s="32">
        <v>0</v>
      </c>
      <c r="N2127" s="32">
        <v>5166100</v>
      </c>
      <c r="O2127" s="32">
        <v>688986533</v>
      </c>
      <c r="P2127" s="32">
        <v>0</v>
      </c>
      <c r="Q2127" s="32">
        <v>0</v>
      </c>
      <c r="R2127" s="32">
        <v>0</v>
      </c>
      <c r="S2127" s="32">
        <v>34035</v>
      </c>
      <c r="T2127" s="32">
        <v>4822899</v>
      </c>
    </row>
    <row r="2128" spans="1:20" x14ac:dyDescent="0.25">
      <c r="A2128" t="s">
        <v>120</v>
      </c>
      <c r="B2128" t="s">
        <v>120</v>
      </c>
      <c r="C2128">
        <v>202603</v>
      </c>
      <c r="D2128" t="str">
        <f>MID(C2128,1,4)</f>
        <v>2026</v>
      </c>
      <c r="E2128" t="str">
        <f>IF(Portfolio!$M$1=1,CONCATENATE(A2128,C2128),CONCATENATE(B2128,C2128))</f>
        <v>SHIHLIN202603</v>
      </c>
      <c r="F2128" s="32">
        <v>0</v>
      </c>
      <c r="G2128" s="32">
        <v>14</v>
      </c>
      <c r="H2128" s="32">
        <v>1</v>
      </c>
      <c r="I2128" s="32">
        <v>28</v>
      </c>
      <c r="J2128" s="32">
        <v>204</v>
      </c>
      <c r="K2128" s="32">
        <v>0</v>
      </c>
      <c r="L2128" s="32">
        <v>1134000</v>
      </c>
      <c r="M2128" s="32">
        <v>96000</v>
      </c>
      <c r="N2128" s="32">
        <v>1929000</v>
      </c>
      <c r="O2128" s="32">
        <v>39352000</v>
      </c>
      <c r="P2128" s="32">
        <v>0</v>
      </c>
      <c r="Q2128" s="32">
        <v>11340</v>
      </c>
      <c r="R2128" s="32">
        <v>1920</v>
      </c>
      <c r="S2128" s="32">
        <v>13503</v>
      </c>
      <c r="T2128" s="32">
        <v>250180</v>
      </c>
    </row>
    <row r="2129" spans="1:20" x14ac:dyDescent="0.25">
      <c r="A2129" t="s">
        <v>96</v>
      </c>
      <c r="B2129" t="s">
        <v>96</v>
      </c>
      <c r="C2129">
        <v>202603</v>
      </c>
      <c r="D2129" t="str">
        <f>MID(C2129,1,4)</f>
        <v>2026</v>
      </c>
      <c r="E2129" t="str">
        <f>IF(Portfolio!$M$1=1,CONCATENATE(A2129,C2129),CONCATENATE(B2129,C2129))</f>
        <v>HOKKAIDO BAKED CHEESE202603</v>
      </c>
      <c r="F2129" s="32">
        <v>0</v>
      </c>
      <c r="G2129" s="32">
        <v>46</v>
      </c>
      <c r="H2129" s="32">
        <v>7</v>
      </c>
      <c r="I2129" s="32">
        <v>3</v>
      </c>
      <c r="J2129" s="32">
        <v>314</v>
      </c>
      <c r="K2129" s="32">
        <v>0</v>
      </c>
      <c r="L2129" s="32">
        <v>5767248</v>
      </c>
      <c r="M2129" s="32">
        <v>818200</v>
      </c>
      <c r="N2129" s="32">
        <v>98600</v>
      </c>
      <c r="O2129" s="32">
        <v>22575879</v>
      </c>
      <c r="P2129" s="32">
        <v>0</v>
      </c>
      <c r="Q2129" s="32">
        <v>57672</v>
      </c>
      <c r="R2129" s="32">
        <v>16364</v>
      </c>
      <c r="S2129" s="32">
        <v>375</v>
      </c>
      <c r="T2129" s="32">
        <v>111752</v>
      </c>
    </row>
    <row r="2130" spans="1:20" x14ac:dyDescent="0.25">
      <c r="A2130" t="s">
        <v>138</v>
      </c>
      <c r="B2130" t="s">
        <v>138</v>
      </c>
      <c r="C2130">
        <v>202603</v>
      </c>
      <c r="D2130" t="str">
        <f>MID(C2130,1,4)</f>
        <v>2026</v>
      </c>
      <c r="E2130" t="str">
        <f>IF(Portfolio!$M$1=1,CONCATENATE(A2130,C2130),CONCATENATE(B2130,C2130))</f>
        <v>YOSHINOYA202603</v>
      </c>
      <c r="F2130" s="32">
        <v>0</v>
      </c>
      <c r="G2130" s="32">
        <v>1</v>
      </c>
      <c r="H2130" s="32">
        <v>0</v>
      </c>
      <c r="I2130" s="32">
        <v>0</v>
      </c>
      <c r="J2130" s="32">
        <v>1688</v>
      </c>
      <c r="K2130" s="32">
        <v>0</v>
      </c>
      <c r="L2130" s="32">
        <v>75000</v>
      </c>
      <c r="M2130" s="32">
        <v>0</v>
      </c>
      <c r="N2130" s="32">
        <v>0</v>
      </c>
      <c r="O2130" s="32">
        <v>264607600</v>
      </c>
      <c r="P2130" s="32">
        <v>0</v>
      </c>
      <c r="Q2130" s="32">
        <v>750</v>
      </c>
      <c r="R2130" s="32">
        <v>0</v>
      </c>
      <c r="S2130" s="32">
        <v>0</v>
      </c>
      <c r="T2130" s="32">
        <v>1852246</v>
      </c>
    </row>
    <row r="2131" spans="1:20" x14ac:dyDescent="0.25">
      <c r="A2131" t="s">
        <v>107</v>
      </c>
      <c r="B2131" t="s">
        <v>170</v>
      </c>
      <c r="C2131">
        <v>202603</v>
      </c>
      <c r="D2131" t="str">
        <f>MID(C2131,1,4)</f>
        <v>2026</v>
      </c>
      <c r="E2131" t="str">
        <f>IF(Portfolio!$M$1=1,CONCATENATE(A2131,C2131),CONCATENATE(B2131,C2131))</f>
        <v>MAP GROUP202603</v>
      </c>
      <c r="F2131" s="32">
        <v>0</v>
      </c>
      <c r="G2131" s="32">
        <v>2</v>
      </c>
      <c r="H2131" s="32">
        <v>7</v>
      </c>
      <c r="I2131" s="32">
        <v>0</v>
      </c>
      <c r="J2131" s="32">
        <v>0</v>
      </c>
      <c r="K2131" s="32">
        <v>0</v>
      </c>
      <c r="L2131" s="32">
        <v>3303600</v>
      </c>
      <c r="M2131" s="32">
        <v>12439420</v>
      </c>
      <c r="N2131" s="32">
        <v>0</v>
      </c>
      <c r="O2131" s="32">
        <v>0</v>
      </c>
      <c r="P2131" s="32">
        <v>0</v>
      </c>
      <c r="Q2131" s="32">
        <v>33036</v>
      </c>
      <c r="R2131" s="32">
        <v>161712</v>
      </c>
      <c r="S2131" s="32">
        <v>0</v>
      </c>
      <c r="T2131" s="32">
        <v>0</v>
      </c>
    </row>
    <row r="2132" spans="1:20" x14ac:dyDescent="0.25">
      <c r="A2132" t="s">
        <v>107</v>
      </c>
      <c r="B2132" t="s">
        <v>205</v>
      </c>
      <c r="C2132">
        <v>202603</v>
      </c>
      <c r="D2132" t="str">
        <f>MID(C2132,1,4)</f>
        <v>2026</v>
      </c>
      <c r="E2132" t="str">
        <f>IF(Portfolio!$M$1=1,CONCATENATE(A2132,C2132),CONCATENATE(B2132,C2132))</f>
        <v>MAP GROUP202603</v>
      </c>
      <c r="F2132" s="32">
        <v>0</v>
      </c>
      <c r="G2132" s="32">
        <v>588</v>
      </c>
      <c r="H2132" s="32">
        <v>2008</v>
      </c>
      <c r="I2132" s="32">
        <v>0</v>
      </c>
      <c r="J2132" s="32">
        <v>0</v>
      </c>
      <c r="K2132" s="32">
        <v>0</v>
      </c>
      <c r="L2132" s="32">
        <v>87910400</v>
      </c>
      <c r="M2132" s="32">
        <v>249459750</v>
      </c>
      <c r="N2132" s="32">
        <v>0</v>
      </c>
      <c r="O2132" s="32">
        <v>0</v>
      </c>
      <c r="P2132" s="32">
        <v>0</v>
      </c>
      <c r="Q2132" s="32">
        <v>870244</v>
      </c>
      <c r="R2132" s="32">
        <v>3242977</v>
      </c>
      <c r="S2132" s="32">
        <v>0</v>
      </c>
      <c r="T2132" s="32">
        <v>0</v>
      </c>
    </row>
    <row r="2133" spans="1:20" x14ac:dyDescent="0.25">
      <c r="A2133" t="s">
        <v>280</v>
      </c>
      <c r="B2133" t="s">
        <v>280</v>
      </c>
      <c r="C2133">
        <v>202603</v>
      </c>
      <c r="D2133" t="str">
        <f>MID(C2133,1,4)</f>
        <v>2026</v>
      </c>
      <c r="E2133" t="str">
        <f>IF(Portfolio!$M$1=1,CONCATENATE(A2133,C2133),CONCATENATE(B2133,C2133))</f>
        <v>MCT202603</v>
      </c>
      <c r="F2133" s="32">
        <v>0</v>
      </c>
      <c r="G2133" s="32">
        <v>0</v>
      </c>
      <c r="H2133" s="32">
        <v>0</v>
      </c>
      <c r="I2133" s="32">
        <v>168</v>
      </c>
      <c r="J2133" s="32">
        <v>27503</v>
      </c>
      <c r="K2133" s="32">
        <v>0</v>
      </c>
      <c r="L2133" s="32">
        <v>0</v>
      </c>
      <c r="M2133" s="32">
        <v>0</v>
      </c>
      <c r="N2133" s="32">
        <v>18938855</v>
      </c>
      <c r="O2133" s="32">
        <v>2006574465</v>
      </c>
      <c r="P2133" s="32">
        <v>0</v>
      </c>
      <c r="Q2133" s="32">
        <v>0</v>
      </c>
      <c r="R2133" s="32">
        <v>0</v>
      </c>
      <c r="S2133" s="32">
        <v>14546</v>
      </c>
      <c r="T2133" s="32">
        <v>1074634</v>
      </c>
    </row>
    <row r="2134" spans="1:20" x14ac:dyDescent="0.25">
      <c r="A2134" t="s">
        <v>112</v>
      </c>
      <c r="B2134" t="s">
        <v>216</v>
      </c>
      <c r="C2134">
        <v>202603</v>
      </c>
      <c r="D2134" t="str">
        <f>MID(C2134,1,4)</f>
        <v>2026</v>
      </c>
      <c r="E2134" t="str">
        <f>IF(Portfolio!$M$1=1,CONCATENATE(A2134,C2134),CONCATENATE(B2134,C2134))</f>
        <v>PERTAMINA RETAIL202603</v>
      </c>
      <c r="F2134" s="32">
        <v>0</v>
      </c>
      <c r="G2134" s="32">
        <v>2111</v>
      </c>
      <c r="H2134" s="32">
        <v>128</v>
      </c>
      <c r="I2134" s="32">
        <v>42</v>
      </c>
      <c r="J2134" s="32">
        <v>9450</v>
      </c>
      <c r="K2134" s="32">
        <v>0</v>
      </c>
      <c r="L2134" s="32">
        <v>441532229</v>
      </c>
      <c r="M2134" s="32">
        <v>36030479</v>
      </c>
      <c r="N2134" s="32">
        <v>8255367</v>
      </c>
      <c r="O2134" s="32">
        <v>1178328801</v>
      </c>
      <c r="P2134" s="32">
        <v>0</v>
      </c>
      <c r="Q2134" s="32">
        <v>3736644</v>
      </c>
      <c r="R2134" s="32">
        <v>648949</v>
      </c>
      <c r="S2134" s="32">
        <v>29263</v>
      </c>
      <c r="T2134" s="32">
        <v>3160383</v>
      </c>
    </row>
    <row r="2135" spans="1:20" x14ac:dyDescent="0.25">
      <c r="A2135" t="s">
        <v>107</v>
      </c>
      <c r="B2135" t="s">
        <v>207</v>
      </c>
      <c r="C2135">
        <v>202603</v>
      </c>
      <c r="D2135" t="str">
        <f>MID(C2135,1,4)</f>
        <v>2026</v>
      </c>
      <c r="E2135" t="str">
        <f>IF(Portfolio!$M$1=1,CONCATENATE(A2135,C2135),CONCATENATE(B2135,C2135))</f>
        <v>MAP GROUP202603</v>
      </c>
      <c r="F2135" s="32">
        <v>0</v>
      </c>
      <c r="G2135" s="32">
        <v>278</v>
      </c>
      <c r="H2135" s="32">
        <v>204</v>
      </c>
      <c r="I2135" s="32">
        <v>0</v>
      </c>
      <c r="J2135" s="32">
        <v>0</v>
      </c>
      <c r="K2135" s="32">
        <v>0</v>
      </c>
      <c r="L2135" s="32">
        <v>31260750</v>
      </c>
      <c r="M2135" s="32">
        <v>26059250</v>
      </c>
      <c r="N2135" s="32">
        <v>0</v>
      </c>
      <c r="O2135" s="32">
        <v>0</v>
      </c>
      <c r="P2135" s="32">
        <v>0</v>
      </c>
      <c r="Q2135" s="32">
        <v>312608</v>
      </c>
      <c r="R2135" s="32">
        <v>341941</v>
      </c>
      <c r="S2135" s="32">
        <v>0</v>
      </c>
      <c r="T2135" s="32">
        <v>0</v>
      </c>
    </row>
    <row r="2136" spans="1:20" x14ac:dyDescent="0.25">
      <c r="A2136" t="s">
        <v>112</v>
      </c>
      <c r="B2136" t="s">
        <v>215</v>
      </c>
      <c r="C2136">
        <v>202603</v>
      </c>
      <c r="D2136" t="str">
        <f>MID(C2136,1,4)</f>
        <v>2026</v>
      </c>
      <c r="E2136" t="str">
        <f>IF(Portfolio!$M$1=1,CONCATENATE(A2136,C2136),CONCATENATE(B2136,C2136))</f>
        <v>PERTAMINA RETAIL202603</v>
      </c>
      <c r="F2136" s="32">
        <v>0</v>
      </c>
      <c r="G2136" s="32">
        <v>73</v>
      </c>
      <c r="H2136" s="32">
        <v>8</v>
      </c>
      <c r="I2136" s="32">
        <v>1</v>
      </c>
      <c r="J2136" s="32">
        <v>686</v>
      </c>
      <c r="K2136" s="32">
        <v>0</v>
      </c>
      <c r="L2136" s="32">
        <v>8540500</v>
      </c>
      <c r="M2136" s="32">
        <v>1304200</v>
      </c>
      <c r="N2136" s="32">
        <v>18000</v>
      </c>
      <c r="O2136" s="32">
        <v>37544435</v>
      </c>
      <c r="P2136" s="32">
        <v>0</v>
      </c>
      <c r="Q2136" s="32">
        <v>85405</v>
      </c>
      <c r="R2136" s="32">
        <v>23476</v>
      </c>
      <c r="S2136" s="32">
        <v>0</v>
      </c>
      <c r="T2136" s="32">
        <v>254737</v>
      </c>
    </row>
    <row r="2137" spans="1:20" x14ac:dyDescent="0.25">
      <c r="A2137" t="s">
        <v>107</v>
      </c>
      <c r="B2137" t="s">
        <v>183</v>
      </c>
      <c r="C2137">
        <v>202603</v>
      </c>
      <c r="D2137" t="str">
        <f>MID(C2137,1,4)</f>
        <v>2026</v>
      </c>
      <c r="E2137" t="str">
        <f>IF(Portfolio!$M$1=1,CONCATENATE(A2137,C2137),CONCATENATE(B2137,C2137))</f>
        <v>MAP GROUP202603</v>
      </c>
      <c r="F2137" s="32">
        <v>0</v>
      </c>
      <c r="G2137" s="32">
        <v>5</v>
      </c>
      <c r="H2137" s="32">
        <v>7</v>
      </c>
      <c r="I2137" s="32">
        <v>0</v>
      </c>
      <c r="J2137" s="32">
        <v>0</v>
      </c>
      <c r="K2137" s="32">
        <v>0</v>
      </c>
      <c r="L2137" s="32">
        <v>6968300</v>
      </c>
      <c r="M2137" s="32">
        <v>5697300</v>
      </c>
      <c r="N2137" s="32">
        <v>0</v>
      </c>
      <c r="O2137" s="32">
        <v>0</v>
      </c>
      <c r="P2137" s="32">
        <v>0</v>
      </c>
      <c r="Q2137" s="32">
        <v>69683</v>
      </c>
      <c r="R2137" s="32">
        <v>74065</v>
      </c>
      <c r="S2137" s="32">
        <v>0</v>
      </c>
      <c r="T2137" s="32">
        <v>0</v>
      </c>
    </row>
    <row r="2138" spans="1:20" x14ac:dyDescent="0.25">
      <c r="A2138" t="s">
        <v>107</v>
      </c>
      <c r="B2138" t="s">
        <v>160</v>
      </c>
      <c r="C2138">
        <v>202603</v>
      </c>
      <c r="D2138" t="str">
        <f>MID(C2138,1,4)</f>
        <v>2026</v>
      </c>
      <c r="E2138" t="str">
        <f>IF(Portfolio!$M$1=1,CONCATENATE(A2138,C2138),CONCATENATE(B2138,C2138))</f>
        <v>MAP GROUP202603</v>
      </c>
      <c r="F2138" s="32">
        <v>0</v>
      </c>
      <c r="G2138" s="32">
        <v>2</v>
      </c>
      <c r="H2138" s="32">
        <v>2</v>
      </c>
      <c r="I2138" s="32">
        <v>0</v>
      </c>
      <c r="J2138" s="32">
        <v>0</v>
      </c>
      <c r="K2138" s="32">
        <v>0</v>
      </c>
      <c r="L2138" s="32">
        <v>6047000</v>
      </c>
      <c r="M2138" s="32">
        <v>2883000</v>
      </c>
      <c r="N2138" s="32">
        <v>0</v>
      </c>
      <c r="O2138" s="32">
        <v>0</v>
      </c>
      <c r="P2138" s="32">
        <v>0</v>
      </c>
      <c r="Q2138" s="32">
        <v>60470</v>
      </c>
      <c r="R2138" s="32">
        <v>37479</v>
      </c>
      <c r="S2138" s="32">
        <v>0</v>
      </c>
      <c r="T2138" s="32">
        <v>0</v>
      </c>
    </row>
    <row r="2139" spans="1:20" x14ac:dyDescent="0.25">
      <c r="A2139" t="s">
        <v>88</v>
      </c>
      <c r="B2139" t="s">
        <v>88</v>
      </c>
      <c r="C2139">
        <v>202603</v>
      </c>
      <c r="D2139" t="str">
        <f>MID(C2139,1,4)</f>
        <v>2026</v>
      </c>
      <c r="E2139" t="str">
        <f>IF(Portfolio!$M$1=1,CONCATENATE(A2139,C2139),CONCATENATE(B2139,C2139))</f>
        <v>HAUS202603</v>
      </c>
      <c r="F2139" s="32">
        <v>0</v>
      </c>
      <c r="G2139" s="32">
        <v>0</v>
      </c>
      <c r="H2139" s="32">
        <v>0</v>
      </c>
      <c r="I2139" s="32">
        <v>8</v>
      </c>
      <c r="J2139" s="32">
        <v>404</v>
      </c>
      <c r="K2139" s="32">
        <v>0</v>
      </c>
      <c r="L2139" s="32">
        <v>0</v>
      </c>
      <c r="M2139" s="32">
        <v>0</v>
      </c>
      <c r="N2139" s="32">
        <v>739000</v>
      </c>
      <c r="O2139" s="32">
        <v>17927196</v>
      </c>
      <c r="P2139" s="32">
        <v>0</v>
      </c>
      <c r="Q2139" s="32">
        <v>0</v>
      </c>
      <c r="R2139" s="32">
        <v>0</v>
      </c>
      <c r="S2139" s="32">
        <v>0</v>
      </c>
      <c r="T2139" s="32">
        <v>13800</v>
      </c>
    </row>
    <row r="2140" spans="1:20" x14ac:dyDescent="0.25">
      <c r="A2140" t="s">
        <v>102</v>
      </c>
      <c r="B2140" t="s">
        <v>142</v>
      </c>
      <c r="C2140">
        <v>202603</v>
      </c>
      <c r="D2140" t="str">
        <f>MID(C2140,1,4)</f>
        <v>2026</v>
      </c>
      <c r="E2140" t="str">
        <f>IF(Portfolio!$M$1=1,CONCATENATE(A2140,C2140),CONCATENATE(B2140,C2140))</f>
        <v>KAWAN LAMA202603</v>
      </c>
      <c r="F2140" s="32">
        <v>0</v>
      </c>
      <c r="G2140" s="32">
        <v>0</v>
      </c>
      <c r="H2140" s="32">
        <v>0</v>
      </c>
      <c r="I2140" s="32">
        <v>1</v>
      </c>
      <c r="J2140" s="32">
        <v>9</v>
      </c>
      <c r="K2140" s="32">
        <v>0</v>
      </c>
      <c r="L2140" s="32">
        <v>0</v>
      </c>
      <c r="M2140" s="32">
        <v>0</v>
      </c>
      <c r="N2140" s="32">
        <v>1358800</v>
      </c>
      <c r="O2140" s="32">
        <v>41384899</v>
      </c>
      <c r="P2140" s="32">
        <v>0</v>
      </c>
      <c r="Q2140" s="32">
        <v>0</v>
      </c>
      <c r="R2140" s="32">
        <v>0</v>
      </c>
      <c r="S2140" s="32">
        <v>9512</v>
      </c>
      <c r="T2140" s="32">
        <v>287835</v>
      </c>
    </row>
    <row r="2141" spans="1:20" x14ac:dyDescent="0.25">
      <c r="A2141" t="s">
        <v>107</v>
      </c>
      <c r="B2141" t="s">
        <v>203</v>
      </c>
      <c r="C2141">
        <v>202603</v>
      </c>
      <c r="D2141" t="str">
        <f>MID(C2141,1,4)</f>
        <v>2026</v>
      </c>
      <c r="E2141" t="str">
        <f>IF(Portfolio!$M$1=1,CONCATENATE(A2141,C2141),CONCATENATE(B2141,C2141))</f>
        <v>MAP GROUP202603</v>
      </c>
      <c r="F2141" s="32">
        <v>0</v>
      </c>
      <c r="G2141" s="32">
        <v>15</v>
      </c>
      <c r="H2141" s="32">
        <v>27</v>
      </c>
      <c r="I2141" s="32">
        <v>0</v>
      </c>
      <c r="J2141" s="32">
        <v>0</v>
      </c>
      <c r="K2141" s="32">
        <v>0</v>
      </c>
      <c r="L2141" s="32">
        <v>6920300</v>
      </c>
      <c r="M2141" s="32">
        <v>17533600</v>
      </c>
      <c r="N2141" s="32">
        <v>0</v>
      </c>
      <c r="O2141" s="32">
        <v>0</v>
      </c>
      <c r="P2141" s="32">
        <v>0</v>
      </c>
      <c r="Q2141" s="32">
        <v>62683</v>
      </c>
      <c r="R2141" s="32">
        <v>227937</v>
      </c>
      <c r="S2141" s="32">
        <v>0</v>
      </c>
      <c r="T2141" s="32">
        <v>0</v>
      </c>
    </row>
    <row r="2142" spans="1:20" x14ac:dyDescent="0.25">
      <c r="A2142" t="s">
        <v>118</v>
      </c>
      <c r="B2142" t="s">
        <v>118</v>
      </c>
      <c r="C2142">
        <v>202603</v>
      </c>
      <c r="D2142" t="str">
        <f>MID(C2142,1,4)</f>
        <v>2026</v>
      </c>
      <c r="E2142" t="str">
        <f>IF(Portfolio!$M$1=1,CONCATENATE(A2142,C2142),CONCATENATE(B2142,C2142))</f>
        <v>SARINAH202603</v>
      </c>
      <c r="F2142" s="32">
        <v>0</v>
      </c>
      <c r="G2142" s="32">
        <v>24</v>
      </c>
      <c r="H2142" s="32">
        <v>8</v>
      </c>
      <c r="I2142" s="32">
        <v>0</v>
      </c>
      <c r="J2142" s="32">
        <v>221</v>
      </c>
      <c r="K2142" s="32">
        <v>0</v>
      </c>
      <c r="L2142" s="32">
        <v>26023047</v>
      </c>
      <c r="M2142" s="32">
        <v>3617100</v>
      </c>
      <c r="N2142" s="32">
        <v>0</v>
      </c>
      <c r="O2142" s="32">
        <v>73681519</v>
      </c>
      <c r="P2142" s="32">
        <v>0</v>
      </c>
      <c r="Q2142" s="32">
        <v>200283</v>
      </c>
      <c r="R2142" s="32">
        <v>65108</v>
      </c>
      <c r="S2142" s="32">
        <v>0</v>
      </c>
      <c r="T2142" s="32">
        <v>106856</v>
      </c>
    </row>
    <row r="2143" spans="1:20" x14ac:dyDescent="0.25">
      <c r="A2143" t="s">
        <v>103</v>
      </c>
      <c r="B2143" t="s">
        <v>146</v>
      </c>
      <c r="C2143">
        <v>202603</v>
      </c>
      <c r="D2143" t="str">
        <f>MID(C2143,1,4)</f>
        <v>2026</v>
      </c>
      <c r="E2143" t="str">
        <f>IF(Portfolio!$M$1=1,CONCATENATE(A2143,C2143),CONCATENATE(B2143,C2143))</f>
        <v>KCIC202603</v>
      </c>
      <c r="F2143" s="32">
        <v>0</v>
      </c>
      <c r="G2143" s="32">
        <v>158</v>
      </c>
      <c r="H2143" s="32">
        <v>93</v>
      </c>
      <c r="I2143" s="32">
        <v>3</v>
      </c>
      <c r="J2143" s="32">
        <v>664</v>
      </c>
      <c r="K2143" s="32">
        <v>0</v>
      </c>
      <c r="L2143" s="32">
        <v>101040000</v>
      </c>
      <c r="M2143" s="32">
        <v>66630000</v>
      </c>
      <c r="N2143" s="32">
        <v>4500000</v>
      </c>
      <c r="O2143" s="32">
        <v>546695000</v>
      </c>
      <c r="P2143" s="32">
        <v>0</v>
      </c>
      <c r="Q2143" s="32">
        <v>1007450</v>
      </c>
      <c r="R2143" s="32">
        <v>1199340</v>
      </c>
      <c r="S2143" s="32">
        <v>31500</v>
      </c>
      <c r="T2143" s="32">
        <v>3826865</v>
      </c>
    </row>
    <row r="2144" spans="1:20" x14ac:dyDescent="0.25">
      <c r="A2144" t="s">
        <v>102</v>
      </c>
      <c r="B2144" t="s">
        <v>123</v>
      </c>
      <c r="C2144">
        <v>202603</v>
      </c>
      <c r="D2144" t="str">
        <f>MID(C2144,1,4)</f>
        <v>2026</v>
      </c>
      <c r="E2144" t="str">
        <f>IF(Portfolio!$M$1=1,CONCATENATE(A2144,C2144),CONCATENATE(B2144,C2144))</f>
        <v>KAWAN LAMA202603</v>
      </c>
      <c r="F2144" s="32">
        <v>0</v>
      </c>
      <c r="G2144" s="32">
        <v>0</v>
      </c>
      <c r="H2144" s="32">
        <v>0</v>
      </c>
      <c r="I2144" s="32">
        <v>234</v>
      </c>
      <c r="J2144" s="32">
        <v>57</v>
      </c>
      <c r="K2144" s="32">
        <v>0</v>
      </c>
      <c r="L2144" s="32">
        <v>0</v>
      </c>
      <c r="M2144" s="32">
        <v>0</v>
      </c>
      <c r="N2144" s="32">
        <v>168127764</v>
      </c>
      <c r="O2144" s="32">
        <v>676349748</v>
      </c>
      <c r="P2144" s="32">
        <v>0</v>
      </c>
      <c r="Q2144" s="32">
        <v>0</v>
      </c>
      <c r="R2144" s="32">
        <v>0</v>
      </c>
      <c r="S2144" s="32">
        <v>1176889</v>
      </c>
      <c r="T2144" s="32">
        <v>4734440</v>
      </c>
    </row>
    <row r="2145" spans="1:20" x14ac:dyDescent="0.25">
      <c r="A2145" t="s">
        <v>102</v>
      </c>
      <c r="B2145" t="s">
        <v>125</v>
      </c>
      <c r="C2145">
        <v>202603</v>
      </c>
      <c r="D2145" t="str">
        <f>MID(C2145,1,4)</f>
        <v>2026</v>
      </c>
      <c r="E2145" t="str">
        <f>IF(Portfolio!$M$1=1,CONCATENATE(A2145,C2145),CONCATENATE(B2145,C2145))</f>
        <v>KAWAN LAMA202603</v>
      </c>
      <c r="F2145" s="32">
        <v>0</v>
      </c>
      <c r="G2145" s="32">
        <v>0</v>
      </c>
      <c r="H2145" s="32">
        <v>0</v>
      </c>
      <c r="I2145" s="32">
        <v>3</v>
      </c>
      <c r="J2145" s="32">
        <v>62</v>
      </c>
      <c r="K2145" s="32">
        <v>0</v>
      </c>
      <c r="L2145" s="32">
        <v>0</v>
      </c>
      <c r="M2145" s="32">
        <v>0</v>
      </c>
      <c r="N2145" s="32">
        <v>219000</v>
      </c>
      <c r="O2145" s="32">
        <v>13489004</v>
      </c>
      <c r="P2145" s="32">
        <v>0</v>
      </c>
      <c r="Q2145" s="32">
        <v>0</v>
      </c>
      <c r="R2145" s="32">
        <v>0</v>
      </c>
      <c r="S2145" s="32">
        <v>1533</v>
      </c>
      <c r="T2145" s="32">
        <v>94325</v>
      </c>
    </row>
    <row r="2146" spans="1:20" x14ac:dyDescent="0.25">
      <c r="A2146" t="s">
        <v>105</v>
      </c>
      <c r="B2146" t="s">
        <v>148</v>
      </c>
      <c r="C2146">
        <v>202603</v>
      </c>
      <c r="D2146" t="str">
        <f>MID(C2146,1,4)</f>
        <v>2026</v>
      </c>
      <c r="E2146" t="str">
        <f>IF(Portfolio!$M$1=1,CONCATENATE(A2146,C2146),CONCATENATE(B2146,C2146))</f>
        <v>LOTTE GROUP202603</v>
      </c>
      <c r="F2146" s="32">
        <v>0</v>
      </c>
      <c r="G2146" s="32">
        <v>6</v>
      </c>
      <c r="H2146" s="32">
        <v>2</v>
      </c>
      <c r="I2146" s="32">
        <v>0</v>
      </c>
      <c r="J2146" s="32">
        <v>31</v>
      </c>
      <c r="K2146" s="32">
        <v>0</v>
      </c>
      <c r="L2146" s="32">
        <v>9733011</v>
      </c>
      <c r="M2146" s="32">
        <v>6794000</v>
      </c>
      <c r="N2146" s="32">
        <v>0</v>
      </c>
      <c r="O2146" s="32">
        <v>7719330</v>
      </c>
      <c r="P2146" s="32">
        <v>0</v>
      </c>
      <c r="Q2146" s="32">
        <v>0</v>
      </c>
      <c r="R2146" s="32">
        <v>135880</v>
      </c>
      <c r="S2146" s="32">
        <v>0</v>
      </c>
      <c r="T2146" s="32">
        <v>54035</v>
      </c>
    </row>
    <row r="2147" spans="1:20" x14ac:dyDescent="0.25">
      <c r="A2147" t="s">
        <v>107</v>
      </c>
      <c r="B2147" t="s">
        <v>176</v>
      </c>
      <c r="C2147">
        <v>202603</v>
      </c>
      <c r="D2147" t="str">
        <f>MID(C2147,1,4)</f>
        <v>2026</v>
      </c>
      <c r="E2147" t="str">
        <f>IF(Portfolio!$M$1=1,CONCATENATE(A2147,C2147),CONCATENATE(B2147,C2147))</f>
        <v>MAP GROUP202603</v>
      </c>
      <c r="F2147" s="32">
        <v>0</v>
      </c>
      <c r="G2147" s="32">
        <v>5</v>
      </c>
      <c r="H2147" s="32">
        <v>9</v>
      </c>
      <c r="I2147" s="32">
        <v>0</v>
      </c>
      <c r="J2147" s="32">
        <v>0</v>
      </c>
      <c r="K2147" s="32">
        <v>0</v>
      </c>
      <c r="L2147" s="32">
        <v>2451820</v>
      </c>
      <c r="M2147" s="32">
        <v>4635510</v>
      </c>
      <c r="N2147" s="32">
        <v>0</v>
      </c>
      <c r="O2147" s="32">
        <v>0</v>
      </c>
      <c r="P2147" s="32">
        <v>0</v>
      </c>
      <c r="Q2147" s="32">
        <v>22448</v>
      </c>
      <c r="R2147" s="32">
        <v>60262</v>
      </c>
      <c r="S2147" s="32">
        <v>0</v>
      </c>
      <c r="T2147" s="32">
        <v>0</v>
      </c>
    </row>
    <row r="2148" spans="1:20" x14ac:dyDescent="0.25">
      <c r="A2148" t="s">
        <v>102</v>
      </c>
      <c r="B2148" t="s">
        <v>137</v>
      </c>
      <c r="C2148">
        <v>202603</v>
      </c>
      <c r="D2148" t="str">
        <f>MID(C2148,1,4)</f>
        <v>2026</v>
      </c>
      <c r="E2148" t="str">
        <f>IF(Portfolio!$M$1=1,CONCATENATE(A2148,C2148),CONCATENATE(B2148,C2148))</f>
        <v>KAWAN LAMA202603</v>
      </c>
      <c r="F2148" s="32">
        <v>0</v>
      </c>
      <c r="G2148" s="32">
        <v>0</v>
      </c>
      <c r="H2148" s="32">
        <v>0</v>
      </c>
      <c r="I2148" s="32">
        <v>0</v>
      </c>
      <c r="J2148" s="32">
        <v>1</v>
      </c>
      <c r="K2148" s="32">
        <v>0</v>
      </c>
      <c r="L2148" s="32">
        <v>0</v>
      </c>
      <c r="M2148" s="32">
        <v>0</v>
      </c>
      <c r="N2148" s="32">
        <v>0</v>
      </c>
      <c r="O2148" s="32">
        <v>78321601</v>
      </c>
      <c r="P2148" s="32">
        <v>0</v>
      </c>
      <c r="Q2148" s="32">
        <v>0</v>
      </c>
      <c r="R2148" s="32">
        <v>0</v>
      </c>
      <c r="S2148" s="32">
        <v>0</v>
      </c>
      <c r="T2148" s="32">
        <v>548252</v>
      </c>
    </row>
    <row r="2149" spans="1:20" x14ac:dyDescent="0.25">
      <c r="A2149" t="s">
        <v>107</v>
      </c>
      <c r="B2149" t="s">
        <v>199</v>
      </c>
      <c r="C2149">
        <v>202603</v>
      </c>
      <c r="D2149" t="str">
        <f>MID(C2149,1,4)</f>
        <v>2026</v>
      </c>
      <c r="E2149" t="str">
        <f>IF(Portfolio!$M$1=1,CONCATENATE(A2149,C2149),CONCATENATE(B2149,C2149))</f>
        <v>MAP GROUP202603</v>
      </c>
      <c r="F2149" s="32">
        <v>0</v>
      </c>
      <c r="G2149" s="32">
        <v>6</v>
      </c>
      <c r="H2149" s="32">
        <v>15</v>
      </c>
      <c r="I2149" s="32">
        <v>0</v>
      </c>
      <c r="J2149" s="32">
        <v>0</v>
      </c>
      <c r="K2149" s="32">
        <v>0</v>
      </c>
      <c r="L2149" s="32">
        <v>7350100</v>
      </c>
      <c r="M2149" s="32">
        <v>17495160</v>
      </c>
      <c r="N2149" s="32">
        <v>0</v>
      </c>
      <c r="O2149" s="32">
        <v>0</v>
      </c>
      <c r="P2149" s="32">
        <v>0</v>
      </c>
      <c r="Q2149" s="32">
        <v>73501</v>
      </c>
      <c r="R2149" s="32">
        <v>227437</v>
      </c>
      <c r="S2149" s="32">
        <v>0</v>
      </c>
      <c r="T2149" s="32">
        <v>0</v>
      </c>
    </row>
    <row r="2150" spans="1:20" x14ac:dyDescent="0.25">
      <c r="A2150" t="s">
        <v>102</v>
      </c>
      <c r="B2150" t="s">
        <v>145</v>
      </c>
      <c r="C2150">
        <v>202603</v>
      </c>
      <c r="D2150" t="str">
        <f>MID(C2150,1,4)</f>
        <v>2026</v>
      </c>
      <c r="E2150" t="str">
        <f>IF(Portfolio!$M$1=1,CONCATENATE(A2150,C2150),CONCATENATE(B2150,C2150))</f>
        <v>KAWAN LAMA202603</v>
      </c>
      <c r="F2150" s="32">
        <v>0</v>
      </c>
      <c r="G2150" s="32">
        <v>2</v>
      </c>
      <c r="H2150" s="32">
        <v>2</v>
      </c>
      <c r="I2150" s="32">
        <v>18</v>
      </c>
      <c r="J2150" s="32">
        <v>26</v>
      </c>
      <c r="K2150" s="32">
        <v>0</v>
      </c>
      <c r="L2150" s="32">
        <v>586400</v>
      </c>
      <c r="M2150" s="32">
        <v>706050</v>
      </c>
      <c r="N2150" s="32">
        <v>6101620</v>
      </c>
      <c r="O2150" s="32">
        <v>3230354</v>
      </c>
      <c r="P2150" s="32">
        <v>0</v>
      </c>
      <c r="Q2150" s="32">
        <v>5864</v>
      </c>
      <c r="R2150" s="32">
        <v>8473</v>
      </c>
      <c r="S2150" s="32">
        <v>42712</v>
      </c>
      <c r="T2150" s="32">
        <v>22611</v>
      </c>
    </row>
    <row r="2151" spans="1:20" x14ac:dyDescent="0.25">
      <c r="A2151" t="s">
        <v>75</v>
      </c>
      <c r="B2151" t="s">
        <v>95</v>
      </c>
      <c r="C2151">
        <v>202603</v>
      </c>
      <c r="D2151" t="str">
        <f>MID(C2151,1,4)</f>
        <v>2026</v>
      </c>
      <c r="E2151" t="str">
        <f>IF(Portfolio!$M$1=1,CONCATENATE(A2151,C2151),CONCATENATE(B2151,C2151))</f>
        <v>CHAMP RESTO202603</v>
      </c>
      <c r="F2151" s="32">
        <v>0</v>
      </c>
      <c r="G2151" s="32">
        <v>0</v>
      </c>
      <c r="H2151" s="32">
        <v>0</v>
      </c>
      <c r="I2151" s="32">
        <v>0</v>
      </c>
      <c r="J2151" s="32">
        <v>22</v>
      </c>
      <c r="K2151" s="32">
        <v>0</v>
      </c>
      <c r="L2151" s="32">
        <v>0</v>
      </c>
      <c r="M2151" s="32">
        <v>0</v>
      </c>
      <c r="N2151" s="32">
        <v>0</v>
      </c>
      <c r="O2151" s="32">
        <v>15323706</v>
      </c>
      <c r="P2151" s="32">
        <v>0</v>
      </c>
      <c r="Q2151" s="32">
        <v>0</v>
      </c>
      <c r="R2151" s="32">
        <v>0</v>
      </c>
      <c r="S2151" s="32">
        <v>0</v>
      </c>
      <c r="T2151" s="32">
        <v>107265</v>
      </c>
    </row>
    <row r="2152" spans="1:20" x14ac:dyDescent="0.25">
      <c r="A2152" t="s">
        <v>78</v>
      </c>
      <c r="B2152" t="s">
        <v>98</v>
      </c>
      <c r="C2152">
        <v>202603</v>
      </c>
      <c r="D2152" t="str">
        <f>MID(C2152,1,4)</f>
        <v>2026</v>
      </c>
      <c r="E2152" t="str">
        <f>IF(Portfolio!$M$1=1,CONCATENATE(A2152,C2152),CONCATENATE(B2152,C2152))</f>
        <v>DELTA WIBAWA BERSAMA202603</v>
      </c>
      <c r="F2152" s="32">
        <v>0</v>
      </c>
      <c r="G2152" s="32">
        <v>2</v>
      </c>
      <c r="H2152" s="32">
        <v>0</v>
      </c>
      <c r="I2152" s="32">
        <v>0</v>
      </c>
      <c r="J2152" s="32">
        <v>318</v>
      </c>
      <c r="K2152" s="32">
        <v>0</v>
      </c>
      <c r="L2152" s="32">
        <v>1808635</v>
      </c>
      <c r="M2152" s="32">
        <v>0</v>
      </c>
      <c r="N2152" s="32">
        <v>0</v>
      </c>
      <c r="O2152" s="32">
        <v>72445595</v>
      </c>
      <c r="P2152" s="32">
        <v>0</v>
      </c>
      <c r="Q2152" s="32">
        <v>18086</v>
      </c>
      <c r="R2152" s="32">
        <v>0</v>
      </c>
      <c r="S2152" s="32">
        <v>0</v>
      </c>
      <c r="T2152" s="32">
        <v>507117</v>
      </c>
    </row>
    <row r="2153" spans="1:20" x14ac:dyDescent="0.25">
      <c r="A2153" t="s">
        <v>105</v>
      </c>
      <c r="B2153" t="s">
        <v>149</v>
      </c>
      <c r="C2153">
        <v>202603</v>
      </c>
      <c r="D2153" t="str">
        <f>MID(C2153,1,4)</f>
        <v>2026</v>
      </c>
      <c r="E2153" t="str">
        <f>IF(Portfolio!$M$1=1,CONCATENATE(A2153,C2153),CONCATENATE(B2153,C2153))</f>
        <v>LOTTE GROUP202603</v>
      </c>
      <c r="F2153" s="32">
        <v>0</v>
      </c>
      <c r="G2153" s="32">
        <v>1</v>
      </c>
      <c r="H2153" s="32">
        <v>2</v>
      </c>
      <c r="I2153" s="32">
        <v>0</v>
      </c>
      <c r="J2153" s="32">
        <v>1</v>
      </c>
      <c r="K2153" s="32">
        <v>0</v>
      </c>
      <c r="L2153" s="32">
        <v>1783600</v>
      </c>
      <c r="M2153" s="32">
        <v>754100</v>
      </c>
      <c r="N2153" s="32">
        <v>0</v>
      </c>
      <c r="O2153" s="32">
        <v>5422000</v>
      </c>
      <c r="P2153" s="32">
        <v>0</v>
      </c>
      <c r="Q2153" s="32">
        <v>0</v>
      </c>
      <c r="R2153" s="32">
        <v>15082</v>
      </c>
      <c r="S2153" s="32">
        <v>0</v>
      </c>
      <c r="T2153" s="32">
        <v>37954</v>
      </c>
    </row>
    <row r="2154" spans="1:20" x14ac:dyDescent="0.25">
      <c r="A2154" t="s">
        <v>124</v>
      </c>
      <c r="B2154" t="s">
        <v>124</v>
      </c>
      <c r="C2154">
        <v>202603</v>
      </c>
      <c r="D2154" t="str">
        <f>MID(C2154,1,4)</f>
        <v>2026</v>
      </c>
      <c r="E2154" t="str">
        <f>IF(Portfolio!$M$1=1,CONCATENATE(A2154,C2154),CONCATENATE(B2154,C2154))</f>
        <v>SOUR SALLY202603</v>
      </c>
      <c r="F2154" s="32">
        <v>0</v>
      </c>
      <c r="G2154" s="32">
        <v>8</v>
      </c>
      <c r="H2154" s="32">
        <v>0</v>
      </c>
      <c r="I2154" s="32">
        <v>19</v>
      </c>
      <c r="J2154" s="32">
        <v>239</v>
      </c>
      <c r="K2154" s="32">
        <v>0</v>
      </c>
      <c r="L2154" s="32">
        <v>928000</v>
      </c>
      <c r="M2154" s="32">
        <v>0</v>
      </c>
      <c r="N2154" s="32">
        <v>1362000</v>
      </c>
      <c r="O2154" s="32">
        <v>22597919</v>
      </c>
      <c r="P2154" s="32">
        <v>0</v>
      </c>
      <c r="Q2154" s="32">
        <v>9280</v>
      </c>
      <c r="R2154" s="32">
        <v>0</v>
      </c>
      <c r="S2154" s="32">
        <v>9534</v>
      </c>
      <c r="T2154" s="32">
        <v>158185</v>
      </c>
    </row>
    <row r="2155" spans="1:20" x14ac:dyDescent="0.25">
      <c r="A2155" t="s">
        <v>67</v>
      </c>
      <c r="B2155" t="s">
        <v>69</v>
      </c>
      <c r="C2155">
        <v>202603</v>
      </c>
      <c r="D2155" t="str">
        <f>MID(C2155,1,4)</f>
        <v>2026</v>
      </c>
      <c r="E2155" t="str">
        <f>IF(Portfolio!$M$1=1,CONCATENATE(A2155,C2155),CONCATENATE(B2155,C2155))</f>
        <v>ALFA GROUP202603</v>
      </c>
      <c r="F2155" s="32">
        <v>0</v>
      </c>
      <c r="G2155" s="32">
        <v>15</v>
      </c>
      <c r="H2155" s="32">
        <v>0</v>
      </c>
      <c r="I2155" s="32">
        <v>0</v>
      </c>
      <c r="J2155" s="32">
        <v>0</v>
      </c>
      <c r="K2155" s="32">
        <v>0</v>
      </c>
      <c r="L2155" s="32">
        <v>2646300</v>
      </c>
      <c r="M2155" s="32">
        <v>0</v>
      </c>
      <c r="N2155" s="32">
        <v>0</v>
      </c>
      <c r="O2155" s="32">
        <v>0</v>
      </c>
      <c r="P2155" s="32">
        <v>0</v>
      </c>
      <c r="Q2155" s="32">
        <v>26463</v>
      </c>
      <c r="R2155" s="32">
        <v>0</v>
      </c>
      <c r="S2155" s="32">
        <v>0</v>
      </c>
      <c r="T2155" s="32">
        <v>0</v>
      </c>
    </row>
    <row r="2156" spans="1:20" x14ac:dyDescent="0.25">
      <c r="A2156" t="s">
        <v>107</v>
      </c>
      <c r="B2156" t="s">
        <v>204</v>
      </c>
      <c r="C2156">
        <v>202603</v>
      </c>
      <c r="D2156" t="str">
        <f>MID(C2156,1,4)</f>
        <v>2026</v>
      </c>
      <c r="E2156" t="str">
        <f>IF(Portfolio!$M$1=1,CONCATENATE(A2156,C2156),CONCATENATE(B2156,C2156))</f>
        <v>MAP GROUP202603</v>
      </c>
      <c r="F2156" s="32">
        <v>0</v>
      </c>
      <c r="G2156" s="32">
        <v>1</v>
      </c>
      <c r="H2156" s="32">
        <v>6</v>
      </c>
      <c r="I2156" s="32">
        <v>0</v>
      </c>
      <c r="J2156" s="32">
        <v>0</v>
      </c>
      <c r="K2156" s="32">
        <v>0</v>
      </c>
      <c r="L2156" s="32">
        <v>3203400</v>
      </c>
      <c r="M2156" s="32">
        <v>13871160</v>
      </c>
      <c r="N2156" s="32">
        <v>0</v>
      </c>
      <c r="O2156" s="32">
        <v>0</v>
      </c>
      <c r="P2156" s="32">
        <v>0</v>
      </c>
      <c r="Q2156" s="32">
        <v>32034</v>
      </c>
      <c r="R2156" s="32">
        <v>180325</v>
      </c>
      <c r="S2156" s="32">
        <v>0</v>
      </c>
      <c r="T2156" s="32">
        <v>0</v>
      </c>
    </row>
    <row r="2157" spans="1:20" x14ac:dyDescent="0.25">
      <c r="A2157" t="s">
        <v>260</v>
      </c>
      <c r="B2157" t="s">
        <v>260</v>
      </c>
      <c r="C2157">
        <v>202603</v>
      </c>
      <c r="D2157" t="str">
        <f>MID(C2157,1,4)</f>
        <v>2026</v>
      </c>
      <c r="E2157" t="str">
        <f>IF(Portfolio!$M$1=1,CONCATENATE(A2157,C2157),CONCATENATE(B2157,C2157))</f>
        <v>MIXUE202603</v>
      </c>
      <c r="F2157" s="32">
        <v>0</v>
      </c>
      <c r="G2157" s="32">
        <v>27</v>
      </c>
      <c r="H2157" s="32">
        <v>0</v>
      </c>
      <c r="I2157" s="32">
        <v>97</v>
      </c>
      <c r="J2157" s="32">
        <v>10810</v>
      </c>
      <c r="K2157" s="32">
        <v>0</v>
      </c>
      <c r="L2157" s="32">
        <v>1079000</v>
      </c>
      <c r="M2157" s="32">
        <v>0</v>
      </c>
      <c r="N2157" s="32">
        <v>3002000</v>
      </c>
      <c r="O2157" s="32">
        <v>344513016</v>
      </c>
      <c r="P2157" s="32">
        <v>0</v>
      </c>
      <c r="Q2157" s="32">
        <v>10790</v>
      </c>
      <c r="R2157" s="32">
        <v>0</v>
      </c>
      <c r="S2157" s="32">
        <v>9016</v>
      </c>
      <c r="T2157" s="32">
        <v>776320</v>
      </c>
    </row>
    <row r="2158" spans="1:20" x14ac:dyDescent="0.25">
      <c r="A2158" t="s">
        <v>107</v>
      </c>
      <c r="B2158" t="s">
        <v>163</v>
      </c>
      <c r="C2158">
        <v>202603</v>
      </c>
      <c r="D2158" t="str">
        <f>MID(C2158,1,4)</f>
        <v>2026</v>
      </c>
      <c r="E2158" t="str">
        <f>IF(Portfolio!$M$1=1,CONCATENATE(A2158,C2158),CONCATENATE(B2158,C2158))</f>
        <v>MAP GROUP202603</v>
      </c>
      <c r="F2158" s="32">
        <v>0</v>
      </c>
      <c r="G2158" s="32">
        <v>5</v>
      </c>
      <c r="H2158" s="32">
        <v>10</v>
      </c>
      <c r="I2158" s="32">
        <v>0</v>
      </c>
      <c r="J2158" s="32">
        <v>0</v>
      </c>
      <c r="K2158" s="32">
        <v>0</v>
      </c>
      <c r="L2158" s="32">
        <v>3920400</v>
      </c>
      <c r="M2158" s="32">
        <v>13171350</v>
      </c>
      <c r="N2158" s="32">
        <v>0</v>
      </c>
      <c r="O2158" s="32">
        <v>0</v>
      </c>
      <c r="P2158" s="32">
        <v>0</v>
      </c>
      <c r="Q2158" s="32">
        <v>39204</v>
      </c>
      <c r="R2158" s="32">
        <v>171228</v>
      </c>
      <c r="S2158" s="32">
        <v>0</v>
      </c>
      <c r="T2158" s="32">
        <v>0</v>
      </c>
    </row>
    <row r="2159" spans="1:20" x14ac:dyDescent="0.25">
      <c r="A2159" t="s">
        <v>75</v>
      </c>
      <c r="B2159" t="s">
        <v>91</v>
      </c>
      <c r="C2159">
        <v>202603</v>
      </c>
      <c r="D2159" t="str">
        <f>MID(C2159,1,4)</f>
        <v>2026</v>
      </c>
      <c r="E2159" t="str">
        <f>IF(Portfolio!$M$1=1,CONCATENATE(A2159,C2159),CONCATENATE(B2159,C2159))</f>
        <v>CHAMP RESTO202603</v>
      </c>
      <c r="F2159" s="32">
        <v>0</v>
      </c>
      <c r="G2159" s="32">
        <v>2</v>
      </c>
      <c r="H2159" s="32">
        <v>0</v>
      </c>
      <c r="I2159" s="32">
        <v>0</v>
      </c>
      <c r="J2159" s="32">
        <v>14</v>
      </c>
      <c r="K2159" s="32">
        <v>0</v>
      </c>
      <c r="L2159" s="32">
        <v>236500</v>
      </c>
      <c r="M2159" s="32">
        <v>0</v>
      </c>
      <c r="N2159" s="32">
        <v>0</v>
      </c>
      <c r="O2159" s="32">
        <v>5675279</v>
      </c>
      <c r="P2159" s="32">
        <v>0</v>
      </c>
      <c r="Q2159" s="32">
        <v>2365</v>
      </c>
      <c r="R2159" s="32">
        <v>0</v>
      </c>
      <c r="S2159" s="32">
        <v>0</v>
      </c>
      <c r="T2159" s="32">
        <v>39726</v>
      </c>
    </row>
    <row r="2160" spans="1:20" x14ac:dyDescent="0.25">
      <c r="A2160" t="s">
        <v>107</v>
      </c>
      <c r="B2160" t="s">
        <v>178</v>
      </c>
      <c r="C2160">
        <v>202603</v>
      </c>
      <c r="D2160" t="str">
        <f>MID(C2160,1,4)</f>
        <v>2026</v>
      </c>
      <c r="E2160" t="str">
        <f>IF(Portfolio!$M$1=1,CONCATENATE(A2160,C2160),CONCATENATE(B2160,C2160))</f>
        <v>MAP GROUP202603</v>
      </c>
      <c r="F2160" s="32">
        <v>0</v>
      </c>
      <c r="G2160" s="32">
        <v>26</v>
      </c>
      <c r="H2160" s="32">
        <v>5</v>
      </c>
      <c r="I2160" s="32">
        <v>4</v>
      </c>
      <c r="J2160" s="32">
        <v>541</v>
      </c>
      <c r="K2160" s="32">
        <v>0</v>
      </c>
      <c r="L2160" s="32">
        <v>7622700</v>
      </c>
      <c r="M2160" s="32">
        <v>17491700</v>
      </c>
      <c r="N2160" s="32">
        <v>134000</v>
      </c>
      <c r="O2160" s="32">
        <v>107681499</v>
      </c>
      <c r="P2160" s="32">
        <v>0</v>
      </c>
      <c r="Q2160" s="32">
        <v>76227</v>
      </c>
      <c r="R2160" s="32">
        <v>227392</v>
      </c>
      <c r="S2160" s="32">
        <v>854</v>
      </c>
      <c r="T2160" s="32">
        <v>743691</v>
      </c>
    </row>
    <row r="2161" spans="1:20" x14ac:dyDescent="0.25">
      <c r="A2161" t="s">
        <v>101</v>
      </c>
      <c r="B2161" t="s">
        <v>117</v>
      </c>
      <c r="C2161">
        <v>202603</v>
      </c>
      <c r="D2161" t="str">
        <f>MID(C2161,1,4)</f>
        <v>2026</v>
      </c>
      <c r="E2161" t="str">
        <f>IF(Portfolio!$M$1=1,CONCATENATE(A2161,C2161),CONCATENATE(B2161,C2161))</f>
        <v>INDOMARET202603</v>
      </c>
      <c r="F2161" s="32">
        <v>0</v>
      </c>
      <c r="G2161" s="32">
        <v>60</v>
      </c>
      <c r="H2161" s="32">
        <v>10</v>
      </c>
      <c r="I2161" s="32">
        <v>0</v>
      </c>
      <c r="J2161" s="32">
        <v>0</v>
      </c>
      <c r="K2161" s="32">
        <v>0</v>
      </c>
      <c r="L2161" s="32">
        <v>4697200</v>
      </c>
      <c r="M2161" s="32">
        <v>1373300</v>
      </c>
      <c r="N2161" s="32">
        <v>0</v>
      </c>
      <c r="O2161" s="32">
        <v>0</v>
      </c>
      <c r="P2161" s="32">
        <v>0</v>
      </c>
      <c r="Q2161" s="32">
        <v>46972</v>
      </c>
      <c r="R2161" s="32">
        <v>22659</v>
      </c>
      <c r="S2161" s="32">
        <v>0</v>
      </c>
      <c r="T2161" s="32">
        <v>0</v>
      </c>
    </row>
    <row r="2162" spans="1:20" x14ac:dyDescent="0.25">
      <c r="A2162" t="s">
        <v>75</v>
      </c>
      <c r="B2162" t="s">
        <v>85</v>
      </c>
      <c r="C2162">
        <v>202603</v>
      </c>
      <c r="D2162" t="str">
        <f>MID(C2162,1,4)</f>
        <v>2026</v>
      </c>
      <c r="E2162" t="str">
        <f>IF(Portfolio!$M$1=1,CONCATENATE(A2162,C2162),CONCATENATE(B2162,C2162))</f>
        <v>CHAMP RESTO202603</v>
      </c>
      <c r="F2162" s="32">
        <v>0</v>
      </c>
      <c r="G2162" s="32">
        <v>7</v>
      </c>
      <c r="H2162" s="32">
        <v>0</v>
      </c>
      <c r="I2162" s="32">
        <v>0</v>
      </c>
      <c r="J2162" s="32">
        <v>39</v>
      </c>
      <c r="K2162" s="32">
        <v>0</v>
      </c>
      <c r="L2162" s="32">
        <v>1061000</v>
      </c>
      <c r="M2162" s="32">
        <v>0</v>
      </c>
      <c r="N2162" s="32">
        <v>0</v>
      </c>
      <c r="O2162" s="32">
        <v>8145877</v>
      </c>
      <c r="P2162" s="32">
        <v>0</v>
      </c>
      <c r="Q2162" s="32">
        <v>10610</v>
      </c>
      <c r="R2162" s="32">
        <v>0</v>
      </c>
      <c r="S2162" s="32">
        <v>0</v>
      </c>
      <c r="T2162" s="32">
        <v>57021</v>
      </c>
    </row>
    <row r="2163" spans="1:20" x14ac:dyDescent="0.25">
      <c r="A2163" t="s">
        <v>107</v>
      </c>
      <c r="B2163" t="s">
        <v>174</v>
      </c>
      <c r="C2163">
        <v>202603</v>
      </c>
      <c r="D2163" t="str">
        <f>MID(C2163,1,4)</f>
        <v>2026</v>
      </c>
      <c r="E2163" t="str">
        <f>IF(Portfolio!$M$1=1,CONCATENATE(A2163,C2163),CONCATENATE(B2163,C2163))</f>
        <v>MAP GROUP202603</v>
      </c>
      <c r="F2163" s="32">
        <v>0</v>
      </c>
      <c r="G2163" s="32">
        <v>0</v>
      </c>
      <c r="H2163" s="32">
        <v>1</v>
      </c>
      <c r="I2163" s="32">
        <v>0</v>
      </c>
      <c r="J2163" s="32">
        <v>0</v>
      </c>
      <c r="K2163" s="32">
        <v>0</v>
      </c>
      <c r="L2163" s="32">
        <v>0</v>
      </c>
      <c r="M2163" s="32">
        <v>2599000</v>
      </c>
      <c r="N2163" s="32">
        <v>0</v>
      </c>
      <c r="O2163" s="32">
        <v>0</v>
      </c>
      <c r="P2163" s="32">
        <v>0</v>
      </c>
      <c r="Q2163" s="32">
        <v>0</v>
      </c>
      <c r="R2163" s="32">
        <v>33787</v>
      </c>
      <c r="S2163" s="32">
        <v>0</v>
      </c>
      <c r="T2163" s="32">
        <v>0</v>
      </c>
    </row>
    <row r="2164" spans="1:20" x14ac:dyDescent="0.25">
      <c r="A2164" t="s">
        <v>102</v>
      </c>
      <c r="B2164" t="s">
        <v>263</v>
      </c>
      <c r="C2164">
        <v>202603</v>
      </c>
      <c r="D2164" t="str">
        <f>MID(C2164,1,4)</f>
        <v>2026</v>
      </c>
      <c r="E2164" t="str">
        <f>IF(Portfolio!$M$1=1,CONCATENATE(A2164,C2164),CONCATENATE(B2164,C2164))</f>
        <v>KAWAN LAMA202603</v>
      </c>
      <c r="F2164" s="32">
        <v>0</v>
      </c>
      <c r="G2164" s="32">
        <v>0</v>
      </c>
      <c r="H2164" s="32">
        <v>0</v>
      </c>
      <c r="I2164" s="32">
        <v>2</v>
      </c>
      <c r="J2164" s="32">
        <v>6</v>
      </c>
      <c r="K2164" s="32">
        <v>0</v>
      </c>
      <c r="L2164" s="32">
        <v>0</v>
      </c>
      <c r="M2164" s="32">
        <v>0</v>
      </c>
      <c r="N2164" s="32">
        <v>210000</v>
      </c>
      <c r="O2164" s="32">
        <v>2287001</v>
      </c>
      <c r="P2164" s="32">
        <v>0</v>
      </c>
      <c r="Q2164" s="32">
        <v>0</v>
      </c>
      <c r="R2164" s="32">
        <v>0</v>
      </c>
      <c r="S2164" s="32">
        <v>1470</v>
      </c>
      <c r="T2164" s="32">
        <v>16009</v>
      </c>
    </row>
    <row r="2165" spans="1:20" x14ac:dyDescent="0.25">
      <c r="A2165" t="s">
        <v>80</v>
      </c>
      <c r="B2165" t="s">
        <v>80</v>
      </c>
      <c r="C2165">
        <v>202603</v>
      </c>
      <c r="D2165" t="str">
        <f>MID(C2165,1,4)</f>
        <v>2026</v>
      </c>
      <c r="E2165" t="str">
        <f>IF(Portfolio!$M$1=1,CONCATENATE(A2165,C2165),CONCATENATE(B2165,C2165))</f>
        <v>DWIDAYA202603</v>
      </c>
      <c r="F2165" s="32">
        <v>0</v>
      </c>
      <c r="G2165" s="32">
        <v>0</v>
      </c>
      <c r="H2165" s="32">
        <v>0</v>
      </c>
      <c r="I2165" s="32">
        <v>0</v>
      </c>
      <c r="J2165" s="32">
        <v>44</v>
      </c>
      <c r="K2165" s="32">
        <v>0</v>
      </c>
      <c r="L2165" s="32">
        <v>0</v>
      </c>
      <c r="M2165" s="32">
        <v>0</v>
      </c>
      <c r="N2165" s="32">
        <v>0</v>
      </c>
      <c r="O2165" s="32">
        <v>111860000</v>
      </c>
      <c r="P2165" s="32">
        <v>0</v>
      </c>
      <c r="Q2165" s="32">
        <v>0</v>
      </c>
      <c r="R2165" s="32">
        <v>0</v>
      </c>
      <c r="S2165" s="32">
        <v>0</v>
      </c>
      <c r="T2165" s="32">
        <v>783020</v>
      </c>
    </row>
    <row r="2166" spans="1:20" x14ac:dyDescent="0.25">
      <c r="A2166" t="s">
        <v>107</v>
      </c>
      <c r="B2166" t="s">
        <v>206</v>
      </c>
      <c r="C2166">
        <v>202603</v>
      </c>
      <c r="D2166" t="str">
        <f>MID(C2166,1,4)</f>
        <v>2026</v>
      </c>
      <c r="E2166" t="str">
        <f>IF(Portfolio!$M$1=1,CONCATENATE(A2166,C2166),CONCATENATE(B2166,C2166))</f>
        <v>MAP GROUP202603</v>
      </c>
      <c r="F2166" s="32">
        <v>0</v>
      </c>
      <c r="G2166" s="32">
        <v>3</v>
      </c>
      <c r="H2166" s="32">
        <v>7</v>
      </c>
      <c r="I2166" s="32">
        <v>0</v>
      </c>
      <c r="J2166" s="32">
        <v>0</v>
      </c>
      <c r="K2166" s="32">
        <v>0</v>
      </c>
      <c r="L2166" s="32">
        <v>3417900</v>
      </c>
      <c r="M2166" s="32">
        <v>12542320</v>
      </c>
      <c r="N2166" s="32">
        <v>0</v>
      </c>
      <c r="O2166" s="32">
        <v>0</v>
      </c>
      <c r="P2166" s="32">
        <v>0</v>
      </c>
      <c r="Q2166" s="32">
        <v>34179</v>
      </c>
      <c r="R2166" s="32">
        <v>163050</v>
      </c>
      <c r="S2166" s="32">
        <v>0</v>
      </c>
      <c r="T2166" s="32">
        <v>0</v>
      </c>
    </row>
    <row r="2167" spans="1:20" x14ac:dyDescent="0.25">
      <c r="A2167" t="s">
        <v>126</v>
      </c>
      <c r="B2167" t="s">
        <v>221</v>
      </c>
      <c r="C2167">
        <v>202603</v>
      </c>
      <c r="D2167" t="str">
        <f>MID(C2167,1,4)</f>
        <v>2026</v>
      </c>
      <c r="E2167" t="str">
        <f>IF(Portfolio!$M$1=1,CONCATENATE(A2167,C2167),CONCATENATE(B2167,C2167))</f>
        <v>STEVEN GROUP202603</v>
      </c>
      <c r="F2167" s="32">
        <v>0</v>
      </c>
      <c r="G2167" s="32">
        <v>0</v>
      </c>
      <c r="H2167" s="32">
        <v>0</v>
      </c>
      <c r="I2167" s="32">
        <v>6</v>
      </c>
      <c r="J2167" s="32">
        <v>273</v>
      </c>
      <c r="K2167" s="32">
        <v>0</v>
      </c>
      <c r="L2167" s="32">
        <v>0</v>
      </c>
      <c r="M2167" s="32">
        <v>0</v>
      </c>
      <c r="N2167" s="32">
        <v>151000</v>
      </c>
      <c r="O2167" s="32">
        <v>8721000</v>
      </c>
      <c r="P2167" s="32">
        <v>0</v>
      </c>
      <c r="Q2167" s="32">
        <v>0</v>
      </c>
      <c r="R2167" s="32">
        <v>0</v>
      </c>
      <c r="S2167" s="32">
        <v>0</v>
      </c>
      <c r="T2167" s="32">
        <v>0</v>
      </c>
    </row>
    <row r="2168" spans="1:20" x14ac:dyDescent="0.25">
      <c r="A2168" t="s">
        <v>107</v>
      </c>
      <c r="B2168" t="s">
        <v>169</v>
      </c>
      <c r="C2168">
        <v>202603</v>
      </c>
      <c r="D2168" t="str">
        <f>MID(C2168,1,4)</f>
        <v>2026</v>
      </c>
      <c r="E2168" t="str">
        <f>IF(Portfolio!$M$1=1,CONCATENATE(A2168,C2168),CONCATENATE(B2168,C2168))</f>
        <v>MAP GROUP202603</v>
      </c>
      <c r="F2168" s="32">
        <v>0</v>
      </c>
      <c r="G2168" s="32">
        <v>3</v>
      </c>
      <c r="H2168" s="32">
        <v>1</v>
      </c>
      <c r="I2168" s="32">
        <v>0</v>
      </c>
      <c r="J2168" s="32">
        <v>0</v>
      </c>
      <c r="K2168" s="32">
        <v>0</v>
      </c>
      <c r="L2168" s="32">
        <v>1227436</v>
      </c>
      <c r="M2168" s="32">
        <v>41800</v>
      </c>
      <c r="N2168" s="32">
        <v>0</v>
      </c>
      <c r="O2168" s="32">
        <v>0</v>
      </c>
      <c r="P2168" s="32">
        <v>0</v>
      </c>
      <c r="Q2168" s="32">
        <v>12274</v>
      </c>
      <c r="R2168" s="32">
        <v>543</v>
      </c>
      <c r="S2168" s="32">
        <v>0</v>
      </c>
      <c r="T2168" s="32">
        <v>0</v>
      </c>
    </row>
    <row r="2169" spans="1:20" x14ac:dyDescent="0.25">
      <c r="A2169" t="s">
        <v>102</v>
      </c>
      <c r="B2169" t="s">
        <v>131</v>
      </c>
      <c r="C2169">
        <v>202603</v>
      </c>
      <c r="D2169" t="str">
        <f>MID(C2169,1,4)</f>
        <v>2026</v>
      </c>
      <c r="E2169" t="str">
        <f>IF(Portfolio!$M$1=1,CONCATENATE(A2169,C2169),CONCATENATE(B2169,C2169))</f>
        <v>KAWAN LAMA202603</v>
      </c>
      <c r="F2169" s="32">
        <v>0</v>
      </c>
      <c r="G2169" s="32">
        <v>5</v>
      </c>
      <c r="H2169" s="32">
        <v>0</v>
      </c>
      <c r="I2169" s="32">
        <v>5</v>
      </c>
      <c r="J2169" s="32">
        <v>513</v>
      </c>
      <c r="K2169" s="32">
        <v>0</v>
      </c>
      <c r="L2169" s="32">
        <v>890600</v>
      </c>
      <c r="M2169" s="32">
        <v>0</v>
      </c>
      <c r="N2169" s="32">
        <v>735250</v>
      </c>
      <c r="O2169" s="32">
        <v>35841650</v>
      </c>
      <c r="P2169" s="32">
        <v>0</v>
      </c>
      <c r="Q2169" s="32">
        <v>8906</v>
      </c>
      <c r="R2169" s="32">
        <v>0</v>
      </c>
      <c r="S2169" s="32">
        <v>896</v>
      </c>
      <c r="T2169" s="32">
        <v>13928</v>
      </c>
    </row>
    <row r="2170" spans="1:20" x14ac:dyDescent="0.25">
      <c r="A2170" t="s">
        <v>107</v>
      </c>
      <c r="B2170" t="s">
        <v>192</v>
      </c>
      <c r="C2170">
        <v>202603</v>
      </c>
      <c r="D2170" t="str">
        <f>MID(C2170,1,4)</f>
        <v>2026</v>
      </c>
      <c r="E2170" t="str">
        <f>IF(Portfolio!$M$1=1,CONCATENATE(A2170,C2170),CONCATENATE(B2170,C2170))</f>
        <v>MAP GROUP202603</v>
      </c>
      <c r="F2170" s="32">
        <v>0</v>
      </c>
      <c r="G2170" s="32">
        <v>2</v>
      </c>
      <c r="H2170" s="32">
        <v>0</v>
      </c>
      <c r="I2170" s="32">
        <v>2</v>
      </c>
      <c r="J2170" s="32">
        <v>85</v>
      </c>
      <c r="K2170" s="32">
        <v>0</v>
      </c>
      <c r="L2170" s="32">
        <v>941400</v>
      </c>
      <c r="M2170" s="32">
        <v>0</v>
      </c>
      <c r="N2170" s="32">
        <v>180000</v>
      </c>
      <c r="O2170" s="32">
        <v>4500000</v>
      </c>
      <c r="P2170" s="32">
        <v>0</v>
      </c>
      <c r="Q2170" s="32">
        <v>9414</v>
      </c>
      <c r="R2170" s="32">
        <v>0</v>
      </c>
      <c r="S2170" s="32">
        <v>0</v>
      </c>
      <c r="T2170" s="32">
        <v>2100</v>
      </c>
    </row>
    <row r="2171" spans="1:20" x14ac:dyDescent="0.25">
      <c r="A2171" t="s">
        <v>74</v>
      </c>
      <c r="B2171" t="s">
        <v>74</v>
      </c>
      <c r="C2171">
        <v>202603</v>
      </c>
      <c r="D2171" t="str">
        <f>MID(C2171,1,4)</f>
        <v>2026</v>
      </c>
      <c r="E2171" t="str">
        <f>IF(Portfolio!$M$1=1,CONCATENATE(A2171,C2171),CONCATENATE(B2171,C2171))</f>
        <v>BEARD PAPA202603</v>
      </c>
      <c r="F2171" s="32">
        <v>0</v>
      </c>
      <c r="G2171" s="32">
        <v>0</v>
      </c>
      <c r="H2171" s="32">
        <v>0</v>
      </c>
      <c r="I2171" s="32">
        <v>0</v>
      </c>
      <c r="J2171" s="32">
        <v>19</v>
      </c>
      <c r="K2171" s="32">
        <v>0</v>
      </c>
      <c r="L2171" s="32">
        <v>0</v>
      </c>
      <c r="M2171" s="32">
        <v>0</v>
      </c>
      <c r="N2171" s="32">
        <v>0</v>
      </c>
      <c r="O2171" s="32">
        <v>11065801</v>
      </c>
      <c r="P2171" s="32">
        <v>0</v>
      </c>
      <c r="Q2171" s="32">
        <v>0</v>
      </c>
      <c r="R2171" s="32">
        <v>0</v>
      </c>
      <c r="S2171" s="32">
        <v>0</v>
      </c>
      <c r="T2171" s="32">
        <v>77460</v>
      </c>
    </row>
    <row r="2172" spans="1:20" x14ac:dyDescent="0.25">
      <c r="A2172" t="s">
        <v>78</v>
      </c>
      <c r="B2172" t="s">
        <v>100</v>
      </c>
      <c r="C2172">
        <v>202603</v>
      </c>
      <c r="D2172" t="str">
        <f>MID(C2172,1,4)</f>
        <v>2026</v>
      </c>
      <c r="E2172" t="str">
        <f>IF(Portfolio!$M$1=1,CONCATENATE(A2172,C2172),CONCATENATE(B2172,C2172))</f>
        <v>DELTA WIBAWA BERSAMA202603</v>
      </c>
      <c r="F2172" s="32">
        <v>0</v>
      </c>
      <c r="G2172" s="32">
        <v>0</v>
      </c>
      <c r="H2172" s="32">
        <v>0</v>
      </c>
      <c r="I2172" s="32">
        <v>0</v>
      </c>
      <c r="J2172" s="32">
        <v>11</v>
      </c>
      <c r="K2172" s="32">
        <v>0</v>
      </c>
      <c r="L2172" s="32">
        <v>0</v>
      </c>
      <c r="M2172" s="32">
        <v>0</v>
      </c>
      <c r="N2172" s="32">
        <v>0</v>
      </c>
      <c r="O2172" s="32">
        <v>3428040</v>
      </c>
      <c r="P2172" s="32">
        <v>0</v>
      </c>
      <c r="Q2172" s="32">
        <v>0</v>
      </c>
      <c r="R2172" s="32">
        <v>0</v>
      </c>
      <c r="S2172" s="32">
        <v>0</v>
      </c>
      <c r="T2172" s="32">
        <v>23996</v>
      </c>
    </row>
    <row r="2173" spans="1:20" x14ac:dyDescent="0.25">
      <c r="A2173" t="s">
        <v>92</v>
      </c>
      <c r="B2173" t="s">
        <v>108</v>
      </c>
      <c r="C2173">
        <v>202603</v>
      </c>
      <c r="D2173" t="str">
        <f>MID(C2173,1,4)</f>
        <v>2026</v>
      </c>
      <c r="E2173" t="str">
        <f>IF(Portfolio!$M$1=1,CONCATENATE(A2173,C2173),CONCATENATE(B2173,C2173))</f>
        <v>HERO GROUP202603</v>
      </c>
      <c r="F2173" s="32">
        <v>0</v>
      </c>
      <c r="G2173" s="32">
        <v>0</v>
      </c>
      <c r="H2173" s="32">
        <v>0</v>
      </c>
      <c r="I2173" s="32">
        <v>210</v>
      </c>
      <c r="J2173" s="32">
        <v>102</v>
      </c>
      <c r="K2173" s="32">
        <v>0</v>
      </c>
      <c r="L2173" s="32">
        <v>0</v>
      </c>
      <c r="M2173" s="32">
        <v>0</v>
      </c>
      <c r="N2173" s="32">
        <v>80876138</v>
      </c>
      <c r="O2173" s="32">
        <v>4767440</v>
      </c>
      <c r="P2173" s="32">
        <v>0</v>
      </c>
      <c r="Q2173" s="32">
        <v>0</v>
      </c>
      <c r="R2173" s="32">
        <v>0</v>
      </c>
      <c r="S2173" s="32">
        <v>139127</v>
      </c>
      <c r="T2173" s="32">
        <v>0</v>
      </c>
    </row>
    <row r="2174" spans="1:20" x14ac:dyDescent="0.25">
      <c r="A2174" t="s">
        <v>102</v>
      </c>
      <c r="B2174" t="s">
        <v>129</v>
      </c>
      <c r="C2174">
        <v>202603</v>
      </c>
      <c r="D2174" t="str">
        <f>MID(C2174,1,4)</f>
        <v>2026</v>
      </c>
      <c r="E2174" t="str">
        <f>IF(Portfolio!$M$1=1,CONCATENATE(A2174,C2174),CONCATENATE(B2174,C2174))</f>
        <v>KAWAN LAMA202603</v>
      </c>
      <c r="F2174" s="32">
        <v>0</v>
      </c>
      <c r="G2174" s="32">
        <v>0</v>
      </c>
      <c r="H2174" s="32">
        <v>0</v>
      </c>
      <c r="I2174" s="32">
        <v>0</v>
      </c>
      <c r="J2174" s="32">
        <v>3</v>
      </c>
      <c r="K2174" s="32">
        <v>0</v>
      </c>
      <c r="L2174" s="32">
        <v>0</v>
      </c>
      <c r="M2174" s="32">
        <v>0</v>
      </c>
      <c r="N2174" s="32">
        <v>0</v>
      </c>
      <c r="O2174" s="32">
        <v>1827156</v>
      </c>
      <c r="P2174" s="32">
        <v>0</v>
      </c>
      <c r="Q2174" s="32">
        <v>0</v>
      </c>
      <c r="R2174" s="32">
        <v>0</v>
      </c>
      <c r="S2174" s="32">
        <v>0</v>
      </c>
      <c r="T2174" s="32">
        <v>12790</v>
      </c>
    </row>
    <row r="2175" spans="1:20" x14ac:dyDescent="0.25">
      <c r="A2175" t="s">
        <v>107</v>
      </c>
      <c r="B2175" t="s">
        <v>159</v>
      </c>
      <c r="C2175">
        <v>202603</v>
      </c>
      <c r="D2175" t="str">
        <f>MID(C2175,1,4)</f>
        <v>2026</v>
      </c>
      <c r="E2175" t="str">
        <f>IF(Portfolio!$M$1=1,CONCATENATE(A2175,C2175),CONCATENATE(B2175,C2175))</f>
        <v>MAP GROUP202603</v>
      </c>
      <c r="F2175" s="32">
        <v>0</v>
      </c>
      <c r="G2175" s="32">
        <v>0</v>
      </c>
      <c r="H2175" s="32">
        <v>4</v>
      </c>
      <c r="I2175" s="32">
        <v>0</v>
      </c>
      <c r="J2175" s="32">
        <v>0</v>
      </c>
      <c r="K2175" s="32">
        <v>0</v>
      </c>
      <c r="L2175" s="32">
        <v>0</v>
      </c>
      <c r="M2175" s="32">
        <v>12775100</v>
      </c>
      <c r="N2175" s="32">
        <v>0</v>
      </c>
      <c r="O2175" s="32">
        <v>0</v>
      </c>
      <c r="P2175" s="32">
        <v>0</v>
      </c>
      <c r="Q2175" s="32">
        <v>0</v>
      </c>
      <c r="R2175" s="32">
        <v>166076</v>
      </c>
      <c r="S2175" s="32">
        <v>0</v>
      </c>
      <c r="T2175" s="32">
        <v>0</v>
      </c>
    </row>
    <row r="2176" spans="1:20" x14ac:dyDescent="0.25">
      <c r="A2176" t="s">
        <v>106</v>
      </c>
      <c r="B2176" t="s">
        <v>106</v>
      </c>
      <c r="C2176">
        <v>202603</v>
      </c>
      <c r="D2176" t="str">
        <f>MID(C2176,1,4)</f>
        <v>2026</v>
      </c>
      <c r="E2176" t="str">
        <f>IF(Portfolio!$M$1=1,CONCATENATE(A2176,C2176),CONCATENATE(B2176,C2176))</f>
        <v>MAMA ROZ202603</v>
      </c>
      <c r="F2176" s="32">
        <v>0</v>
      </c>
      <c r="G2176" s="32">
        <v>1</v>
      </c>
      <c r="H2176" s="32">
        <v>1</v>
      </c>
      <c r="I2176" s="32">
        <v>0</v>
      </c>
      <c r="J2176" s="32">
        <v>72</v>
      </c>
      <c r="K2176" s="32">
        <v>0</v>
      </c>
      <c r="L2176" s="32">
        <v>66600</v>
      </c>
      <c r="M2176" s="32">
        <v>1406601</v>
      </c>
      <c r="N2176" s="32">
        <v>0</v>
      </c>
      <c r="O2176" s="32">
        <v>5621761</v>
      </c>
      <c r="P2176" s="32">
        <v>0</v>
      </c>
      <c r="Q2176" s="32">
        <v>666</v>
      </c>
      <c r="R2176" s="32">
        <v>21099</v>
      </c>
      <c r="S2176" s="32">
        <v>0</v>
      </c>
      <c r="T2176" s="32">
        <v>39350</v>
      </c>
    </row>
    <row r="2177" spans="1:20" x14ac:dyDescent="0.25">
      <c r="A2177" t="s">
        <v>107</v>
      </c>
      <c r="B2177" t="s">
        <v>164</v>
      </c>
      <c r="C2177">
        <v>202603</v>
      </c>
      <c r="D2177" t="str">
        <f>MID(C2177,1,4)</f>
        <v>2026</v>
      </c>
      <c r="E2177" t="str">
        <f>IF(Portfolio!$M$1=1,CONCATENATE(A2177,C2177),CONCATENATE(B2177,C2177))</f>
        <v>MAP GROUP202603</v>
      </c>
      <c r="F2177" s="32">
        <v>0</v>
      </c>
      <c r="G2177" s="32">
        <v>0</v>
      </c>
      <c r="H2177" s="32">
        <v>3</v>
      </c>
      <c r="I2177" s="32">
        <v>0</v>
      </c>
      <c r="J2177" s="32">
        <v>0</v>
      </c>
      <c r="K2177" s="32">
        <v>0</v>
      </c>
      <c r="L2177" s="32">
        <v>0</v>
      </c>
      <c r="M2177" s="32">
        <v>7004000</v>
      </c>
      <c r="N2177" s="32">
        <v>0</v>
      </c>
      <c r="O2177" s="32">
        <v>0</v>
      </c>
      <c r="P2177" s="32">
        <v>0</v>
      </c>
      <c r="Q2177" s="32">
        <v>0</v>
      </c>
      <c r="R2177" s="32">
        <v>91052</v>
      </c>
      <c r="S2177" s="32">
        <v>0</v>
      </c>
      <c r="T2177" s="32">
        <v>0</v>
      </c>
    </row>
    <row r="2178" spans="1:20" x14ac:dyDescent="0.25">
      <c r="A2178" t="s">
        <v>107</v>
      </c>
      <c r="B2178" t="s">
        <v>189</v>
      </c>
      <c r="C2178">
        <v>202603</v>
      </c>
      <c r="D2178" t="str">
        <f>MID(C2178,1,4)</f>
        <v>2026</v>
      </c>
      <c r="E2178" t="str">
        <f>IF(Portfolio!$M$1=1,CONCATENATE(A2178,C2178),CONCATENATE(B2178,C2178))</f>
        <v>MAP GROUP202603</v>
      </c>
      <c r="F2178" s="32">
        <v>0</v>
      </c>
      <c r="G2178" s="32">
        <v>3</v>
      </c>
      <c r="H2178" s="32">
        <v>3</v>
      </c>
      <c r="I2178" s="32">
        <v>0</v>
      </c>
      <c r="J2178" s="32">
        <v>0</v>
      </c>
      <c r="K2178" s="32">
        <v>0</v>
      </c>
      <c r="L2178" s="32">
        <v>2667500</v>
      </c>
      <c r="M2178" s="32">
        <v>5857000</v>
      </c>
      <c r="N2178" s="32">
        <v>0</v>
      </c>
      <c r="O2178" s="32">
        <v>0</v>
      </c>
      <c r="P2178" s="32">
        <v>0</v>
      </c>
      <c r="Q2178" s="32">
        <v>26675</v>
      </c>
      <c r="R2178" s="32">
        <v>76141</v>
      </c>
      <c r="S2178" s="32">
        <v>0</v>
      </c>
      <c r="T2178" s="32">
        <v>0</v>
      </c>
    </row>
    <row r="2179" spans="1:20" x14ac:dyDescent="0.25">
      <c r="A2179" t="s">
        <v>99</v>
      </c>
      <c r="B2179" t="s">
        <v>99</v>
      </c>
      <c r="C2179">
        <v>202603</v>
      </c>
      <c r="D2179" t="str">
        <f>MID(C2179,1,4)</f>
        <v>2026</v>
      </c>
      <c r="E2179" t="str">
        <f>IF(Portfolio!$M$1=1,CONCATENATE(A2179,C2179),CONCATENATE(B2179,C2179))</f>
        <v>IKEA202603</v>
      </c>
      <c r="F2179" s="32">
        <v>0</v>
      </c>
      <c r="G2179" s="32">
        <v>0</v>
      </c>
      <c r="H2179" s="32">
        <v>0</v>
      </c>
      <c r="I2179" s="32">
        <v>0</v>
      </c>
      <c r="J2179" s="32">
        <v>0</v>
      </c>
      <c r="K2179" s="32">
        <v>0</v>
      </c>
      <c r="L2179" s="32">
        <v>0</v>
      </c>
      <c r="M2179" s="32">
        <v>0</v>
      </c>
      <c r="N2179" s="32">
        <v>0</v>
      </c>
      <c r="O2179" s="32">
        <v>17364230</v>
      </c>
      <c r="P2179" s="32">
        <v>0</v>
      </c>
      <c r="Q2179" s="32">
        <v>0</v>
      </c>
      <c r="R2179" s="32">
        <v>0</v>
      </c>
      <c r="S2179" s="32">
        <v>0</v>
      </c>
      <c r="T2179" s="32">
        <v>121549</v>
      </c>
    </row>
    <row r="2180" spans="1:20" x14ac:dyDescent="0.25">
      <c r="A2180" t="s">
        <v>107</v>
      </c>
      <c r="B2180" t="s">
        <v>179</v>
      </c>
      <c r="C2180">
        <v>202603</v>
      </c>
      <c r="D2180" t="str">
        <f>MID(C2180,1,4)</f>
        <v>2026</v>
      </c>
      <c r="E2180" t="str">
        <f>IF(Portfolio!$M$1=1,CONCATENATE(A2180,C2180),CONCATENATE(B2180,C2180))</f>
        <v>MAP GROUP202603</v>
      </c>
      <c r="F2180" s="32">
        <v>0</v>
      </c>
      <c r="G2180" s="32">
        <v>0</v>
      </c>
      <c r="H2180" s="32">
        <v>1</v>
      </c>
      <c r="I2180" s="32">
        <v>0</v>
      </c>
      <c r="J2180" s="32">
        <v>0</v>
      </c>
      <c r="K2180" s="32">
        <v>0</v>
      </c>
      <c r="L2180" s="32">
        <v>0</v>
      </c>
      <c r="M2180" s="32">
        <v>1491820</v>
      </c>
      <c r="N2180" s="32">
        <v>0</v>
      </c>
      <c r="O2180" s="32">
        <v>0</v>
      </c>
      <c r="P2180" s="32">
        <v>0</v>
      </c>
      <c r="Q2180" s="32">
        <v>0</v>
      </c>
      <c r="R2180" s="32">
        <v>19394</v>
      </c>
      <c r="S2180" s="32">
        <v>0</v>
      </c>
      <c r="T2180" s="32">
        <v>0</v>
      </c>
    </row>
    <row r="2181" spans="1:20" x14ac:dyDescent="0.25">
      <c r="A2181" t="s">
        <v>73</v>
      </c>
      <c r="B2181" t="s">
        <v>73</v>
      </c>
      <c r="C2181">
        <v>202603</v>
      </c>
      <c r="D2181" t="str">
        <f>MID(C2181,1,4)</f>
        <v>2026</v>
      </c>
      <c r="E2181" t="str">
        <f>IF(Portfolio!$M$1=1,CONCATENATE(A2181,C2181),CONCATENATE(B2181,C2181))</f>
        <v>BANBAN TEA202603</v>
      </c>
      <c r="F2181" s="32">
        <v>0</v>
      </c>
      <c r="G2181" s="32">
        <v>0</v>
      </c>
      <c r="H2181" s="32">
        <v>0</v>
      </c>
      <c r="I2181" s="32">
        <v>87</v>
      </c>
      <c r="J2181" s="32">
        <v>242</v>
      </c>
      <c r="K2181" s="32">
        <v>0</v>
      </c>
      <c r="L2181" s="32">
        <v>0</v>
      </c>
      <c r="M2181" s="32">
        <v>0</v>
      </c>
      <c r="N2181" s="32">
        <v>6449897</v>
      </c>
      <c r="O2181" s="32">
        <v>16039094</v>
      </c>
      <c r="P2181" s="32">
        <v>0</v>
      </c>
      <c r="Q2181" s="32">
        <v>0</v>
      </c>
      <c r="R2181" s="32">
        <v>0</v>
      </c>
      <c r="S2181" s="32">
        <v>45149</v>
      </c>
      <c r="T2181" s="32">
        <v>112275</v>
      </c>
    </row>
    <row r="2182" spans="1:20" x14ac:dyDescent="0.25">
      <c r="A2182" t="s">
        <v>107</v>
      </c>
      <c r="B2182" t="s">
        <v>168</v>
      </c>
      <c r="C2182">
        <v>202603</v>
      </c>
      <c r="D2182" t="str">
        <f>MID(C2182,1,4)</f>
        <v>2026</v>
      </c>
      <c r="E2182" t="str">
        <f>IF(Portfolio!$M$1=1,CONCATENATE(A2182,C2182),CONCATENATE(B2182,C2182))</f>
        <v>MAP GROUP202603</v>
      </c>
      <c r="F2182" s="32">
        <v>0</v>
      </c>
      <c r="G2182" s="32">
        <v>0</v>
      </c>
      <c r="H2182" s="32">
        <v>1</v>
      </c>
      <c r="I2182" s="32">
        <v>0</v>
      </c>
      <c r="J2182" s="32">
        <v>0</v>
      </c>
      <c r="K2182" s="32">
        <v>0</v>
      </c>
      <c r="L2182" s="32">
        <v>0</v>
      </c>
      <c r="M2182" s="32">
        <v>130000</v>
      </c>
      <c r="N2182" s="32">
        <v>0</v>
      </c>
      <c r="O2182" s="32">
        <v>0</v>
      </c>
      <c r="P2182" s="32">
        <v>0</v>
      </c>
      <c r="Q2182" s="32">
        <v>0</v>
      </c>
      <c r="R2182" s="32">
        <v>1690</v>
      </c>
      <c r="S2182" s="32">
        <v>0</v>
      </c>
      <c r="T2182" s="32">
        <v>0</v>
      </c>
    </row>
    <row r="2183" spans="1:20" x14ac:dyDescent="0.25">
      <c r="A2183" t="s">
        <v>107</v>
      </c>
      <c r="B2183" t="s">
        <v>190</v>
      </c>
      <c r="C2183">
        <v>202603</v>
      </c>
      <c r="D2183" t="str">
        <f>MID(C2183,1,4)</f>
        <v>2026</v>
      </c>
      <c r="E2183" t="str">
        <f>IF(Portfolio!$M$1=1,CONCATENATE(A2183,C2183),CONCATENATE(B2183,C2183))</f>
        <v>MAP GROUP202603</v>
      </c>
      <c r="F2183" s="32">
        <v>0</v>
      </c>
      <c r="G2183" s="32">
        <v>1</v>
      </c>
      <c r="H2183" s="32">
        <v>1</v>
      </c>
      <c r="I2183" s="32">
        <v>0</v>
      </c>
      <c r="J2183" s="32">
        <v>0</v>
      </c>
      <c r="K2183" s="32">
        <v>0</v>
      </c>
      <c r="L2183" s="32">
        <v>999000</v>
      </c>
      <c r="M2183" s="32">
        <v>1799000</v>
      </c>
      <c r="N2183" s="32">
        <v>0</v>
      </c>
      <c r="O2183" s="32">
        <v>0</v>
      </c>
      <c r="P2183" s="32">
        <v>0</v>
      </c>
      <c r="Q2183" s="32">
        <v>9990</v>
      </c>
      <c r="R2183" s="32">
        <v>23387</v>
      </c>
      <c r="S2183" s="32">
        <v>0</v>
      </c>
      <c r="T2183" s="32">
        <v>0</v>
      </c>
    </row>
    <row r="2184" spans="1:20" x14ac:dyDescent="0.25">
      <c r="A2184" t="s">
        <v>107</v>
      </c>
      <c r="B2184" t="s">
        <v>167</v>
      </c>
      <c r="C2184">
        <v>202603</v>
      </c>
      <c r="D2184" t="str">
        <f>MID(C2184,1,4)</f>
        <v>2026</v>
      </c>
      <c r="E2184" t="str">
        <f>IF(Portfolio!$M$1=1,CONCATENATE(A2184,C2184),CONCATENATE(B2184,C2184))</f>
        <v>MAP GROUP202603</v>
      </c>
      <c r="F2184" s="32">
        <v>0</v>
      </c>
      <c r="G2184" s="32">
        <v>1</v>
      </c>
      <c r="H2184" s="32">
        <v>4</v>
      </c>
      <c r="I2184" s="32">
        <v>0</v>
      </c>
      <c r="J2184" s="32">
        <v>0</v>
      </c>
      <c r="K2184" s="32">
        <v>0</v>
      </c>
      <c r="L2184" s="32">
        <v>900000</v>
      </c>
      <c r="M2184" s="32">
        <v>7475800</v>
      </c>
      <c r="N2184" s="32">
        <v>0</v>
      </c>
      <c r="O2184" s="32">
        <v>0</v>
      </c>
      <c r="P2184" s="32">
        <v>0</v>
      </c>
      <c r="Q2184" s="32">
        <v>9000</v>
      </c>
      <c r="R2184" s="32">
        <v>97185</v>
      </c>
      <c r="S2184" s="32">
        <v>0</v>
      </c>
      <c r="T2184" s="32">
        <v>0</v>
      </c>
    </row>
    <row r="2185" spans="1:20" x14ac:dyDescent="0.25">
      <c r="A2185" t="s">
        <v>102</v>
      </c>
      <c r="B2185" t="s">
        <v>141</v>
      </c>
      <c r="C2185">
        <v>202603</v>
      </c>
      <c r="D2185" t="str">
        <f>MID(C2185,1,4)</f>
        <v>2026</v>
      </c>
      <c r="E2185" t="str">
        <f>IF(Portfolio!$M$1=1,CONCATENATE(A2185,C2185),CONCATENATE(B2185,C2185))</f>
        <v>KAWAN LAMA202603</v>
      </c>
      <c r="F2185" s="32">
        <v>0</v>
      </c>
      <c r="G2185" s="32">
        <v>0</v>
      </c>
      <c r="H2185" s="32">
        <v>0</v>
      </c>
      <c r="I2185" s="32">
        <v>0</v>
      </c>
      <c r="J2185" s="32">
        <v>1</v>
      </c>
      <c r="K2185" s="32">
        <v>0</v>
      </c>
      <c r="L2185" s="32">
        <v>0</v>
      </c>
      <c r="M2185" s="32">
        <v>0</v>
      </c>
      <c r="N2185" s="32">
        <v>0</v>
      </c>
      <c r="O2185" s="32">
        <v>37740</v>
      </c>
      <c r="P2185" s="32">
        <v>0</v>
      </c>
      <c r="Q2185" s="32">
        <v>0</v>
      </c>
      <c r="R2185" s="32">
        <v>0</v>
      </c>
      <c r="S2185" s="32">
        <v>0</v>
      </c>
      <c r="T2185" s="32">
        <v>264</v>
      </c>
    </row>
    <row r="2186" spans="1:20" x14ac:dyDescent="0.25">
      <c r="A2186" t="s">
        <v>82</v>
      </c>
      <c r="B2186" t="s">
        <v>82</v>
      </c>
      <c r="C2186">
        <v>202603</v>
      </c>
      <c r="D2186" t="str">
        <f>MID(C2186,1,4)</f>
        <v>2026</v>
      </c>
      <c r="E2186" t="str">
        <f>IF(Portfolio!$M$1=1,CONCATENATE(A2186,C2186),CONCATENATE(B2186,C2186))</f>
        <v>EKA HOSPITAL202603</v>
      </c>
      <c r="F2186" s="32">
        <v>0</v>
      </c>
      <c r="G2186" s="32">
        <v>9</v>
      </c>
      <c r="H2186" s="32">
        <v>10</v>
      </c>
      <c r="I2186" s="32">
        <v>0</v>
      </c>
      <c r="J2186" s="32">
        <v>7</v>
      </c>
      <c r="K2186" s="32">
        <v>0</v>
      </c>
      <c r="L2186" s="32">
        <v>14326800</v>
      </c>
      <c r="M2186" s="32">
        <v>9855410</v>
      </c>
      <c r="N2186" s="32">
        <v>0</v>
      </c>
      <c r="O2186" s="32">
        <v>7150882</v>
      </c>
      <c r="P2186" s="32">
        <v>0</v>
      </c>
      <c r="Q2186" s="32">
        <v>143268</v>
      </c>
      <c r="R2186" s="32">
        <v>128120</v>
      </c>
      <c r="S2186" s="32">
        <v>0</v>
      </c>
      <c r="T2186" s="32">
        <v>50056</v>
      </c>
    </row>
    <row r="2187" spans="1:20" x14ac:dyDescent="0.25">
      <c r="A2187" t="s">
        <v>107</v>
      </c>
      <c r="B2187" t="s">
        <v>162</v>
      </c>
      <c r="C2187">
        <v>202603</v>
      </c>
      <c r="D2187" t="str">
        <f>MID(C2187,1,4)</f>
        <v>2026</v>
      </c>
      <c r="E2187" t="str">
        <f>IF(Portfolio!$M$1=1,CONCATENATE(A2187,C2187),CONCATENATE(B2187,C2187))</f>
        <v>MAP GROUP202603</v>
      </c>
      <c r="F2187" s="32">
        <v>0</v>
      </c>
      <c r="G2187" s="32">
        <v>9</v>
      </c>
      <c r="H2187" s="32">
        <v>8</v>
      </c>
      <c r="I2187" s="32">
        <v>0</v>
      </c>
      <c r="J2187" s="32">
        <v>0</v>
      </c>
      <c r="K2187" s="32">
        <v>0</v>
      </c>
      <c r="L2187" s="32">
        <v>8358360</v>
      </c>
      <c r="M2187" s="32">
        <v>7931400</v>
      </c>
      <c r="N2187" s="32">
        <v>0</v>
      </c>
      <c r="O2187" s="32">
        <v>0</v>
      </c>
      <c r="P2187" s="32">
        <v>0</v>
      </c>
      <c r="Q2187" s="32">
        <v>83584</v>
      </c>
      <c r="R2187" s="32">
        <v>103108</v>
      </c>
      <c r="S2187" s="32">
        <v>0</v>
      </c>
      <c r="T2187" s="32">
        <v>0</v>
      </c>
    </row>
    <row r="2188" spans="1:20" x14ac:dyDescent="0.25">
      <c r="A2188" t="s">
        <v>75</v>
      </c>
      <c r="B2188" t="s">
        <v>83</v>
      </c>
      <c r="C2188">
        <v>202603</v>
      </c>
      <c r="D2188" t="str">
        <f>MID(C2188,1,4)</f>
        <v>2026</v>
      </c>
      <c r="E2188" t="str">
        <f>IF(Portfolio!$M$1=1,CONCATENATE(A2188,C2188),CONCATENATE(B2188,C2188))</f>
        <v>CHAMP RESTO202603</v>
      </c>
      <c r="F2188" s="32">
        <v>0</v>
      </c>
      <c r="G2188" s="32">
        <v>1</v>
      </c>
      <c r="H2188" s="32">
        <v>0</v>
      </c>
      <c r="I2188" s="32">
        <v>0</v>
      </c>
      <c r="J2188" s="32">
        <v>206</v>
      </c>
      <c r="K2188" s="32">
        <v>0</v>
      </c>
      <c r="L2188" s="32">
        <v>781632</v>
      </c>
      <c r="M2188" s="32">
        <v>0</v>
      </c>
      <c r="N2188" s="32">
        <v>0</v>
      </c>
      <c r="O2188" s="32">
        <v>11866200</v>
      </c>
      <c r="P2188" s="32">
        <v>0</v>
      </c>
      <c r="Q2188" s="32">
        <v>7816</v>
      </c>
      <c r="R2188" s="32">
        <v>0</v>
      </c>
      <c r="S2188" s="32">
        <v>0</v>
      </c>
      <c r="T2188" s="32">
        <v>2250</v>
      </c>
    </row>
    <row r="2189" spans="1:20" x14ac:dyDescent="0.25">
      <c r="A2189" t="s">
        <v>107</v>
      </c>
      <c r="B2189" t="s">
        <v>153</v>
      </c>
      <c r="C2189">
        <v>202603</v>
      </c>
      <c r="D2189" t="str">
        <f>MID(C2189,1,4)</f>
        <v>2026</v>
      </c>
      <c r="E2189" t="str">
        <f>IF(Portfolio!$M$1=1,CONCATENATE(A2189,C2189),CONCATENATE(B2189,C2189))</f>
        <v>MAP GROUP202603</v>
      </c>
      <c r="F2189" s="32">
        <v>0</v>
      </c>
      <c r="G2189" s="32">
        <v>1</v>
      </c>
      <c r="H2189" s="32">
        <v>1</v>
      </c>
      <c r="I2189" s="32">
        <v>0</v>
      </c>
      <c r="J2189" s="32">
        <v>0</v>
      </c>
      <c r="K2189" s="32">
        <v>0</v>
      </c>
      <c r="L2189" s="32">
        <v>878400</v>
      </c>
      <c r="M2189" s="32">
        <v>1049300</v>
      </c>
      <c r="N2189" s="32">
        <v>0</v>
      </c>
      <c r="O2189" s="32">
        <v>0</v>
      </c>
      <c r="P2189" s="32">
        <v>0</v>
      </c>
      <c r="Q2189" s="32">
        <v>8784</v>
      </c>
      <c r="R2189" s="32">
        <v>13641</v>
      </c>
      <c r="S2189" s="32">
        <v>0</v>
      </c>
      <c r="T2189" s="32">
        <v>0</v>
      </c>
    </row>
    <row r="2190" spans="1:20" x14ac:dyDescent="0.25">
      <c r="A2190" t="s">
        <v>107</v>
      </c>
      <c r="B2190" t="s">
        <v>186</v>
      </c>
      <c r="C2190">
        <v>202603</v>
      </c>
      <c r="D2190" t="str">
        <f>MID(C2190,1,4)</f>
        <v>2026</v>
      </c>
      <c r="E2190" t="str">
        <f>IF(Portfolio!$M$1=1,CONCATENATE(A2190,C2190),CONCATENATE(B2190,C2190))</f>
        <v>MAP GROUP202603</v>
      </c>
      <c r="F2190" s="32">
        <v>0</v>
      </c>
      <c r="G2190" s="32">
        <v>4</v>
      </c>
      <c r="H2190" s="32">
        <v>6</v>
      </c>
      <c r="I2190" s="32">
        <v>0</v>
      </c>
      <c r="J2190" s="32">
        <v>0</v>
      </c>
      <c r="K2190" s="32">
        <v>0</v>
      </c>
      <c r="L2190" s="32">
        <v>1510400</v>
      </c>
      <c r="M2190" s="32">
        <v>2325400</v>
      </c>
      <c r="N2190" s="32">
        <v>0</v>
      </c>
      <c r="O2190" s="32">
        <v>0</v>
      </c>
      <c r="P2190" s="32">
        <v>0</v>
      </c>
      <c r="Q2190" s="32">
        <v>15104</v>
      </c>
      <c r="R2190" s="32">
        <v>30230</v>
      </c>
      <c r="S2190" s="32">
        <v>0</v>
      </c>
      <c r="T2190" s="32">
        <v>0</v>
      </c>
    </row>
    <row r="2191" spans="1:20" x14ac:dyDescent="0.25">
      <c r="A2191" t="s">
        <v>102</v>
      </c>
      <c r="B2191" t="s">
        <v>121</v>
      </c>
      <c r="C2191">
        <v>202603</v>
      </c>
      <c r="D2191" t="str">
        <f>MID(C2191,1,4)</f>
        <v>2026</v>
      </c>
      <c r="E2191" t="str">
        <f>IF(Portfolio!$M$1=1,CONCATENATE(A2191,C2191),CONCATENATE(B2191,C2191))</f>
        <v>KAWAN LAMA202603</v>
      </c>
      <c r="F2191" s="32">
        <v>0</v>
      </c>
      <c r="G2191" s="32">
        <v>0</v>
      </c>
      <c r="H2191" s="32">
        <v>0</v>
      </c>
      <c r="I2191" s="32">
        <v>6</v>
      </c>
      <c r="J2191" s="32">
        <v>0</v>
      </c>
      <c r="K2191" s="32">
        <v>0</v>
      </c>
      <c r="L2191" s="32">
        <v>0</v>
      </c>
      <c r="M2191" s="32">
        <v>0</v>
      </c>
      <c r="N2191" s="32">
        <v>976316</v>
      </c>
      <c r="O2191" s="32">
        <v>0</v>
      </c>
      <c r="P2191" s="32">
        <v>0</v>
      </c>
      <c r="Q2191" s="32">
        <v>0</v>
      </c>
      <c r="R2191" s="32">
        <v>0</v>
      </c>
      <c r="S2191" s="32">
        <v>6834</v>
      </c>
      <c r="T2191" s="32">
        <v>0</v>
      </c>
    </row>
    <row r="2192" spans="1:20" x14ac:dyDescent="0.25">
      <c r="A2192" t="s">
        <v>107</v>
      </c>
      <c r="B2192" t="s">
        <v>177</v>
      </c>
      <c r="C2192">
        <v>202603</v>
      </c>
      <c r="D2192" t="str">
        <f>MID(C2192,1,4)</f>
        <v>2026</v>
      </c>
      <c r="E2192" t="str">
        <f>IF(Portfolio!$M$1=1,CONCATENATE(A2192,C2192),CONCATENATE(B2192,C2192))</f>
        <v>MAP GROUP202603</v>
      </c>
      <c r="F2192" s="32">
        <v>0</v>
      </c>
      <c r="G2192" s="32">
        <v>1</v>
      </c>
      <c r="H2192" s="32">
        <v>3</v>
      </c>
      <c r="I2192" s="32">
        <v>0</v>
      </c>
      <c r="J2192" s="32">
        <v>0</v>
      </c>
      <c r="K2192" s="32">
        <v>0</v>
      </c>
      <c r="L2192" s="32">
        <v>2000000</v>
      </c>
      <c r="M2192" s="32">
        <v>5998900</v>
      </c>
      <c r="N2192" s="32">
        <v>0</v>
      </c>
      <c r="O2192" s="32">
        <v>0</v>
      </c>
      <c r="P2192" s="32">
        <v>0</v>
      </c>
      <c r="Q2192" s="32">
        <v>20000</v>
      </c>
      <c r="R2192" s="32">
        <v>77986</v>
      </c>
      <c r="S2192" s="32">
        <v>0</v>
      </c>
      <c r="T2192" s="32">
        <v>0</v>
      </c>
    </row>
    <row r="2193" spans="1:20" x14ac:dyDescent="0.25">
      <c r="A2193" t="s">
        <v>75</v>
      </c>
      <c r="B2193" t="s">
        <v>81</v>
      </c>
      <c r="C2193">
        <v>202603</v>
      </c>
      <c r="D2193" t="str">
        <f>MID(C2193,1,4)</f>
        <v>2026</v>
      </c>
      <c r="E2193" t="str">
        <f>IF(Portfolio!$M$1=1,CONCATENATE(A2193,C2193),CONCATENATE(B2193,C2193))</f>
        <v>CHAMP RESTO202603</v>
      </c>
      <c r="F2193" s="32">
        <v>0</v>
      </c>
      <c r="G2193" s="32">
        <v>0</v>
      </c>
      <c r="H2193" s="32">
        <v>0</v>
      </c>
      <c r="I2193" s="32">
        <v>0</v>
      </c>
      <c r="J2193" s="32">
        <v>9</v>
      </c>
      <c r="K2193" s="32">
        <v>0</v>
      </c>
      <c r="L2193" s="32">
        <v>0</v>
      </c>
      <c r="M2193" s="32">
        <v>0</v>
      </c>
      <c r="N2193" s="32">
        <v>0</v>
      </c>
      <c r="O2193" s="32">
        <v>1463000</v>
      </c>
      <c r="P2193" s="32">
        <v>0</v>
      </c>
      <c r="Q2193" s="32">
        <v>0</v>
      </c>
      <c r="R2193" s="32">
        <v>0</v>
      </c>
      <c r="S2193" s="32">
        <v>0</v>
      </c>
      <c r="T2193" s="32">
        <v>10241</v>
      </c>
    </row>
    <row r="2194" spans="1:20" x14ac:dyDescent="0.25">
      <c r="A2194" t="s">
        <v>281</v>
      </c>
      <c r="B2194" t="s">
        <v>281</v>
      </c>
      <c r="C2194">
        <v>202603</v>
      </c>
      <c r="D2194" t="str">
        <f>MID(C2194,1,4)</f>
        <v>2026</v>
      </c>
      <c r="E2194" t="str">
        <f>IF(Portfolio!$M$1=1,CONCATENATE(A2194,C2194),CONCATENATE(B2194,C2194))</f>
        <v>YOUTAP202603</v>
      </c>
      <c r="F2194" s="32">
        <v>0</v>
      </c>
      <c r="G2194" s="32">
        <v>0</v>
      </c>
      <c r="H2194" s="32">
        <v>0</v>
      </c>
      <c r="I2194" s="32">
        <v>0</v>
      </c>
      <c r="J2194" s="32">
        <v>1</v>
      </c>
      <c r="K2194" s="32">
        <v>0</v>
      </c>
      <c r="L2194" s="32">
        <v>0</v>
      </c>
      <c r="M2194" s="32">
        <v>0</v>
      </c>
      <c r="N2194" s="32">
        <v>0</v>
      </c>
      <c r="O2194" s="32">
        <v>100</v>
      </c>
      <c r="P2194" s="32">
        <v>0</v>
      </c>
      <c r="Q2194" s="32">
        <v>0</v>
      </c>
      <c r="R2194" s="32">
        <v>0</v>
      </c>
      <c r="S2194" s="32">
        <v>0</v>
      </c>
      <c r="T2194" s="32">
        <v>1</v>
      </c>
    </row>
    <row r="2195" spans="1:20" x14ac:dyDescent="0.25">
      <c r="A2195" t="s">
        <v>107</v>
      </c>
      <c r="B2195" t="s">
        <v>187</v>
      </c>
      <c r="C2195">
        <v>202603</v>
      </c>
      <c r="D2195" t="str">
        <f>MID(C2195,1,4)</f>
        <v>2026</v>
      </c>
      <c r="E2195" t="str">
        <f>IF(Portfolio!$M$1=1,CONCATENATE(A2195,C2195),CONCATENATE(B2195,C2195))</f>
        <v>MAP GROUP202603</v>
      </c>
      <c r="F2195" s="32">
        <v>0</v>
      </c>
      <c r="G2195" s="32">
        <v>1</v>
      </c>
      <c r="H2195" s="32">
        <v>0</v>
      </c>
      <c r="I2195" s="32">
        <v>0</v>
      </c>
      <c r="J2195" s="32">
        <v>0</v>
      </c>
      <c r="K2195" s="32">
        <v>0</v>
      </c>
      <c r="L2195" s="32">
        <v>1939560</v>
      </c>
      <c r="M2195" s="32">
        <v>0</v>
      </c>
      <c r="N2195" s="32">
        <v>0</v>
      </c>
      <c r="O2195" s="32">
        <v>0</v>
      </c>
      <c r="P2195" s="32">
        <v>0</v>
      </c>
      <c r="Q2195" s="32">
        <v>19396</v>
      </c>
      <c r="R2195" s="32">
        <v>0</v>
      </c>
      <c r="S2195" s="32">
        <v>0</v>
      </c>
      <c r="T2195" s="32">
        <v>0</v>
      </c>
    </row>
    <row r="2196" spans="1:20" x14ac:dyDescent="0.25">
      <c r="A2196" t="s">
        <v>76</v>
      </c>
      <c r="B2196" t="s">
        <v>76</v>
      </c>
      <c r="C2196">
        <v>202603</v>
      </c>
      <c r="D2196" t="str">
        <f>MID(C2196,1,4)</f>
        <v>2026</v>
      </c>
      <c r="E2196" t="str">
        <f>IF(Portfolio!$M$1=1,CONCATENATE(A2196,C2196),CONCATENATE(B2196,C2196))</f>
        <v>DAMRI202603</v>
      </c>
      <c r="F2196" s="32">
        <v>0</v>
      </c>
      <c r="G2196" s="32">
        <v>2</v>
      </c>
      <c r="H2196" s="32">
        <v>0</v>
      </c>
      <c r="I2196" s="32">
        <v>0</v>
      </c>
      <c r="J2196" s="32">
        <v>18</v>
      </c>
      <c r="K2196" s="32">
        <v>0</v>
      </c>
      <c r="L2196" s="32">
        <v>817500</v>
      </c>
      <c r="M2196" s="32">
        <v>0</v>
      </c>
      <c r="N2196" s="32">
        <v>0</v>
      </c>
      <c r="O2196" s="32">
        <v>6356500</v>
      </c>
      <c r="P2196" s="32">
        <v>0</v>
      </c>
      <c r="Q2196" s="32">
        <v>8175</v>
      </c>
      <c r="R2196" s="32">
        <v>0</v>
      </c>
      <c r="S2196" s="32">
        <v>0</v>
      </c>
      <c r="T2196" s="32">
        <v>44496</v>
      </c>
    </row>
    <row r="2197" spans="1:20" x14ac:dyDescent="0.25">
      <c r="A2197" t="s">
        <v>107</v>
      </c>
      <c r="B2197" t="s">
        <v>165</v>
      </c>
      <c r="C2197">
        <v>202603</v>
      </c>
      <c r="D2197" t="str">
        <f>MID(C2197,1,4)</f>
        <v>2026</v>
      </c>
      <c r="E2197" t="str">
        <f>IF(Portfolio!$M$1=1,CONCATENATE(A2197,C2197),CONCATENATE(B2197,C2197))</f>
        <v>MAP GROUP202603</v>
      </c>
      <c r="F2197" s="32">
        <v>0</v>
      </c>
      <c r="G2197" s="32">
        <v>3</v>
      </c>
      <c r="H2197" s="32">
        <v>0</v>
      </c>
      <c r="I2197" s="32">
        <v>0</v>
      </c>
      <c r="J2197" s="32">
        <v>0</v>
      </c>
      <c r="K2197" s="32">
        <v>0</v>
      </c>
      <c r="L2197" s="32">
        <v>11616000</v>
      </c>
      <c r="M2197" s="32">
        <v>0</v>
      </c>
      <c r="N2197" s="32">
        <v>0</v>
      </c>
      <c r="O2197" s="32">
        <v>0</v>
      </c>
      <c r="P2197" s="32">
        <v>0</v>
      </c>
      <c r="Q2197" s="32">
        <v>116160</v>
      </c>
      <c r="R2197" s="32">
        <v>0</v>
      </c>
      <c r="S2197" s="32">
        <v>0</v>
      </c>
      <c r="T2197" s="32">
        <v>0</v>
      </c>
    </row>
    <row r="2198" spans="1:20" x14ac:dyDescent="0.25">
      <c r="A2198" t="s">
        <v>107</v>
      </c>
      <c r="B2198" t="s">
        <v>152</v>
      </c>
      <c r="C2198">
        <v>202603</v>
      </c>
      <c r="D2198" t="str">
        <f>MID(C2198,1,4)</f>
        <v>2026</v>
      </c>
      <c r="E2198" t="str">
        <f>IF(Portfolio!$M$1=1,CONCATENATE(A2198,C2198),CONCATENATE(B2198,C2198))</f>
        <v>MAP GROUP202603</v>
      </c>
      <c r="F2198" s="32">
        <v>0</v>
      </c>
      <c r="G2198" s="32">
        <v>3</v>
      </c>
      <c r="H2198" s="32">
        <v>0</v>
      </c>
      <c r="I2198" s="32">
        <v>0</v>
      </c>
      <c r="J2198" s="32">
        <v>0</v>
      </c>
      <c r="K2198" s="32">
        <v>0</v>
      </c>
      <c r="L2198" s="32">
        <v>6043225</v>
      </c>
      <c r="M2198" s="32">
        <v>0</v>
      </c>
      <c r="N2198" s="32">
        <v>0</v>
      </c>
      <c r="O2198" s="32">
        <v>0</v>
      </c>
      <c r="P2198" s="32">
        <v>0</v>
      </c>
      <c r="Q2198" s="32">
        <v>60432</v>
      </c>
      <c r="R2198" s="32">
        <v>0</v>
      </c>
      <c r="S2198" s="32">
        <v>0</v>
      </c>
      <c r="T2198" s="32">
        <v>0</v>
      </c>
    </row>
    <row r="2199" spans="1:20" x14ac:dyDescent="0.25">
      <c r="A2199" t="s">
        <v>116</v>
      </c>
      <c r="B2199" t="s">
        <v>116</v>
      </c>
      <c r="C2199">
        <v>202603</v>
      </c>
      <c r="D2199" t="str">
        <f>MID(C2199,1,4)</f>
        <v>2026</v>
      </c>
      <c r="E2199" t="str">
        <f>IF(Portfolio!$M$1=1,CONCATENATE(A2199,C2199),CONCATENATE(B2199,C2199))</f>
        <v>POPEYES202603</v>
      </c>
      <c r="F2199" s="32">
        <v>0</v>
      </c>
      <c r="G2199" s="32">
        <v>0</v>
      </c>
      <c r="H2199" s="32">
        <v>0</v>
      </c>
      <c r="I2199" s="32">
        <v>0</v>
      </c>
      <c r="J2199" s="32">
        <v>0</v>
      </c>
      <c r="K2199" s="32">
        <v>0</v>
      </c>
      <c r="L2199" s="32">
        <v>0</v>
      </c>
      <c r="M2199" s="32">
        <v>0</v>
      </c>
      <c r="N2199" s="32">
        <v>0</v>
      </c>
      <c r="O2199" s="32">
        <v>631244</v>
      </c>
      <c r="P2199" s="32">
        <v>0</v>
      </c>
      <c r="Q2199" s="32">
        <v>0</v>
      </c>
      <c r="R2199" s="32">
        <v>0</v>
      </c>
      <c r="S2199" s="32">
        <v>0</v>
      </c>
      <c r="T2199" s="32">
        <v>4420</v>
      </c>
    </row>
    <row r="2200" spans="1:20" x14ac:dyDescent="0.25">
      <c r="A2200" t="s">
        <v>107</v>
      </c>
      <c r="B2200" t="s">
        <v>191</v>
      </c>
      <c r="C2200">
        <v>202603</v>
      </c>
      <c r="D2200" t="str">
        <f>MID(C2200,1,4)</f>
        <v>2026</v>
      </c>
      <c r="E2200" t="str">
        <f>IF(Portfolio!$M$1=1,CONCATENATE(A2200,C2200),CONCATENATE(B2200,C2200))</f>
        <v>MAP GROUP202603</v>
      </c>
      <c r="F2200" s="32">
        <v>0</v>
      </c>
      <c r="G2200" s="32">
        <v>1</v>
      </c>
      <c r="H2200" s="32">
        <v>2</v>
      </c>
      <c r="I2200" s="32">
        <v>0</v>
      </c>
      <c r="J2200" s="32">
        <v>0</v>
      </c>
      <c r="K2200" s="32">
        <v>0</v>
      </c>
      <c r="L2200" s="32">
        <v>1448500</v>
      </c>
      <c r="M2200" s="32">
        <v>2202400</v>
      </c>
      <c r="N2200" s="32">
        <v>0</v>
      </c>
      <c r="O2200" s="32">
        <v>0</v>
      </c>
      <c r="P2200" s="32">
        <v>0</v>
      </c>
      <c r="Q2200" s="32">
        <v>14485</v>
      </c>
      <c r="R2200" s="32">
        <v>28631</v>
      </c>
      <c r="S2200" s="32">
        <v>0</v>
      </c>
      <c r="T2200" s="32">
        <v>0</v>
      </c>
    </row>
    <row r="2201" spans="1:20" x14ac:dyDescent="0.25">
      <c r="A2201" t="s">
        <v>107</v>
      </c>
      <c r="B2201" t="s">
        <v>161</v>
      </c>
      <c r="C2201">
        <v>202603</v>
      </c>
      <c r="D2201" t="str">
        <f>MID(C2201,1,4)</f>
        <v>2026</v>
      </c>
      <c r="E2201" t="str">
        <f>IF(Portfolio!$M$1=1,CONCATENATE(A2201,C2201),CONCATENATE(B2201,C2201))</f>
        <v>MAP GROUP202603</v>
      </c>
      <c r="F2201" s="32">
        <v>0</v>
      </c>
      <c r="G2201" s="32">
        <v>1</v>
      </c>
      <c r="H2201" s="32">
        <v>0</v>
      </c>
      <c r="I2201" s="32">
        <v>0</v>
      </c>
      <c r="J2201" s="32">
        <v>0</v>
      </c>
      <c r="K2201" s="32">
        <v>0</v>
      </c>
      <c r="L2201" s="32">
        <v>1887400</v>
      </c>
      <c r="M2201" s="32">
        <v>0</v>
      </c>
      <c r="N2201" s="32">
        <v>0</v>
      </c>
      <c r="O2201" s="32">
        <v>0</v>
      </c>
      <c r="P2201" s="32">
        <v>0</v>
      </c>
      <c r="Q2201" s="32">
        <v>18874</v>
      </c>
      <c r="R2201" s="32">
        <v>0</v>
      </c>
      <c r="S2201" s="32">
        <v>0</v>
      </c>
      <c r="T2201" s="32">
        <v>0</v>
      </c>
    </row>
    <row r="2202" spans="1:20" x14ac:dyDescent="0.25">
      <c r="A2202" t="s">
        <v>115</v>
      </c>
      <c r="B2202" t="s">
        <v>115</v>
      </c>
      <c r="C2202">
        <v>202603</v>
      </c>
      <c r="D2202" t="str">
        <f>MID(C2202,1,4)</f>
        <v>2026</v>
      </c>
      <c r="E2202" t="str">
        <f>IF(Portfolio!$M$1=1,CONCATENATE(A2202,C2202),CONCATENATE(B2202,C2202))</f>
        <v>PLATINUM CINEPLEX202603</v>
      </c>
      <c r="F2202" s="32">
        <v>0</v>
      </c>
      <c r="G2202" s="32">
        <v>0</v>
      </c>
      <c r="H2202" s="32">
        <v>0</v>
      </c>
      <c r="I2202" s="32">
        <v>4</v>
      </c>
      <c r="J2202" s="32">
        <v>12</v>
      </c>
      <c r="K2202" s="32">
        <v>0</v>
      </c>
      <c r="L2202" s="32">
        <v>0</v>
      </c>
      <c r="M2202" s="32">
        <v>0</v>
      </c>
      <c r="N2202" s="32">
        <v>285000</v>
      </c>
      <c r="O2202" s="32">
        <v>1120000</v>
      </c>
      <c r="P2202" s="32">
        <v>0</v>
      </c>
      <c r="Q2202" s="32">
        <v>0</v>
      </c>
      <c r="R2202" s="32">
        <v>0</v>
      </c>
      <c r="S2202" s="32">
        <v>1995</v>
      </c>
      <c r="T2202" s="32">
        <v>7840</v>
      </c>
    </row>
    <row r="2203" spans="1:20" x14ac:dyDescent="0.25">
      <c r="A2203" t="s">
        <v>107</v>
      </c>
      <c r="B2203" t="s">
        <v>182</v>
      </c>
      <c r="C2203">
        <v>202603</v>
      </c>
      <c r="D2203" t="str">
        <f>MID(C2203,1,4)</f>
        <v>2026</v>
      </c>
      <c r="E2203" t="str">
        <f>IF(Portfolio!$M$1=1,CONCATENATE(A2203,C2203),CONCATENATE(B2203,C2203))</f>
        <v>MAP GROUP202603</v>
      </c>
      <c r="F2203" s="32">
        <v>0</v>
      </c>
      <c r="G2203" s="32">
        <v>2</v>
      </c>
      <c r="H2203" s="32">
        <v>6</v>
      </c>
      <c r="I2203" s="32">
        <v>0</v>
      </c>
      <c r="J2203" s="32">
        <v>0</v>
      </c>
      <c r="K2203" s="32">
        <v>0</v>
      </c>
      <c r="L2203" s="32">
        <v>1616600</v>
      </c>
      <c r="M2203" s="32">
        <v>8207500</v>
      </c>
      <c r="N2203" s="32">
        <v>0</v>
      </c>
      <c r="O2203" s="32">
        <v>0</v>
      </c>
      <c r="P2203" s="32">
        <v>0</v>
      </c>
      <c r="Q2203" s="32">
        <v>16166</v>
      </c>
      <c r="R2203" s="32">
        <v>106698</v>
      </c>
      <c r="S2203" s="32">
        <v>0</v>
      </c>
      <c r="T2203" s="32">
        <v>0</v>
      </c>
    </row>
    <row r="2204" spans="1:20" x14ac:dyDescent="0.25">
      <c r="A2204" t="s">
        <v>75</v>
      </c>
      <c r="B2204" t="s">
        <v>93</v>
      </c>
      <c r="C2204">
        <v>202603</v>
      </c>
      <c r="D2204" t="str">
        <f>MID(C2204,1,4)</f>
        <v>2026</v>
      </c>
      <c r="E2204" t="str">
        <f>IF(Portfolio!$M$1=1,CONCATENATE(A2204,C2204),CONCATENATE(B2204,C2204))</f>
        <v>CHAMP RESTO202603</v>
      </c>
      <c r="F2204" s="32">
        <v>0</v>
      </c>
      <c r="G2204" s="32">
        <v>0</v>
      </c>
      <c r="H2204" s="32">
        <v>0</v>
      </c>
      <c r="I2204" s="32">
        <v>1</v>
      </c>
      <c r="J2204" s="32">
        <v>57</v>
      </c>
      <c r="K2204" s="32">
        <v>0</v>
      </c>
      <c r="L2204" s="32">
        <v>0</v>
      </c>
      <c r="M2204" s="32">
        <v>0</v>
      </c>
      <c r="N2204" s="32">
        <v>170000</v>
      </c>
      <c r="O2204" s="32">
        <v>10989000</v>
      </c>
      <c r="P2204" s="32">
        <v>0</v>
      </c>
      <c r="Q2204" s="32">
        <v>0</v>
      </c>
      <c r="R2204" s="32">
        <v>0</v>
      </c>
      <c r="S2204" s="32">
        <v>0</v>
      </c>
      <c r="T2204" s="32">
        <v>6312</v>
      </c>
    </row>
    <row r="2205" spans="1:20" x14ac:dyDescent="0.25">
      <c r="A2205" t="s">
        <v>107</v>
      </c>
      <c r="B2205" t="s">
        <v>200</v>
      </c>
      <c r="C2205">
        <v>202603</v>
      </c>
      <c r="D2205" t="str">
        <f>MID(C2205,1,4)</f>
        <v>2026</v>
      </c>
      <c r="E2205" t="str">
        <f>IF(Portfolio!$M$1=1,CONCATENATE(A2205,C2205),CONCATENATE(B2205,C2205))</f>
        <v>MAP GROUP202603</v>
      </c>
      <c r="F2205" s="32">
        <v>0</v>
      </c>
      <c r="G2205" s="32">
        <v>3</v>
      </c>
      <c r="H2205" s="32">
        <v>2</v>
      </c>
      <c r="I2205" s="32">
        <v>0</v>
      </c>
      <c r="J2205" s="32">
        <v>0</v>
      </c>
      <c r="K2205" s="32">
        <v>0</v>
      </c>
      <c r="L2205" s="32">
        <v>1897100</v>
      </c>
      <c r="M2205" s="32">
        <v>1967400</v>
      </c>
      <c r="N2205" s="32">
        <v>0</v>
      </c>
      <c r="O2205" s="32">
        <v>0</v>
      </c>
      <c r="P2205" s="32">
        <v>0</v>
      </c>
      <c r="Q2205" s="32">
        <v>18971</v>
      </c>
      <c r="R2205" s="32">
        <v>25576</v>
      </c>
      <c r="S2205" s="32">
        <v>0</v>
      </c>
      <c r="T2205" s="32">
        <v>0</v>
      </c>
    </row>
    <row r="2206" spans="1:20" x14ac:dyDescent="0.25">
      <c r="A2206" t="s">
        <v>107</v>
      </c>
      <c r="B2206" t="s">
        <v>151</v>
      </c>
      <c r="C2206">
        <v>202603</v>
      </c>
      <c r="D2206" t="str">
        <f>MID(C2206,1,4)</f>
        <v>2026</v>
      </c>
      <c r="E2206" t="str">
        <f>IF(Portfolio!$M$1=1,CONCATENATE(A2206,C2206),CONCATENATE(B2206,C2206))</f>
        <v>MAP GROUP202603</v>
      </c>
      <c r="F2206" s="32">
        <v>0</v>
      </c>
      <c r="G2206" s="32">
        <v>1</v>
      </c>
      <c r="H2206" s="32">
        <v>2</v>
      </c>
      <c r="I2206" s="32">
        <v>0</v>
      </c>
      <c r="J2206" s="32">
        <v>0</v>
      </c>
      <c r="K2206" s="32">
        <v>0</v>
      </c>
      <c r="L2206" s="32">
        <v>1053000</v>
      </c>
      <c r="M2206" s="32">
        <v>3105000</v>
      </c>
      <c r="N2206" s="32">
        <v>0</v>
      </c>
      <c r="O2206" s="32">
        <v>0</v>
      </c>
      <c r="P2206" s="32">
        <v>0</v>
      </c>
      <c r="Q2206" s="32">
        <v>10530</v>
      </c>
      <c r="R2206" s="32">
        <v>40365</v>
      </c>
      <c r="S2206" s="32">
        <v>0</v>
      </c>
      <c r="T2206" s="32">
        <v>0</v>
      </c>
    </row>
    <row r="2207" spans="1:20" x14ac:dyDescent="0.25">
      <c r="A2207" t="s">
        <v>107</v>
      </c>
      <c r="B2207" t="s">
        <v>208</v>
      </c>
      <c r="C2207">
        <v>202603</v>
      </c>
      <c r="D2207" t="str">
        <f>MID(C2207,1,4)</f>
        <v>2026</v>
      </c>
      <c r="E2207" t="str">
        <f>IF(Portfolio!$M$1=1,CONCATENATE(A2207,C2207),CONCATENATE(B2207,C2207))</f>
        <v>MAP GROUP202603</v>
      </c>
      <c r="F2207" s="32">
        <v>0</v>
      </c>
      <c r="G2207" s="32">
        <v>0</v>
      </c>
      <c r="H2207" s="32">
        <v>3</v>
      </c>
      <c r="I2207" s="32">
        <v>0</v>
      </c>
      <c r="J2207" s="32">
        <v>0</v>
      </c>
      <c r="K2207" s="32">
        <v>0</v>
      </c>
      <c r="L2207" s="32">
        <v>0</v>
      </c>
      <c r="M2207" s="32">
        <v>7260000</v>
      </c>
      <c r="N2207" s="32">
        <v>0</v>
      </c>
      <c r="O2207" s="32">
        <v>0</v>
      </c>
      <c r="P2207" s="32">
        <v>0</v>
      </c>
      <c r="Q2207" s="32">
        <v>0</v>
      </c>
      <c r="R2207" s="32">
        <v>94380</v>
      </c>
      <c r="S2207" s="32">
        <v>0</v>
      </c>
      <c r="T2207" s="32">
        <v>0</v>
      </c>
    </row>
    <row r="2208" spans="1:20" x14ac:dyDescent="0.25">
      <c r="A2208" t="s">
        <v>109</v>
      </c>
      <c r="B2208" t="s">
        <v>109</v>
      </c>
      <c r="C2208">
        <v>202603</v>
      </c>
      <c r="D2208" t="str">
        <f>MID(C2208,1,4)</f>
        <v>2026</v>
      </c>
      <c r="E2208" t="str">
        <f>IF(Portfolio!$M$1=1,CONCATENATE(A2208,C2208),CONCATENATE(B2208,C2208))</f>
        <v>MITRA10202603</v>
      </c>
      <c r="F2208" s="32">
        <v>0</v>
      </c>
      <c r="G2208" s="32">
        <v>0</v>
      </c>
      <c r="H2208" s="32">
        <v>0</v>
      </c>
      <c r="I2208" s="32">
        <v>0</v>
      </c>
      <c r="J2208" s="32">
        <v>236</v>
      </c>
      <c r="K2208" s="32">
        <v>0</v>
      </c>
      <c r="L2208" s="32">
        <v>0</v>
      </c>
      <c r="M2208" s="32">
        <v>0</v>
      </c>
      <c r="N2208" s="32">
        <v>0</v>
      </c>
      <c r="O2208" s="32">
        <v>4349000</v>
      </c>
      <c r="P2208" s="32">
        <v>0</v>
      </c>
      <c r="Q2208" s="32">
        <v>0</v>
      </c>
      <c r="R2208" s="32">
        <v>0</v>
      </c>
      <c r="S2208" s="32">
        <v>0</v>
      </c>
      <c r="T2208" s="32">
        <v>0</v>
      </c>
    </row>
    <row r="2209" spans="1:20" x14ac:dyDescent="0.25">
      <c r="A2209" t="s">
        <v>107</v>
      </c>
      <c r="B2209" t="s">
        <v>166</v>
      </c>
      <c r="C2209">
        <v>202603</v>
      </c>
      <c r="D2209" t="str">
        <f>MID(C2209,1,4)</f>
        <v>2026</v>
      </c>
      <c r="E2209" t="str">
        <f>IF(Portfolio!$M$1=1,CONCATENATE(A2209,C2209),CONCATENATE(B2209,C2209))</f>
        <v>MAP GROUP202603</v>
      </c>
      <c r="F2209" s="32">
        <v>0</v>
      </c>
      <c r="G2209" s="32">
        <v>0</v>
      </c>
      <c r="H2209" s="32">
        <v>2</v>
      </c>
      <c r="I2209" s="32">
        <v>0</v>
      </c>
      <c r="J2209" s="32">
        <v>0</v>
      </c>
      <c r="K2209" s="32">
        <v>0</v>
      </c>
      <c r="L2209" s="32">
        <v>0</v>
      </c>
      <c r="M2209" s="32">
        <v>9600200</v>
      </c>
      <c r="N2209" s="32">
        <v>0</v>
      </c>
      <c r="O2209" s="32">
        <v>0</v>
      </c>
      <c r="P2209" s="32">
        <v>0</v>
      </c>
      <c r="Q2209" s="32">
        <v>0</v>
      </c>
      <c r="R2209" s="32">
        <v>124803</v>
      </c>
      <c r="S2209" s="32">
        <v>0</v>
      </c>
      <c r="T2209" s="32">
        <v>0</v>
      </c>
    </row>
    <row r="2210" spans="1:20" x14ac:dyDescent="0.25">
      <c r="A2210" t="s">
        <v>107</v>
      </c>
      <c r="B2210" t="s">
        <v>154</v>
      </c>
      <c r="C2210">
        <v>202603</v>
      </c>
      <c r="D2210" t="str">
        <f>MID(C2210,1,4)</f>
        <v>2026</v>
      </c>
      <c r="E2210" t="str">
        <f>IF(Portfolio!$M$1=1,CONCATENATE(A2210,C2210),CONCATENATE(B2210,C2210))</f>
        <v>MAP GROUP202603</v>
      </c>
      <c r="F2210" s="32">
        <v>0</v>
      </c>
      <c r="G2210" s="32">
        <v>1</v>
      </c>
      <c r="H2210" s="32">
        <v>2</v>
      </c>
      <c r="I2210" s="32">
        <v>0</v>
      </c>
      <c r="J2210" s="32">
        <v>0</v>
      </c>
      <c r="K2210" s="32">
        <v>0</v>
      </c>
      <c r="L2210" s="32">
        <v>3153500</v>
      </c>
      <c r="M2210" s="32">
        <v>3065866</v>
      </c>
      <c r="N2210" s="32">
        <v>0</v>
      </c>
      <c r="O2210" s="32">
        <v>0</v>
      </c>
      <c r="P2210" s="32">
        <v>0</v>
      </c>
      <c r="Q2210" s="32">
        <v>31535</v>
      </c>
      <c r="R2210" s="32">
        <v>39856</v>
      </c>
      <c r="S2210" s="32">
        <v>0</v>
      </c>
      <c r="T2210" s="32">
        <v>0</v>
      </c>
    </row>
    <row r="2211" spans="1:20" x14ac:dyDescent="0.25">
      <c r="A2211" t="s">
        <v>114</v>
      </c>
      <c r="B2211" t="s">
        <v>217</v>
      </c>
      <c r="C2211">
        <v>202603</v>
      </c>
      <c r="D2211" t="str">
        <f>MID(C2211,1,4)</f>
        <v>2026</v>
      </c>
      <c r="E2211" t="str">
        <f>IF(Portfolio!$M$1=1,CONCATENATE(A2211,C2211),CONCATENATE(B2211,C2211))</f>
        <v>PIZZA HUT202603</v>
      </c>
      <c r="F2211" s="32">
        <v>0</v>
      </c>
      <c r="G2211" s="32">
        <v>0</v>
      </c>
      <c r="H2211" s="32">
        <v>0</v>
      </c>
      <c r="I2211" s="32">
        <v>0</v>
      </c>
      <c r="J2211" s="32">
        <v>228</v>
      </c>
      <c r="K2211" s="32">
        <v>0</v>
      </c>
      <c r="L2211" s="32">
        <v>0</v>
      </c>
      <c r="M2211" s="32">
        <v>0</v>
      </c>
      <c r="N2211" s="32">
        <v>0</v>
      </c>
      <c r="O2211" s="32">
        <v>2276500</v>
      </c>
      <c r="P2211" s="32">
        <v>0</v>
      </c>
      <c r="Q2211" s="32">
        <v>0</v>
      </c>
      <c r="R2211" s="32">
        <v>0</v>
      </c>
      <c r="S2211" s="32">
        <v>0</v>
      </c>
      <c r="T2211" s="32">
        <v>0</v>
      </c>
    </row>
    <row r="2212" spans="1:20" x14ac:dyDescent="0.25">
      <c r="A2212" t="s">
        <v>107</v>
      </c>
      <c r="B2212" t="s">
        <v>150</v>
      </c>
      <c r="C2212">
        <v>202603</v>
      </c>
      <c r="D2212" t="str">
        <f>MID(C2212,1,4)</f>
        <v>2026</v>
      </c>
      <c r="E2212" t="str">
        <f>IF(Portfolio!$M$1=1,CONCATENATE(A2212,C2212),CONCATENATE(B2212,C2212))</f>
        <v>MAP GROUP202603</v>
      </c>
      <c r="F2212" s="32">
        <v>0</v>
      </c>
      <c r="G2212" s="32">
        <v>1</v>
      </c>
      <c r="H2212" s="32">
        <v>0</v>
      </c>
      <c r="I2212" s="32">
        <v>0</v>
      </c>
      <c r="J2212" s="32">
        <v>0</v>
      </c>
      <c r="K2212" s="32">
        <v>0</v>
      </c>
      <c r="L2212" s="32">
        <v>1401000</v>
      </c>
      <c r="M2212" s="32">
        <v>0</v>
      </c>
      <c r="N2212" s="32">
        <v>0</v>
      </c>
      <c r="O2212" s="32">
        <v>0</v>
      </c>
      <c r="P2212" s="32">
        <v>0</v>
      </c>
      <c r="Q2212" s="32">
        <v>14010</v>
      </c>
      <c r="R2212" s="32">
        <v>0</v>
      </c>
      <c r="S2212" s="32">
        <v>0</v>
      </c>
      <c r="T2212" s="32">
        <v>0</v>
      </c>
    </row>
    <row r="2213" spans="1:20" x14ac:dyDescent="0.25">
      <c r="A2213" t="s">
        <v>126</v>
      </c>
      <c r="B2213" t="s">
        <v>224</v>
      </c>
      <c r="C2213">
        <v>202603</v>
      </c>
      <c r="D2213" t="str">
        <f>MID(C2213,1,4)</f>
        <v>2026</v>
      </c>
      <c r="E2213" t="str">
        <f>IF(Portfolio!$M$1=1,CONCATENATE(A2213,C2213),CONCATENATE(B2213,C2213))</f>
        <v>STEVEN GROUP202603</v>
      </c>
      <c r="F2213" s="32">
        <v>0</v>
      </c>
      <c r="G2213" s="32">
        <v>0</v>
      </c>
      <c r="H2213" s="32">
        <v>0</v>
      </c>
      <c r="I2213" s="32">
        <v>0</v>
      </c>
      <c r="J2213" s="32">
        <v>5</v>
      </c>
      <c r="K2213" s="32">
        <v>0</v>
      </c>
      <c r="L2213" s="32">
        <v>0</v>
      </c>
      <c r="M2213" s="32">
        <v>0</v>
      </c>
      <c r="N2213" s="32">
        <v>0</v>
      </c>
      <c r="O2213" s="32">
        <v>8886001</v>
      </c>
      <c r="P2213" s="32">
        <v>0</v>
      </c>
      <c r="Q2213" s="32">
        <v>0</v>
      </c>
      <c r="R2213" s="32">
        <v>0</v>
      </c>
      <c r="S2213" s="32">
        <v>0</v>
      </c>
      <c r="T2213" s="32">
        <v>61600</v>
      </c>
    </row>
    <row r="2214" spans="1:20" x14ac:dyDescent="0.25">
      <c r="A2214" t="s">
        <v>126</v>
      </c>
      <c r="B2214" t="s">
        <v>228</v>
      </c>
      <c r="C2214">
        <v>202603</v>
      </c>
      <c r="D2214" t="str">
        <f>MID(C2214,1,4)</f>
        <v>2026</v>
      </c>
      <c r="E2214" t="str">
        <f>IF(Portfolio!$M$1=1,CONCATENATE(A2214,C2214),CONCATENATE(B2214,C2214))</f>
        <v>STEVEN GROUP202603</v>
      </c>
      <c r="F2214" s="32">
        <v>0</v>
      </c>
      <c r="G2214" s="32">
        <v>0</v>
      </c>
      <c r="H2214" s="32">
        <v>0</v>
      </c>
      <c r="I2214" s="32">
        <v>0</v>
      </c>
      <c r="J2214" s="32">
        <v>1190</v>
      </c>
      <c r="K2214" s="32">
        <v>0</v>
      </c>
      <c r="L2214" s="32">
        <v>0</v>
      </c>
      <c r="M2214" s="32">
        <v>0</v>
      </c>
      <c r="N2214" s="32">
        <v>0</v>
      </c>
      <c r="O2214" s="32">
        <v>81105300</v>
      </c>
      <c r="P2214" s="32">
        <v>0</v>
      </c>
      <c r="Q2214" s="32">
        <v>0</v>
      </c>
      <c r="R2214" s="32">
        <v>0</v>
      </c>
      <c r="S2214" s="32">
        <v>0</v>
      </c>
      <c r="T2214" s="32">
        <v>0</v>
      </c>
    </row>
    <row r="2215" spans="1:20" x14ac:dyDescent="0.25">
      <c r="A2215" t="s">
        <v>107</v>
      </c>
      <c r="B2215" t="s">
        <v>171</v>
      </c>
      <c r="C2215">
        <v>202603</v>
      </c>
      <c r="D2215" t="str">
        <f>MID(C2215,1,4)</f>
        <v>2026</v>
      </c>
      <c r="E2215" t="str">
        <f>IF(Portfolio!$M$1=1,CONCATENATE(A2215,C2215),CONCATENATE(B2215,C2215))</f>
        <v>MAP GROUP202603</v>
      </c>
      <c r="F2215" s="32">
        <v>0</v>
      </c>
      <c r="G2215" s="32">
        <v>1</v>
      </c>
      <c r="H2215" s="32">
        <v>0</v>
      </c>
      <c r="I2215" s="32">
        <v>0</v>
      </c>
      <c r="J2215" s="32">
        <v>0</v>
      </c>
      <c r="K2215" s="32">
        <v>0</v>
      </c>
      <c r="L2215" s="32">
        <v>120000</v>
      </c>
      <c r="M2215" s="32">
        <v>0</v>
      </c>
      <c r="N2215" s="32">
        <v>0</v>
      </c>
      <c r="O2215" s="32">
        <v>0</v>
      </c>
      <c r="P2215" s="32">
        <v>0</v>
      </c>
      <c r="Q2215" s="32">
        <v>1200</v>
      </c>
      <c r="R2215" s="32">
        <v>0</v>
      </c>
      <c r="S2215" s="32">
        <v>0</v>
      </c>
      <c r="T2215" s="32">
        <v>0</v>
      </c>
    </row>
    <row r="2216" spans="1:20" x14ac:dyDescent="0.25">
      <c r="A2216" t="s">
        <v>111</v>
      </c>
      <c r="B2216" t="s">
        <v>212</v>
      </c>
      <c r="C2216">
        <v>202603</v>
      </c>
      <c r="D2216" t="str">
        <f>MID(C2216,1,4)</f>
        <v>2026</v>
      </c>
      <c r="E2216" t="str">
        <f>IF(Portfolio!$M$1=1,CONCATENATE(A2216,C2216),CONCATENATE(B2216,C2216))</f>
        <v>PATRA JASA202603</v>
      </c>
      <c r="F2216" s="32">
        <v>0</v>
      </c>
      <c r="G2216" s="32">
        <v>0</v>
      </c>
      <c r="H2216" s="32">
        <v>1</v>
      </c>
      <c r="I2216" s="32">
        <v>0</v>
      </c>
      <c r="J2216" s="32">
        <v>0</v>
      </c>
      <c r="K2216" s="32">
        <v>0</v>
      </c>
      <c r="L2216" s="32">
        <v>0</v>
      </c>
      <c r="M2216" s="32">
        <v>5000000</v>
      </c>
      <c r="N2216" s="32">
        <v>0</v>
      </c>
      <c r="O2216" s="32">
        <v>0</v>
      </c>
      <c r="P2216" s="32">
        <v>0</v>
      </c>
      <c r="Q2216" s="32">
        <v>0</v>
      </c>
      <c r="R2216" s="32">
        <v>90000</v>
      </c>
      <c r="S2216" s="32">
        <v>0</v>
      </c>
      <c r="T2216" s="32">
        <v>0</v>
      </c>
    </row>
    <row r="2217" spans="1:20" x14ac:dyDescent="0.25">
      <c r="A2217" t="s">
        <v>107</v>
      </c>
      <c r="B2217" t="s">
        <v>156</v>
      </c>
      <c r="C2217">
        <v>202603</v>
      </c>
      <c r="D2217" t="str">
        <f>MID(C2217,1,4)</f>
        <v>2026</v>
      </c>
      <c r="E2217" t="str">
        <f>IF(Portfolio!$M$1=1,CONCATENATE(A2217,C2217),CONCATENATE(B2217,C2217))</f>
        <v>MAP GROUP202603</v>
      </c>
      <c r="F2217" s="32">
        <v>0</v>
      </c>
      <c r="G2217" s="32">
        <v>1</v>
      </c>
      <c r="H2217" s="32">
        <v>0</v>
      </c>
      <c r="I2217" s="32">
        <v>0</v>
      </c>
      <c r="J2217" s="32">
        <v>0</v>
      </c>
      <c r="K2217" s="32">
        <v>0</v>
      </c>
      <c r="L2217" s="32">
        <v>1824300</v>
      </c>
      <c r="M2217" s="32">
        <v>0</v>
      </c>
      <c r="N2217" s="32">
        <v>0</v>
      </c>
      <c r="O2217" s="32">
        <v>0</v>
      </c>
      <c r="P2217" s="32">
        <v>0</v>
      </c>
      <c r="Q2217" s="32">
        <v>18243</v>
      </c>
      <c r="R2217" s="32">
        <v>0</v>
      </c>
      <c r="S2217" s="32">
        <v>0</v>
      </c>
      <c r="T2217" s="32">
        <v>0</v>
      </c>
    </row>
    <row r="2218" spans="1:20" x14ac:dyDescent="0.25">
      <c r="A2218" t="s">
        <v>126</v>
      </c>
      <c r="B2218" t="s">
        <v>225</v>
      </c>
      <c r="C2218">
        <v>202603</v>
      </c>
      <c r="D2218" t="str">
        <f>MID(C2218,1,4)</f>
        <v>2026</v>
      </c>
      <c r="E2218" t="str">
        <f>IF(Portfolio!$M$1=1,CONCATENATE(A2218,C2218),CONCATENATE(B2218,C2218))</f>
        <v>STEVEN GROUP202603</v>
      </c>
      <c r="F2218" s="32">
        <v>0</v>
      </c>
      <c r="G2218" s="32">
        <v>0</v>
      </c>
      <c r="H2218" s="32">
        <v>0</v>
      </c>
      <c r="I2218" s="32">
        <v>0</v>
      </c>
      <c r="J2218" s="32">
        <v>1</v>
      </c>
      <c r="K2218" s="32">
        <v>0</v>
      </c>
      <c r="L2218" s="32">
        <v>0</v>
      </c>
      <c r="M2218" s="32">
        <v>0</v>
      </c>
      <c r="N2218" s="32">
        <v>0</v>
      </c>
      <c r="O2218" s="32">
        <v>1</v>
      </c>
      <c r="P2218" s="32">
        <v>0</v>
      </c>
      <c r="Q2218" s="32">
        <v>0</v>
      </c>
      <c r="R2218" s="32">
        <v>0</v>
      </c>
      <c r="S2218" s="32">
        <v>0</v>
      </c>
      <c r="T2218" s="32">
        <v>0</v>
      </c>
    </row>
    <row r="2219" spans="1:20" x14ac:dyDescent="0.25">
      <c r="A2219" t="s">
        <v>94</v>
      </c>
      <c r="B2219" t="s">
        <v>94</v>
      </c>
      <c r="C2219">
        <v>202603</v>
      </c>
      <c r="D2219" t="str">
        <f>MID(C2219,1,4)</f>
        <v>2026</v>
      </c>
      <c r="E2219" t="str">
        <f>IF(Portfolio!$M$1=1,CONCATENATE(A2219,C2219),CONCATENATE(B2219,C2219))</f>
        <v>HOKBEN202603</v>
      </c>
      <c r="F2219" s="32">
        <v>0</v>
      </c>
      <c r="G2219" s="32">
        <v>0</v>
      </c>
      <c r="H2219" s="32">
        <v>0</v>
      </c>
      <c r="I2219" s="32">
        <v>0</v>
      </c>
      <c r="J2219" s="32">
        <v>6</v>
      </c>
      <c r="K2219" s="32">
        <v>0</v>
      </c>
      <c r="L2219" s="32">
        <v>0</v>
      </c>
      <c r="M2219" s="32">
        <v>0</v>
      </c>
      <c r="N2219" s="32">
        <v>0</v>
      </c>
      <c r="O2219" s="32">
        <v>82000</v>
      </c>
      <c r="P2219" s="32">
        <v>0</v>
      </c>
      <c r="Q2219" s="32">
        <v>0</v>
      </c>
      <c r="R2219" s="32">
        <v>0</v>
      </c>
      <c r="S2219" s="32">
        <v>0</v>
      </c>
      <c r="T2219" s="32">
        <v>0</v>
      </c>
    </row>
    <row r="2220" spans="1:20" x14ac:dyDescent="0.25">
      <c r="A2220" t="s">
        <v>114</v>
      </c>
      <c r="B2220" t="s">
        <v>218</v>
      </c>
      <c r="C2220">
        <v>202603</v>
      </c>
      <c r="D2220" t="str">
        <f>MID(C2220,1,4)</f>
        <v>2026</v>
      </c>
      <c r="E2220" t="str">
        <f>IF(Portfolio!$M$1=1,CONCATENATE(A2220,C2220),CONCATENATE(B2220,C2220))</f>
        <v>PIZZA HUT202603</v>
      </c>
      <c r="F2220" s="32">
        <v>0</v>
      </c>
      <c r="G2220" s="32">
        <v>1</v>
      </c>
      <c r="H2220" s="32">
        <v>0</v>
      </c>
      <c r="I2220" s="32">
        <v>0</v>
      </c>
      <c r="J2220" s="32">
        <v>0</v>
      </c>
      <c r="K2220" s="32">
        <v>0</v>
      </c>
      <c r="L2220" s="32">
        <v>39999</v>
      </c>
      <c r="M2220" s="32">
        <v>0</v>
      </c>
      <c r="N2220" s="32">
        <v>0</v>
      </c>
      <c r="O2220" s="32">
        <v>0</v>
      </c>
      <c r="P2220" s="32">
        <v>0</v>
      </c>
      <c r="Q2220" s="32">
        <v>400</v>
      </c>
      <c r="R2220" s="32">
        <v>0</v>
      </c>
      <c r="S2220" s="32">
        <v>0</v>
      </c>
      <c r="T2220" s="32">
        <v>0</v>
      </c>
    </row>
    <row r="2221" spans="1:20" x14ac:dyDescent="0.25">
      <c r="A2221" t="s">
        <v>107</v>
      </c>
      <c r="B2221" t="s">
        <v>173</v>
      </c>
      <c r="C2221">
        <v>202603</v>
      </c>
      <c r="D2221" t="str">
        <f>MID(C2221,1,4)</f>
        <v>2026</v>
      </c>
      <c r="E2221" t="str">
        <f>IF(Portfolio!$M$1=1,CONCATENATE(A2221,C2221),CONCATENATE(B2221,C2221))</f>
        <v>MAP GROUP202603</v>
      </c>
      <c r="F2221" s="32">
        <v>0</v>
      </c>
      <c r="G2221" s="32">
        <v>0</v>
      </c>
      <c r="H2221" s="32">
        <v>1</v>
      </c>
      <c r="I2221" s="32">
        <v>0</v>
      </c>
      <c r="J2221" s="32">
        <v>0</v>
      </c>
      <c r="K2221" s="32">
        <v>0</v>
      </c>
      <c r="L2221" s="32">
        <v>0</v>
      </c>
      <c r="M2221" s="32">
        <v>719550</v>
      </c>
      <c r="N2221" s="32">
        <v>0</v>
      </c>
      <c r="O2221" s="32">
        <v>0</v>
      </c>
      <c r="P2221" s="32">
        <v>0</v>
      </c>
      <c r="Q2221" s="32">
        <v>0</v>
      </c>
      <c r="R2221" s="32">
        <v>9354</v>
      </c>
      <c r="S2221" s="32">
        <v>0</v>
      </c>
      <c r="T2221" s="32">
        <v>0</v>
      </c>
    </row>
    <row r="2222" spans="1:20" x14ac:dyDescent="0.25">
      <c r="A2222" t="s">
        <v>107</v>
      </c>
      <c r="B2222" t="s">
        <v>202</v>
      </c>
      <c r="C2222">
        <v>202603</v>
      </c>
      <c r="D2222" t="str">
        <f>MID(C2222,1,4)</f>
        <v>2026</v>
      </c>
      <c r="E2222" t="str">
        <f>IF(Portfolio!$M$1=1,CONCATENATE(A2222,C2222),CONCATENATE(B2222,C2222))</f>
        <v>MAP GROUP202603</v>
      </c>
      <c r="F2222" s="32">
        <v>0</v>
      </c>
      <c r="G2222" s="32">
        <v>1</v>
      </c>
      <c r="H2222" s="32">
        <v>0</v>
      </c>
      <c r="I2222" s="32">
        <v>0</v>
      </c>
      <c r="J2222" s="32">
        <v>0</v>
      </c>
      <c r="K2222" s="32">
        <v>0</v>
      </c>
      <c r="L2222" s="32">
        <v>299000</v>
      </c>
      <c r="M2222" s="32">
        <v>0</v>
      </c>
      <c r="N2222" s="32">
        <v>0</v>
      </c>
      <c r="O2222" s="32">
        <v>0</v>
      </c>
      <c r="P2222" s="32">
        <v>0</v>
      </c>
      <c r="Q2222" s="32">
        <v>2990</v>
      </c>
      <c r="R2222" s="32">
        <v>0</v>
      </c>
      <c r="S2222" s="32">
        <v>0</v>
      </c>
      <c r="T2222" s="32">
        <v>0</v>
      </c>
    </row>
    <row r="2223" spans="1:20" x14ac:dyDescent="0.25">
      <c r="A2223" t="s">
        <v>75</v>
      </c>
      <c r="B2223" t="s">
        <v>79</v>
      </c>
      <c r="C2223">
        <v>202603</v>
      </c>
      <c r="D2223" t="str">
        <f>MID(C2223,1,4)</f>
        <v>2026</v>
      </c>
      <c r="E2223" t="str">
        <f>IF(Portfolio!$M$1=1,CONCATENATE(A2223,C2223),CONCATENATE(B2223,C2223))</f>
        <v>CHAMP RESTO202603</v>
      </c>
      <c r="F2223" s="32">
        <v>0</v>
      </c>
      <c r="G2223" s="32">
        <v>0</v>
      </c>
      <c r="H2223" s="32">
        <v>0</v>
      </c>
      <c r="I2223" s="32">
        <v>0</v>
      </c>
      <c r="J2223" s="32">
        <v>47</v>
      </c>
      <c r="K2223" s="32">
        <v>0</v>
      </c>
      <c r="L2223" s="32">
        <v>0</v>
      </c>
      <c r="M2223" s="32">
        <v>0</v>
      </c>
      <c r="N2223" s="32">
        <v>0</v>
      </c>
      <c r="O2223" s="32">
        <v>13090596</v>
      </c>
      <c r="P2223" s="32">
        <v>0</v>
      </c>
      <c r="Q2223" s="32">
        <v>0</v>
      </c>
      <c r="R2223" s="32">
        <v>0</v>
      </c>
      <c r="S2223" s="32">
        <v>0</v>
      </c>
      <c r="T2223" s="32">
        <v>91634</v>
      </c>
    </row>
    <row r="2224" spans="1:20" x14ac:dyDescent="0.25">
      <c r="A2224" t="s">
        <v>75</v>
      </c>
      <c r="B2224" t="s">
        <v>77</v>
      </c>
      <c r="C2224">
        <v>202603</v>
      </c>
      <c r="D2224" t="str">
        <f>MID(C2224,1,4)</f>
        <v>2026</v>
      </c>
      <c r="E2224" t="str">
        <f>IF(Portfolio!$M$1=1,CONCATENATE(A2224,C2224),CONCATENATE(B2224,C2224))</f>
        <v>CHAMP RESTO202603</v>
      </c>
      <c r="F2224" s="32">
        <v>0</v>
      </c>
      <c r="G2224" s="32">
        <v>0</v>
      </c>
      <c r="H2224" s="32">
        <v>0</v>
      </c>
      <c r="I2224" s="32">
        <v>0</v>
      </c>
      <c r="J2224" s="32">
        <v>1</v>
      </c>
      <c r="K2224" s="32">
        <v>0</v>
      </c>
      <c r="L2224" s="32">
        <v>0</v>
      </c>
      <c r="M2224" s="32">
        <v>0</v>
      </c>
      <c r="N2224" s="32">
        <v>0</v>
      </c>
      <c r="O2224" s="32">
        <v>144500</v>
      </c>
      <c r="P2224" s="32">
        <v>0</v>
      </c>
      <c r="Q2224" s="32">
        <v>0</v>
      </c>
      <c r="R2224" s="32">
        <v>0</v>
      </c>
      <c r="S2224" s="32">
        <v>0</v>
      </c>
      <c r="T2224" s="32">
        <v>1012</v>
      </c>
    </row>
  </sheetData>
  <autoFilter ref="A1:T2224" xr:uid="{FF280042-3F89-8745-AFAE-300190E10C50}">
    <sortState xmlns:xlrd2="http://schemas.microsoft.com/office/spreadsheetml/2017/richdata2" ref="A2:T2224">
      <sortCondition ref="C1:C2224"/>
    </sortState>
  </autoFilter>
  <phoneticPr fontId="6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ab2e60-28b9-4a4f-a5d0-d3c217574e87}" enabled="0" method="" siteId="{45ab2e60-28b9-4a4f-a5d0-d3c217574e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Highlight</vt:lpstr>
      <vt:lpstr>Portfolio</vt:lpstr>
      <vt:lpstr>Sheet4</vt:lpstr>
      <vt:lpstr>Sheet1</vt:lpstr>
      <vt:lpstr>Realisasi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Efnu 22225. Triyono</dc:creator>
  <cp:keywords/>
  <dc:description/>
  <cp:lastModifiedBy>2023 MARVEL KEVIN NATHANAEL (00000108042)</cp:lastModifiedBy>
  <cp:revision/>
  <dcterms:created xsi:type="dcterms:W3CDTF">2025-04-28T00:08:54Z</dcterms:created>
  <dcterms:modified xsi:type="dcterms:W3CDTF">2026-03-17T03:51:05Z</dcterms:modified>
  <cp:category/>
  <cp:contentStatus/>
</cp:coreProperties>
</file>